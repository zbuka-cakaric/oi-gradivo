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ownloads\revidirani troskovnici\"/>
    </mc:Choice>
  </mc:AlternateContent>
  <xr:revisionPtr revIDLastSave="0" documentId="13_ncr:1_{F5FA0278-0701-4F7C-AA69-7B49F94C9353}" xr6:coauthVersionLast="47" xr6:coauthVersionMax="47" xr10:uidLastSave="{00000000-0000-0000-0000-000000000000}"/>
  <bookViews>
    <workbookView xWindow="9780" yWindow="870" windowWidth="33135" windowHeight="20055" tabRatio="945" activeTab="10" xr2:uid="{00000000-000D-0000-FFFF-FFFF00000000}"/>
  </bookViews>
  <sheets>
    <sheet name="Naslovnica" sheetId="1" r:id="rId1"/>
    <sheet name="Opci-GOR" sheetId="2" r:id="rId2"/>
    <sheet name="CEMENTNI ESTRIH" sheetId="3" r:id="rId3"/>
    <sheet name="HIDROIZOLACIJA" sheetId="4" r:id="rId4"/>
    <sheet name="GIPS KARTON" sheetId="5" r:id="rId5"/>
    <sheet name="FASADERSKI" sheetId="6" r:id="rId6"/>
    <sheet name="SOBOSLIKARSKI" sheetId="7" r:id="rId7"/>
    <sheet name="KERAMIČARSKI" sheetId="8" r:id="rId8"/>
    <sheet name="PODOPOLAGAČKI" sheetId="9" r:id="rId9"/>
    <sheet name="STEKLARSKI" sheetId="10" r:id="rId10"/>
    <sheet name="BRAVARSKI" sheetId="11" r:id="rId11"/>
    <sheet name="KROVNA KONSTR." sheetId="12" r:id="rId12"/>
    <sheet name="KROV" sheetId="13" r:id="rId13"/>
  </sheets>
  <definedNames>
    <definedName name="_xlnm.Print_Area" localSheetId="0">Naslovnica!$A$1:$H$67</definedName>
  </definedNames>
  <calcPr calcId="191029"/>
</workbook>
</file>

<file path=xl/calcChain.xml><?xml version="1.0" encoding="utf-8"?>
<calcChain xmlns="http://schemas.openxmlformats.org/spreadsheetml/2006/main">
  <c r="N82" i="13" l="1"/>
  <c r="P82" i="13" s="1"/>
  <c r="K82" i="13"/>
  <c r="N78" i="13"/>
  <c r="P78" i="13" s="1"/>
  <c r="K78" i="13"/>
  <c r="N74" i="13"/>
  <c r="P74" i="13" s="1"/>
  <c r="K74" i="13"/>
  <c r="N70" i="13"/>
  <c r="P70" i="13" s="1"/>
  <c r="K70" i="13"/>
  <c r="P66" i="13"/>
  <c r="N66" i="13"/>
  <c r="K66" i="13"/>
  <c r="N65" i="13"/>
  <c r="P65" i="13" s="1"/>
  <c r="K65" i="13"/>
  <c r="P60" i="13"/>
  <c r="P86" i="13" s="1"/>
  <c r="T88" i="13" s="1"/>
  <c r="N60" i="13"/>
  <c r="K60" i="13"/>
  <c r="R42" i="13"/>
  <c r="M42" i="13"/>
  <c r="K42" i="13"/>
  <c r="J42" i="13"/>
  <c r="H42" i="13"/>
  <c r="G42" i="13"/>
  <c r="F42" i="13"/>
  <c r="E42" i="13"/>
  <c r="D42" i="13"/>
  <c r="R38" i="13"/>
  <c r="N38" i="13"/>
  <c r="M38" i="13"/>
  <c r="I38" i="13"/>
  <c r="H38" i="13"/>
  <c r="E38" i="13"/>
  <c r="D38" i="13"/>
  <c r="R34" i="13"/>
  <c r="N34" i="13"/>
  <c r="M34" i="13"/>
  <c r="R30" i="13"/>
  <c r="N30" i="13"/>
  <c r="M30" i="13"/>
  <c r="L30" i="13"/>
  <c r="J30" i="13"/>
  <c r="I30" i="13"/>
  <c r="E30" i="13"/>
  <c r="D30" i="13"/>
  <c r="R26" i="13"/>
  <c r="M26" i="13"/>
  <c r="L26" i="13"/>
  <c r="K26" i="13"/>
  <c r="J26" i="13"/>
  <c r="I26" i="13"/>
  <c r="R25" i="13"/>
  <c r="N25" i="13"/>
  <c r="M25" i="13"/>
  <c r="L25" i="13"/>
  <c r="K25" i="13"/>
  <c r="J25" i="13"/>
  <c r="I25" i="13"/>
  <c r="H25" i="13"/>
  <c r="G25" i="13"/>
  <c r="E25" i="13"/>
  <c r="D25" i="13"/>
  <c r="R20" i="13"/>
  <c r="N20" i="13"/>
  <c r="M20" i="13"/>
  <c r="J20" i="13"/>
  <c r="I20" i="13"/>
  <c r="H20" i="13"/>
  <c r="G20" i="13"/>
  <c r="F20" i="13"/>
  <c r="E20" i="13"/>
  <c r="L4" i="13"/>
  <c r="L20" i="13" s="1"/>
  <c r="K4" i="13"/>
  <c r="K20" i="13" s="1"/>
  <c r="J4" i="13"/>
  <c r="J34" i="13" s="1"/>
  <c r="I4" i="13"/>
  <c r="I42" i="13" s="1"/>
  <c r="H4" i="13"/>
  <c r="H26" i="13" s="1"/>
  <c r="G4" i="13"/>
  <c r="G38" i="13" s="1"/>
  <c r="F4" i="13"/>
  <c r="F34" i="13" s="1"/>
  <c r="E4" i="13"/>
  <c r="E34" i="13" s="1"/>
  <c r="D4" i="13"/>
  <c r="D34" i="13" s="1"/>
  <c r="N85" i="12"/>
  <c r="M85" i="12"/>
  <c r="L85" i="12"/>
  <c r="K85" i="12"/>
  <c r="J85" i="12"/>
  <c r="I85" i="12"/>
  <c r="H85" i="12"/>
  <c r="G85" i="12"/>
  <c r="F85" i="12"/>
  <c r="E85" i="12"/>
  <c r="D85" i="12"/>
  <c r="O82" i="12"/>
  <c r="R82" i="12" s="1"/>
  <c r="R79" i="12"/>
  <c r="O79" i="12"/>
  <c r="R76" i="12"/>
  <c r="O76" i="12"/>
  <c r="O72" i="12"/>
  <c r="R72" i="12" s="1"/>
  <c r="O68" i="12"/>
  <c r="R68" i="12" s="1"/>
  <c r="R64" i="12"/>
  <c r="O64" i="12"/>
  <c r="R63" i="12"/>
  <c r="O63" i="12"/>
  <c r="R59" i="12"/>
  <c r="O59" i="12"/>
  <c r="O58" i="12"/>
  <c r="R58" i="12" s="1"/>
  <c r="O48" i="12"/>
  <c r="R48" i="12" s="1"/>
  <c r="R38" i="12"/>
  <c r="O38" i="12"/>
  <c r="R34" i="12"/>
  <c r="O34" i="12"/>
  <c r="O31" i="12"/>
  <c r="R31" i="12" s="1"/>
  <c r="R28" i="12"/>
  <c r="O28" i="12"/>
  <c r="R27" i="12"/>
  <c r="O27" i="12"/>
  <c r="R23" i="12"/>
  <c r="O23" i="12"/>
  <c r="O20" i="12"/>
  <c r="R20" i="12" s="1"/>
  <c r="O17" i="12"/>
  <c r="R17" i="12" s="1"/>
  <c r="O14" i="12"/>
  <c r="R14" i="12" s="1"/>
  <c r="R84" i="12" s="1"/>
  <c r="N118" i="11"/>
  <c r="I118" i="11"/>
  <c r="H118" i="11"/>
  <c r="E118" i="11"/>
  <c r="D118" i="11"/>
  <c r="N110" i="11"/>
  <c r="K110" i="11"/>
  <c r="P110" i="11" s="1"/>
  <c r="P112" i="11" s="1"/>
  <c r="N109" i="11"/>
  <c r="P109" i="11" s="1"/>
  <c r="K109" i="11"/>
  <c r="N96" i="11"/>
  <c r="K96" i="11"/>
  <c r="P96" i="11" s="1"/>
  <c r="P92" i="11"/>
  <c r="N92" i="11"/>
  <c r="K92" i="11"/>
  <c r="P86" i="11"/>
  <c r="P98" i="11" s="1"/>
  <c r="N86" i="11"/>
  <c r="K86" i="11"/>
  <c r="T66" i="11"/>
  <c r="T68" i="11" s="1"/>
  <c r="R62" i="11"/>
  <c r="N62" i="11"/>
  <c r="M62" i="11"/>
  <c r="K62" i="11"/>
  <c r="J62" i="11"/>
  <c r="H62" i="11"/>
  <c r="F62" i="11"/>
  <c r="E62" i="11"/>
  <c r="D62" i="11"/>
  <c r="R61" i="11"/>
  <c r="N61" i="11"/>
  <c r="M61" i="11"/>
  <c r="I61" i="11"/>
  <c r="H61" i="11"/>
  <c r="E61" i="11"/>
  <c r="D61" i="11"/>
  <c r="R60" i="11"/>
  <c r="N60" i="11"/>
  <c r="M60" i="11"/>
  <c r="R47" i="11"/>
  <c r="N47" i="11"/>
  <c r="M47" i="11"/>
  <c r="J47" i="11"/>
  <c r="H47" i="11"/>
  <c r="F47" i="11"/>
  <c r="E47" i="11"/>
  <c r="R43" i="11"/>
  <c r="N43" i="11"/>
  <c r="M43" i="11"/>
  <c r="L43" i="11"/>
  <c r="K43" i="11"/>
  <c r="J43" i="11"/>
  <c r="I43" i="11"/>
  <c r="H43" i="11"/>
  <c r="E43" i="11"/>
  <c r="D43" i="11"/>
  <c r="R39" i="11"/>
  <c r="N39" i="11"/>
  <c r="M39" i="11"/>
  <c r="L39" i="11"/>
  <c r="K39" i="11"/>
  <c r="J39" i="11"/>
  <c r="I39" i="11"/>
  <c r="H39" i="11"/>
  <c r="F39" i="11"/>
  <c r="E39" i="11"/>
  <c r="R33" i="11"/>
  <c r="N33" i="11"/>
  <c r="M33" i="11"/>
  <c r="L33" i="11"/>
  <c r="K33" i="11"/>
  <c r="J33" i="11"/>
  <c r="I33" i="11"/>
  <c r="H33" i="11"/>
  <c r="G33" i="11"/>
  <c r="E33" i="11"/>
  <c r="D33" i="11"/>
  <c r="R27" i="11"/>
  <c r="N27" i="11"/>
  <c r="M27" i="11"/>
  <c r="J27" i="11"/>
  <c r="I27" i="11"/>
  <c r="H27" i="11"/>
  <c r="G27" i="11"/>
  <c r="F27" i="11"/>
  <c r="E27" i="11"/>
  <c r="L4" i="11"/>
  <c r="L27" i="11" s="1"/>
  <c r="K4" i="11"/>
  <c r="K27" i="11" s="1"/>
  <c r="J4" i="11"/>
  <c r="J60" i="11" s="1"/>
  <c r="I4" i="11"/>
  <c r="I62" i="11" s="1"/>
  <c r="H4" i="11"/>
  <c r="H60" i="11" s="1"/>
  <c r="G4" i="11"/>
  <c r="F4" i="11"/>
  <c r="F60" i="11" s="1"/>
  <c r="E4" i="11"/>
  <c r="E60" i="11" s="1"/>
  <c r="D4" i="11"/>
  <c r="D47" i="11" s="1"/>
  <c r="N71" i="10"/>
  <c r="N70" i="10"/>
  <c r="J70" i="10"/>
  <c r="I70" i="10"/>
  <c r="H70" i="10"/>
  <c r="G70" i="10"/>
  <c r="F70" i="10"/>
  <c r="N57" i="10"/>
  <c r="I57" i="10"/>
  <c r="R37" i="10"/>
  <c r="N37" i="10"/>
  <c r="M37" i="10"/>
  <c r="I37" i="10"/>
  <c r="R36" i="10"/>
  <c r="N36" i="10"/>
  <c r="M36" i="10"/>
  <c r="K36" i="10"/>
  <c r="G36" i="10"/>
  <c r="R35" i="10"/>
  <c r="N35" i="10"/>
  <c r="M35" i="10"/>
  <c r="J35" i="10"/>
  <c r="I35" i="10"/>
  <c r="R26" i="10"/>
  <c r="N26" i="10"/>
  <c r="M26" i="10"/>
  <c r="K26" i="10"/>
  <c r="J26" i="10"/>
  <c r="G26" i="10"/>
  <c r="L4" i="10"/>
  <c r="L35" i="10" s="1"/>
  <c r="K4" i="10"/>
  <c r="K35" i="10" s="1"/>
  <c r="J4" i="10"/>
  <c r="J71" i="10" s="1"/>
  <c r="I4" i="10"/>
  <c r="I26" i="10" s="1"/>
  <c r="H4" i="10"/>
  <c r="G4" i="10"/>
  <c r="F4" i="10"/>
  <c r="E4" i="10"/>
  <c r="E70" i="10" s="1"/>
  <c r="D4" i="10"/>
  <c r="P73" i="9"/>
  <c r="N73" i="9"/>
  <c r="K73" i="9"/>
  <c r="N72" i="9"/>
  <c r="P72" i="9" s="1"/>
  <c r="K72" i="9"/>
  <c r="N71" i="9"/>
  <c r="K71" i="9"/>
  <c r="P64" i="9"/>
  <c r="N64" i="9"/>
  <c r="K64" i="9"/>
  <c r="N63" i="9"/>
  <c r="P63" i="9" s="1"/>
  <c r="K63" i="9"/>
  <c r="N62" i="9"/>
  <c r="P62" i="9" s="1"/>
  <c r="K62" i="9"/>
  <c r="N53" i="9"/>
  <c r="J53" i="9"/>
  <c r="H53" i="9"/>
  <c r="G53" i="9"/>
  <c r="F53" i="9"/>
  <c r="E53" i="9"/>
  <c r="D53" i="9"/>
  <c r="K53" i="9" s="1"/>
  <c r="R39" i="9"/>
  <c r="E39" i="9"/>
  <c r="D39" i="9"/>
  <c r="R38" i="9"/>
  <c r="M38" i="9"/>
  <c r="D38" i="9"/>
  <c r="R37" i="9"/>
  <c r="N37" i="9"/>
  <c r="M37" i="9"/>
  <c r="M39" i="9" s="1"/>
  <c r="G37" i="9"/>
  <c r="G38" i="9" s="1"/>
  <c r="F37" i="9"/>
  <c r="F38" i="9" s="1"/>
  <c r="R30" i="9"/>
  <c r="N30" i="9"/>
  <c r="E30" i="9"/>
  <c r="R29" i="9"/>
  <c r="N29" i="9"/>
  <c r="M29" i="9"/>
  <c r="L29" i="9"/>
  <c r="G29" i="9"/>
  <c r="R28" i="9"/>
  <c r="N28" i="9"/>
  <c r="M28" i="9"/>
  <c r="M30" i="9" s="1"/>
  <c r="L28" i="9"/>
  <c r="L30" i="9" s="1"/>
  <c r="J28" i="9"/>
  <c r="J30" i="9" s="1"/>
  <c r="I28" i="9"/>
  <c r="I29" i="9" s="1"/>
  <c r="H28" i="9"/>
  <c r="E28" i="9"/>
  <c r="E29" i="9" s="1"/>
  <c r="R18" i="9"/>
  <c r="N18" i="9"/>
  <c r="M18" i="9"/>
  <c r="L18" i="9"/>
  <c r="J18" i="9"/>
  <c r="I18" i="9"/>
  <c r="H18" i="9"/>
  <c r="G18" i="9"/>
  <c r="F18" i="9"/>
  <c r="L4" i="9"/>
  <c r="L37" i="9" s="1"/>
  <c r="K4" i="9"/>
  <c r="K28" i="9" s="1"/>
  <c r="J4" i="9"/>
  <c r="J37" i="9" s="1"/>
  <c r="I4" i="9"/>
  <c r="I53" i="9" s="1"/>
  <c r="H4" i="9"/>
  <c r="H37" i="9" s="1"/>
  <c r="H39" i="9" s="1"/>
  <c r="G4" i="9"/>
  <c r="G28" i="9" s="1"/>
  <c r="G30" i="9" s="1"/>
  <c r="F4" i="9"/>
  <c r="F28" i="9" s="1"/>
  <c r="E4" i="9"/>
  <c r="E37" i="9" s="1"/>
  <c r="E38" i="9" s="1"/>
  <c r="D4" i="9"/>
  <c r="D37" i="9" s="1"/>
  <c r="P289" i="8"/>
  <c r="N289" i="8"/>
  <c r="K289" i="8"/>
  <c r="N284" i="8"/>
  <c r="K284" i="8"/>
  <c r="N279" i="8"/>
  <c r="P279" i="8" s="1"/>
  <c r="K279" i="8"/>
  <c r="P274" i="8"/>
  <c r="N274" i="8"/>
  <c r="K274" i="8"/>
  <c r="N273" i="8"/>
  <c r="K273" i="8"/>
  <c r="N272" i="8"/>
  <c r="P272" i="8" s="1"/>
  <c r="K272" i="8"/>
  <c r="P265" i="8"/>
  <c r="N265" i="8"/>
  <c r="K265" i="8"/>
  <c r="P259" i="8"/>
  <c r="N259" i="8"/>
  <c r="K259" i="8"/>
  <c r="N254" i="8"/>
  <c r="P254" i="8" s="1"/>
  <c r="K254" i="8"/>
  <c r="N253" i="8"/>
  <c r="P253" i="8" s="1"/>
  <c r="K253" i="8"/>
  <c r="N252" i="8"/>
  <c r="P252" i="8" s="1"/>
  <c r="K252" i="8"/>
  <c r="N245" i="8"/>
  <c r="P245" i="8" s="1"/>
  <c r="K245" i="8"/>
  <c r="N240" i="8"/>
  <c r="P240" i="8" s="1"/>
  <c r="K240" i="8"/>
  <c r="N239" i="8"/>
  <c r="K239" i="8"/>
  <c r="P238" i="8"/>
  <c r="N238" i="8"/>
  <c r="K238" i="8"/>
  <c r="P231" i="8"/>
  <c r="N231" i="8"/>
  <c r="K231" i="8"/>
  <c r="N230" i="8"/>
  <c r="P230" i="8" s="1"/>
  <c r="K230" i="8"/>
  <c r="N229" i="8"/>
  <c r="K229" i="8"/>
  <c r="N222" i="8"/>
  <c r="P222" i="8" s="1"/>
  <c r="K222" i="8"/>
  <c r="P221" i="8"/>
  <c r="N221" i="8"/>
  <c r="K221" i="8"/>
  <c r="N220" i="8"/>
  <c r="K220" i="8"/>
  <c r="P213" i="8"/>
  <c r="N213" i="8"/>
  <c r="K213" i="8"/>
  <c r="P212" i="8"/>
  <c r="N212" i="8"/>
  <c r="K212" i="8"/>
  <c r="P211" i="8"/>
  <c r="N211" i="8"/>
  <c r="K211" i="8"/>
  <c r="N204" i="8"/>
  <c r="P204" i="8" s="1"/>
  <c r="K204" i="8"/>
  <c r="N203" i="8"/>
  <c r="P203" i="8" s="1"/>
  <c r="K203" i="8"/>
  <c r="N202" i="8"/>
  <c r="P202" i="8" s="1"/>
  <c r="K202" i="8"/>
  <c r="P196" i="8"/>
  <c r="N196" i="8"/>
  <c r="K196" i="8"/>
  <c r="N195" i="8"/>
  <c r="P195" i="8" s="1"/>
  <c r="K195" i="8"/>
  <c r="N194" i="8"/>
  <c r="K194" i="8"/>
  <c r="P188" i="8"/>
  <c r="N188" i="8"/>
  <c r="K188" i="8"/>
  <c r="N187" i="8"/>
  <c r="P187" i="8" s="1"/>
  <c r="K187" i="8"/>
  <c r="N186" i="8"/>
  <c r="P186" i="8" s="1"/>
  <c r="K186" i="8"/>
  <c r="N172" i="8"/>
  <c r="P172" i="8" s="1"/>
  <c r="K172" i="8"/>
  <c r="N167" i="8"/>
  <c r="P167" i="8" s="1"/>
  <c r="K167" i="8"/>
  <c r="R148" i="8"/>
  <c r="N148" i="8"/>
  <c r="M148" i="8"/>
  <c r="J148" i="8"/>
  <c r="R143" i="8"/>
  <c r="N143" i="8"/>
  <c r="M143" i="8"/>
  <c r="J143" i="8"/>
  <c r="I143" i="8"/>
  <c r="H143" i="8"/>
  <c r="R138" i="8"/>
  <c r="N138" i="8"/>
  <c r="M138" i="8"/>
  <c r="J138" i="8"/>
  <c r="I138" i="8"/>
  <c r="H138" i="8"/>
  <c r="G138" i="8"/>
  <c r="F138" i="8"/>
  <c r="R133" i="8"/>
  <c r="R132" i="8"/>
  <c r="R131" i="8"/>
  <c r="N131" i="8"/>
  <c r="N132" i="8" s="1"/>
  <c r="M131" i="8"/>
  <c r="M132" i="8" s="1"/>
  <c r="I131" i="8"/>
  <c r="I132" i="8" s="1"/>
  <c r="H131" i="8"/>
  <c r="H132" i="8" s="1"/>
  <c r="R124" i="8"/>
  <c r="N124" i="8"/>
  <c r="M124" i="8"/>
  <c r="G124" i="8"/>
  <c r="R118" i="8"/>
  <c r="N118" i="8"/>
  <c r="M118" i="8"/>
  <c r="H118" i="8"/>
  <c r="R113" i="8"/>
  <c r="N113" i="8"/>
  <c r="M113" i="8"/>
  <c r="K113" i="8"/>
  <c r="J113" i="8"/>
  <c r="I113" i="8"/>
  <c r="H113" i="8"/>
  <c r="G113" i="8"/>
  <c r="F113" i="8"/>
  <c r="E113" i="8"/>
  <c r="D113" i="8"/>
  <c r="R112" i="8"/>
  <c r="K112" i="8"/>
  <c r="J112" i="8"/>
  <c r="I112" i="8"/>
  <c r="H112" i="8"/>
  <c r="G112" i="8"/>
  <c r="F112" i="8"/>
  <c r="E112" i="8"/>
  <c r="D112" i="8"/>
  <c r="R111" i="8"/>
  <c r="N111" i="8"/>
  <c r="N112" i="8" s="1"/>
  <c r="M111" i="8"/>
  <c r="M112" i="8" s="1"/>
  <c r="R104" i="8"/>
  <c r="N104" i="8"/>
  <c r="M104" i="8"/>
  <c r="R99" i="8"/>
  <c r="N99" i="8"/>
  <c r="M99" i="8"/>
  <c r="J99" i="8"/>
  <c r="I99" i="8"/>
  <c r="R94" i="8"/>
  <c r="M94" i="8"/>
  <c r="I94" i="8"/>
  <c r="R93" i="8"/>
  <c r="N93" i="8"/>
  <c r="M93" i="8"/>
  <c r="I93" i="8"/>
  <c r="G93" i="8"/>
  <c r="F93" i="8"/>
  <c r="R92" i="8"/>
  <c r="N92" i="8"/>
  <c r="N94" i="8" s="1"/>
  <c r="M92" i="8"/>
  <c r="H92" i="8"/>
  <c r="H94" i="8" s="1"/>
  <c r="G92" i="8"/>
  <c r="G94" i="8" s="1"/>
  <c r="F92" i="8"/>
  <c r="F94" i="8" s="1"/>
  <c r="R85" i="8"/>
  <c r="J85" i="8"/>
  <c r="R84" i="8"/>
  <c r="R83" i="8"/>
  <c r="N83" i="8"/>
  <c r="N84" i="8" s="1"/>
  <c r="M83" i="8"/>
  <c r="J83" i="8"/>
  <c r="J84" i="8" s="1"/>
  <c r="R76" i="8"/>
  <c r="N76" i="8"/>
  <c r="M76" i="8"/>
  <c r="R75" i="8"/>
  <c r="N75" i="8"/>
  <c r="M75" i="8"/>
  <c r="I75" i="8"/>
  <c r="R74" i="8"/>
  <c r="N74" i="8"/>
  <c r="M74" i="8"/>
  <c r="J74" i="8"/>
  <c r="J76" i="8" s="1"/>
  <c r="I74" i="8"/>
  <c r="I76" i="8" s="1"/>
  <c r="R67" i="8"/>
  <c r="M67" i="8"/>
  <c r="J67" i="8"/>
  <c r="R66" i="8"/>
  <c r="R65" i="8"/>
  <c r="N65" i="8"/>
  <c r="N66" i="8" s="1"/>
  <c r="M65" i="8"/>
  <c r="M66" i="8" s="1"/>
  <c r="J65" i="8"/>
  <c r="J66" i="8" s="1"/>
  <c r="I65" i="8"/>
  <c r="I66" i="8" s="1"/>
  <c r="R58" i="8"/>
  <c r="N58" i="8"/>
  <c r="R57" i="8"/>
  <c r="N57" i="8"/>
  <c r="M57" i="8"/>
  <c r="R56" i="8"/>
  <c r="M56" i="8"/>
  <c r="M58" i="8" s="1"/>
  <c r="J56" i="8"/>
  <c r="J58" i="8" s="1"/>
  <c r="G56" i="8"/>
  <c r="G57" i="8" s="1"/>
  <c r="R50" i="8"/>
  <c r="N50" i="8"/>
  <c r="J50" i="8"/>
  <c r="I50" i="8"/>
  <c r="H50" i="8"/>
  <c r="R49" i="8"/>
  <c r="N49" i="8"/>
  <c r="J49" i="8"/>
  <c r="I49" i="8"/>
  <c r="H49" i="8"/>
  <c r="R48" i="8"/>
  <c r="N48" i="8"/>
  <c r="M48" i="8"/>
  <c r="M49" i="8" s="1"/>
  <c r="J48" i="8"/>
  <c r="I48" i="8"/>
  <c r="H48" i="8"/>
  <c r="R42" i="8"/>
  <c r="R41" i="8"/>
  <c r="M41" i="8"/>
  <c r="R40" i="8"/>
  <c r="N40" i="8"/>
  <c r="M40" i="8"/>
  <c r="M42" i="8" s="1"/>
  <c r="R26" i="8"/>
  <c r="N26" i="8"/>
  <c r="M26" i="8"/>
  <c r="J26" i="8"/>
  <c r="I26" i="8"/>
  <c r="D26" i="8"/>
  <c r="R21" i="8"/>
  <c r="N21" i="8"/>
  <c r="M21" i="8"/>
  <c r="J21" i="8"/>
  <c r="G21" i="8"/>
  <c r="L4" i="8"/>
  <c r="L143" i="8" s="1"/>
  <c r="K4" i="8"/>
  <c r="K143" i="8" s="1"/>
  <c r="J4" i="8"/>
  <c r="J92" i="8" s="1"/>
  <c r="J93" i="8" s="1"/>
  <c r="I4" i="8"/>
  <c r="I92" i="8" s="1"/>
  <c r="H4" i="8"/>
  <c r="H104" i="8" s="1"/>
  <c r="G4" i="8"/>
  <c r="G148" i="8" s="1"/>
  <c r="F4" i="8"/>
  <c r="F83" i="8" s="1"/>
  <c r="E4" i="8"/>
  <c r="E143" i="8" s="1"/>
  <c r="D4" i="8"/>
  <c r="D131" i="8" s="1"/>
  <c r="N142" i="7"/>
  <c r="P142" i="7" s="1"/>
  <c r="K142" i="7"/>
  <c r="N137" i="7"/>
  <c r="P137" i="7" s="1"/>
  <c r="K137" i="7"/>
  <c r="N132" i="7"/>
  <c r="P132" i="7" s="1"/>
  <c r="K132" i="7"/>
  <c r="N120" i="7"/>
  <c r="P120" i="7" s="1"/>
  <c r="K120" i="7"/>
  <c r="N115" i="7"/>
  <c r="K115" i="7"/>
  <c r="N112" i="7"/>
  <c r="P112" i="7" s="1"/>
  <c r="K112" i="7"/>
  <c r="P106" i="7"/>
  <c r="N106" i="7"/>
  <c r="K106" i="7"/>
  <c r="N95" i="7"/>
  <c r="P95" i="7" s="1"/>
  <c r="K95" i="7"/>
  <c r="P90" i="7"/>
  <c r="N90" i="7"/>
  <c r="K90" i="7"/>
  <c r="N89" i="7"/>
  <c r="K89" i="7"/>
  <c r="R69" i="7"/>
  <c r="N69" i="7"/>
  <c r="M69" i="7"/>
  <c r="L69" i="7"/>
  <c r="K69" i="7"/>
  <c r="J69" i="7"/>
  <c r="R64" i="7"/>
  <c r="N64" i="7"/>
  <c r="M64" i="7"/>
  <c r="L64" i="7"/>
  <c r="E64" i="7"/>
  <c r="D64" i="7"/>
  <c r="R52" i="7"/>
  <c r="T52" i="7" s="1"/>
  <c r="O52" i="7"/>
  <c r="R47" i="7"/>
  <c r="T47" i="7" s="1"/>
  <c r="O47" i="7"/>
  <c r="T43" i="7"/>
  <c r="R43" i="7"/>
  <c r="O43" i="7"/>
  <c r="T37" i="7"/>
  <c r="T54" i="7" s="1"/>
  <c r="R37" i="7"/>
  <c r="O37" i="7"/>
  <c r="R27" i="7"/>
  <c r="T27" i="7" s="1"/>
  <c r="O27" i="7"/>
  <c r="R22" i="7"/>
  <c r="T22" i="7" s="1"/>
  <c r="O22" i="7"/>
  <c r="R21" i="7"/>
  <c r="O21" i="7"/>
  <c r="L4" i="7"/>
  <c r="K4" i="7"/>
  <c r="K64" i="7" s="1"/>
  <c r="J4" i="7"/>
  <c r="J64" i="7" s="1"/>
  <c r="I4" i="7"/>
  <c r="I64" i="7" s="1"/>
  <c r="H4" i="7"/>
  <c r="H69" i="7" s="1"/>
  <c r="G4" i="7"/>
  <c r="G69" i="7" s="1"/>
  <c r="F4" i="7"/>
  <c r="F69" i="7" s="1"/>
  <c r="E4" i="7"/>
  <c r="D4" i="7"/>
  <c r="N121" i="6"/>
  <c r="P121" i="6" s="1"/>
  <c r="K121" i="6"/>
  <c r="N116" i="6"/>
  <c r="P116" i="6" s="1"/>
  <c r="K116" i="6"/>
  <c r="N112" i="6"/>
  <c r="P112" i="6" s="1"/>
  <c r="K112" i="6"/>
  <c r="N106" i="6"/>
  <c r="P106" i="6" s="1"/>
  <c r="K106" i="6"/>
  <c r="N94" i="6"/>
  <c r="G94" i="6"/>
  <c r="N90" i="6"/>
  <c r="J90" i="6"/>
  <c r="I90" i="6"/>
  <c r="H90" i="6"/>
  <c r="N78" i="6"/>
  <c r="G78" i="6"/>
  <c r="R58" i="6"/>
  <c r="N58" i="6"/>
  <c r="M58" i="6"/>
  <c r="L58" i="6"/>
  <c r="K58" i="6"/>
  <c r="I58" i="6"/>
  <c r="H58" i="6"/>
  <c r="G58" i="6"/>
  <c r="R53" i="6"/>
  <c r="N53" i="6"/>
  <c r="M53" i="6"/>
  <c r="J53" i="6"/>
  <c r="G53" i="6"/>
  <c r="R49" i="6"/>
  <c r="M49" i="6"/>
  <c r="L49" i="6"/>
  <c r="K49" i="6"/>
  <c r="G49" i="6"/>
  <c r="D49" i="6"/>
  <c r="R43" i="6"/>
  <c r="N43" i="6"/>
  <c r="M43" i="6"/>
  <c r="L43" i="6"/>
  <c r="I43" i="6"/>
  <c r="E43" i="6"/>
  <c r="R31" i="6"/>
  <c r="N31" i="6"/>
  <c r="M31" i="6"/>
  <c r="L31" i="6"/>
  <c r="K31" i="6"/>
  <c r="H31" i="6"/>
  <c r="R27" i="6"/>
  <c r="N27" i="6"/>
  <c r="M27" i="6"/>
  <c r="L27" i="6"/>
  <c r="K27" i="6"/>
  <c r="J27" i="6"/>
  <c r="I27" i="6"/>
  <c r="G27" i="6"/>
  <c r="R18" i="6"/>
  <c r="N18" i="6"/>
  <c r="M18" i="6"/>
  <c r="L18" i="6"/>
  <c r="K18" i="6"/>
  <c r="J18" i="6"/>
  <c r="I18" i="6"/>
  <c r="H18" i="6"/>
  <c r="G18" i="6"/>
  <c r="D18" i="6"/>
  <c r="L4" i="6"/>
  <c r="L53" i="6" s="1"/>
  <c r="K4" i="6"/>
  <c r="K43" i="6" s="1"/>
  <c r="J4" i="6"/>
  <c r="J78" i="6" s="1"/>
  <c r="I4" i="6"/>
  <c r="H4" i="6"/>
  <c r="G4" i="6"/>
  <c r="G90" i="6" s="1"/>
  <c r="F4" i="6"/>
  <c r="E4" i="6"/>
  <c r="E53" i="6" s="1"/>
  <c r="D4" i="6"/>
  <c r="D31" i="6" s="1"/>
  <c r="P159" i="5"/>
  <c r="N159" i="5"/>
  <c r="K159" i="5"/>
  <c r="P155" i="5"/>
  <c r="N155" i="5"/>
  <c r="K155" i="5"/>
  <c r="N150" i="5"/>
  <c r="P150" i="5" s="1"/>
  <c r="K150" i="5"/>
  <c r="N144" i="5"/>
  <c r="K144" i="5"/>
  <c r="N143" i="5"/>
  <c r="P143" i="5" s="1"/>
  <c r="K143" i="5"/>
  <c r="P137" i="5"/>
  <c r="N137" i="5"/>
  <c r="K137" i="5"/>
  <c r="N132" i="5"/>
  <c r="P132" i="5" s="1"/>
  <c r="K132" i="5"/>
  <c r="N127" i="5"/>
  <c r="K127" i="5"/>
  <c r="P122" i="5"/>
  <c r="N122" i="5"/>
  <c r="K122" i="5"/>
  <c r="N117" i="5"/>
  <c r="P117" i="5" s="1"/>
  <c r="K117" i="5"/>
  <c r="N112" i="5"/>
  <c r="P112" i="5" s="1"/>
  <c r="K112" i="5"/>
  <c r="N107" i="5"/>
  <c r="P107" i="5" s="1"/>
  <c r="K107" i="5"/>
  <c r="N102" i="5"/>
  <c r="P102" i="5" s="1"/>
  <c r="K102" i="5"/>
  <c r="N97" i="5"/>
  <c r="P97" i="5" s="1"/>
  <c r="K97" i="5"/>
  <c r="N92" i="5"/>
  <c r="P92" i="5" s="1"/>
  <c r="K92" i="5"/>
  <c r="R77" i="5"/>
  <c r="N77" i="5"/>
  <c r="M77" i="5"/>
  <c r="I77" i="5"/>
  <c r="F77" i="5"/>
  <c r="E77" i="5"/>
  <c r="D77" i="5"/>
  <c r="R73" i="5"/>
  <c r="N73" i="5"/>
  <c r="M73" i="5"/>
  <c r="K73" i="5"/>
  <c r="F73" i="5"/>
  <c r="D73" i="5"/>
  <c r="R68" i="5"/>
  <c r="N68" i="5"/>
  <c r="M68" i="5"/>
  <c r="I68" i="5"/>
  <c r="E68" i="5"/>
  <c r="D68" i="5"/>
  <c r="R63" i="5"/>
  <c r="N63" i="5"/>
  <c r="M63" i="5"/>
  <c r="K63" i="5"/>
  <c r="J63" i="5"/>
  <c r="R62" i="5"/>
  <c r="N62" i="5"/>
  <c r="M62" i="5"/>
  <c r="K62" i="5"/>
  <c r="J62" i="5"/>
  <c r="I62" i="5"/>
  <c r="E62" i="5"/>
  <c r="R56" i="5"/>
  <c r="N56" i="5"/>
  <c r="M56" i="5"/>
  <c r="L56" i="5"/>
  <c r="K56" i="5"/>
  <c r="J56" i="5"/>
  <c r="I56" i="5"/>
  <c r="F56" i="5"/>
  <c r="R55" i="5"/>
  <c r="N55" i="5"/>
  <c r="M55" i="5"/>
  <c r="L55" i="5"/>
  <c r="J55" i="5"/>
  <c r="I55" i="5"/>
  <c r="F55" i="5"/>
  <c r="E55" i="5"/>
  <c r="D55" i="5"/>
  <c r="R49" i="5"/>
  <c r="N49" i="5"/>
  <c r="M49" i="5"/>
  <c r="K49" i="5"/>
  <c r="J49" i="5"/>
  <c r="H49" i="5"/>
  <c r="F49" i="5"/>
  <c r="E49" i="5"/>
  <c r="R44" i="5"/>
  <c r="N44" i="5"/>
  <c r="M44" i="5"/>
  <c r="I44" i="5"/>
  <c r="H44" i="5"/>
  <c r="F44" i="5"/>
  <c r="E44" i="5"/>
  <c r="D44" i="5"/>
  <c r="R39" i="5"/>
  <c r="N39" i="5"/>
  <c r="M39" i="5"/>
  <c r="K39" i="5"/>
  <c r="F39" i="5"/>
  <c r="D39" i="5"/>
  <c r="R34" i="5"/>
  <c r="N34" i="5"/>
  <c r="M34" i="5"/>
  <c r="I34" i="5"/>
  <c r="E34" i="5"/>
  <c r="D34" i="5"/>
  <c r="R29" i="5"/>
  <c r="N29" i="5"/>
  <c r="M29" i="5"/>
  <c r="K29" i="5"/>
  <c r="J29" i="5"/>
  <c r="R24" i="5"/>
  <c r="N24" i="5"/>
  <c r="M24" i="5"/>
  <c r="K24" i="5"/>
  <c r="J24" i="5"/>
  <c r="I24" i="5"/>
  <c r="H24" i="5"/>
  <c r="E24" i="5"/>
  <c r="R19" i="5"/>
  <c r="N19" i="5"/>
  <c r="M19" i="5"/>
  <c r="L19" i="5"/>
  <c r="K19" i="5"/>
  <c r="J19" i="5"/>
  <c r="I19" i="5"/>
  <c r="H19" i="5"/>
  <c r="F19" i="5"/>
  <c r="L4" i="5"/>
  <c r="L63" i="5" s="1"/>
  <c r="K4" i="5"/>
  <c r="K55" i="5" s="1"/>
  <c r="J4" i="5"/>
  <c r="J68" i="5" s="1"/>
  <c r="I4" i="5"/>
  <c r="I49" i="5" s="1"/>
  <c r="H4" i="5"/>
  <c r="H55" i="5" s="1"/>
  <c r="G4" i="5"/>
  <c r="G39" i="5" s="1"/>
  <c r="F4" i="5"/>
  <c r="F62" i="5" s="1"/>
  <c r="E4" i="5"/>
  <c r="D4" i="5"/>
  <c r="D49" i="5" s="1"/>
  <c r="N103" i="4"/>
  <c r="E103" i="4"/>
  <c r="N98" i="4"/>
  <c r="K98" i="4"/>
  <c r="N93" i="4"/>
  <c r="K93" i="4"/>
  <c r="P93" i="4" s="1"/>
  <c r="N84" i="4"/>
  <c r="H84" i="4"/>
  <c r="N80" i="4"/>
  <c r="G80" i="4"/>
  <c r="F80" i="4"/>
  <c r="E80" i="4"/>
  <c r="D80" i="4"/>
  <c r="N75" i="4"/>
  <c r="G75" i="4"/>
  <c r="F75" i="4"/>
  <c r="N69" i="4"/>
  <c r="P69" i="4" s="1"/>
  <c r="K69" i="4"/>
  <c r="N68" i="4"/>
  <c r="P68" i="4" s="1"/>
  <c r="K68" i="4"/>
  <c r="T54" i="4"/>
  <c r="R54" i="4"/>
  <c r="O54" i="4"/>
  <c r="R49" i="4"/>
  <c r="O49" i="4"/>
  <c r="R44" i="4"/>
  <c r="T44" i="4" s="1"/>
  <c r="O44" i="4"/>
  <c r="T35" i="4"/>
  <c r="R35" i="4"/>
  <c r="O35" i="4"/>
  <c r="R31" i="4"/>
  <c r="T31" i="4" s="1"/>
  <c r="O31" i="4"/>
  <c r="R26" i="4"/>
  <c r="T26" i="4" s="1"/>
  <c r="O26" i="4"/>
  <c r="R17" i="4"/>
  <c r="T17" i="4" s="1"/>
  <c r="O17" i="4"/>
  <c r="R16" i="4"/>
  <c r="O16" i="4"/>
  <c r="T16" i="4" s="1"/>
  <c r="L4" i="4"/>
  <c r="K4" i="4"/>
  <c r="J4" i="4"/>
  <c r="I4" i="4"/>
  <c r="H4" i="4"/>
  <c r="G4" i="4"/>
  <c r="F4" i="4"/>
  <c r="F84" i="4" s="1"/>
  <c r="E4" i="4"/>
  <c r="E75" i="4" s="1"/>
  <c r="D4" i="4"/>
  <c r="D103" i="4" s="1"/>
  <c r="N48" i="3"/>
  <c r="P48" i="3" s="1"/>
  <c r="K48" i="3"/>
  <c r="N47" i="3"/>
  <c r="P47" i="3" s="1"/>
  <c r="K47" i="3"/>
  <c r="N46" i="3"/>
  <c r="P46" i="3" s="1"/>
  <c r="K46" i="3"/>
  <c r="P41" i="3"/>
  <c r="N41" i="3"/>
  <c r="K41" i="3"/>
  <c r="P37" i="3"/>
  <c r="N37" i="3"/>
  <c r="K37" i="3"/>
  <c r="R22" i="3"/>
  <c r="N22" i="3"/>
  <c r="M22" i="3"/>
  <c r="K22" i="3"/>
  <c r="J22" i="3"/>
  <c r="G22" i="3"/>
  <c r="R21" i="3"/>
  <c r="N21" i="3"/>
  <c r="M21" i="3"/>
  <c r="K21" i="3"/>
  <c r="J21" i="3"/>
  <c r="I21" i="3"/>
  <c r="H21" i="3"/>
  <c r="R20" i="3"/>
  <c r="N20" i="3"/>
  <c r="M20" i="3"/>
  <c r="K20" i="3"/>
  <c r="J20" i="3"/>
  <c r="I20" i="3"/>
  <c r="H20" i="3"/>
  <c r="G20" i="3"/>
  <c r="F20" i="3"/>
  <c r="E20" i="3"/>
  <c r="R15" i="3"/>
  <c r="N15" i="3"/>
  <c r="M15" i="3"/>
  <c r="K15" i="3"/>
  <c r="J15" i="3"/>
  <c r="E15" i="3"/>
  <c r="L4" i="3"/>
  <c r="L22" i="3" s="1"/>
  <c r="K4" i="3"/>
  <c r="J4" i="3"/>
  <c r="I4" i="3"/>
  <c r="I22" i="3" s="1"/>
  <c r="H4" i="3"/>
  <c r="H22" i="3" s="1"/>
  <c r="G4" i="3"/>
  <c r="G21" i="3" s="1"/>
  <c r="F4" i="3"/>
  <c r="F21" i="3" s="1"/>
  <c r="E4" i="3"/>
  <c r="E22" i="3" s="1"/>
  <c r="D4" i="3"/>
  <c r="D22" i="3" s="1"/>
  <c r="P144" i="7" l="1"/>
  <c r="O73" i="5"/>
  <c r="T73" i="5" s="1"/>
  <c r="O22" i="3"/>
  <c r="D132" i="8"/>
  <c r="D133" i="8"/>
  <c r="F84" i="8"/>
  <c r="F85" i="8"/>
  <c r="R86" i="12"/>
  <c r="R88" i="12" s="1"/>
  <c r="K30" i="9"/>
  <c r="K29" i="9"/>
  <c r="O47" i="11"/>
  <c r="T47" i="11" s="1"/>
  <c r="G63" i="5"/>
  <c r="G29" i="5"/>
  <c r="F18" i="6"/>
  <c r="F90" i="6"/>
  <c r="F31" i="6"/>
  <c r="F43" i="6"/>
  <c r="F49" i="6"/>
  <c r="L21" i="3"/>
  <c r="H15" i="3"/>
  <c r="G73" i="5"/>
  <c r="P144" i="5"/>
  <c r="D58" i="6"/>
  <c r="K21" i="8"/>
  <c r="H38" i="9"/>
  <c r="I15" i="3"/>
  <c r="T50" i="3"/>
  <c r="T52" i="3" s="1"/>
  <c r="G84" i="4"/>
  <c r="G103" i="4"/>
  <c r="D75" i="4"/>
  <c r="E73" i="5"/>
  <c r="E39" i="5"/>
  <c r="E56" i="5"/>
  <c r="E19" i="5"/>
  <c r="E63" i="5"/>
  <c r="E29" i="5"/>
  <c r="L29" i="5"/>
  <c r="I78" i="6"/>
  <c r="I31" i="6"/>
  <c r="I94" i="6"/>
  <c r="I49" i="6"/>
  <c r="E58" i="6"/>
  <c r="I69" i="7"/>
  <c r="L21" i="8"/>
  <c r="G40" i="8"/>
  <c r="J94" i="8"/>
  <c r="E57" i="10"/>
  <c r="D15" i="3"/>
  <c r="F15" i="3"/>
  <c r="G15" i="3"/>
  <c r="D84" i="4"/>
  <c r="H53" i="6"/>
  <c r="H27" i="6"/>
  <c r="H43" i="6"/>
  <c r="H94" i="6"/>
  <c r="H49" i="6"/>
  <c r="H78" i="6"/>
  <c r="L20" i="3"/>
  <c r="H103" i="4"/>
  <c r="H75" i="4"/>
  <c r="F58" i="6"/>
  <c r="K40" i="8"/>
  <c r="M50" i="8"/>
  <c r="I67" i="8"/>
  <c r="K104" i="8"/>
  <c r="K138" i="8"/>
  <c r="P239" i="8"/>
  <c r="L26" i="10"/>
  <c r="E90" i="6"/>
  <c r="E83" i="8"/>
  <c r="L104" i="8"/>
  <c r="D118" i="8"/>
  <c r="K148" i="8"/>
  <c r="I84" i="4"/>
  <c r="I75" i="4"/>
  <c r="G77" i="5"/>
  <c r="G44" i="5"/>
  <c r="O44" i="5" s="1"/>
  <c r="T44" i="5" s="1"/>
  <c r="G62" i="5"/>
  <c r="G24" i="5"/>
  <c r="G68" i="5"/>
  <c r="G34" i="5"/>
  <c r="L15" i="3"/>
  <c r="F22" i="3"/>
  <c r="J103" i="4"/>
  <c r="J75" i="4"/>
  <c r="H63" i="5"/>
  <c r="H29" i="5"/>
  <c r="H68" i="5"/>
  <c r="H34" i="5"/>
  <c r="H73" i="5"/>
  <c r="H39" i="5"/>
  <c r="G49" i="5"/>
  <c r="H62" i="5"/>
  <c r="D43" i="6"/>
  <c r="T21" i="7"/>
  <c r="T29" i="7" s="1"/>
  <c r="N41" i="8"/>
  <c r="N42" i="8"/>
  <c r="J75" i="8"/>
  <c r="E131" i="8"/>
  <c r="L148" i="8"/>
  <c r="O33" i="11"/>
  <c r="T33" i="11" s="1"/>
  <c r="D83" i="8"/>
  <c r="D40" i="8"/>
  <c r="D138" i="8"/>
  <c r="D143" i="8"/>
  <c r="D99" i="8"/>
  <c r="D148" i="8"/>
  <c r="D56" i="8"/>
  <c r="D21" i="8"/>
  <c r="N67" i="8"/>
  <c r="K118" i="8"/>
  <c r="K18" i="9"/>
  <c r="P53" i="9"/>
  <c r="G118" i="11"/>
  <c r="G61" i="11"/>
  <c r="G39" i="11"/>
  <c r="G43" i="11"/>
  <c r="G47" i="11"/>
  <c r="M84" i="8"/>
  <c r="M85" i="8"/>
  <c r="L118" i="8"/>
  <c r="J29" i="9"/>
  <c r="D35" i="10"/>
  <c r="D36" i="10"/>
  <c r="D70" i="10"/>
  <c r="K70" i="10" s="1"/>
  <c r="P70" i="10" s="1"/>
  <c r="D26" i="10"/>
  <c r="T20" i="3"/>
  <c r="F64" i="7"/>
  <c r="O64" i="7" s="1"/>
  <c r="T64" i="7" s="1"/>
  <c r="T71" i="7" s="1"/>
  <c r="F131" i="8"/>
  <c r="O131" i="8" s="1"/>
  <c r="T131" i="8" s="1"/>
  <c r="F74" i="8"/>
  <c r="F143" i="8"/>
  <c r="F148" i="8"/>
  <c r="F56" i="8"/>
  <c r="F21" i="8"/>
  <c r="F118" i="8"/>
  <c r="F104" i="8"/>
  <c r="F26" i="8"/>
  <c r="E26" i="8"/>
  <c r="D48" i="8"/>
  <c r="D74" i="8"/>
  <c r="N85" i="8"/>
  <c r="H93" i="8"/>
  <c r="F99" i="8"/>
  <c r="H133" i="8"/>
  <c r="P229" i="8"/>
  <c r="F39" i="9"/>
  <c r="E36" i="10"/>
  <c r="E26" i="10"/>
  <c r="E71" i="10"/>
  <c r="E35" i="10"/>
  <c r="D37" i="10"/>
  <c r="P127" i="5"/>
  <c r="T162" i="5" s="1"/>
  <c r="T164" i="5" s="1"/>
  <c r="D53" i="6"/>
  <c r="E124" i="8"/>
  <c r="E40" i="8"/>
  <c r="E138" i="8"/>
  <c r="E74" i="8"/>
  <c r="E99" i="8"/>
  <c r="E148" i="8"/>
  <c r="E56" i="8"/>
  <c r="E21" i="8"/>
  <c r="E118" i="8"/>
  <c r="E104" i="8"/>
  <c r="G58" i="8"/>
  <c r="P115" i="7"/>
  <c r="P122" i="7" s="1"/>
  <c r="L73" i="5"/>
  <c r="L39" i="5"/>
  <c r="L77" i="5"/>
  <c r="L44" i="5"/>
  <c r="L49" i="5"/>
  <c r="O49" i="5" s="1"/>
  <c r="T49" i="5" s="1"/>
  <c r="L62" i="5"/>
  <c r="L68" i="5"/>
  <c r="G39" i="9"/>
  <c r="F36" i="10"/>
  <c r="F57" i="10"/>
  <c r="F37" i="10"/>
  <c r="F26" i="10"/>
  <c r="F71" i="10"/>
  <c r="F35" i="10"/>
  <c r="E37" i="10"/>
  <c r="P98" i="4"/>
  <c r="E21" i="3"/>
  <c r="F53" i="6"/>
  <c r="G64" i="7"/>
  <c r="L34" i="5"/>
  <c r="H64" i="7"/>
  <c r="H65" i="8"/>
  <c r="H99" i="8"/>
  <c r="H148" i="8"/>
  <c r="H56" i="8"/>
  <c r="H21" i="8"/>
  <c r="H26" i="8"/>
  <c r="H83" i="8"/>
  <c r="H124" i="8"/>
  <c r="H40" i="8"/>
  <c r="F48" i="8"/>
  <c r="L56" i="8"/>
  <c r="H74" i="8"/>
  <c r="P194" i="8"/>
  <c r="P292" i="8" s="1"/>
  <c r="T294" i="8" s="1"/>
  <c r="P273" i="8"/>
  <c r="F29" i="9"/>
  <c r="F30" i="9"/>
  <c r="G57" i="10"/>
  <c r="G37" i="10"/>
  <c r="G71" i="10"/>
  <c r="G35" i="10"/>
  <c r="D21" i="3"/>
  <c r="T49" i="4"/>
  <c r="T57" i="4" s="1"/>
  <c r="T59" i="4" s="1"/>
  <c r="G131" i="8"/>
  <c r="G65" i="8"/>
  <c r="G143" i="8"/>
  <c r="G99" i="8"/>
  <c r="G118" i="8"/>
  <c r="G104" i="8"/>
  <c r="G26" i="8"/>
  <c r="G83" i="8"/>
  <c r="E48" i="8"/>
  <c r="K56" i="8"/>
  <c r="G74" i="8"/>
  <c r="I133" i="8"/>
  <c r="K37" i="9"/>
  <c r="L24" i="5"/>
  <c r="G56" i="5"/>
  <c r="D20" i="3"/>
  <c r="O20" i="3" s="1"/>
  <c r="H80" i="4"/>
  <c r="I103" i="4"/>
  <c r="G19" i="5"/>
  <c r="H56" i="5"/>
  <c r="H77" i="5"/>
  <c r="I53" i="6"/>
  <c r="F94" i="6"/>
  <c r="P89" i="7"/>
  <c r="P97" i="7" s="1"/>
  <c r="L26" i="8"/>
  <c r="G48" i="8"/>
  <c r="D92" i="8"/>
  <c r="K99" i="8"/>
  <c r="M133" i="8"/>
  <c r="N38" i="9"/>
  <c r="N39" i="9"/>
  <c r="H57" i="10"/>
  <c r="H37" i="10"/>
  <c r="H26" i="10"/>
  <c r="H71" i="10"/>
  <c r="H35" i="10"/>
  <c r="H36" i="10"/>
  <c r="I80" i="4"/>
  <c r="E92" i="8"/>
  <c r="L99" i="8"/>
  <c r="F124" i="8"/>
  <c r="D71" i="10"/>
  <c r="D94" i="6"/>
  <c r="D90" i="6"/>
  <c r="K90" i="6" s="1"/>
  <c r="P90" i="6" s="1"/>
  <c r="D27" i="6"/>
  <c r="D78" i="6"/>
  <c r="O69" i="7"/>
  <c r="T69" i="7" s="1"/>
  <c r="K48" i="8"/>
  <c r="K26" i="8"/>
  <c r="K83" i="8"/>
  <c r="K131" i="8"/>
  <c r="K65" i="8"/>
  <c r="K74" i="8"/>
  <c r="H29" i="9"/>
  <c r="H30" i="9"/>
  <c r="T22" i="3"/>
  <c r="E94" i="6"/>
  <c r="E49" i="6"/>
  <c r="O49" i="6" s="1"/>
  <c r="T49" i="6" s="1"/>
  <c r="E18" i="6"/>
  <c r="O18" i="6" s="1"/>
  <c r="T18" i="6" s="1"/>
  <c r="E27" i="6"/>
  <c r="E31" i="6"/>
  <c r="O31" i="6" s="1"/>
  <c r="T31" i="6" s="1"/>
  <c r="E78" i="6"/>
  <c r="L111" i="8"/>
  <c r="L138" i="8"/>
  <c r="L83" i="8"/>
  <c r="L124" i="8"/>
  <c r="L40" i="8"/>
  <c r="L131" i="8"/>
  <c r="L65" i="8"/>
  <c r="D65" i="8"/>
  <c r="L74" i="8"/>
  <c r="K124" i="8"/>
  <c r="J39" i="9"/>
  <c r="J38" i="9"/>
  <c r="T20" i="13"/>
  <c r="L48" i="8"/>
  <c r="E65" i="8"/>
  <c r="L36" i="10"/>
  <c r="L37" i="10"/>
  <c r="G60" i="11"/>
  <c r="O25" i="13"/>
  <c r="T25" i="13" s="1"/>
  <c r="J57" i="8"/>
  <c r="F65" i="8"/>
  <c r="K92" i="8"/>
  <c r="L38" i="9"/>
  <c r="L39" i="9"/>
  <c r="I30" i="9"/>
  <c r="P71" i="9"/>
  <c r="G62" i="11"/>
  <c r="O62" i="11" s="1"/>
  <c r="T62" i="11" s="1"/>
  <c r="F78" i="6"/>
  <c r="G55" i="5"/>
  <c r="O55" i="5" s="1"/>
  <c r="T55" i="5" s="1"/>
  <c r="D56" i="5"/>
  <c r="D19" i="5"/>
  <c r="O19" i="5" s="1"/>
  <c r="T19" i="5" s="1"/>
  <c r="D62" i="5"/>
  <c r="D24" i="5"/>
  <c r="D63" i="5"/>
  <c r="D29" i="5"/>
  <c r="F27" i="6"/>
  <c r="F40" i="8"/>
  <c r="L92" i="8"/>
  <c r="D104" i="8"/>
  <c r="O104" i="8" s="1"/>
  <c r="T104" i="8" s="1"/>
  <c r="P220" i="8"/>
  <c r="P284" i="8"/>
  <c r="D57" i="10"/>
  <c r="G34" i="13"/>
  <c r="E84" i="4"/>
  <c r="F103" i="4"/>
  <c r="K103" i="4" s="1"/>
  <c r="P103" i="4" s="1"/>
  <c r="F34" i="5"/>
  <c r="J44" i="5"/>
  <c r="F68" i="5"/>
  <c r="O68" i="5" s="1"/>
  <c r="T68" i="5" s="1"/>
  <c r="J77" i="5"/>
  <c r="O77" i="5" s="1"/>
  <c r="T77" i="5" s="1"/>
  <c r="K53" i="6"/>
  <c r="J131" i="8"/>
  <c r="N133" i="8"/>
  <c r="J37" i="10"/>
  <c r="J57" i="10"/>
  <c r="J61" i="11"/>
  <c r="L62" i="11"/>
  <c r="J118" i="11"/>
  <c r="F30" i="13"/>
  <c r="H34" i="13"/>
  <c r="J38" i="13"/>
  <c r="L42" i="13"/>
  <c r="O42" i="13" s="1"/>
  <c r="T42" i="13" s="1"/>
  <c r="I39" i="5"/>
  <c r="K44" i="5"/>
  <c r="I73" i="5"/>
  <c r="K77" i="5"/>
  <c r="G43" i="6"/>
  <c r="I40" i="8"/>
  <c r="I124" i="8"/>
  <c r="I37" i="9"/>
  <c r="O37" i="9" s="1"/>
  <c r="T37" i="9" s="1"/>
  <c r="I36" i="10"/>
  <c r="K37" i="10"/>
  <c r="D39" i="11"/>
  <c r="O39" i="11" s="1"/>
  <c r="T39" i="11" s="1"/>
  <c r="F43" i="11"/>
  <c r="O43" i="11" s="1"/>
  <c r="T43" i="11" s="1"/>
  <c r="I60" i="11"/>
  <c r="K61" i="11"/>
  <c r="D26" i="13"/>
  <c r="G30" i="13"/>
  <c r="I34" i="13"/>
  <c r="O34" i="13" s="1"/>
  <c r="T34" i="13" s="1"/>
  <c r="K38" i="13"/>
  <c r="F29" i="5"/>
  <c r="J39" i="5"/>
  <c r="F63" i="5"/>
  <c r="J73" i="5"/>
  <c r="G31" i="6"/>
  <c r="J49" i="6"/>
  <c r="J94" i="6"/>
  <c r="J40" i="8"/>
  <c r="I83" i="8"/>
  <c r="J124" i="8"/>
  <c r="D28" i="9"/>
  <c r="J36" i="10"/>
  <c r="I47" i="11"/>
  <c r="L61" i="11"/>
  <c r="E26" i="13"/>
  <c r="H30" i="13"/>
  <c r="L38" i="13"/>
  <c r="K60" i="11"/>
  <c r="F26" i="13"/>
  <c r="K34" i="13"/>
  <c r="F24" i="5"/>
  <c r="J34" i="5"/>
  <c r="J43" i="6"/>
  <c r="I104" i="8"/>
  <c r="I118" i="8"/>
  <c r="I71" i="10"/>
  <c r="K47" i="11"/>
  <c r="L60" i="11"/>
  <c r="G26" i="13"/>
  <c r="L34" i="13"/>
  <c r="I29" i="5"/>
  <c r="K34" i="5"/>
  <c r="I63" i="5"/>
  <c r="K68" i="5"/>
  <c r="J31" i="6"/>
  <c r="I21" i="8"/>
  <c r="I56" i="8"/>
  <c r="J104" i="8"/>
  <c r="J118" i="8"/>
  <c r="I148" i="8"/>
  <c r="E18" i="9"/>
  <c r="O18" i="9" s="1"/>
  <c r="T18" i="9" s="1"/>
  <c r="D27" i="11"/>
  <c r="O27" i="11" s="1"/>
  <c r="T27" i="11" s="1"/>
  <c r="F33" i="11"/>
  <c r="L47" i="11"/>
  <c r="D20" i="13"/>
  <c r="O20" i="13" s="1"/>
  <c r="F25" i="13"/>
  <c r="K30" i="13"/>
  <c r="D60" i="11"/>
  <c r="F61" i="11"/>
  <c r="O61" i="11" s="1"/>
  <c r="T61" i="11" s="1"/>
  <c r="F118" i="11"/>
  <c r="K118" i="11" s="1"/>
  <c r="P118" i="11" s="1"/>
  <c r="P120" i="11" s="1"/>
  <c r="P123" i="11" s="1"/>
  <c r="T125" i="11" s="1"/>
  <c r="T127" i="11" s="1"/>
  <c r="F38" i="13"/>
  <c r="O38" i="13" s="1"/>
  <c r="T38" i="13" s="1"/>
  <c r="J58" i="6"/>
  <c r="P97" i="6" l="1"/>
  <c r="P124" i="6" s="1"/>
  <c r="T126" i="6" s="1"/>
  <c r="T49" i="11"/>
  <c r="K78" i="6"/>
  <c r="P78" i="6" s="1"/>
  <c r="P81" i="6" s="1"/>
  <c r="O124" i="8"/>
  <c r="T124" i="8" s="1"/>
  <c r="D42" i="8"/>
  <c r="D41" i="8"/>
  <c r="O40" i="8"/>
  <c r="T40" i="8" s="1"/>
  <c r="P146" i="7"/>
  <c r="T148" i="7" s="1"/>
  <c r="T150" i="7" s="1"/>
  <c r="I42" i="8"/>
  <c r="I41" i="8"/>
  <c r="J133" i="8"/>
  <c r="J132" i="8"/>
  <c r="O29" i="5"/>
  <c r="T29" i="5" s="1"/>
  <c r="K93" i="8"/>
  <c r="K94" i="8"/>
  <c r="O27" i="6"/>
  <c r="T27" i="6" s="1"/>
  <c r="T34" i="6" s="1"/>
  <c r="H75" i="8"/>
  <c r="H76" i="8"/>
  <c r="O53" i="6"/>
  <c r="T53" i="6" s="1"/>
  <c r="D84" i="8"/>
  <c r="O83" i="8"/>
  <c r="T83" i="8" s="1"/>
  <c r="D85" i="8"/>
  <c r="K84" i="4"/>
  <c r="P84" i="4" s="1"/>
  <c r="L49" i="8"/>
  <c r="L50" i="8"/>
  <c r="L75" i="8"/>
  <c r="L76" i="8"/>
  <c r="D75" i="8"/>
  <c r="O75" i="8" s="1"/>
  <c r="T75" i="8" s="1"/>
  <c r="D76" i="8"/>
  <c r="O74" i="8"/>
  <c r="T74" i="8" s="1"/>
  <c r="O26" i="10"/>
  <c r="T26" i="10" s="1"/>
  <c r="O63" i="5"/>
  <c r="T63" i="5" s="1"/>
  <c r="D49" i="8"/>
  <c r="D50" i="8"/>
  <c r="O48" i="8"/>
  <c r="T48" i="8" s="1"/>
  <c r="F67" i="8"/>
  <c r="F66" i="8"/>
  <c r="O24" i="5"/>
  <c r="T24" i="5" s="1"/>
  <c r="K94" i="6"/>
  <c r="P94" i="6" s="1"/>
  <c r="F50" i="8"/>
  <c r="F49" i="8"/>
  <c r="P73" i="10"/>
  <c r="T75" i="10" s="1"/>
  <c r="O62" i="5"/>
  <c r="T62" i="5" s="1"/>
  <c r="T79" i="5" s="1"/>
  <c r="T81" i="5" s="1"/>
  <c r="T166" i="5" s="1"/>
  <c r="D67" i="8"/>
  <c r="O65" i="8"/>
  <c r="T65" i="8" s="1"/>
  <c r="D66" i="8"/>
  <c r="H42" i="8"/>
  <c r="H41" i="8"/>
  <c r="O26" i="8"/>
  <c r="T26" i="8" s="1"/>
  <c r="O36" i="10"/>
  <c r="T36" i="10" s="1"/>
  <c r="P76" i="9"/>
  <c r="T78" i="9" s="1"/>
  <c r="K41" i="8"/>
  <c r="K42" i="8"/>
  <c r="O15" i="3"/>
  <c r="T15" i="3" s="1"/>
  <c r="K71" i="10"/>
  <c r="P71" i="10" s="1"/>
  <c r="O39" i="5"/>
  <c r="T39" i="5" s="1"/>
  <c r="O34" i="5"/>
  <c r="T34" i="5" s="1"/>
  <c r="G66" i="8"/>
  <c r="G67" i="8"/>
  <c r="I57" i="8"/>
  <c r="I58" i="8"/>
  <c r="L67" i="8"/>
  <c r="L66" i="8"/>
  <c r="O35" i="10"/>
  <c r="T35" i="10" s="1"/>
  <c r="O37" i="10"/>
  <c r="T37" i="10" s="1"/>
  <c r="O118" i="8"/>
  <c r="T118" i="8" s="1"/>
  <c r="K75" i="4"/>
  <c r="P75" i="4" s="1"/>
  <c r="O26" i="13"/>
  <c r="T26" i="13" s="1"/>
  <c r="T44" i="13" s="1"/>
  <c r="T48" i="13" s="1"/>
  <c r="T90" i="13" s="1"/>
  <c r="K76" i="8"/>
  <c r="K75" i="8"/>
  <c r="O21" i="3"/>
  <c r="T21" i="3" s="1"/>
  <c r="T27" i="3" s="1"/>
  <c r="T29" i="3" s="1"/>
  <c r="T54" i="3" s="1"/>
  <c r="G41" i="8"/>
  <c r="G42" i="8"/>
  <c r="L57" i="8"/>
  <c r="L58" i="8"/>
  <c r="O60" i="11"/>
  <c r="T60" i="11" s="1"/>
  <c r="T64" i="11" s="1"/>
  <c r="L132" i="8"/>
  <c r="L133" i="8"/>
  <c r="H85" i="8"/>
  <c r="H84" i="8"/>
  <c r="L41" i="8"/>
  <c r="L42" i="8"/>
  <c r="L85" i="8"/>
  <c r="L84" i="8"/>
  <c r="E94" i="8"/>
  <c r="E93" i="8"/>
  <c r="K38" i="9"/>
  <c r="K39" i="9"/>
  <c r="O39" i="9" s="1"/>
  <c r="T39" i="9" s="1"/>
  <c r="H57" i="8"/>
  <c r="H58" i="8"/>
  <c r="F58" i="8"/>
  <c r="F57" i="8"/>
  <c r="E84" i="8"/>
  <c r="E85" i="8"/>
  <c r="I84" i="8"/>
  <c r="I85" i="8"/>
  <c r="J41" i="8"/>
  <c r="J42" i="8"/>
  <c r="K80" i="4"/>
  <c r="P80" i="4" s="1"/>
  <c r="O56" i="5"/>
  <c r="T56" i="5" s="1"/>
  <c r="G132" i="8"/>
  <c r="G133" i="8"/>
  <c r="E132" i="8"/>
  <c r="O132" i="8" s="1"/>
  <c r="T132" i="8" s="1"/>
  <c r="E133" i="8"/>
  <c r="O133" i="8" s="1"/>
  <c r="T133" i="8" s="1"/>
  <c r="O28" i="9"/>
  <c r="T28" i="9" s="1"/>
  <c r="D29" i="9"/>
  <c r="O29" i="9" s="1"/>
  <c r="T29" i="9" s="1"/>
  <c r="D30" i="9"/>
  <c r="O30" i="9" s="1"/>
  <c r="T30" i="9" s="1"/>
  <c r="O30" i="13"/>
  <c r="T30" i="13" s="1"/>
  <c r="K57" i="10"/>
  <c r="P57" i="10" s="1"/>
  <c r="P59" i="10" s="1"/>
  <c r="K67" i="8"/>
  <c r="K66" i="8"/>
  <c r="D93" i="8"/>
  <c r="O92" i="8"/>
  <c r="T92" i="8" s="1"/>
  <c r="D94" i="8"/>
  <c r="E58" i="8"/>
  <c r="E57" i="8"/>
  <c r="O21" i="8"/>
  <c r="T21" i="8" s="1"/>
  <c r="E67" i="8"/>
  <c r="E66" i="8"/>
  <c r="O111" i="8"/>
  <c r="T111" i="8" s="1"/>
  <c r="L113" i="8"/>
  <c r="O113" i="8" s="1"/>
  <c r="T113" i="8" s="1"/>
  <c r="L112" i="8"/>
  <c r="O112" i="8" s="1"/>
  <c r="T112" i="8" s="1"/>
  <c r="K133" i="8"/>
  <c r="K132" i="8"/>
  <c r="G50" i="8"/>
  <c r="G49" i="8"/>
  <c r="D57" i="8"/>
  <c r="O56" i="8"/>
  <c r="T56" i="8" s="1"/>
  <c r="D58" i="8"/>
  <c r="T74" i="7"/>
  <c r="T76" i="7" s="1"/>
  <c r="K84" i="8"/>
  <c r="K85" i="8"/>
  <c r="G75" i="8"/>
  <c r="G76" i="8"/>
  <c r="H66" i="8"/>
  <c r="H67" i="8"/>
  <c r="F76" i="8"/>
  <c r="F75" i="8"/>
  <c r="O148" i="8"/>
  <c r="T148" i="8" s="1"/>
  <c r="O43" i="6"/>
  <c r="T43" i="6" s="1"/>
  <c r="K57" i="8"/>
  <c r="K58" i="8"/>
  <c r="E75" i="8"/>
  <c r="E76" i="8"/>
  <c r="F132" i="8"/>
  <c r="F133" i="8"/>
  <c r="O99" i="8"/>
  <c r="T99" i="8" s="1"/>
  <c r="K49" i="8"/>
  <c r="K50" i="8"/>
  <c r="O143" i="8"/>
  <c r="T143" i="8" s="1"/>
  <c r="O58" i="6"/>
  <c r="T58" i="6" s="1"/>
  <c r="T61" i="6" s="1"/>
  <c r="T63" i="6" s="1"/>
  <c r="L93" i="8"/>
  <c r="L94" i="8"/>
  <c r="E49" i="8"/>
  <c r="E50" i="8"/>
  <c r="I39" i="9"/>
  <c r="I38" i="9"/>
  <c r="O38" i="9" s="1"/>
  <c r="T38" i="9" s="1"/>
  <c r="F41" i="8"/>
  <c r="F42" i="8"/>
  <c r="G85" i="8"/>
  <c r="G84" i="8"/>
  <c r="E41" i="8"/>
  <c r="E42" i="8"/>
  <c r="O138" i="8"/>
  <c r="T138" i="8" s="1"/>
  <c r="T41" i="9" l="1"/>
  <c r="T43" i="9" s="1"/>
  <c r="T23" i="3"/>
  <c r="T77" i="10"/>
  <c r="O85" i="8"/>
  <c r="T85" i="8" s="1"/>
  <c r="O41" i="8"/>
  <c r="T41" i="8" s="1"/>
  <c r="T151" i="8" s="1"/>
  <c r="T153" i="8" s="1"/>
  <c r="T296" i="8" s="1"/>
  <c r="T105" i="4"/>
  <c r="T107" i="4" s="1"/>
  <c r="T109" i="4" s="1"/>
  <c r="O42" i="8"/>
  <c r="T42" i="8" s="1"/>
  <c r="T128" i="6"/>
  <c r="O58" i="8"/>
  <c r="T58" i="8" s="1"/>
  <c r="O94" i="8"/>
  <c r="T94" i="8" s="1"/>
  <c r="T80" i="9"/>
  <c r="O84" i="8"/>
  <c r="T84" i="8" s="1"/>
  <c r="O57" i="8"/>
  <c r="T57" i="8" s="1"/>
  <c r="O50" i="8"/>
  <c r="T50" i="8" s="1"/>
  <c r="O66" i="8"/>
  <c r="T66" i="8" s="1"/>
  <c r="T39" i="10"/>
  <c r="T41" i="10" s="1"/>
  <c r="O93" i="8"/>
  <c r="T93" i="8" s="1"/>
  <c r="O49" i="8"/>
  <c r="T49" i="8" s="1"/>
  <c r="O67" i="8"/>
  <c r="T67" i="8" s="1"/>
  <c r="O76" i="8"/>
  <c r="T76"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zbuka-agent (čitač)</author>
  </authors>
  <commentList>
    <comment ref="R15" authorId="0" shapeId="0" xr:uid="{00000000-0006-0000-0200-000001000000}">
      <text>
        <r>
          <rPr>
            <sz val="11"/>
            <color theme="1"/>
            <rFont val="Calibri"/>
            <family val="2"/>
            <charset val="238"/>
            <scheme val="minor"/>
          </rPr>
          <t>GLAVA (glavna stavka):
ZVUČNA IZOLACIJA - EPS PROTIV TOPOTA Dobava i ugradnja zvučno izolacijske membrane od ekstrudiranog polietliena kao ETHAFOAM 222-E u dva sloja sa ljepljenjem spojeva ukupne debljine do 20mm. Obračun po m2 stvarno izvedene tlocrtne projekcije membrane sve do pune gotovosti i funkcionalnosti.
STAVKA (podstavka):
Obračun po m2 do kompletnog završetka.
———
Ako je gore TOČNO — preskoči.
Ako nije — ispravi tekst u ovom komentaru.
(jmj Obračun po m2 do kompletnog završetka. · količina 410.0 · oznaka C4.2)</t>
        </r>
      </text>
    </comment>
    <comment ref="R20" authorId="0" shapeId="0" xr:uid="{00000000-0006-0000-0200-000002000000}">
      <text>
        <r>
          <rPr>
            <sz val="11"/>
            <color theme="1"/>
            <rFont val="Calibri"/>
            <family val="2"/>
            <charset val="238"/>
            <scheme val="minor"/>
          </rPr>
          <t>GLAVA (glavna stavka):
CEMENTNI ESTRIH Dobava i ugradnja potrebnog materijala za izvedbu plivajućeg cementnog estriha armiranog PP vlaknima, klase C25/30, vlačne čvrstoće veće od 5 N/mm2. Ukoliko su podne plohe veće od 30 m2, te ovisno o tipu estriha (tekući, armirani, suhomontažni..), a prema uputi proizvođača potrebno je izvesti dilatacije. Napomena: Svi slojevi i karakteristike materijala moraju biti usklađeni sa elaboratom građevinske fizike. Jediničnom cijenom obuhvatiti čišćenje površine, izradu cementnog estriha zaribanog do crnog sjaja sa ravnošću gornje površine od +/- 2 mm/3,00 m, rubnu traku Ethafoam 222-E uz zidove, izradu kompletnih dilatacija, te održavanje cementnog estriha. Cementni estrih izvesti u padu (po potrebi u kuapnicama) i ravno što će se kontrolirati odgovarajućom letvom. Ispitivanjem dokazati potrebnu tlačnu i vlačnu čvrstoću. Obračun po m2 do kompletnog završetka.
STAVKA (podstavka):
Estrih debljine 5cm
———
Ako je gore TOČNO — preskoči.
Ako nije — ispravi tekst u ovom komentaru.
(jmj Estrih debljine 5cm · količina 37.120000000000005 · oznaka C4.3)</t>
        </r>
      </text>
    </comment>
    <comment ref="R21" authorId="0" shapeId="0" xr:uid="{00000000-0006-0000-0200-000003000000}">
      <text>
        <r>
          <rPr>
            <sz val="11"/>
            <color theme="1"/>
            <rFont val="Calibri"/>
            <family val="2"/>
            <charset val="238"/>
            <scheme val="minor"/>
          </rPr>
          <t>GLAVA (glavna stavka):
CEMENTNI ESTRIH Dobava i ugradnja potrebnog materijala za izvedbu plivajućeg cementnog estriha armiranog PP vlaknima, klase C25/30, vlačne čvrstoće veće od 5 N/mm2. Ukoliko su podne plohe veće od 30 m2, te ovisno o tipu estriha (tekući, armirani, suhomontažni..), a prema uputi proizvođača potrebno je izvesti dilatacije. Napomena: Svi slojevi i karakteristike materijala moraju biti usklađeni sa elaboratom građevinske fizike. Jediničnom cijenom obuhvatiti čišćenje površine, izradu cementnog estriha zaribanog do crnog sjaja sa ravnošću gornje površine od +/- 2 mm/3,00 m, rubnu traku Ethafoam 222-E uz zidove, izradu kompletnih dilatacija, te održavanje cementnog estriha. Cementni estrih izvesti u padu (po potrebi u kuapnicama) i ravno što će se kontrolirati odgovarajućom letvom. Ispitivanjem dokazati potrebnu tlačnu i vlačnu čvrstoću. Obračun po m2 do kompletnog završetka.
STAVKA (podstavka):
Estrih debljine 6cm
———
Ako je gore TOČNO — preskoči.
Ako nije — ispravi tekst u ovom komentaru.
(jmj Estrih debljine 6cm · količina 187.45 · oznaka C4.3)</t>
        </r>
      </text>
    </comment>
    <comment ref="R22" authorId="0" shapeId="0" xr:uid="{00000000-0006-0000-0200-000004000000}">
      <text>
        <r>
          <rPr>
            <sz val="11"/>
            <color theme="1"/>
            <rFont val="Calibri"/>
            <family val="2"/>
            <charset val="238"/>
            <scheme val="minor"/>
          </rPr>
          <t>GLAVA (glavna stavka):
CEMENTNI ESTRIH Dobava i ugradnja potrebnog materijala za izvedbu plivajućeg cementnog estriha armiranog PP vlaknima, klase C25/30, vlačne čvrstoće veće od 5 N/mm2. Ukoliko su podne plohe veće od 30 m2, te ovisno o tipu estriha (tekući, armirani, suhomontažni..), a prema uputi proizvođača potrebno je izvesti dilatacije. Napomena: Svi slojevi i karakteristike materijala moraju biti usklađeni sa elaboratom građevinske fizike. Jediničnom cijenom obuhvatiti čišćenje površine, izradu cementnog estriha zaribanog do crnog sjaja sa ravnošću gornje površine od +/- 2 mm/3,00 m, rubnu traku Ethafoam 222-E uz zidove, izradu kompletnih dilatacija, te održavanje cementnog estriha. Cementni estrih izvesti u padu (po potrebi u kuapnicama) i ravno što će se kontrolirati odgovarajućom letvom. Ispitivanjem dokazati potrebnu tlačnu i vlačnu čvrstoću. Obračun po m2 do kompletnog završetka.
STAVKA (podstavka):
Estrih debljine 6,5cm
———
Ako je gore TOČNO — preskoči.
Ako nije — ispravi tekst u ovom komentaru.
(jmj Estrih debljine 6,5cm · količina 243.90000000000003 · oznaka C4.3)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zbuka-agent (čitač)</author>
  </authors>
  <commentList>
    <comment ref="R16" authorId="0" shapeId="0" xr:uid="{00000000-0006-0000-0300-000001000000}">
      <text>
        <r>
          <rPr>
            <sz val="11"/>
            <color theme="1"/>
            <rFont val="Calibri"/>
            <family val="2"/>
            <charset val="238"/>
            <scheme val="minor"/>
          </rPr>
          <t>GLAVA (glavna stavka):
HIDROIZOLACIJA NA PODU Dobava, dostava i ugradnja elastomerne polimer-bitumenske hidroizolacijske trake, tip kao Sika Shield E53s 4mm. U stavku uključena i dostava i ugradnja temeljnog premaza, tip kao Sika Igolflex P01. Stavka uključuje ugradnju rubnog brtvila na spojevima pod-zida kao SikaSwell S2. Brtvilo se ugrađuje u pripremljenu rešku. Nakon ugradnje brtvila, reška se zapunjava s dvokomponentim epoksidnim mortom u debljini od min. 20mm kao Sikadur 31 CF Normal. Ugradnja prema uputi proizvođača.
STAVKA (podstavka):
Obračun po m2 do kompletnog završetka.
———
Ako je gore TOČNO — preskoči.
Ako nije — ispravi tekst u ovom komentaru.
(jmj Obračun po m2 do kompletnog završetka. · količina 205.3 · oznaka C4.1)</t>
        </r>
      </text>
    </comment>
    <comment ref="R17" authorId="0" shapeId="0" xr:uid="{00000000-0006-0000-0300-000002000000}">
      <text>
        <r>
          <rPr>
            <sz val="11"/>
            <color theme="1"/>
            <rFont val="Calibri"/>
            <family val="2"/>
            <charset val="238"/>
            <scheme val="minor"/>
          </rPr>
          <t>GLAVA (glavna stavka):
HIDROIZOLACIJA NA PODU Dobava, dostava i ugradnja elastomerne polimer-bitumenske hidroizolacijske trake, tip kao Sika Shield E53s 4mm. U stavku uključena i dostava i ugradnja temeljnog premaza, tip kao Sika Igolflex P01. Stavka uključuje ugradnju rubnog brtvila na spojevima pod-zida kao SikaSwell S2. Brtvilo se ugrađuje u pripremljenu rešku. Nakon ugradnje brtvila, reška se zapunjava s dvokomponentim epoksidnim mortom u debljini od min. 20mm kao Sikadur 31 CF Normal. Ugradnja prema uputi proizvođača.
STAVKA (podstavka):
Obračun po m' do kompletnog završetka.
———
Ako je gore TOČNO — preskoči.
Ako nije — ispravi tekst u ovom komentaru.
(jmj Obračun po m' do kompletnog završetka. · količina 42.0 · oznaka C4.1)</t>
        </r>
      </text>
    </comment>
    <comment ref="R26" authorId="0" shapeId="0" xr:uid="{00000000-0006-0000-0300-000003000000}">
      <text>
        <r>
          <rPr>
            <sz val="11"/>
            <color theme="1"/>
            <rFont val="Calibri"/>
            <family val="2"/>
            <charset val="238"/>
            <scheme val="minor"/>
          </rPr>
          <t>GLAVA (glavna stavka):
HIDROIZOLACIJA PODNOŽJA VANJSKIH ZIDOVA Dobava, dostava i montaža hidroizolacijskoh sloja od elastomerne polimer-bitumenske hidroizolacijske trake, tip kao Sika Shield E53s 4mm. U stavku uključena i dostava i ugradnja temeljnog premaza, tip kao Sika Igolflex P01. HI se postavlja na očišćenu i ravnu vertikalnu podlogu te se potreže od temeljne ploče preko zida do visine minimalno 40 cm iznad linije gotovog tla. Hidroizolaciju potrebno potaviti po uputama proizvođača.
STAVKA (podstavka):
Obračun po m2 do kompletnog završetka.
———
Ako je gore TOČNO — preskoči.
Ako nije — ispravi tekst u ovom komentaru.
(jmj Obračun po m2 do kompletnog završetka. · količina 54.25 · oznaka D1)</t>
        </r>
      </text>
    </comment>
    <comment ref="R31" authorId="0" shapeId="0" xr:uid="{00000000-0006-0000-0300-000004000000}">
      <text>
        <r>
          <rPr>
            <sz val="11"/>
            <color theme="1"/>
            <rFont val="Calibri"/>
            <family val="2"/>
            <charset val="238"/>
            <scheme val="minor"/>
          </rPr>
          <t>GLAVA (glavna stavka):
HIDROIZOLACIJA PODOVA TERASA Dobava, dostava i ugradnja elastomerne polimer-bitumenske hidroizolacijske trake, tip kao Sika Shield E53s 4mm. U stavku uključena i dostava i ugradnja temeljnog premaza, tip kao Sika Igolflex P01. Stavkom obuhvačeno i nanošenje Sika Igolflex 310 na mjestima ugradnje staklenih stijena, razvijene širine 36cm. Ugradnja prema uputi proizvođača. Stavkom obuhvaćeni svi prihvatni i opšavni limovi koji su izvedeni od nearmirane folije i limenih profila s prihvatnim slojem za varenje hidroizolacije.
STAVKA (podstavka):
Obračun po m2 do kompletnog završetka.
———
Ako je gore TOČNO — preskoči.
Ako nije — ispravi tekst u ovom komentaru.
(jmj Obračun po m2 do kompletnog završetka. · količina 149.6 · oznaka D2.1)</t>
        </r>
      </text>
    </comment>
    <comment ref="R35" authorId="0" shapeId="0" xr:uid="{00000000-0006-0000-0300-000005000000}">
      <text>
        <r>
          <rPr>
            <sz val="11"/>
            <color theme="1"/>
            <rFont val="Calibri"/>
            <family val="2"/>
            <charset val="238"/>
            <scheme val="minor"/>
          </rPr>
          <t>GLAVA (glavna stavka):
HIDROIZOLACIJA PODOVA TERASA Dobava, dostava i ugradnja polimercementne hidroizolacije koja se postavlja na prethodno pripremljenu, zaravnatu, glatku i očišćenu podlogu od prašine, krhotina i masnoće. Izvedbu vršiti polimercementnom izolacijom, tip kao: Sikalastic 152 ili jednakovrijedno. Ugradnja prema uputi proizvođača. Sve prema detaljnom nacrtu.
STAVKA (podstavka):
Obračun po m2 do kompletnog završetka.
———
Ako je gore TOČNO — preskoči.
Ako nije — ispravi tekst u ovom komentaru.
(jmj Obračun po m2 do kompletnog završetka. · količina 149.6 · oznaka D2.2)</t>
        </r>
      </text>
    </comment>
    <comment ref="R44" authorId="0" shapeId="0" xr:uid="{00000000-0006-0000-0300-000006000000}">
      <text>
        <r>
          <rPr>
            <sz val="11"/>
            <color theme="1"/>
            <rFont val="Calibri"/>
            <family val="2"/>
            <charset val="238"/>
            <scheme val="minor"/>
          </rPr>
          <t>GLAVA (glavna stavka):
HIDROIZOLACIJA MOKRIH ČVOROVA Dobava, doprema i izvedba hidroizolacije podova mokrih prostora polimercementnom hidroizolacijom u dva sloja. Hidroizolacija postavlja se na prethodno pripremljenu, zaravnatu, glatku, očišćenu podlogu od prašine, krhotina i masnoće. Izvedbu vršiti dvokomponentnim elastičnim polimercementnim hidroizlacijskim premazom (kao Mapelastic 150, proizvod Mapei ili jednako vrijedno). Izvodi se u dva sloja debljine do 2mm s ugradnjom Mapenet mrežice (ili jednakovrijedno) između slojeva. Kompletna izvedba prema uputama proizvođača. Hidroizolaciju uzdignuti min. 20-30 cm na vertikalu (uključeno u cijenu). Stavkom je također obuhvaćena i ugradnja i ojačanja u obliku gumiranih poliesterskih traka s alkalno otpornim filcem Mapeband (ili jednakovrijedno) po uglovima, kutnim elementima, na mjestima dilatacijskih fuga, spojeva između vodoravnih i okomitih površina, odvoda te ostalim kritičnim detaljima. Obračun po m2 do kompletnog završetka.
STAVKA (podstavka):
Podovi kupaonica
———
Ako je gore TOČNO — preskoči.
Ako nije — ispravi tekst u ovom komentaru.
(jmj Podovi kupaonica · količina 91.94999999999999 · oznaka D3)</t>
        </r>
      </text>
    </comment>
    <comment ref="R49" authorId="0" shapeId="0" xr:uid="{00000000-0006-0000-0300-000007000000}">
      <text>
        <r>
          <rPr>
            <sz val="11"/>
            <color theme="1"/>
            <rFont val="Calibri"/>
            <family val="2"/>
            <charset val="238"/>
            <scheme val="minor"/>
          </rPr>
          <t>GLAVA (glavna stavka):
HIDROIZOLACIJA MOKRIH ČVOROVA Dobava, doprema materijala i izvedba hidroizolacije zidova kupaonice sa dva premaza HI Mapelastic aquadefence (ili jednakovrijedno), prije polaganja keramike u zonama kada i tuševa vertikalno do 240-250 cm visine. Na spojeve zida i zida ugraditi Mapeband PE 120 (ili jednakovrijedno), vodonepropusnu elastičnu brtvenu traku od PVC-a s poliesterskom mrežicom, za brtvljenje spojeva različitih ploha, prodora i dilatacija, u sustavima hidroizolacija na bazi sintetičkih smola. Spojevi poda i zida obuhvaćeni su u prethodnoj stavci podne izolacije (vidi B2.1.). Međusobno spajanje Mapeband traka izvesti kontaktnim ljepilom Adesilex LP. Prije nanošenja potpuno odstraniti sve nevezane dijelove na tretiranim površinama kao i sve dijelove sa slabim mehaničkim karakteristikama. Hidroizolacija se nanosi na pripremljenu podlog sa sintetičkim premazom kao ECOprim Grip. Minimalna potrošnja 0,8-1,0 kg/m2 za dva sloja. U jedininu cijenu uključen primer premaz, ravnanje površine, brtvene trake, hidroizolacija. Obračun po m2 do kompletnog završetka.
STAVKA (podstavka):
Zidovi kupaonica
———
Ako je gore TOČNO — preskoči.
Ako nije — ispravi tekst u ovom komentaru.
(jmj Zidovi kupaonica · količina 135.65 · oznaka D4)</t>
        </r>
      </text>
    </comment>
    <comment ref="R54" authorId="0" shapeId="0" xr:uid="{00000000-0006-0000-0300-000008000000}">
      <text>
        <r>
          <rPr>
            <sz val="11"/>
            <color theme="1"/>
            <rFont val="Calibri"/>
            <family val="2"/>
            <charset val="238"/>
            <scheme val="minor"/>
          </rPr>
          <t>GLAVA (glavna stavka):
HIDROIZOLACIJA NOVIH PRODORA KANALIZACIJE Obrada novih prodora kanalizacije u ploči sa specijalnom samoljepljivom hidroizolacijskom trakom kao SikaShiled W-172 te se prihvat na PVC kanalizacijsku cijev izvodi sa manžetom izvedenom na gradilištu, koristeći istovrsnu hidroizolacijsku traku kao SikaShiled W-172 i dodatno zatezanje sa obujmicom od nehrđajućeg čelika. Radove izvesti prema uputama proizvođača materijala. Obračun po komadu.
STAVKA (podstavka):
Prodori kroz ploču
———
Ako je gore TOČNO — preskoči.
Ako nije — ispravi tekst u ovom komentaru.
(jmj Prodori kroz ploču · količina 22.0 · oznaka D5)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zbuka-agent (čitač)</author>
  </authors>
  <commentList>
    <comment ref="R19" authorId="0" shapeId="0" xr:uid="{00000000-0006-0000-0400-000001000000}">
      <text>
        <r>
          <rPr>
            <sz val="11"/>
            <color theme="1"/>
            <rFont val="Calibri"/>
            <family val="2"/>
            <charset val="238"/>
            <scheme val="minor"/>
          </rPr>
          <t>GLAVA (glavna stavka):
SPUŠTENI STROP (suhi prostori) Dobava, isporuka materijala i montaža spuštenog stropa tipa kao Knauf D112 s jednostrukom oblogom debljine 1×12,5 mm, tipa A13 zajedno s novom potkonstrukcijom CD 60/27. Potrebno je predvidjeti otvor za ugradnju revizje u stropu. Obračun postavljenog prvog sloja spuštenog stropa po m2 do kompletnog završetka.
STAVKA (podstavka):
Visina spuštenog stropa cca 257-390 cm
———
Ako je gore TOČNO — preskoči.
Ako nije — ispravi tekst u ovom komentaru.
(jmj Visina spuštenog stropa cca 257-390 cm · količina 717.1999999999999 · oznaka E1)</t>
        </r>
      </text>
    </comment>
    <comment ref="R24" authorId="0" shapeId="0" xr:uid="{00000000-0006-0000-0400-000002000000}">
      <text>
        <r>
          <rPr>
            <sz val="11"/>
            <color theme="1"/>
            <rFont val="Calibri"/>
            <family val="2"/>
            <charset val="238"/>
            <scheme val="minor"/>
          </rPr>
          <t>GLAVA (glavna stavka):
SPUŠTENI STROP (mokri prostori) Dobava, isporuka materijala i montaža spuštenog stropa tipa kao Knauf D112 s jednostrukom oblogom debljine 1×12,5 mm,tipa H2 13 zajedno s novom potkonstrukcijom CD 60/27. Potrebno je predvidjeti otvor za ugradnju revizje u stropu. Obračun postavljenog prvog sloja spuštenog stropa po m2 do kompletnog završetka.
STAVKA (podstavka):
Visina spuštenog stropa cca 257 cm
———
Ako je gore TOČNO — preskoči.
Ako nije — ispravi tekst u ovom komentaru.
(jmj Visina spuštenog stropa cca 257 cm · količina 82.10000000000001 · oznaka E2)</t>
        </r>
      </text>
    </comment>
    <comment ref="R29" authorId="0" shapeId="0" xr:uid="{00000000-0006-0000-0400-000003000000}">
      <text>
        <r>
          <rPr>
            <sz val="11"/>
            <color theme="1"/>
            <rFont val="Calibri"/>
            <family val="2"/>
            <charset val="238"/>
            <scheme val="minor"/>
          </rPr>
          <t>GLAVA (glavna stavka):
PREGRADNI ZID (između suhih prostora - PZ1) Dobava i montaža nenosive pregrade tipa Knauf W112 s obostrano dvostrukom oblogom Knauf gipskartonskih ploča (A 13) i ispunom iz kamene vune KI TW, debljine 1×50 mm. Visina pregrade do 450 cm. Izrada potkonstrukcije iz Knauf tipskih profila CW/UW 75 od pocinčanog lima debljine 0,6 mm. Spoj obodne konstrukcije sa Knauf profilima se izvodi sa brtvenim kitom. Međusobni razmaci okomitih profila 62,5 cm. Izrada prema smjernicama i uputama proizvođača. Kvaliteta završne obrade spojeva i površine prvog sloja prema kvaliteti Q1, a kvaliteta završne obrade drugog sloja prema kvaliteti obrade površine Q2. Obračun po m2 izvedenog zida.
STAVKA (podstavka):
Pregrada debljine 12,5 cm
———
Ako je gore TOČNO — preskoči.
Ako nije — ispravi tekst u ovom komentaru.
(jmj Pregrada debljine 12,5 cm · količina 110.6 · oznaka E3)</t>
        </r>
      </text>
    </comment>
    <comment ref="R34" authorId="0" shapeId="0" xr:uid="{00000000-0006-0000-0400-000004000000}">
      <text>
        <r>
          <rPr>
            <sz val="11"/>
            <color theme="1"/>
            <rFont val="Calibri"/>
            <family val="2"/>
            <charset val="238"/>
            <scheme val="minor"/>
          </rPr>
          <t>GLAVA (glavna stavka):
PREGRADNI ZID (između suhih i mokrih prostora - PZ2) Dobava i montaža nenosive pregrade tipa Knauf W112 s obostrano dvostrukom oblogom Knauf gipskartonskih ploča (A 13 i H2 13) i ispunom iz kamene vune KI TW, debljine 1×50 mm. Visina pregrade do 450 cm. Izrada potkonstrukcije iz Knauf tipskih profila CW/UW 75 od pocinčanog lima debljine 0,6 mm. Spoj obodne konstrukcije sa Knauf profilima se izvodi sa brtvenim kitom. Međusobni razmaci okomitih profila 62,5 cm. Izrada prema smjernicama i uputama proizvođača. Kvaliteta završne obrade spojeva i površine prvog sloja prema kvaliteti Q1, a kvaliteta završne obrade drugog sloja prema kvaliteti obrade površine Q2. Obračun po m2 izvedenog zida.
STAVKA (podstavka):
Pregrada debljine 12,5 cm
———
Ako je gore TOČNO — preskoči.
Ako nije — ispravi tekst u ovom komentaru.
(jmj Pregrada debljine 12,5 cm · količina 262.5 · oznaka E4)</t>
        </r>
      </text>
    </comment>
    <comment ref="R39" authorId="0" shapeId="0" xr:uid="{00000000-0006-0000-0400-000005000000}">
      <text>
        <r>
          <rPr>
            <sz val="11"/>
            <color theme="1"/>
            <rFont val="Calibri"/>
            <family val="2"/>
            <charset val="238"/>
            <scheme val="minor"/>
          </rPr>
          <t>GLAVA (glavna stavka):
PREGRADNI ZID (između mokrih prostora - PZ3) Dobava i montaža nenosive pregrade tipa Knauf W113 s obostrano dvostrukom oblogom Knauf gipskartonskih ploča (H2) i ispunom iz kamene vune KI TW, debljine 1×50 mm. Visina pregrade do 450 cm. Izrada potkonstrukcije iz Knauf tipskih profila CW/UW 75 od pocinčanog lima debljine 0,6 mm. Spoj obodne konstrukcije sa Knauf profilima se izvodi sa brtvenim kitom. Međusobni razmaci okomitih profila 62,5 cm. Izrada prema smjernicama i uputama proizvođača. Kvaliteta završne obrade spojeva i površine prvog sloja prema kvaliteti Q1, a kvaliteta završne obrade drugog sloja prema kvaliteti obrade površine Q2. Obračun po m2 izvedenog zida.
STAVKA (podstavka):
Pregrada debljine 12,5 cm
———
Ako je gore TOČNO — preskoči.
Ako nije — ispravi tekst u ovom komentaru.
(jmj Pregrada debljine 12,5 cm · količina 7.0 · oznaka E5)</t>
        </r>
      </text>
    </comment>
    <comment ref="R44" authorId="0" shapeId="0" xr:uid="{00000000-0006-0000-0400-000006000000}">
      <text>
        <r>
          <rPr>
            <sz val="11"/>
            <color theme="1"/>
            <rFont val="Calibri"/>
            <family val="2"/>
            <charset val="238"/>
            <scheme val="minor"/>
          </rPr>
          <t>GLAVA (glavna stavka):
PREGRADNI ZID (između suhih prostora - PZ4) Dobava i montaža nenosive pregrade tipa Knauf W112 s obostrano dvostrukom oblogom Knauf gipskartonskih ploča (A 13) i ispunom iz kamene vune KI TW, debljine 1×50 mm. Visina pregrade do 450 cm. Izrada potkonstrukcije iz Knauf tipskih profila CW/UW 50 od pocinčanog lima debljine 0,6 mm. Spoj obodne konstrukcije sa Knauf profilima se izvodi sa brtvenim kitom. Međusobni razmaci okomitih profila 62,5 cm. Izrada prema smjernicama i uputama proizvođača. Kvaliteta završne obrade spojeva i površine prvog sloja prema kvaliteti Q1, a kvaliteta završne obrade drugog sloja prema kvaliteti obrade površine Q2. Obračun po m2 izvedenog zida.
STAVKA (podstavka):
Pregrada debljine 10 cm
———
Ako je gore TOČNO — preskoči.
Ako nije — ispravi tekst u ovom komentaru.
(jmj Pregrada debljine 10 cm · količina 10.4 · oznaka E12)</t>
        </r>
      </text>
    </comment>
    <comment ref="R49" authorId="0" shapeId="0" xr:uid="{00000000-0006-0000-0400-000007000000}">
      <text>
        <r>
          <rPr>
            <sz val="11"/>
            <color theme="1"/>
            <rFont val="Calibri"/>
            <family val="2"/>
            <charset val="238"/>
            <scheme val="minor"/>
          </rPr>
          <t>GLAVA (glavna stavka):
ZIDNA OBLOGA ZA INSTALACIJE (ZO3) dobava i montaža zidne obloge mokrih prostora tipa Knauf W623 s jednostrano dvostrukom oblogom iz gips-kartonskih impregniranih ploča tipa H2. Izrada potkonstrukcije iz Knauf tipskih profila CW/UW 50 od pocinčanog lima debljine 0,6 mm. Pri izradi držati se smjernica i uputa proizvođača. Izrada prema smjernicama i uputama proizvođača. Kvaliteta završne obrade spojeva i površine prvog sloja prema kvaliteti Q1, a kvaliteta završne obrade drugog sloja prema kvaliteti obrade površine Q2 za bojanje, a Q1 za pločice. Na mjestima gdje se postavlja umivaonik, konzolna wc školjka i sl. predvidjeti ojačanje OSB pločama ili drugim propisnim ojačanjem.
STAVKA (podstavka):
Obračun po m2 izvedenog zida.
———
Ako je gore TOČNO — preskoči.
Ako nije — ispravi tekst u ovom komentaru.
(jmj Obračun po m2 izvedenog zida. · količina 193.7 · oznaka E6)</t>
        </r>
      </text>
    </comment>
    <comment ref="R55" authorId="0" shapeId="0" xr:uid="{00000000-0006-0000-0400-000008000000}">
      <text>
        <r>
          <rPr>
            <sz val="11"/>
            <color theme="1"/>
            <rFont val="Calibri"/>
            <family val="2"/>
            <charset val="238"/>
            <scheme val="minor"/>
          </rPr>
          <t>GLAVA (glavna stavka):
ZIDNA OBLOGA ZIDOVA dobava i montaža zidne obloge zidova tipa Knauf W623 s dvostrukom oblogom iz gips-kartonskih ploča i ispunom iz kamene vune KI TW, debljine 1×30 mm. Izrada potkonstrukcije iz Knauf tipskih profila CD/UV 50 mm od pocinčanog lima debljine 0,6 mm. Pri izradi držati se smjernica i uputa proizvođača. Izrada prema smjernicama i uputama proizvođača. Kvaliteta završne obrade spojeva i površine prvog sloja prema kvaliteti Q1, a kvaliteta završne obrade drugog sloja prema kvaliteti obrade površine Q2 za bojanje, a Q1 za pločice. Na mjestima gdje se postavlja ugradbeni namještaj i sl. predvidjeti ojačanje OSB pločama ili drugim propisnim ojačanjem. Obračun po m2 izvedenog zida.
STAVKA (podstavka):
Ploča tipa A13 (Z01)
———
Ako je gore TOČNO — preskoči.
Ako nije — ispravi tekst u ovom komentaru.
(jmj Ploča tipa A13 (Z01) · količina 1474.6000000000001 · oznaka E7)</t>
        </r>
      </text>
    </comment>
    <comment ref="R56" authorId="0" shapeId="0" xr:uid="{00000000-0006-0000-0400-000009000000}">
      <text>
        <r>
          <rPr>
            <sz val="11"/>
            <color theme="1"/>
            <rFont val="Calibri"/>
            <family val="2"/>
            <charset val="238"/>
            <scheme val="minor"/>
          </rPr>
          <t>GLAVA (glavna stavka):
ZIDNA OBLOGA ZIDOVA dobava i montaža zidne obloge zidova tipa Knauf W623 s dvostrukom oblogom iz gips-kartonskih ploča i ispunom iz kamene vune KI TW, debljine 1×30 mm. Izrada potkonstrukcije iz Knauf tipskih profila CD/UV 50 mm od pocinčanog lima debljine 0,6 mm. Pri izradi držati se smjernica i uputa proizvođača. Izrada prema smjernicama i uputama proizvođača. Kvaliteta završne obrade spojeva i površine prvog sloja prema kvaliteti Q1, a kvaliteta završne obrade drugog sloja prema kvaliteti obrade površine Q2 za bojanje, a Q1 za pločice. Na mjestima gdje se postavlja ugradbeni namještaj i sl. predvidjeti ojačanje OSB pločama ili drugim propisnim ojačanjem. Obračun po m2 izvedenog zida.
STAVKA (podstavka):
Ploča tipa H2 (ZO2)
———
Ako je gore TOČNO — preskoči.
Ako nije — ispravi tekst u ovom komentaru.
(jmj Ploča tipa H2 (ZO2) · količina 220.2 · oznaka E7)</t>
        </r>
      </text>
    </comment>
    <comment ref="R62" authorId="0" shapeId="0" xr:uid="{00000000-0006-0000-0400-00000A000000}">
      <text>
        <r>
          <rPr>
            <sz val="11"/>
            <color theme="1"/>
            <rFont val="Calibri"/>
            <family val="2"/>
            <charset val="238"/>
            <scheme val="minor"/>
          </rPr>
          <t>GLAVA (glavna stavka):
DODATNA GK PLOČA ZA POSTOJEĆI GK ZID Dobava i montaža zidne obloge zidova jednostrukom oblogom iz gips-kartonskih ploča. Pri izradi držati se smjernica i uputa proizvođača. Obrada spojeva impregniranim Uniflott-om. Izrada prema smjernicama i uputama proizvođača. Kvaliteta završne obrade spojeva i površine prvog sloja prema kvaliteti Q1, a kvaliteta završne obrade drugog sloja prema kvaliteti obrade površine Q2 za bojanje, a Q1 za pločice. Na mjestima gdje se postavlja ugradbeni namještaj i sl. predvidjeti ojačanje OSB pločama ili drugim propisnim ojačanjem. Obračun po m2 izvedenog zida.
STAVKA (podstavka):
Ploča tipa A13
———
Ako je gore TOČNO — preskoči.
Ako nije — ispravi tekst u ovom komentaru.
(jmj Ploča tipa A13 · količina 119.5 · oznaka E8)</t>
        </r>
      </text>
    </comment>
    <comment ref="R63" authorId="0" shapeId="0" xr:uid="{00000000-0006-0000-0400-00000B000000}">
      <text>
        <r>
          <rPr>
            <sz val="11"/>
            <color theme="1"/>
            <rFont val="Calibri"/>
            <family val="2"/>
            <charset val="238"/>
            <scheme val="minor"/>
          </rPr>
          <t>GLAVA (glavna stavka):
DODATNA GK PLOČA ZA POSTOJEĆI GK ZID Dobava i montaža zidne obloge zidova jednostrukom oblogom iz gips-kartonskih ploča. Pri izradi držati se smjernica i uputa proizvođača. Obrada spojeva impregniranim Uniflott-om. Izrada prema smjernicama i uputama proizvođača. Kvaliteta završne obrade spojeva i površine prvog sloja prema kvaliteti Q1, a kvaliteta završne obrade drugog sloja prema kvaliteti obrade površine Q2 za bojanje, a Q1 za pločice. Na mjestima gdje se postavlja ugradbeni namještaj i sl. predvidjeti ojačanje OSB pločama ili drugim propisnim ojačanjem. Obračun po m2 izvedenog zida.
STAVKA (podstavka):
Dvije ploče tipa H2
———
Ako je gore TOČNO — preskoči.
Ako nije — ispravi tekst u ovom komentaru.
(jmj Dvije ploče tipa H2 · količina 110.19999999999999 · oznaka E8)</t>
        </r>
      </text>
    </comment>
    <comment ref="R68" authorId="0" shapeId="0" xr:uid="{00000000-0006-0000-0400-00000C000000}">
      <text>
        <r>
          <rPr>
            <sz val="11"/>
            <color theme="1"/>
            <rFont val="Calibri"/>
            <family val="2"/>
            <charset val="238"/>
            <scheme val="minor"/>
          </rPr>
          <t>GLAVA (glavna stavka):
OBRUBNE STROPNE LAJSNE Montaža predgotovljenih obrubnih stropnih lajsni. Izrađen od ekstrudirani polimer otporan na udarce na bazi polistirena visoke gustoće, širine 15,5 cm, visine 3,1 cm. U nacrtima i specifikaciji pod šifrom: R AF 01
STAVKA (podstavka):
Obračun po m' do potpunog završetka.
———
Ako je gore TOČNO — preskoči.
Ako nije — ispravi tekst u ovom komentaru.
(jmj Obračun po m' do potpunog završetka. · količina 436.3 · oznaka E9)</t>
        </r>
      </text>
    </comment>
    <comment ref="R73" authorId="0" shapeId="0" xr:uid="{00000000-0006-0000-0400-00000D000000}">
      <text>
        <r>
          <rPr>
            <sz val="11"/>
            <color theme="1"/>
            <rFont val="Calibri"/>
            <family val="2"/>
            <charset val="238"/>
            <scheme val="minor"/>
          </rPr>
          <t>GLAVA (glavna stavka):
MASKA ZA ZAVJESE OD GK PLOČA Dobava, dostava materijala i izrada maske za zavjese od GK ploča. Dvostruko postavljene GK ploče (2×12,5mm) i pričvršćene metalnim L profilom za stropnu ploču. Visina: 10cm Predvidjeti prostor za ugradnju LED rasvjete na strani gdje se postavljalju vodilice za zavjesu. U nacrtima i specifikaciji pod šifrom: R AF 02
STAVKA (podstavka):
Obračun po m' do potpunog završetka.
———
Ako je gore TOČNO — preskoči.
Ako nije — ispravi tekst u ovom komentaru.
(jmj Obračun po m' do potpunog završetka. · količina 147.15 · oznaka E10)</t>
        </r>
      </text>
    </comment>
    <comment ref="R77" authorId="0" shapeId="0" xr:uid="{00000000-0006-0000-0400-00000E000000}">
      <text>
        <r>
          <rPr>
            <sz val="11"/>
            <color theme="1"/>
            <rFont val="Calibri"/>
            <family val="2"/>
            <charset val="238"/>
            <scheme val="minor"/>
          </rPr>
          <t>GLAVA (glavna stavka):
IZRADA ŠPALETA OD GK PLOČA ZA ULAZNA VRATA Dobava, montaža i izrada špaleta od GK ploča na poziciji ulaznih vrata u apartman. Izraka špaleta od novih GK ploča vrši se uslijed nastalog oštećenja prilikom demontaže postojećih ulaznih vrata u sobe. Izrada prema smjernicama i uputama proizvođača. Kvaliteta završne obrade spojeva i površine prvog sloja prema kvaliteti Q1, a kvaliteta završne obrade drugog sloja prema kvaliteti obrade površine Q2. U stavku uračunati sav ostali potreban materijal i rad za izvršenje stavke. —  GK radovi GK radovi ukupno za 5 zgrada tipa B: Opis
STAVKA (podstavka):
Obračun po komadu (vratima).
———
Ako je gore TOČNO — preskoči.
Ako nije — ispravi tekst u ovom komentaru.
(jmj Obračun po komadu (vratima). · količina 15.0 · oznaka E11)</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zbuka-agent (čitač)</author>
  </authors>
  <commentList>
    <comment ref="R18" authorId="0" shapeId="0" xr:uid="{00000000-0006-0000-0500-000001000000}">
      <text>
        <r>
          <rPr>
            <sz val="11"/>
            <color theme="1"/>
            <rFont val="Calibri"/>
            <family val="2"/>
            <charset val="238"/>
            <scheme val="minor"/>
          </rPr>
          <t>GLAVA (glavna stavka):
FASADNA SKELA Doprema, postava, skidanje i otprema cijevne fasadne skele od bešavnih cijevi, uz pročelje apartmana. Skelu izvesti prema postojećim HTZ propisima i u svemu kako je opisano u općim uvjetima. U jediničnu cijenu uključiti zaštitni zastor od jutenih ili plastičnih traka, koje se postavljaju s vanjske strane skele po cijeloj površini. Skelu je potrebno osigurati od prevrtanja sidrenjem u objekat, a od udara groma uzemljenjem. Potrebno je izvesti pomoćne željezne ili drvene ljestve–penjalice u svrhu osiguranja vertikalne komunikacije po skeli. Prije izvedbe skele izvođač je dužan izraditi projekt skele, što je u cijeni stavke. U razini prizemlja izvođač je dužan omogućiti tunelske prolaze za pješake, na svim potrebnim mjestima koje odredi Investitor i nadzorni inženjer. Pokrov prolaza izraditi od mosnica položenim jedne do druge, te preko njih postaviti bitumensku ljepenku s preklopom od min. 10 cm ili alternativno PVC foliju. Cijelu skelu izvesti kako nalažu HTZ propisi. U razini tla ili pločnika, izvođač je dužan osigurati ograđeni prostor za odlaganje potrebnih materijala. Nakon postavljanja skele Izvođač je dužan izvršiti pregled postojećeg stanja fasade.
STAVKA (podstavka):
Obračun po m2 vertikalne projekcije pročelja računajući 1,0 m ispod vijenca/terasa.
———
Ako je gore TOČNO — preskoči.
Ako nije — ispravi tekst u ovom komentaru.
(jmj Obračun po m2 vertikalne projekcije pročelja računajući 1,0 m ispod vijenca/terasa. · količina 600.0 · oznaka A0.2.)</t>
        </r>
      </text>
    </comment>
    <comment ref="R27" authorId="0" shapeId="0" xr:uid="{00000000-0006-0000-0500-000002000000}">
      <text>
        <r>
          <rPr>
            <sz val="11"/>
            <color theme="1"/>
            <rFont val="Calibri"/>
            <family val="2"/>
            <charset val="238"/>
            <scheme val="minor"/>
          </rPr>
          <t>GLAVA (glavna stavka):
Vertikalne plohe fasade Pažljivo rušenje i uklanjanje postojeće fasadne obloge do NK zgrade, uključujući sve slojeve: fasadna žbuka, toplinska izolacija i morta za ljepljenje. Procjenjena debljina slojeva do 3 cm (8cm na mjestima vertikalnih AB serklaža) debljine. Fasada se uklanja u prizemlju na mjestima: - spoja nadtemeljih zidova i podne ploče - spoja terase sa zidovima - novim šlicevima za postavu vertikalne oborinske odvodnje - oštećenim dijelovima gdje je potrebna zamjena - uz korvni vijenac - uz vanjske metalne papučice Stavkom je obuhvaćen sav horizontalni i vertikalni transport, utovar i odvoz šute na gradski deponij.
STAVKA (podstavka):
Obračun po m2 kompletno izvedenih radova (40% ukupne površine fasade).
———
Ako je gore TOČNO — preskoči.
Ako nije — ispravi tekst u ovom komentaru.
(jmj Obračun po m2 kompletno izvedenih radova (40% ukupne površine fasade). · količina 293.62000000000006 · oznaka A1.1.1)</t>
        </r>
      </text>
    </comment>
    <comment ref="R31" authorId="0" shapeId="0" xr:uid="{00000000-0006-0000-0500-000003000000}">
      <text>
        <r>
          <rPr>
            <sz val="11"/>
            <color theme="1"/>
            <rFont val="Calibri"/>
            <family val="2"/>
            <charset val="238"/>
            <scheme val="minor"/>
          </rPr>
          <t>GLAVA (glavna stavka):
Horizontalne plohe fasade (podgled balkona) Pažljivo rušenje i uklanjanje postojeće fasadne obloge do NK zgrade. Obloga je rađena od termožbuke debljine cca 3 cm. Stavkom je obuhvaćen sav horizontalni i vertikalni transport, utovar i odvoz šute na gradski deponij.
STAVKA (podstavka):
Obračun po m2 kompletno izvedenih radova.
———
Ako je gore TOČNO — preskoči.
Ako nije — ispravi tekst u ovom komentaru.
(jmj Obračun po m2 kompletno izvedenih radova. · količina 19.78 · oznaka A1.1.2)</t>
        </r>
      </text>
    </comment>
    <comment ref="R43" authorId="0" shapeId="0" xr:uid="{00000000-0006-0000-0500-000004000000}">
      <text>
        <r>
          <rPr>
            <sz val="11"/>
            <color theme="1"/>
            <rFont val="Calibri"/>
            <family val="2"/>
            <charset val="238"/>
            <scheme val="minor"/>
          </rPr>
          <t>GLAVA (glavna stavka):
ETICS FASADNI SUSTAV NA ZIDANIM I AB ZIDOVIMA (KAMENA VUNA + ZAVRŠNI SLOJ) Dobava i ugradnja certificiranog tankoslojnog kontaktnog sustava fasade (ETICS) na osnovi fasadnih ploča kamene vune toplinske provodljivosti ʎ=0,035 W/mK, dimenzija 120x40cm homogene gustoće 100Kg/m3, tlačne čvrstoće pri 10% stišljivosti CS(10)30kPa, čvrstoće na raslojavanje jednake ili veće od TR10kPa, deklarirane na dugotrajnu vodoupojnost WL(P) te deklarirane paropropusnosti MU1, karakteristika kao Knauf Insulation FKD-S THERMAL ili jednako vrijedne, debljine 5 cm određene fizikalnim proračunom. U cijenu je potrebno uračunati dobavu materijala te izradu fasade prema uputama proizvođača. Postupak izvođenja: Postavljanje perforiranog «sockel-profila» jednake širine kao debljina ploče od kamene vune. Pričvršćenje izvesti nerđajućim pričvrsnicama na razmaku svakih 40 do 60 cm. Nanošenje polimerno-cementnog morta za lijepljenje trakasto po rubovima i točkasto po sredini ploča. Ploče se nakon očvrslog morta za lijepljenje (nakon 3 dana) dodatno mehanički učvršćuju certificiranim pričvrsnicama kao EJOT tip H1 eco ili jednakovrijedne, 6-8kom/m2 sidrenjem u zidani zid 6,5cm kroz očvrsli mort za lijepljenje. Izvođač treba izraditi i dostaviti statički proračun pričvrsnica. Na uglove građevine postavljaju se PVC kutni profili sa staklenom mrežicom kao i oko otvora s tim da je na dijagonalama otvora potrebno kao dodatno ojačanje postaviti staklenu mrežicu dimenzija 20x40 (30x50) cm. Na rubove greda, ploča i sl. postavlja se okapni PVC kutni profil. Na dilatacijama se postavlja dilatacioni V profila. Sve navedeno uključeno je u jediničnu cijenu. Obračun po m2 stvarno izvedenog fasadnog sustava do pune gotovosti. Kamena vuna je debljine 5 cm. Na dijelovima gdje se nalazi AB serklaž umjesto zida se postavljaju se ploče kamene vune debljine 10cm kako bi se nadoknadila razlika u debljini. Površina serklaža na pročelju je cca 10% ukupne površine fasade. Na mjestima dotrajale termožbuke potrebno je ukloniti sve slojeve do zdrave nosive konstrukcije. Nakon čišćenja nanosi se novi sloj za izravnavanje kako bi se postigla čvrsta podloga za postavu nove kamene vune. Zapuniti sljubnice kamene vune do širine 3mm PU nisko-ekspandirajućom pjenom, preko 3mm istovrsnim izrescima od kamene vune. Tkaninu od staklenog vlakna StoGlasfasergewebe 110cm, položiti u masu za armiranje kao StoLevell Uni, premazati po cijeloj površini i zagladiti. Nakon očvršćenja dodatno nanijeti izravnavajući sloj kao StoLevell Uni. Nakon 7 dana na ovako pripremljenu podlogu nanijeti prema
STAVKA (podstavka):
Obračun po m2 do kompletnog završetka.
———
Ako je gore TOČNO — preskoči.
Ako nije — ispravi tekst u ovom komentaru.
(jmj Obračun po m2 do kompletnog završetka. · količina 700.0 · oznaka F1.1)</t>
        </r>
      </text>
    </comment>
    <comment ref="R49" authorId="0" shapeId="0" xr:uid="{00000000-0006-0000-0500-000005000000}">
      <text>
        <r>
          <rPr>
            <sz val="11"/>
            <color theme="1"/>
            <rFont val="Calibri"/>
            <family val="2"/>
            <charset val="238"/>
            <scheme val="minor"/>
          </rPr>
          <t>GLAVA (glavna stavka):
ETICS FASADNI SUSTAV NA ZIDANIM I AB ZIDOVIMA (EKSTRUDIRANI POLISTIREN + ZAVRŠNI SLOJ) Dobava i ugradnja certificiranog tankoslojnog kontaktnog sustava fasade (ETICS) na osnovi fasadnih ploča ekstrudiranog polistirena toplinske provodljivosti ʎ=0,035 W/mK, debljine 3-5cm i visine do 30-50cm iznad gotovog tla. Na mjestima gdje se ekstrudirani polistiren nastavlja na kamenu vunu+termo žbuku postavlja se u debljini od 5cm dok se na preostalim koristi polistiren debljine 3cm. U cijenu je potrebno uračunati dobavu materijala te izradu fasade prema uputama proizvođača. Postupak izvođenja: Pričvršćenje izvesti nerđajućim pričvrsnicama na razmaku svakih 40 do 60 cm. Nanošenje polimerno-cementnog morta za lijepljenje trakasto po rubovima i točkasto po sredini ploča. Ploče se nakon očvrslog morta za lijepljenje (nakon 3 dana) dodatno mehanički učvršćuju certificiranim pričvrsnicama kao EJOT tip H1 eco ili jednakovrijedne, 6-8kom/m2 sidrenjem u beton 6,5cm kroz očvrsli mort za lijepljenje.Izvođač treba izraditi i dostaviti statički proračun pričvrsnica. Na uglove građevine postavljaju se PVC kutni profili sa staklenom mrežicom kao i oko otvora. Sve navedeno uključeno je u jediničnu cijenu. Obračun po m2 stvarno izvedenog fasadnog sustava do pune gotovosti. Na dijelovima gdje se nalazi AB serklaž umjesto zida se postavljaju dodatnih 5cm XPSa kako bi se nadoknadila razlika u debljini. Površina serklaža na pročelju je cca 10% ukupne površine fasade.
STAVKA (podstavka):
Obračun po m2 do kompletnog završetka.
———
Ako je gore TOČNO — preskoči.
Ako nije — ispravi tekst u ovom komentaru.
(jmj Obračun po m2 do kompletnog završetka. · količina 55.0 · oznaka F1.2.1)</t>
        </r>
      </text>
    </comment>
    <comment ref="R53" authorId="0" shapeId="0" xr:uid="{00000000-0006-0000-0500-000006000000}">
      <text>
        <r>
          <rPr>
            <sz val="11"/>
            <color theme="1"/>
            <rFont val="Calibri"/>
            <family val="2"/>
            <charset val="238"/>
            <scheme val="minor"/>
          </rPr>
          <t>GLAVA (glavna stavka):
ZAVRŠNA OBRADA NA DIJELU ETICS SUSTAVA S XPS FASADOM Dostava i ugradnja postojećih kamenih fasadnih ploča u građevinskom ljepilu. Postavljaju se postojeće ploče prema shemi polaganja, do cca 30-50 cm od gotovog tla.
STAVKA (podstavka):
Obračun po m2 do kompletnog završetka.
———
Ako je gore TOČNO — preskoči.
Ako nije — ispravi tekst u ovom komentaru.
(jmj Obračun po m2 do kompletnog završetka. · količina 55.0 · oznaka F1.2.2)</t>
        </r>
      </text>
    </comment>
    <comment ref="R58" authorId="0" shapeId="0" xr:uid="{00000000-0006-0000-0500-000007000000}">
      <text>
        <r>
          <rPr>
            <sz val="11"/>
            <color theme="1"/>
            <rFont val="Calibri"/>
            <family val="2"/>
            <charset val="238"/>
            <scheme val="minor"/>
          </rPr>
          <t>GLAVA (glavna stavka):
IZOLACIJA PODGLEDA AB PLOČE: ETICS sustav s lamelama od kamene vune CLT C1 Thermal jednostrano završno obrađene Izvedba obloge stropa vansjkog prostora kao toplinske, protupožarne i zvučne izolacije na osnovi tvornički jednostrano dekorativno obrađenih lamela kamene vune razreda reakcije na požar A1, okomito orijentiranih vlakana na površinu lijepljenja, stoga okomite čvrstoće na raslojavanje TR, koeficijenta toplinske provodljivosti 0,040 W/mK, karakteristika kao Knauf Insulation CLT C1 Thermal ili jednako vrijedne, debljine 3 cm prema fizikalnom proračunu. Prije početka radova potrebno izvršiti provjeru kvalitete glede prionjivosti i ravnosti podloge stropa. Izvršiti sve potrebne pripremne radove po potrebi čišćenja i otprašivanja stropa te nanošenje pretpremaza za prionjivost. Cijena stavke uključuje dobavu i postavu komponenti prema uputama proizvođača. Redoslijed izvođenja:- PUNOPLOŠNO nanošenje akrilne emulzije-pretpremaza u omjeru s vodom 1:3, u cilju postizanja propisane prionjivosti, obvezno sušenje 20 sati u normalnim uvjetima - PUNOPLOŠNO nanošenje polimerno-cementnog glet morta na neobrađenu stranu lamele, zupčastim gleterom u debljini do 10 mm te aplikacija posebno dizajniranim gleterom u ravnini nazivne debljine na pripremljenu površinu stropa. Sve radove izvesti prema uputama proizvođača komponenti. Bojanje kompresorom lamela u boju prema izboru projektanta.
STAVKA (podstavka):
Obračun po m2 do kompletnog završetka.
———
Ako je gore TOČNO — preskoči.
Ako nije — ispravi tekst u ovom komentaru.
(jmj Obračun po m2 do kompletnog završetka. · količina 20.0 · oznaka F1.3)</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zbuka-agent (čitač)</author>
  </authors>
  <commentList>
    <comment ref="R21" authorId="0" shapeId="0" xr:uid="{00000000-0006-0000-0600-000001000000}">
      <text>
        <r>
          <rPr>
            <sz val="11"/>
            <color theme="1"/>
            <rFont val="Calibri"/>
            <family val="2"/>
            <charset val="238"/>
            <scheme val="minor"/>
          </rPr>
          <t>GLAVA (glavna stavka):
GLETANJE I BRUŠENJE GK STROPOVA Dobava, dostava materijala te Gletanje i brušenje GK stropova. Dodatak na izvedbu spojeva GK stropova do kvalitete obrade površina Q3. Potrebno obraditi cijele površine. Obračun po m2 izvedene površine do završetka.
STAVKA (podstavka):
GK plohe stropa s obradom do razine Q3
———
Ako je gore TOČNO — preskoči.
Ako nije — ispravi tekst u ovom komentaru.
(jmj GK plohe stropa s obradom do razine Q3 · količina 717.1999999999999 · oznaka G1.1)</t>
        </r>
      </text>
    </comment>
    <comment ref="R22" authorId="0" shapeId="0" xr:uid="{00000000-0006-0000-0600-000002000000}">
      <text>
        <r>
          <rPr>
            <sz val="11"/>
            <color theme="1"/>
            <rFont val="Calibri"/>
            <family val="2"/>
            <charset val="238"/>
            <scheme val="minor"/>
          </rPr>
          <t>GLAVA (glavna stavka):
GLETANJE I BRUŠENJE GK STROPOVA Dobava, dostava materijala te Gletanje i brušenje GK stropova. Dodatak na izvedbu spojeva GK stropova do kvalitete obrade površina Q3. Potrebno obraditi cijele površine. Obračun po m2 izvedene površine do završetka.
STAVKA (podstavka):
b) GK plohe stropa s obradom do razine Q3 (mokri prostori)
———
Ako je gore TOČNO — preskoči.
Ako nije — ispravi tekst u ovom komentaru.
(jmj b) GK plohe stropa s obradom do razine Q3 (mokri prostori) · količina 82.10000000000001 · oznaka G1.1)</t>
        </r>
      </text>
    </comment>
    <comment ref="R27" authorId="0" shapeId="0" xr:uid="{00000000-0006-0000-0600-000003000000}">
      <text>
        <r>
          <rPr>
            <sz val="11"/>
            <color theme="1"/>
            <rFont val="Calibri"/>
            <family val="2"/>
            <charset val="238"/>
            <scheme val="minor"/>
          </rPr>
          <t>GLAVA (glavna stavka):
GLETANJE I BRUŠENJE GK ZIDOVA Dobava, dostava materijala te Gletanje i brušenje GK zidova. Dodatak na izvedbu spojeva GK zidova do kvalitete obrade površina Q3. Potrebno obraditi cijele površine. Obračun po m2 izvedene površine do završetka.
STAVKA (podstavka):
GK plohe stropa s obradom do razine Q3
———
Ako je gore TOČNO — preskoči.
Ako nije — ispravi tekst u ovom komentaru.
(jmj GK plohe stropa s obradom do razine Q3 · količina 2237.1 · oznaka G1.2)</t>
        </r>
      </text>
    </comment>
    <comment ref="R37" authorId="0" shapeId="0" xr:uid="{00000000-0006-0000-0600-000004000000}">
      <text>
        <r>
          <rPr>
            <sz val="11"/>
            <color theme="1"/>
            <rFont val="Calibri"/>
            <family val="2"/>
            <charset val="238"/>
            <scheme val="minor"/>
          </rPr>
          <t>GLAVA (glavna stavka):
LIČENJE ZIDOVA (zidani, AB i GK zidovi - suhi prostori) Dobava, dostava i ugradnja potrebnih materijala za dvostruko bojanje prethodno pripremljenih zidova. Cijena stavke uključuje dobavu i postavu svih komponenti prema uputama proizvođača. Redosljed izvođenja: Prema zahtjevima iz projekta prije izvedbe bojanja podloga se gleta i obrađuje u traženu kvalitetu obrade površine što je obračunato u prethodnoj stavci (G1). Gletanu, pobrušenu i očišćenu nosivu površinu je zatim potrebno premazati vodorazrjedivim nepigmentiranim sredstvom za grundiranje na akrilnoj bazi, velike moći prodiranja u podlogu i učvršćivanja, bez otapala, za unutarnje i vanjske radove, posebno za porozne podloge koje jako upijaju. Materijali sukladno specifikaciji materijala. Boja prema odabiru projektanta interijera. Vidi u knjizi specifikacija. U knjizi specifikacija i nacrtu, pod ref.br.: R P&amp;W 01
STAVKA (podstavka):
Obračun po m2 izvedene površine do završetka.
———
Ako je gore TOČNO — preskoči.
Ako nije — ispravi tekst u ovom komentaru.
(jmj Obračun po m2 izvedene površine do završetka. · količina 1277.6000000000001 · oznaka G2.1)</t>
        </r>
      </text>
    </comment>
    <comment ref="R43" authorId="0" shapeId="0" xr:uid="{00000000-0006-0000-0600-000005000000}">
      <text>
        <r>
          <rPr>
            <sz val="11"/>
            <color theme="1"/>
            <rFont val="Calibri"/>
            <family val="2"/>
            <charset val="238"/>
            <scheme val="minor"/>
          </rPr>
          <t>GLAVA (glavna stavka):
LIČENJE STROPOVA Dobava, dostava i ugradnja potrebnih materijala za dvostruko bojanje prethodno pripremljenih stropova u suhim prostorima. Cijena stavke uključuje dobavu i postavu svih komponenti prema uputama proizvođača. Redosljed izvođenja: Prema zahtjevima iz projekta prije izvedbe bojanja podloga se gleta i obrađuje u traženu kvalitetu obrade površine što je obračunato u prethodnoj stavci (G1). Gletanu, pobrušenu i očišćenu nosivu površinu je zatim potrebno premazati vodorazrjedivim nepigmentiranim sredstvom za grundiranje na akrilnoj bazi, velike moći prodiranja u podlogu i učvršćivanja, bez otapala, za unutarnje i vanjske radove, posebno za porozne podloge koje jako upijaju. Materijali sukladno specifikaciji materijala. U knjizi specifikacija i nacrtu, pod ref.br.: R P&amp;W 04 Obračun po m2 izvedene površine do završetka.
STAVKA (podstavka):
dnevni boravak i spavaća soba
———
Ako je gore TOČNO — preskoči.
Ako nije — ispravi tekst u ovom komentaru.
(jmj dnevni boravak i spavaća soba · količina 561.0 · oznaka G2.2)</t>
        </r>
      </text>
    </comment>
    <comment ref="R47" authorId="0" shapeId="0" xr:uid="{00000000-0006-0000-0600-000006000000}">
      <text>
        <r>
          <rPr>
            <sz val="11"/>
            <color theme="1"/>
            <rFont val="Calibri"/>
            <family val="2"/>
            <charset val="238"/>
            <scheme val="minor"/>
          </rPr>
          <t>GLAVA (glavna stavka):
LIČENJE STROPOVA Dobava, dostava i ugradnja potrebnih materijala za dvostruko bojanje prethodno pripremljenih stropova u suhim prostorima. Cijena stavke uključuje dobavu i postavu svih komponenti prema uputama proizvođača. Redosljed izvođenja: Prema zahtjevima iz projekta prije izvedbe bojanja podloga se gleta i obrađuje u traženu kvalitetu obrade površine što je obračunato u prethodnoj stavci (G1). Gletanu, pobrušenu i očišćenu nosivu površinu je zatim potrebno premazati vodorazrjedivim nepigmentiranim sredstvom za grundiranje na akrilnoj bazi, velike moći prodiranja u podlogu i učvršćivanja, bez otapala, za unutarnje i vanjske radove, posebno za porozne podloge koje jako upijaju. Materijali sukladno specifikaciji materijala. U knjizi specifikacija i nacrtu, pod ref.br.: R P&amp;W 04 Obračun po m2 izvedene površine do završetka. U knjizi specifikacija i nacrtu, pod ref.br.: R P&amp;W 06 Obračun po m2 izvedene površine do završetka.
STAVKA (podstavka):
ulazni prostor i kuhinja
———
Ako je gore TOČNO — preskoči.
Ako nije — ispravi tekst u ovom komentaru.
(jmj ulazni prostor i kuhinja · količina 94.39999999999998 · oznaka G2.2)</t>
        </r>
      </text>
    </comment>
    <comment ref="R52" authorId="0" shapeId="0" xr:uid="{00000000-0006-0000-0600-000007000000}">
      <text>
        <r>
          <rPr>
            <sz val="11"/>
            <color theme="1"/>
            <rFont val="Calibri"/>
            <family val="2"/>
            <charset val="238"/>
            <scheme val="minor"/>
          </rPr>
          <t>GLAVA (glavna stavka):
LIČENJE STROPOVA (mokri prostori) Dobava, dostava i ugradnja potrebnih materijala za dvostruko bojanje vodootpornom bojom prethodno pripremljenih stropova u mokrim prostorima. Cijena stavke uključuje dobavu i postavu svih komponenti prema uputama proizvođača. Redosljed izvođenja: Prema zahtjevima iz projekta prije izvedbe bojanja podloga se gleta i obrađuje u traženu kvalitetu obrade površine što je obračunato u prethodnoj stavci (G1). Gletanu, pobrušenu i očišćenu nosivu površinu je zatim potrebno premazati vodorazrjedivim nepigmentiranim sredstvom za grundiranje na akrilnoj bazi, velike moći prodiranja u podlogu i učvršćivanja, bez otapala, za unutarnje i vanjske radove, posebno za porozne podloge koje jako upijaju. Materijali sukladno specifikaciji materijala. U knjizi specifikacija i nacrtu, pod ref.br.: R P&amp;W 05
STAVKA (podstavka):
Obračun po m2 izvedene površine do završetka.
———
Ako je gore TOČNO — preskoči.
Ako nije — ispravi tekst u ovom komentaru.
(jmj Obračun po m2 izvedene površine do završetka. · količina 81.3 · oznaka G2.3)</t>
        </r>
      </text>
    </comment>
    <comment ref="R64" authorId="0" shapeId="0" xr:uid="{00000000-0006-0000-0600-000008000000}">
      <text>
        <r>
          <rPr>
            <sz val="11"/>
            <color theme="1"/>
            <rFont val="Calibri"/>
            <family val="2"/>
            <charset val="238"/>
            <scheme val="minor"/>
          </rPr>
          <t>GLAVA (glavna stavka):
POSTAVLJANJE TAPETA Boja i uzorak prema odabiru projektanta. Vidi u knjizi specifikacija. U knjizi specifikacija i nacrtima pod šifrom: R P&amp;W 02
STAVKA (podstavka):
Obračun po m2 izvedene površine do završetka.
———
Ako je gore TOČNO — preskoči.
Ako nije — ispravi tekst u ovom komentaru.
(jmj Obračun po m2 izvedene površine do završetka. · količina 255.9 · oznaka G3.1)</t>
        </r>
      </text>
    </comment>
    <comment ref="R69" authorId="0" shapeId="0" xr:uid="{00000000-0006-0000-0600-000009000000}">
      <text>
        <r>
          <rPr>
            <sz val="11"/>
            <color theme="1"/>
            <rFont val="Calibri"/>
            <family val="2"/>
            <charset val="238"/>
            <scheme val="minor"/>
          </rPr>
          <t>GLAVA (glavna stavka):
POSTAVLJANJE TAPETA Boja i uzorak prema odabiru projektanta. Vidi u knjizi specifikacija. U knjizi specifikacija i nacrtima pod šifrom: R P&amp;W 03
STAVKA (podstavka):
Obračun po m2 izvedene površine do završetka.
———
Ako je gore TOČNO — preskoči.
Ako nije — ispravi tekst u ovom komentaru.
(jmj Obračun po m2 izvedene površine do završetka. · količina 158.6 · oznaka G3.2)</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zbuka-agent (čitač)</author>
  </authors>
  <commentList>
    <comment ref="R21" authorId="0" shapeId="0" xr:uid="{00000000-0006-0000-0700-000001000000}">
      <text>
        <r>
          <rPr>
            <sz val="11"/>
            <color theme="1"/>
            <rFont val="Calibri"/>
            <family val="2"/>
            <charset val="238"/>
            <scheme val="minor"/>
          </rPr>
          <t>GLAVA (glavna stavka):
HIDROIZOLACIJA MOKRIH ČVOROVA Dobava, doprema i izvedba hidroizolacije podova mokrih prostora polimercementnom hidroizolacijom u dva sloja. Hidroizolacija postavlja se na prethodno pripremljenu, zaravnatu, glatku, očišćenu podlogu od prašine, krhotina i masnoće. Izvedbu vršiti dvokomponentnim elastičnim polimercementnim hidroizlacijskim premazom (kao Mapelastic 150,proizvod Mapei ili jednako vrijedno). Izvodi se u dva sloja debljine do 2mm s ugradnjom Mapenet mrežice (ili jednakovrijedno) između slojeva. Kompletna izvedba prema uputama proizvođača. Hidroizolaciju uzdignuti min. 20-30 cm na vertikalu (uključeno u cijenu). Stavkom je također obuhvaćena i ugradnja i ojačanja u obliku gumiranih poliesterskih traka s alkalno otpornim filcem Mapeband (ili jednakovrijedno) po uglovima, kutnim elementima, na mjestima dilatacijskih fuga, spojeva između vodoravnih i okomitih površina, odvoda te ostalim kritičnim detaljima. Obračun po m2 do kompletnog završetka.
STAVKA (podstavka):
Podovi kupaonica
———
Ako je gore TOČNO — preskoči.
Ako nije — ispravi tekst u ovom komentaru.
(jmj Podovi kupaonica · količina 89.15 · oznaka D3)</t>
        </r>
      </text>
    </comment>
    <comment ref="R26" authorId="0" shapeId="0" xr:uid="{00000000-0006-0000-0700-000002000000}">
      <text>
        <r>
          <rPr>
            <sz val="11"/>
            <color theme="1"/>
            <rFont val="Calibri"/>
            <family val="2"/>
            <charset val="238"/>
            <scheme val="minor"/>
          </rPr>
          <t>GLAVA (glavna stavka):
HIDROIZOLACIJA MOKRIH ČVOROVA Dobava, doprema materijala i izvedba hidroizolacije zidova kupaonice sa dva premaza HI Mapelastic aquadefence (ili jednakovrijedno), prije polaganja keramike u zonama kada i tuševa vertikalno do 240-250 cm visine. Na spojeve zida i zida ugraditi Mapeband PE 120 (ili jednakovrijedno), vodonepropusnu elastičnu brtvenu traku od PVC-a s poliesterskom mrežicom, za brtvljenje spojeva različitih ploha, prodora i dilatacija, u sustavima hidroizolacija na bazi sintetičkih smola. Spojevi poda i zida obuhvaćeni su u prethodnoj stavci podne izolacije (vidi B2.1.). Međusobno spajanje Mapeband traka izvesti kontaktnim ljepilom Adesilex LP. Prije nanošenja potpuno odstraniti sve nevezane dijelove na tretiranim površinama kao i sve dijelove sa slabim mehaničkim karakteristikama. Hidroizolacija se nanosi na pripremljenu podlog sa sintetičkim premazom kao ECOprim Grip. Minimalna potrošnja 0,8-1,0 kg/m2 za dva sloja. U jedininu cijenu uključen primer premaz, ravnanje površine, brtvene trake, hidroizolacija. Obračun po m2 do kompletnog završetka.
STAVKA (podstavka):
Zidovi kupaonica
———
Ako je gore TOČNO — preskoči.
Ako nije — ispravi tekst u ovom komentaru.
(jmj Zidovi kupaonica · količina 135.65 · oznaka D4)</t>
        </r>
      </text>
    </comment>
    <comment ref="R40" authorId="0" shapeId="0" xr:uid="{00000000-0006-0000-0700-000003000000}">
      <text>
        <r>
          <rPr>
            <sz val="11"/>
            <color theme="1"/>
            <rFont val="Calibri"/>
            <family val="2"/>
            <charset val="238"/>
            <scheme val="minor"/>
          </rPr>
          <t>GLAVA (glavna stavka):
VANJSKA PODNA KERAMIKA Tip i boja ker. Pločice, kao i boja fuge: vidi specifikaciju Referentni broj prema nacru i njizi specifikacija: R T&amp;F 02 Protukliznost: R10 Dimenzije formata: 60 x 60 cm
STAVKA (podstavka):
Obračun po m2 do kompletnog završetka.
———
Ako je gore TOČNO — preskoči.
Ako nije — ispravi tekst u ovom komentaru.
(jmj Obračun po m2 do kompletnog završetka. · količina 149.6 · oznaka H1)</t>
        </r>
      </text>
    </comment>
    <comment ref="R41" authorId="0" shapeId="0" xr:uid="{00000000-0006-0000-0700-000004000000}">
      <text>
        <r>
          <rPr>
            <sz val="11"/>
            <color theme="1"/>
            <rFont val="Calibri"/>
            <family val="2"/>
            <charset val="238"/>
            <scheme val="minor"/>
          </rPr>
          <t>GLAVA (glavna stavka):
— nema —
STAVKA (podstavka):
Količina keramike za rastur (škart) prema shemi polaganja iz projekta. Navedena količina je pretpostavljane (10%), izvođač si je dužan provjeriti količinu za rastur prilikom davanja ponude, koja nakon ugovaranja posla postaje fiksna.
———
Ako je gore TOČNO — preskoči.
Ako nije — ispravi tekst u ovom komentaru.
(jmj Količina keramike za rastur (škart) prema shemi polaganja iz projekta. Navedena količina je pretpostavljane (10%), izvođač si je dužan provjeriti količinu za rastur prilikom davanja ponude, koja nakon ugovaranja posla postaje fiksna. · količina 14.96 · oznaka H1.2)</t>
        </r>
      </text>
    </comment>
    <comment ref="R42" authorId="0" shapeId="0" xr:uid="{00000000-0006-0000-0700-000005000000}">
      <text>
        <r>
          <rPr>
            <sz val="11"/>
            <color theme="1"/>
            <rFont val="Calibri"/>
            <family val="2"/>
            <charset val="238"/>
            <scheme val="minor"/>
          </rPr>
          <t>GLAVA (glavna stavka):
VANJSKA PODNA KERAMIKA Tip i boja ker. Pločice, kao i boja fuge: vidi specifikaciju Referentni broj prema nacru i njizi specifikacija: R T&amp;F 02 Protukliznost: R10 Dimenzije formata: 60 x 60 cm
STAVKA (podstavka):
Keramika za predaju investitoru - 2%
———
Ako je gore TOČNO — preskoči.
Ako nije — ispravi tekst u ovom komentaru.
(jmj Keramika za predaju investitoru - 2% · količina 2.992 · oznaka H1.3)</t>
        </r>
      </text>
    </comment>
    <comment ref="R48" authorId="0" shapeId="0" xr:uid="{00000000-0006-0000-0700-000006000000}">
      <text>
        <r>
          <rPr>
            <sz val="11"/>
            <color theme="1"/>
            <rFont val="Calibri"/>
            <family val="2"/>
            <charset val="238"/>
            <scheme val="minor"/>
          </rPr>
          <t>GLAVA (glavna stavka):
VANJSKI KERAMIČKI SOKL Tip i boja ker. Pločice, kao i boja fuge: vidi specifikaciju Referentni broj prema nacru i knjizi specifikacija: R T&amp;F 02 Dimenzije formata:
STAVKA (podstavka):
Obračun po m2 do kompletnog završetka.
———
Ako je gore TOČNO — preskoči.
Ako nije — ispravi tekst u ovom komentaru.
(jmj Obračun po m2 do kompletnog završetka. · količina 179.3 · oznaka H2)</t>
        </r>
      </text>
    </comment>
    <comment ref="R49" authorId="0" shapeId="0" xr:uid="{00000000-0006-0000-0700-000007000000}">
      <text>
        <r>
          <rPr>
            <sz val="11"/>
            <color theme="1"/>
            <rFont val="Calibri"/>
            <family val="2"/>
            <charset val="238"/>
            <scheme val="minor"/>
          </rPr>
          <t>GLAVA (glavna stavka):
— nema —
STAVKA (podstavka):
Količina keramike za rastur (škart) prema shemi polaganja iz projekta. Navedena količina je pretpostavljane (10%), izvođač si je dužan provjeriti količinu za rastur prilikom davanja ponude, koja nakon ugovaranja posla postaje fiksna.
———
Ako je gore TOČNO — preskoči.
Ako nije — ispravi tekst u ovom komentaru.
(jmj Količina keramike za rastur (škart) prema shemi polaganja iz projekta. Navedena količina je pretpostavljane (10%), izvođač si je dužan provjeriti količinu za rastur prilikom davanja ponude, koja nakon ugovaranja posla postaje fiksna. · količina 17.930000000000003 · oznaka H2.2)</t>
        </r>
      </text>
    </comment>
    <comment ref="R50" authorId="0" shapeId="0" xr:uid="{00000000-0006-0000-0700-000008000000}">
      <text>
        <r>
          <rPr>
            <sz val="11"/>
            <color theme="1"/>
            <rFont val="Calibri"/>
            <family val="2"/>
            <charset val="238"/>
            <scheme val="minor"/>
          </rPr>
          <t>GLAVA (glavna stavka):
VANJSKI KERAMIČKI SOKL Tip i boja ker. Pločice, kao i boja fuge: vidi specifikaciju Referentni broj prema nacru i knjizi specifikacija: R T&amp;F 02 Dimenzije formata:
STAVKA (podstavka):
Keramika za predaju investitoru - 2%
———
Ako je gore TOČNO — preskoči.
Ako nije — ispravi tekst u ovom komentaru.
(jmj Keramika za predaju investitoru - 2% · količina 3.5860000000000003 · oznaka H2.3)</t>
        </r>
      </text>
    </comment>
    <comment ref="R56" authorId="0" shapeId="0" xr:uid="{00000000-0006-0000-0700-000009000000}">
      <text>
        <r>
          <rPr>
            <sz val="11"/>
            <color theme="1"/>
            <rFont val="Calibri"/>
            <family val="2"/>
            <charset val="238"/>
            <scheme val="minor"/>
          </rPr>
          <t>GLAVA (glavna stavka):
VANJSKI KAMENI SOKL Tip i boja kamena, kao i boja fuge: jednako postojeće, Referentni broj prema nacru i knjizi specifikacija: Dimenzije formata:
STAVKA (podstavka):
Obračun po m2 do kompletnog završetka.
———
Ako je gore TOČNO — preskoči.
Ako nije — ispravi tekst u ovom komentaru.
(jmj Obračun po m2 do kompletnog završetka. · količina 7.5 · oznaka H3)</t>
        </r>
      </text>
    </comment>
    <comment ref="R57" authorId="0" shapeId="0" xr:uid="{00000000-0006-0000-0700-00000A000000}">
      <text>
        <r>
          <rPr>
            <sz val="11"/>
            <color theme="1"/>
            <rFont val="Calibri"/>
            <family val="2"/>
            <charset val="238"/>
            <scheme val="minor"/>
          </rPr>
          <t>GLAVA (glavna stavka):
— nema —
STAVKA (podstavka):
Količina keramike za rastur (škart) prema shemi polaganja iz projekta. Navedena količina je pretpostavljane (10%), izvođač si je dužan provjeriti količinu za rastur prilikom davanja ponude, koja nakon ugovaranja posla postaje fiksna.
———
Ako je gore TOČNO — preskoči.
Ako nije — ispravi tekst u ovom komentaru.
(jmj Količina keramike za rastur (škart) prema shemi polaganja iz projekta. Navedena količina je pretpostavljane (10%), izvođač si je dužan provjeriti količinu za rastur prilikom davanja ponude, koja nakon ugovaranja posla postaje fiksna. · količina 0.75 · oznaka H3.2)</t>
        </r>
      </text>
    </comment>
    <comment ref="R58" authorId="0" shapeId="0" xr:uid="{00000000-0006-0000-0700-00000B000000}">
      <text>
        <r>
          <rPr>
            <sz val="11"/>
            <color theme="1"/>
            <rFont val="Calibri"/>
            <family val="2"/>
            <charset val="238"/>
            <scheme val="minor"/>
          </rPr>
          <t>GLAVA (glavna stavka):
VANJSKI KAMENI SOKL Tip i boja kamena, kao i boja fuge: jednako postojeće, Referentni broj prema nacru i knjizi specifikacija: Dimenzije formata:
STAVKA (podstavka):
Keramika za predaju investitoru - 2%
———
Ako je gore TOČNO — preskoči.
Ako nije — ispravi tekst u ovom komentaru.
(jmj Keramika za predaju investitoru - 2% · količina 0.15 · oznaka H3.3)</t>
        </r>
      </text>
    </comment>
    <comment ref="R65" authorId="0" shapeId="0" xr:uid="{00000000-0006-0000-0700-00000C000000}">
      <text>
        <r>
          <rPr>
            <sz val="11"/>
            <color theme="1"/>
            <rFont val="Calibri"/>
            <family val="2"/>
            <charset val="238"/>
            <scheme val="minor"/>
          </rPr>
          <t>GLAVA (glavna stavka):
POSTAVLJANJE PODNIH KERAMIČKIH PLOČICA U KUPAONICI Tip i boja ker. pločice, kao i boja fuge: vidi specifikaciju Referentni broj prema nacrtu i knjizi specikacija: R T&amp;F 05 Protukliznost: R11 Dimenzije formata: 60×60cm, debljina: 9mm
STAVKA (podstavka):
Obračun po m2 stvarno izvedene površine sve do potpune dovršenosti.
———
Ako je gore TOČNO — preskoči.
Ako nije — ispravi tekst u ovom komentaru.
(jmj Obračun po m2 stvarno izvedene površine sve do potpune dovršenosti. · količina 60.4 · oznaka H4.1)</t>
        </r>
      </text>
    </comment>
    <comment ref="R66" authorId="0" shapeId="0" xr:uid="{00000000-0006-0000-0700-00000D000000}">
      <text>
        <r>
          <rPr>
            <sz val="11"/>
            <color theme="1"/>
            <rFont val="Calibri"/>
            <family val="2"/>
            <charset val="238"/>
            <scheme val="minor"/>
          </rPr>
          <t>GLAVA (glavna stavka):
— nema —
STAVKA (podstavka):
Količina keramike za rastur (škart) prema shemi polaganja iz projekta. Navedena količina je pretpostavljena (10%), izvođač si je dužan provjeriti količinu za rastur prilikom davanja ponude, koja nakon ugovaranja posla postaje fiksna.
———
Ako je gore TOČNO — preskoči.
Ako nije — ispravi tekst u ovom komentaru.
(jmj Količina keramike za rastur (škart) prema shemi polaganja iz projekta. Navedena količina je pretpostavljena (10%), izvođač si je dužan provjeriti količinu za rastur prilikom davanja ponude, koja nakon ugovaranja posla postaje fiksna. · količina 6.040000000000001 · oznaka H4.2)</t>
        </r>
      </text>
    </comment>
    <comment ref="R67" authorId="0" shapeId="0" xr:uid="{00000000-0006-0000-0700-00000E000000}">
      <text>
        <r>
          <rPr>
            <sz val="11"/>
            <color theme="1"/>
            <rFont val="Calibri"/>
            <family val="2"/>
            <charset val="238"/>
            <scheme val="minor"/>
          </rPr>
          <t>GLAVA (glavna stavka):
POSTAVLJANJE PODNIH KERAMIČKIH PLOČICA U KUPAONICI Tip i boja ker. pločice, kao i boja fuge: vidi specifikaciju Referentni broj prema nacrtu i knjizi specikacija: R T&amp;F 05 Protukliznost: R11 Dimenzije formata: 60×60cm, debljina: 9mm
STAVKA (podstavka):
Keramika za predaju investitoru - 2%
———
Ako je gore TOČNO — preskoči.
Ako nije — ispravi tekst u ovom komentaru.
(jmj Keramika za predaju investitoru - 2% · količina 1.2080000000000002 · oznaka H4.3)</t>
        </r>
      </text>
    </comment>
    <comment ref="R74" authorId="0" shapeId="0" xr:uid="{00000000-0006-0000-0700-00000F000000}">
      <text>
        <r>
          <rPr>
            <sz val="11"/>
            <color theme="1"/>
            <rFont val="Calibri"/>
            <family val="2"/>
            <charset val="238"/>
            <scheme val="minor"/>
          </rPr>
          <t>GLAVA (glavna stavka):
POSTAVLJANJE ZIDNE KERAMIKE ("feature wall") Tip i boja ker. pločice za zid: vidi specifikaciju Referentni broj prema nacrtu i knjizi specikacija: R T&amp;F 06 Dimenzije formata: 120×60cm; R9 debljina: 6,5 mm
STAVKA (podstavka):
Obračun po m2 stvarno izvedene površine sve do potpune dovršenosti.
———
Ako je gore TOČNO — preskoči.
Ako nije — ispravi tekst u ovom komentaru.
(jmj Obračun po m2 stvarno izvedene površine sve do potpune dovršenosti. · količina 80.05000000000001 · oznaka H5.1)</t>
        </r>
      </text>
    </comment>
    <comment ref="R75" authorId="0" shapeId="0" xr:uid="{00000000-0006-0000-0700-000010000000}">
      <text>
        <r>
          <rPr>
            <sz val="11"/>
            <color theme="1"/>
            <rFont val="Calibri"/>
            <family val="2"/>
            <charset val="238"/>
            <scheme val="minor"/>
          </rPr>
          <t>GLAVA (glavna stavka):
— nema —
STAVKA (podstavka):
Količina keramike za rastur (škart) prema shemi polaganja iz projekta. Navedena količina je pretpostavljena (10%), izvođač si je dužan provjeriti količinu za rastur prilikom davanja ponude, koja nakon ugovaranja posla postaje fiksna.
———
Ako je gore TOČNO — preskoči.
Ako nije — ispravi tekst u ovom komentaru.
(jmj Količina keramike za rastur (škart) prema shemi polaganja iz projekta. Navedena količina je pretpostavljena (10%), izvođač si je dužan provjeriti količinu za rastur prilikom davanja ponude, koja nakon ugovaranja posla postaje fiksna. · količina 8.005 · oznaka H5.2)</t>
        </r>
      </text>
    </comment>
    <comment ref="R76" authorId="0" shapeId="0" xr:uid="{00000000-0006-0000-0700-000011000000}">
      <text>
        <r>
          <rPr>
            <sz val="11"/>
            <color theme="1"/>
            <rFont val="Calibri"/>
            <family val="2"/>
            <charset val="238"/>
            <scheme val="minor"/>
          </rPr>
          <t>GLAVA (glavna stavka):
POSTAVLJANJE ZIDNE KERAMIKE ("feature wall") Tip i boja ker. pločice za zid: vidi specifikaciju Referentni broj prema nacrtu i knjizi specikacija: R T&amp;F 06 Dimenzije formata: 120×60cm; R9 debljina: 6,5 mm
STAVKA (podstavka):
Keramika za predaju investitoru - 2%
———
Ako je gore TOČNO — preskoči.
Ako nije — ispravi tekst u ovom komentaru.
(jmj Keramika za predaju investitoru - 2% · količina 1.601 · oznaka H5.3)</t>
        </r>
      </text>
    </comment>
    <comment ref="R83" authorId="0" shapeId="0" xr:uid="{00000000-0006-0000-0700-000012000000}">
      <text>
        <r>
          <rPr>
            <sz val="11"/>
            <color theme="1"/>
            <rFont val="Calibri"/>
            <family val="2"/>
            <charset val="238"/>
            <scheme val="minor"/>
          </rPr>
          <t>GLAVA (glavna stavka):
POSTAVLJANJE ZIDNE KERAMIKE (ostali zidovi) Tip i boja ker. pločice za zid: vidi specifikaciju Referentni broj prema nacrtu i knjizi specikacija: R T&amp;F 07 Dimenzije formata: 120×60cm; R9 debljina: 9 mm
STAVKA (podstavka):
Obračun po m2 stvarno izvedene površine sve do potpune dovršenosti.
———
Ako je gore TOČNO — preskoči.
Ako nije — ispravi tekst u ovom komentaru.
(jmj Obračun po m2 stvarno izvedene površine sve do potpune dovršenosti. · količina 332.45 · oznaka H6.1)</t>
        </r>
      </text>
    </comment>
    <comment ref="R84" authorId="0" shapeId="0" xr:uid="{00000000-0006-0000-0700-000013000000}">
      <text>
        <r>
          <rPr>
            <sz val="11"/>
            <color theme="1"/>
            <rFont val="Calibri"/>
            <family val="2"/>
            <charset val="238"/>
            <scheme val="minor"/>
          </rPr>
          <t>GLAVA (glavna stavka):
— nema —
STAVKA (podstavka):
Količina keramike za rastur (škart) prema shemi polaganja iz projekta. Navedena količina je pretpostavljena (10%), izvođač si je dužan provjeriti količinu za rastur prilikom davanja ponude, koja nakon ugovaranja posla postaje fiksna.
———
Ako je gore TOČNO — preskoči.
Ako nije — ispravi tekst u ovom komentaru.
(jmj Količina keramike za rastur (škart) prema shemi polaganja iz projekta. Navedena količina je pretpostavljena (10%), izvođač si je dužan provjeriti količinu za rastur prilikom davanja ponude, koja nakon ugovaranja posla postaje fiksna. · količina 33.245000000000005 · oznaka H6.2)</t>
        </r>
      </text>
    </comment>
    <comment ref="R85" authorId="0" shapeId="0" xr:uid="{00000000-0006-0000-0700-000014000000}">
      <text>
        <r>
          <rPr>
            <sz val="11"/>
            <color theme="1"/>
            <rFont val="Calibri"/>
            <family val="2"/>
            <charset val="238"/>
            <scheme val="minor"/>
          </rPr>
          <t>GLAVA (glavna stavka):
POSTAVLJANJE ZIDNE KERAMIKE (ostali zidovi) Tip i boja ker. pločice za zid: vidi specifikaciju Referentni broj prema nacrtu i knjizi specikacija: R T&amp;F 07 Dimenzije formata: 120×60cm; R9 debljina: 9 mm
STAVKA (podstavka):
Keramika za predaju investitoru - 2%
———
Ako je gore TOČNO — preskoči.
Ako nije — ispravi tekst u ovom komentaru.
(jmj Keramika za predaju investitoru - 2% · količina 6.648999999999999 · oznaka H6.3)</t>
        </r>
      </text>
    </comment>
    <comment ref="R92" authorId="0" shapeId="0" xr:uid="{00000000-0006-0000-0700-000015000000}">
      <text>
        <r>
          <rPr>
            <sz val="11"/>
            <color theme="1"/>
            <rFont val="Calibri"/>
            <family val="2"/>
            <charset val="238"/>
            <scheme val="minor"/>
          </rPr>
          <t>GLAVA (glavna stavka):
POSTAVLJANJE ZIDNE KERAMIKE (backsplash) Tip i boja ker. pločice za zid: vidi specifikaciju Referentni broj prema nacrtu i knjizi specikacija: R T&amp;F 08 Dimenzije formata: 60x120 cm; R9 debljina: 9 mm
STAVKA (podstavka):
Obračun po m2 stvarno izvedene površine sve do potpune dovršenosti.
———
Ako je gore TOČNO — preskoči.
Ako nije — ispravi tekst u ovom komentaru.
(jmj Obračun po m2 stvarno izvedene površine sve do potpune dovršenosti. · količina 66.3 · oznaka H7.1)</t>
        </r>
      </text>
    </comment>
    <comment ref="R93" authorId="0" shapeId="0" xr:uid="{00000000-0006-0000-0700-000016000000}">
      <text>
        <r>
          <rPr>
            <sz val="11"/>
            <color theme="1"/>
            <rFont val="Calibri"/>
            <family val="2"/>
            <charset val="238"/>
            <scheme val="minor"/>
          </rPr>
          <t>GLAVA (glavna stavka):
— nema —
STAVKA (podstavka):
Količina keramike za rastur (škart) prema shemi polaganja iz projekta. Navedena količina je pretpostavljena (10%), izvođač si je dužan provjeriti količinu za rastur prilikom davanja ponude, koja nakon ugovaranja posla postaje fiksna.
———
Ako je gore TOČNO — preskoči.
Ako nije — ispravi tekst u ovom komentaru.
(jmj Količina keramike za rastur (škart) prema shemi polaganja iz projekta. Navedena količina je pretpostavljena (10%), izvođač si je dužan provjeriti količinu za rastur prilikom davanja ponude, koja nakon ugovaranja posla postaje fiksna. · količina 6.63 · oznaka H7.2)</t>
        </r>
      </text>
    </comment>
    <comment ref="R94" authorId="0" shapeId="0" xr:uid="{00000000-0006-0000-0700-000017000000}">
      <text>
        <r>
          <rPr>
            <sz val="11"/>
            <color theme="1"/>
            <rFont val="Calibri"/>
            <family val="2"/>
            <charset val="238"/>
            <scheme val="minor"/>
          </rPr>
          <t>GLAVA (glavna stavka):
POSTAVLJANJE ZIDNE KERAMIKE (backsplash) Tip i boja ker. pločice za zid: vidi specifikaciju Referentni broj prema nacrtu i knjizi specikacija: R T&amp;F 08 Dimenzije formata: 60x120 cm; R9 debljina: 9 mm
STAVKA (podstavka):
Keramika za predaju investitoru - 2%
———
Ako je gore TOČNO — preskoči.
Ako nije — ispravi tekst u ovom komentaru.
(jmj Keramika za predaju investitoru - 2% · količina 1.326 · oznaka H7.3)</t>
        </r>
      </text>
    </comment>
    <comment ref="R99" authorId="0" shapeId="0" xr:uid="{00000000-0006-0000-0700-000018000000}">
      <text>
        <r>
          <rPr>
            <sz val="11"/>
            <color theme="1"/>
            <rFont val="Calibri"/>
            <family val="2"/>
            <charset val="238"/>
            <scheme val="minor"/>
          </rPr>
          <t>GLAVA (glavna stavka):
POSTAVLJANJE SOKLA Tip i boja sokla: vidi specifikaciju Referentni broj prema nacrtu i knjizi specikacija: R T&amp;F 09
STAVKA (podstavka):
Obračun po m' izvedene površine do završetka.
———
Ako je gore TOČNO — preskoči.
Ako nije — ispravi tekst u ovom komentaru.
(jmj Obračun po m' izvedene površine do završetka. · količina 118.60000000000002 · oznaka H8)</t>
        </r>
      </text>
    </comment>
    <comment ref="R104" authorId="0" shapeId="0" xr:uid="{00000000-0006-0000-0700-000019000000}">
      <text>
        <r>
          <rPr>
            <sz val="11"/>
            <color theme="1"/>
            <rFont val="Calibri"/>
            <family val="2"/>
            <charset val="238"/>
            <scheme val="minor"/>
          </rPr>
          <t>GLAVA (glavna stavka):
POSTAVLJANJE PODNE LAJSNE Tip i boja lajsne: vidi specifikaciju Referentni broj prema nacrtu i knjizi specikacija: R T&amp;F 10
STAVKA (podstavka):
Obračun po m' izvedene površine do završetka.
———
Ako je gore TOČNO — preskoči.
Ako nije — ispravi tekst u ovom komentaru.
(jmj Obračun po m' izvedene površine do završetka. · količina 11.0 · oznaka H9)</t>
        </r>
      </text>
    </comment>
    <comment ref="R111" authorId="0" shapeId="0" xr:uid="{00000000-0006-0000-0700-00001A000000}">
      <text>
        <r>
          <rPr>
            <sz val="11"/>
            <color theme="1"/>
            <rFont val="Calibri"/>
            <family val="2"/>
            <charset val="238"/>
            <scheme val="minor"/>
          </rPr>
          <t>GLAVA (glavna stavka):
POSTAVLJANJE ZIDNE KERAMIKE (backsplash) Tip i boja ker. pločice za zid: vidi specifikaciju Referentni broj prema nacrtu i knjizi specikacija: R T&amp;F 11 Dimenzije formata: 60x120 cm; R9 debljina: 9 mm
STAVKA (podstavka):
Obračun po m2 stvarno izvedene površine sve do potpune dovršenosti.
———
Ako je gore TOČNO — preskoči.
Ako nije — ispravi tekst u ovom komentaru.
(jmj Obračun po m2 stvarno izvedene površine sve do potpune dovršenosti. · količina 2.9 · oznaka H10.1)</t>
        </r>
      </text>
    </comment>
    <comment ref="R112" authorId="0" shapeId="0" xr:uid="{00000000-0006-0000-0700-00001B000000}">
      <text>
        <r>
          <rPr>
            <sz val="11"/>
            <color theme="1"/>
            <rFont val="Calibri"/>
            <family val="2"/>
            <charset val="238"/>
            <scheme val="minor"/>
          </rPr>
          <t>GLAVA (glavna stavka):
— nema —
STAVKA (podstavka):
Količina keramike za rastur (škart) prema shemi polaganja iz projekta. Navedena količina je pretpostavljena (10%), izvođač si je dužan provjeriti količinu za rastur prilikom davanja ponude, koja nakon ugovaranja posla postaje fiksna.
———
Ako je gore TOČNO — preskoči.
Ako nije — ispravi tekst u ovom komentaru.
(jmj Količina keramike za rastur (škart) prema shemi polaganja iz projekta. Navedena količina je pretpostavljena (10%), izvođač si je dužan provjeriti količinu za rastur prilikom davanja ponude, koja nakon ugovaranja posla postaje fiksna. · količina 0.29 · oznaka H10.2)</t>
        </r>
      </text>
    </comment>
    <comment ref="R113" authorId="0" shapeId="0" xr:uid="{00000000-0006-0000-0700-00001C000000}">
      <text>
        <r>
          <rPr>
            <sz val="11"/>
            <color theme="1"/>
            <rFont val="Calibri"/>
            <family val="2"/>
            <charset val="238"/>
            <scheme val="minor"/>
          </rPr>
          <t>GLAVA (glavna stavka):
POSTAVLJANJE ZIDNE KERAMIKE (backsplash) Tip i boja ker. pločice za zid: vidi specifikaciju Referentni broj prema nacrtu i knjizi specikacija: R T&amp;F 11 Dimenzije formata: 60x120 cm; R9 debljina: 9 mm
STAVKA (podstavka):
Keramika za predaju investitoru - 2%
———
Ako je gore TOČNO — preskoči.
Ako nije — ispravi tekst u ovom komentaru.
(jmj Keramika za predaju investitoru - 2% · količina 0.057999999999999996 · oznaka H10.3)</t>
        </r>
      </text>
    </comment>
    <comment ref="R118" authorId="0" shapeId="0" xr:uid="{00000000-0006-0000-0700-00001D000000}">
      <text>
        <r>
          <rPr>
            <sz val="11"/>
            <color theme="1"/>
            <rFont val="Calibri"/>
            <family val="2"/>
            <charset val="238"/>
            <scheme val="minor"/>
          </rPr>
          <t>GLAVA (glavna stavka):
POSTAVLJANJE ZIDNE LAJSNE Tip i boja lajsne: vidi specifikaciju Referentni broj prema nacrtu i knjizi specikacija: R T&amp;F 12
STAVKA (podstavka):
Obračun po m' izvedene površine do završetka.
———
Ako je gore TOČNO — preskoči.
Ako nije — ispravi tekst u ovom komentaru.
(jmj Obračun po m' izvedene površine do završetka. · količina 65.1 · oznaka H11)</t>
        </r>
      </text>
    </comment>
    <comment ref="R124" authorId="0" shapeId="0" xr:uid="{00000000-0006-0000-0700-00001E000000}">
      <text>
        <r>
          <rPr>
            <sz val="11"/>
            <color theme="1"/>
            <rFont val="Calibri"/>
            <family val="2"/>
            <charset val="238"/>
            <scheme val="minor"/>
          </rPr>
          <t>GLAVA (glavna stavka):
POSTAVLJANJE NOVIH KAMENIH PLOČA Dobava, doprema i montaža novih kamenih ploča na lokaciji uklonjenog pregradnog zida u apartmanu Boja i tona usklađen s postojećim kamenom. Dimenzije (š×d): 60×30cm
STAVKA (podstavka):
Obračun po m2 izvedene površine do završetka.
———
Ako je gore TOČNO — preskoči.
Ako nije — ispravi tekst u ovom komentaru.
(jmj Obračun po m2 izvedene površine do završetka. · količina 56.0 · oznaka H12)</t>
        </r>
      </text>
    </comment>
    <comment ref="R131" authorId="0" shapeId="0" xr:uid="{00000000-0006-0000-0700-00001F000000}">
      <text>
        <r>
          <rPr>
            <sz val="11"/>
            <color theme="1"/>
            <rFont val="Calibri"/>
            <family val="2"/>
            <charset val="238"/>
            <scheme val="minor"/>
          </rPr>
          <t>GLAVA (glavna stavka):
POSTAVLJANJE PODNE KERAMIKE (prizemlja) Tip i boja ker. pločice za pod: vidi specifikaciju Referentni broj prema nacrtu i knjizi specikacija: M T&amp;F 02 Dimenzije formata: debljina: 9 mm
STAVKA (podstavka):
Obračun po m2 stvarno izvedene površine sve do potpune dovršenosti.
———
Ako je gore TOČNO — preskoči.
Ako nije — ispravi tekst u ovom komentaru.
(jmj Obračun po m2 stvarno izvedene površine sve do potpune dovršenosti. · količina 104.4 · oznaka H13.1)</t>
        </r>
      </text>
    </comment>
    <comment ref="R132" authorId="0" shapeId="0" xr:uid="{00000000-0006-0000-0700-000020000000}">
      <text>
        <r>
          <rPr>
            <sz val="11"/>
            <color theme="1"/>
            <rFont val="Calibri"/>
            <family val="2"/>
            <charset val="238"/>
            <scheme val="minor"/>
          </rPr>
          <t>GLAVA (glavna stavka):
— nema —
STAVKA (podstavka):
Količina keramike za rastur (škart) prema shemi polaganja iz projekta. Navedena količina je pretpostavljena (10%), izvođač si je dužan provjeriti količinu za rastur prilikom davanja ponude, koja nakon ugovaranja posla postaje fiksna.
———
Ako je gore TOČNO — preskoči.
Ako nije — ispravi tekst u ovom komentaru.
(jmj Količina keramike za rastur (škart) prema shemi polaganja iz projekta. Navedena količina je pretpostavljena (10%), izvođač si je dužan provjeriti količinu za rastur prilikom davanja ponude, koja nakon ugovaranja posla postaje fiksna. · količina 10.440000000000001 · oznaka H13.2)</t>
        </r>
      </text>
    </comment>
    <comment ref="R133" authorId="0" shapeId="0" xr:uid="{00000000-0006-0000-0700-000021000000}">
      <text>
        <r>
          <rPr>
            <sz val="11"/>
            <color theme="1"/>
            <rFont val="Calibri"/>
            <family val="2"/>
            <charset val="238"/>
            <scheme val="minor"/>
          </rPr>
          <t>GLAVA (glavna stavka):
POSTAVLJANJE PODNE KERAMIKE (prizemlja) Tip i boja ker. pločice za pod: vidi specifikaciju Referentni broj prema nacrtu i knjizi specikacija: M T&amp;F 02 Dimenzije formata: debljina: 9 mm
STAVKA (podstavka):
Keramika za predaju investitoru - 2%
———
Ako je gore TOČNO — preskoči.
Ako nije — ispravi tekst u ovom komentaru.
(jmj Keramika za predaju investitoru - 2% · količina 2.088 · oznaka H13.3)</t>
        </r>
      </text>
    </comment>
    <comment ref="R138" authorId="0" shapeId="0" xr:uid="{00000000-0006-0000-0700-000022000000}">
      <text>
        <r>
          <rPr>
            <sz val="11"/>
            <color theme="1"/>
            <rFont val="Calibri"/>
            <family val="2"/>
            <charset val="238"/>
            <scheme val="minor"/>
          </rPr>
          <t>GLAVA (glavna stavka):
POSTAVLJANJE KAMENOG SOKLA Tip i boja sokla: vidi specifikaciju Referentni broj prema nacrtu i knjizi specikacija: R T&amp;F
STAVKA (podstavka):
Obračun po m' izvedene površine do završetka.
———
Ako je gore TOČNO — preskoči.
Ako nije — ispravi tekst u ovom komentaru.
(jmj Obračun po m' izvedene površine do završetka. · količina 26.75 · oznaka H14)</t>
        </r>
      </text>
    </comment>
    <comment ref="R143" authorId="0" shapeId="0" xr:uid="{00000000-0006-0000-0700-000023000000}">
      <text>
        <r>
          <rPr>
            <sz val="11"/>
            <color theme="1"/>
            <rFont val="Calibri"/>
            <family val="2"/>
            <charset val="238"/>
            <scheme val="minor"/>
          </rPr>
          <t>GLAVA (glavna stavka):
POSTAVLJANJE NOVIH VANJSKIH KAMENIH KLUPČICA Dobava i ugradnja unutarnjih kamenih klupčica od ploča impregniranog poliranog kamena, širine cca 22-24cm, debljine 2cm ljepljene bijelim fleksibilnim građevinskim ljepilom s okapnicom s donje strane. Stavka uključuje min. prepust od 3cm i poliranje oba čela klupčica. Referentni broj prema nacrtu i knjizi specikacija: R T&amp;F 15
STAVKA (podstavka):
Obračun po m' izvedene površine do završetka.
———
Ako je gore TOČNO — preskoči.
Ako nije — ispravi tekst u ovom komentaru.
(jmj Obračun po m' izvedene površine do završetka. · količina 84.49999999999999 · oznaka H15)</t>
        </r>
      </text>
    </comment>
    <comment ref="R148" authorId="0" shapeId="0" xr:uid="{00000000-0006-0000-0700-000024000000}">
      <text>
        <r>
          <rPr>
            <sz val="11"/>
            <color theme="1"/>
            <rFont val="Calibri"/>
            <family val="2"/>
            <charset val="238"/>
            <scheme val="minor"/>
          </rPr>
          <t>GLAVA (glavna stavka):
POSTAVLJANJE NOVIH UNUTARNJIH KAMENIH KLUPČICA Dobava i ugradnja unutarnjih kamenih klupčica od ploča poliranog kamena, širine cca 19-21cm, debljine 2cm ljepljene bijelim fleksibilnim građevinskim ljepilom. Stavka uključuje min. prepust od 3cm i poliranje oba čela klupčica. Referentni broj prema nacrtu i knjizi specikacija: R T&amp;F 14 —  Keramičarski i kamenarski radovi Keramičarski i kamenarski radovi ukupno za 5 zgrada tipa B: Opis
STAVKA (podstavka):
Obračun po m' izvedene površine do završetka.
———
Ako je gore TOČNO — preskoči.
Ako nije — ispravi tekst u ovom komentaru.
(jmj Obračun po m' izvedene površine do završetka. · količina 38.0 · oznaka H16)</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zbuka-agent (čitač)</author>
  </authors>
  <commentList>
    <comment ref="R18" authorId="0" shapeId="0" xr:uid="{00000000-0006-0000-0800-000001000000}">
      <text>
        <r>
          <rPr>
            <sz val="11"/>
            <color theme="1"/>
            <rFont val="Calibri"/>
            <family val="2"/>
            <charset val="238"/>
            <scheme val="minor"/>
          </rPr>
          <t>GLAVA (glavna stavka):
IZRAVNAVANJE I KRPANJE PUKOTINA TE PRIPREMA PODNE PODLOGE Dobava, dostava materijala za izvedbu poravnanja i krpanja pukotina i ostalih oštećenja, nivelir masom u debljini 2-10mm, nastalih prilikom izvedbe radova rušenja i demontaže. Iznimno u debljini do 20mm, ukoliko su oštećenja bila značajna (potrebna potvrda nadzornog inženjera). Također u stavku uključiti i završno zaglađivanje površine i brušenje kao priprema za apliciranje završne obloge. Obračun po m2 do kompletnog završetka.
STAVKA (podstavka):
Pod - suhi prostori
———
Ako je gore TOČNO — preskoči.
Ako nije — ispravi tekst u ovom komentaru.
(jmj Pod - suhi prostori · količina 56.0 · oznaka C3)</t>
        </r>
      </text>
    </comment>
    <comment ref="R28" authorId="0" shapeId="0" xr:uid="{00000000-0006-0000-0800-000002000000}">
      <text>
        <r>
          <rPr>
            <sz val="11"/>
            <color theme="1"/>
            <rFont val="Calibri"/>
            <family val="2"/>
            <charset val="238"/>
            <scheme val="minor"/>
          </rPr>
          <t>GLAVA (glavna stavka):
LVT PODOVI (sobe) Tip i boja : vidi specifikaciju Referentni broj prema nacrtu i knjizi specikacija: R T&amp;F 01 Dimenzije formata: 24×152 cm debljina: 2,5 mm
STAVKA (podstavka):
Obračun po m2 izvedene površine do završetka.
———
Ako je gore TOČNO — preskoči.
Ako nije — ispravi tekst u ovom komentaru.
(jmj Obračun po m2 izvedene površine do završetka. · količina 225.89999999999998 · oznaka I1.1)</t>
        </r>
      </text>
    </comment>
    <comment ref="R29" authorId="0" shapeId="0" xr:uid="{00000000-0006-0000-0800-000003000000}">
      <text>
        <r>
          <rPr>
            <sz val="11"/>
            <color theme="1"/>
            <rFont val="Calibri"/>
            <family val="2"/>
            <charset val="238"/>
            <scheme val="minor"/>
          </rPr>
          <t>GLAVA (glavna stavka):
— nema —
STAVKA (podstavka):
Količina LVT obloge za rastur (škart) prema shemi polaganja iz projekta. Navedena količina je pretpostavljane (10%), izvođač si je dužan provjeriti količinu za rastur prilikom davanja ponude, koja nakon ugovaranja posla postaje fiksna.
———
Ako je gore TOČNO — preskoči.
Ako nije — ispravi tekst u ovom komentaru.
(jmj Količina LVT obloge za rastur (škart) prema shemi polaganja iz projekta. Navedena količina je pretpostavljane (10%), izvođač si je dužan provjeriti količinu za rastur prilikom davanja ponude, koja nakon ugovaranja posla postaje fiksna. · količina 22.590000000000003 · oznaka I1.2)</t>
        </r>
      </text>
    </comment>
    <comment ref="R30" authorId="0" shapeId="0" xr:uid="{00000000-0006-0000-0800-000004000000}">
      <text>
        <r>
          <rPr>
            <sz val="11"/>
            <color theme="1"/>
            <rFont val="Calibri"/>
            <family val="2"/>
            <charset val="238"/>
            <scheme val="minor"/>
          </rPr>
          <t>GLAVA (glavna stavka):
LVT PODOVI (sobe) Tip i boja : vidi specifikaciju Referentni broj prema nacrtu i knjizi specikacija: R T&amp;F 01 Dimenzije formata: 24×152 cm debljina: 2,5 mm
STAVKA (podstavka):
LVT obloga za predaju investitoru - 2%
———
Ako je gore TOČNO — preskoči.
Ako nije — ispravi tekst u ovom komentaru.
(jmj LVT obloga za predaju investitoru - 2% · količina 4.518 · oznaka I1.3)</t>
        </r>
      </text>
    </comment>
    <comment ref="R37" authorId="0" shapeId="0" xr:uid="{00000000-0006-0000-0800-000005000000}">
      <text>
        <r>
          <rPr>
            <sz val="11"/>
            <color theme="1"/>
            <rFont val="Calibri"/>
            <family val="2"/>
            <charset val="238"/>
            <scheme val="minor"/>
          </rPr>
          <t>GLAVA (glavna stavka):
PODNE POKRIVNE KUTNE LETVICE Dobava, dostava materijala i ugradnja pokrivnih letvica na spoju završne podne obloge i zida u sobama. Podna kutna letvica od profilirane MDF lajsne postaviti ljepljenjem (silikonom), odnosno prema uputama proizvođača. Referentni broj prema nacrtu i knjizi specikacija: R T&amp;F 03 Dimenzije formata: H80mm, deblj.18mm
STAVKA (podstavka):
Obračun po m' izvedene površine do završetka.
———
Ako je gore TOČNO — preskoči.
Ako nije — ispravi tekst u ovom komentaru.
(jmj Obračun po m' izvedene površine do završetka. · količina 449.80000000000007 · oznaka I2.1)</t>
        </r>
      </text>
    </comment>
    <comment ref="R38" authorId="0" shapeId="0" xr:uid="{00000000-0006-0000-0800-000006000000}">
      <text>
        <r>
          <rPr>
            <sz val="11"/>
            <color theme="1"/>
            <rFont val="Calibri"/>
            <family val="2"/>
            <charset val="238"/>
            <scheme val="minor"/>
          </rPr>
          <t>GLAVA (glavna stavka):
— nema —
STAVKA (podstavka):
Količina letvica za rastur (škart) prema shemi polaganja iz projekta. Navedena količina je pretpostavljane (10%), izvođač si je dužan provjeriti količinu za rastur prilikom davanja ponude, koja nakon ugovaranja posla postaje fiksna.
———
Ako je gore TOČNO — preskoči.
Ako nije — ispravi tekst u ovom komentaru.
(jmj Količina letvica za rastur (škart) prema shemi polaganja iz projekta. Navedena količina je pretpostavljane (10%), izvođač si je dužan provjeriti količinu za rastur prilikom davanja ponude, koja nakon ugovaranja posla postaje fiksna. · količina 44.98 · oznaka I2.2)</t>
        </r>
      </text>
    </comment>
    <comment ref="R39" authorId="0" shapeId="0" xr:uid="{00000000-0006-0000-0800-000007000000}">
      <text>
        <r>
          <rPr>
            <sz val="11"/>
            <color theme="1"/>
            <rFont val="Calibri"/>
            <family val="2"/>
            <charset val="238"/>
            <scheme val="minor"/>
          </rPr>
          <t>GLAVA (glavna stavka):
PODNE POKRIVNE KUTNE LETVICE Dobava, dostava materijala i ugradnja pokrivnih letvica na spoju završne podne obloge i zida u sobama. Podna kutna letvica od profilirane MDF lajsne postaviti ljepljenjem (silikonom), odnosno prema uputama proizvođača. Referentni broj prema nacrtu i knjizi specikacija: R T&amp;F 03 Dimenzije formata: H80mm, deblj.18mm —  Podopolagački radovi Podopolagački radovi ukupno za 5 zgrada tipa B: Opis
STAVKA (podstavka):
Letvice za predaju investitoru - 2%
———
Ako je gore TOČNO — preskoči.
Ako nije — ispravi tekst u ovom komentaru.
(jmj Letvice za predaju investitoru - 2% · količina 8.996 · oznaka I2.3)</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zbuka-agent (čitač)</author>
  </authors>
  <commentList>
    <comment ref="R26" authorId="0" shapeId="0" xr:uid="{00000000-0006-0000-0900-000001000000}">
      <text>
        <r>
          <rPr>
            <sz val="11"/>
            <color theme="1"/>
            <rFont val="Calibri"/>
            <family val="2"/>
            <charset val="238"/>
            <scheme val="minor"/>
          </rPr>
          <t>GLAVA (glavna stavka):
STAKLENA OGRADA Dobava, dostava i montaža vanjske staklene ograde na AB nadozid. Ograda je izvedena od stakla debljine 2x12mm i visine stakla 97cm, ukupne visine od poda 110cm. Staklo s dvostrukom ili četverostrukom folijom, jedna ploča kaljena, druga polukaljena. Staklo je pričvršćeno duž donjeg ruba standardnim sluminijskim profilom visine cca 125mm, ustakljeno profilima od EPDM-a. Aluminijski profili su pričvršćeni bočno u AB nadozid. Aluminijski profil plastificiran u boju po izboru projektanta. U stavku uključen nosač ograde, staklo i sve pričvrsnice i potrebne brtve za pravilno postavljanje ograde. Ugradnja po uputi proizvođača.
STAVKA (podstavka):
Obračun po m' do kompletnog završetka.
———
Ako je gore TOČNO — preskoči.
Ako nije — ispravi tekst u ovom komentaru.
(jmj Obračun po m' do kompletnog završetka. · količina 105.75 · oznaka J2.2)</t>
        </r>
      </text>
    </comment>
    <comment ref="R35" authorId="0" shapeId="0" xr:uid="{00000000-0006-0000-0900-000002000000}">
      <text>
        <r>
          <rPr>
            <sz val="11"/>
            <color theme="1"/>
            <rFont val="Calibri"/>
            <family val="2"/>
            <charset val="238"/>
            <scheme val="minor"/>
          </rPr>
          <t>GLAVA (glavna stavka):
STAKLENA STIJENA TUŠA/TUŠ-KADE Dobava, izrada, prijevoz i ugradnja unutarnjih staklene stijene tuša. Sastoji se od kaljenog stakla, transparentnog (Ultra Clear), debljine 10mm, u presjeku opremljen aluminijskim profilima. Profili su eloksirani (u boji prema izboru projektanta), što omogućava trajnu zaštitu od korozije. U stavku uključena i aluminijska šipka koja služi kao ukruta stijene do zida. Prije narudžbe na objektu je potrebno uzeti točne mjere. U stavci uključeno i silikoniranje spojeva. Stavka uključuje pričvrsni, brtveni i spojni materijal potreban za ugradnju. U knjizi specifikacija i nacrtima pod šifrom: Obračun po komadu do završetka.
STAVKA (podstavka):
staklena stijena tuša R SJ 20, dim.
———
Ako je gore TOČNO — preskoči.
Ako nije — ispravi tekst u ovom komentaru.
(jmj staklena stijena tuša R SJ 20, dim. · količina 7.0 · oznaka J3.1)</t>
        </r>
      </text>
    </comment>
    <comment ref="R36" authorId="0" shapeId="0" xr:uid="{00000000-0006-0000-0900-000003000000}">
      <text>
        <r>
          <rPr>
            <sz val="11"/>
            <color theme="1"/>
            <rFont val="Calibri"/>
            <family val="2"/>
            <charset val="238"/>
            <scheme val="minor"/>
          </rPr>
          <t>GLAVA (glavna stavka):
STAKLENA STIJENA TUŠA/TUŠ-KADE Dobava, izrada, prijevoz i ugradnja unutarnjih staklene stijene tuša. Sastoji se od kaljenog stakla, transparentnog (Ultra Clear), debljine 10mm, u presjeku opremljen aluminijskim profilima. Profili su eloksirani (u boji prema izboru projektanta), što omogućava trajnu zaštitu od korozije. U stavku uključena i aluminijska šipka koja služi kao ukruta stijene do zida. Prije narudžbe na objektu je potrebno uzeti točne mjere. U stavci uključeno i silikoniranje spojeva. Stavka uključuje pričvrsni, brtveni i spojni materijal potreban za ugradnju. U knjizi specifikacija i nacrtima pod šifrom: Obračun po komadu do završetka.
STAVKA (podstavka):
staklena stijena tuša R SJ 20a, dim.
———
Ako je gore TOČNO — preskoči.
Ako nije — ispravi tekst u ovom komentaru.
(jmj staklena stijena tuša R SJ 20a, dim. · količina 1.0 · oznaka J3.1)</t>
        </r>
      </text>
    </comment>
    <comment ref="R37" authorId="0" shapeId="0" xr:uid="{00000000-0006-0000-0900-000004000000}">
      <text>
        <r>
          <rPr>
            <sz val="11"/>
            <color theme="1"/>
            <rFont val="Calibri"/>
            <family val="2"/>
            <charset val="238"/>
            <scheme val="minor"/>
          </rPr>
          <t>GLAVA (glavna stavka):
STAKLENA STIJENA TUŠA/TUŠ-KADE Dobava, izrada, prijevoz i ugradnja unutarnjih staklene stijene tuša. Sastoji se od kaljenog stakla, transparentnog (Ultra Clear), debljine 10mm, u presjeku opremljen aluminijskim profilima. Profili su eloksirani (u boji prema izboru projektanta), što omogućava trajnu zaštitu od korozije. U stavku uključena i aluminijska šipka koja služi kao ukruta stijene do zida. Prije narudžbe na objektu je potrebno uzeti točne mjere. U stavci uključeno i silikoniranje spojeva. Stavka uključuje pričvrsni, brtveni i spojni materijal potreban za ugradnju. U knjizi specifikacija i nacrtima pod šifrom: Obračun po komadu do završetka.
STAVKA (podstavka):
staklena stijena tuša R SJ 20b, dim.
———
Ako je gore TOČNO — preskoči.
Ako nije — ispravi tekst u ovom komentaru.
(jmj staklena stijena tuša R SJ 20b, dim. · količina 8.0 · oznaka J3.1)</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zbuka-agent (čitač)</author>
  </authors>
  <commentList>
    <comment ref="R27" authorId="0" shapeId="0" xr:uid="{00000000-0006-0000-0A00-000001000000}">
      <text>
        <r>
          <rPr>
            <sz val="11"/>
            <color theme="1"/>
            <rFont val="Calibri"/>
            <family val="2"/>
            <charset val="238"/>
            <scheme val="minor"/>
          </rPr>
          <t>GLAVA (glavna stavka):
MASKA NA ULAZU U ZGRADU Dobava, dostava i montaža vanjske maske na ulazu u zgradu. Stavku napraviti po bravarskoj shemi: B 0 Obračun po komadu do kompletnog završetka.
STAVKA (podstavka):
Tip B
———
Ako je gore TOČNO — preskoči.
Ako nije — ispravi tekst u ovom komentaru.
(jmj Tip B · količina 1.0 · oznaka J2.1)</t>
        </r>
      </text>
    </comment>
    <comment ref="R33" authorId="0" shapeId="0" xr:uid="{00000000-0006-0000-0A00-000002000000}">
      <text>
        <r>
          <rPr>
            <sz val="11"/>
            <color theme="1"/>
            <rFont val="Calibri"/>
            <family val="2"/>
            <charset val="238"/>
            <scheme val="minor"/>
          </rPr>
          <t>GLAVA (glavna stavka):
STAKLENA OGRADA Dobava, dostava i montaža vanjske staklene ograde na AB nadozid. Ograda je izvedena od stakla debljine 2x12mm i visine stakla 97cm, ukupne visine od poda 110cm. Staklo s dvostrukom ili četverostrukom folijom, jedna ploča kaljena, druga polukaljena. Staklo je pričvršćeno duž donjeg ruba standardnim sluminijskim profilom visine cca 125mm, ustakljeno profilima od EPDM-a. Aluminijski profili su pričvršćeni bočno u AB nadozid. Aluminijski profil plastificiran u boju po izboru projektanta. U stavku uključen nosač ograde, staklo i sve pričvrsnice i potrebne brtve za pravilno postavljanje ograde. Ugradnja po uputi proizvođača.
STAVKA (podstavka):
Obračun po m' do kompletnog završetka.
———
Ako je gore TOČNO — preskoči.
Ako nije — ispravi tekst u ovom komentaru.
(jmj Obračun po m' do kompletnog završetka. · količina 105.75 · oznaka J2.2)</t>
        </r>
      </text>
    </comment>
    <comment ref="R39" authorId="0" shapeId="0" xr:uid="{00000000-0006-0000-0A00-000003000000}">
      <text>
        <r>
          <rPr>
            <sz val="11"/>
            <color theme="1"/>
            <rFont val="Calibri"/>
            <family val="2"/>
            <charset val="238"/>
            <scheme val="minor"/>
          </rPr>
          <t>GLAVA (glavna stavka):
METALNA OGRADA Dobava, dostava i montaža vanjske metalne ograde na betonski nadozid. U stavku uključene i sve pričvrsnice i potrebne brtve za pravilno postavljanje ograde. Ugradnja po uputi proizvođača.
STAVKA (podstavka):
Obračun po m' do kompletnog završetka.
———
Ako je gore TOČNO — preskoči.
Ako nije — ispravi tekst u ovom komentaru.
(jmj Obračun po m' do kompletnog završetka. · količina 35.7 · oznaka J2.3)</t>
        </r>
      </text>
    </comment>
    <comment ref="R43" authorId="0" shapeId="0" xr:uid="{00000000-0006-0000-0A00-000004000000}">
      <text>
        <r>
          <rPr>
            <sz val="11"/>
            <color theme="1"/>
            <rFont val="Calibri"/>
            <family val="2"/>
            <charset val="238"/>
            <scheme val="minor"/>
          </rPr>
          <t>GLAVA (glavna stavka):
ČELIČNI PRIHVATNI PROFIL ZA KLIZNE STIJENE Dobava, dostava i montaža čelične cijevi pravokutnog presjeka 100x80mm i 100x50mm kao prihvat za nove staklene stijene. Sve prema detalju.
STAVKA (podstavka):
Obračun po m' do kompletnog završetka.
———
Ako je gore TOČNO — preskoči.
Ako nije — ispravi tekst u ovom komentaru.
(jmj Obračun po m' do kompletnog završetka. · količina 43.3 · oznaka J2.4)</t>
        </r>
      </text>
    </comment>
    <comment ref="R47" authorId="0" shapeId="0" xr:uid="{00000000-0006-0000-0A00-000005000000}">
      <text>
        <r>
          <rPr>
            <sz val="11"/>
            <color theme="1"/>
            <rFont val="Calibri"/>
            <family val="2"/>
            <charset val="238"/>
            <scheme val="minor"/>
          </rPr>
          <t>GLAVA (glavna stavka):
VANJSKA TENDA Izrada, dobava i ugradnja kazetne tende s mogućnosti podešavanja nagiba kao HELLA tip C2 ili jednakovrijedni. Izrađena od ekstrudiranog aluminijskog profila sa završnim kapama od tlačno lijevanog aluminija s zglobnim rukama, završna obrada u RAL prema odabiru projektanta. U cijeni stavke uključena namotajna cijev platna izrađena od čelika Ø78mm, konzolni nosači, i izbačajni profil. U cijeni uključen motorni pogon pomoću cjevastog motora s isključivanjem momenta umetnut u osovinu tkanine. Kontrola uz pomoć daljinskog upravljača. Svi moduli se povezuju u seriju.
STAVKA (podstavka):
Obračun po m' do kompletnog završetka.
———
Ako je gore TOČNO — preskoči.
Ako nije — ispravi tekst u ovom komentaru.
(jmj Obračun po m' do kompletnog završetka. · količina 20.0 · oznaka J2.5)</t>
        </r>
      </text>
    </comment>
    <comment ref="R60" authorId="0" shapeId="0" xr:uid="{00000000-0006-0000-0A00-000006000000}">
      <text>
        <r>
          <rPr>
            <sz val="11"/>
            <color theme="1"/>
            <rFont val="Calibri"/>
            <family val="2"/>
            <charset val="238"/>
            <scheme val="minor"/>
          </rPr>
          <t>GLAVA (glavna stavka):
STAKLENA STIJENA TUŠA/TUŠ-KADE Dobava, izrada, prijevoz i ugradnja unutarnjih staklene stijene tuša. Sastoji se od kaljenog stakla, transparentnog (Ultra Clear), debljine 10mm, u presjeku opremljen aluminijskim profilima. Profili su eloksirani (u boji prema izboru projektanta), što omogućava trajnu zaštitu od korozije. U stavku uključena i aluminijska šipka koja služi kao ukruta stijene do zida. Prije narudžbe na objektu je potrebno uzeti točne mjere. U stavci uključeno i silikoniranje spojeva. Stavka uključuje pričvrsni, brtveni i spojni materijal potreban za ugradnju. U knjizi specifikacija i nacrtima pod šifrom: Obračun po komadu do završetka.
STAVKA (podstavka):
staklena stijena tuša R SJ 20, dim.
———
Ako je gore TOČNO — preskoči.
Ako nije — ispravi tekst u ovom komentaru.
(jmj staklena stijena tuša R SJ 20, dim. · količina 7.0 · oznaka J3.1)</t>
        </r>
      </text>
    </comment>
    <comment ref="R61" authorId="0" shapeId="0" xr:uid="{00000000-0006-0000-0A00-000007000000}">
      <text>
        <r>
          <rPr>
            <sz val="11"/>
            <color theme="1"/>
            <rFont val="Calibri"/>
            <family val="2"/>
            <charset val="238"/>
            <scheme val="minor"/>
          </rPr>
          <t>GLAVA (glavna stavka):
STAKLENA STIJENA TUŠA/TUŠ-KADE Dobava, izrada, prijevoz i ugradnja unutarnjih staklene stijene tuša. Sastoji se od kaljenog stakla, transparentnog (Ultra Clear), debljine 10mm, u presjeku opremljen aluminijskim profilima. Profili su eloksirani (u boji prema izboru projektanta), što omogućava trajnu zaštitu od korozije. U stavku uključena i aluminijska šipka koja služi kao ukruta stijene do zida. Prije narudžbe na objektu je potrebno uzeti točne mjere. U stavci uključeno i silikoniranje spojeva. Stavka uključuje pričvrsni, brtveni i spojni materijal potreban za ugradnju. U knjizi specifikacija i nacrtima pod šifrom: Obračun po komadu do završetka.
STAVKA (podstavka):
staklena stijena tuša R SJ 20a, dim.
———
Ako je gore TOČNO — preskoči.
Ako nije — ispravi tekst u ovom komentaru.
(jmj staklena stijena tuša R SJ 20a, dim. · količina 1.0 · oznaka J3.1)</t>
        </r>
      </text>
    </comment>
    <comment ref="R62" authorId="0" shapeId="0" xr:uid="{00000000-0006-0000-0A00-000008000000}">
      <text>
        <r>
          <rPr>
            <sz val="11"/>
            <color theme="1"/>
            <rFont val="Calibri"/>
            <family val="2"/>
            <charset val="238"/>
            <scheme val="minor"/>
          </rPr>
          <t>GLAVA (glavna stavka):
STAKLENA STIJENA TUŠA/TUŠ-KADE Dobava, izrada, prijevoz i ugradnja unutarnjih staklene stijene tuša. Sastoji se od kaljenog stakla, transparentnog (Ultra Clear), debljine 10mm, u presjeku opremljen aluminijskim profilima. Profili su eloksirani (u boji prema izboru projektanta), što omogućava trajnu zaštitu od korozije. U stavku uključena i aluminijska šipka koja služi kao ukruta stijene do zida. Prije narudžbe na objektu je potrebno uzeti točne mjere. U stavci uključeno i silikoniranje spojeva. Stavka uključuje pričvrsni, brtveni i spojni materijal potreban za ugradnju. U knjizi specifikacija i nacrtima pod šifrom: Obračun po komadu do završetka.
STAVKA (podstavka):
staklena stijena tuša R SJ 20b, dim.
———
Ako je gore TOČNO — preskoči.
Ako nije — ispravi tekst u ovom komentaru.
(jmj staklena stijena tuša R SJ 20b, dim. · količina 8.0 · oznaka J3.1)</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zbuka-agent (čitač)</author>
  </authors>
  <commentList>
    <comment ref="P31" authorId="0" shapeId="0" xr:uid="{00000000-0006-0000-0B00-000001000000}">
      <text>
        <r>
          <rPr>
            <sz val="11"/>
            <color theme="1"/>
            <rFont val="Calibri"/>
            <family val="2"/>
            <charset val="238"/>
            <scheme val="minor"/>
          </rPr>
          <t>GLAVA (glavna stavka):
Izvedba novih rubni horizontalnih serklaža
STAVKA (podstavka):
Stavka se odnosi na izvedbu stabilizacije bočnih zidova izvedbom novih horizontalnih serklaža. Pažljivo izvođenje kampada za nove serklaže u širini od 100cm s dodatnih 50cm za preklop armature kako bi se izbjegla potreba za podupiranjem zida. Kampade dimenzija 15x15cm Sve izvoditi prema detaljnim uputama opisanim u Projektu građevinske konstrukcije.
———
Ako je gore TOČNO — preskoči.
Ako nije — ispravi tekst u ovom komentaru.
(jmj Stavka se odnosi na izvedbu stabilizacije bočnih zidova izvedbom novih horizontalnih serklaža.
Pažljivo izvođenje kampada za nove serklaže u širini od 100cm s dodatnih 50cm za preklop armature kako bi se izbjegla potreba za podupiranjem zida.
Kampade dimenzija 15x15cm  
Sve izvoditi prema detaljnim uputama opisanim u Projektu građevinske konstrukcije. · količina 349.0 · oznaka A6.)</t>
        </r>
      </text>
    </comment>
    <comment ref="P34" authorId="0" shapeId="0" xr:uid="{00000000-0006-0000-0B00-000002000000}">
      <text>
        <r>
          <rPr>
            <sz val="11"/>
            <color theme="1"/>
            <rFont val="Calibri"/>
            <family val="2"/>
            <charset val="238"/>
            <scheme val="minor"/>
          </rPr>
          <t>GLAVA (glavna stavka):
Izvedba novih vertikalnih serklaža
STAVKA (podstavka):
Stavka se odnosi na izvedbu novih vertikalnih serklaža na sudaru zabatnih zidova ako ih na tim mjestima nema. Pažljiva izrada utora u uglovima zidova od opeke dubine cca 15-20cm u širini od cca 30cm od unutarnjeg ugla zida za izvođenje novih vertikalnih serklaža. Stavkom obuhvaćena sva potrebna oplata. Sve izvoditi prema detaljnim uputama opisanim u Projektu građevinske konstrukcije.
———
Ako je gore TOČNO — preskoči.
Ako nije — ispravi tekst u ovom komentaru.
(jmj Stavka se odnosi na izvedbu novih vertikalnih serklaža na sudaru zabatnih zidova ako ih na tim mjestima nema.
Pažljiva izrada utora u uglovima zidova od opeke dubine cca 15-20cm u širini od cca 30cm od unutarnjeg ugla zida za izvođenje novih vertikalnih serklaža.
Stavkom obuhvaćena sva potrebna oplata.
Sve izvoditi prema detaljnim uputama opisanim u Projektu građevinske konstrukcije. · količina 132.0 · oznaka A7.)</t>
        </r>
      </text>
    </comment>
    <comment ref="P38" authorId="0" shapeId="0" xr:uid="{00000000-0006-0000-0B00-000003000000}">
      <text>
        <r>
          <rPr>
            <sz val="11"/>
            <color theme="1"/>
            <rFont val="Calibri"/>
            <family val="2"/>
            <charset val="238"/>
            <scheme val="minor"/>
          </rPr>
          <t>GLAVA (glavna stavka):
Izvedba novih vanjskih stupova i podrožnice Stavka se odnosi na kompletno pročelje radi kombinacije dotrajalih stupova i podrožnica koje u kombinaciji zahtijevaju kompletnu zamjenu. Pažljivo rušenje postojećih AB stupova promjera 30cm i visine 200-300cm s podupiranjem postojećih rogova. Pažljiva demontaža postojeće podrožnice. Izvedba dobava i montaža novih plastificiranih čeličnih stupova dimenzija 120x120x4mm sa sidrenom pločom 140x200x8mm i 'U' papučom 120x140x5mm, S235 za prihvat nove podrožnice. Stup plastificiran u RAL 9010. Stup se sidri preko sidrene ploče u novi AB parapetnih zid sa sidrenim vijcima za beton Wuerth W-FAZ PRO/S M10. Stavkom je uključena izrada radioničke dokumentacije za nove stupove. Dobava i montaža nove krovne konstrukcije koja se sastoji od podrožnice dimenzija 12/16cm duljine 8-10m'. Vidljiva drvena građa će se bojati sa Capadur Wetterschutzfarbe NQG u RAL 9010 s prethodnim nanošenjem temeljnog premaza sve prema uputama od proizvođača. Sve izvoditi prema detaljnim uputama opisanim u Projektu građevinske konstrukcije. —  Rušenje postojećih AB stupova 7,9m3 Novi čelični stupovi: l=2,15m' kom 13 Nove podrožnice: l=6,8m' kom 2 l=17m' kom 1
STAVKA (podstavka):
TIP B
———
Ako je gore TOČNO — preskoči.
Ako nije — ispravi tekst u ovom komentaru.
(jmj TIP B · količina 5.0 · oznaka A8.)</t>
        </r>
      </text>
    </comment>
    <comment ref="P48" authorId="0" shapeId="0" xr:uid="{00000000-0006-0000-0B00-000004000000}">
      <text>
        <r>
          <rPr>
            <sz val="11"/>
            <color theme="1"/>
            <rFont val="Calibri"/>
            <family val="2"/>
            <charset val="238"/>
            <scheme val="minor"/>
          </rPr>
          <t>GLAVA (glavna stavka):
Izvedba novih vanjskih stupova i podrožnice Stavka se odnosi na kompletno pročelje radi kombinacije dotrajalih stupova i podrožnica koje u kombinaciji zahtijevaju kompletnu zamjenu. Pažljivo rušenje postojećih AB stupova promjera 30cm i visine 200-300cm s podupiranjem postojećih rogova. Pažljiva demontaža postojeće podrožnice. Izvedba dobava i montaža novih plastificiranih čeličnih stupova dimenzija 120x120x4mm sa sidrenom pločom 140x200x8mm i 'U' papučom 120x140x5mm, S235 za prihvat nove podrožnice. Stup plastificiran u RAL 9010. Stup se sidri preko sidrene ploče u novi AB parapetnih zid sa sidrenim vijcima za beton Wuerth W-FAZ PRO/S M10. Stavkom je uključena izrada radioničke dokumentacije za nove stupove. Dobava i montaža nove krovne konstrukcije koja se sastoji od podrožnice dimenzija 12/16cm duljine 8-10m'. Vidljiva drvena građa će se bojati sa Capadur Wetterschutzfarbe NQG u RAL 9010 s prethodnim nanošenjem temeljnog premaza sve prema uputama od proizvođača. Sve izvoditi prema detaljnim uputama opisanim u Projektu građevinske konstrukcije. Rušenje postojećih AB stupova 11,4m3 Novi čelični stupovi: l=2,75m' kom 6 l=2,25m' kom 8 l=2,05m' kom 6 Nove podrožnice: l=6m' kom 2 l=8m' kom 1 l=7,4m' kom 2 —  Rušenje postojećih AB stupova 7,9m3 Novi čelični stupovi: l=2,15m' kom 13 Nove podrožnice: l=6,8m' kom 2 l=17m' kom 1
STAVKA (podstavka):
TIP C
———
Ako je gore TOČNO — preskoči.
Ako nije — ispravi tekst u ovom komentaru.
(jmj TIP C · količina 6.0 · oznaka A8.)</t>
        </r>
      </text>
    </comment>
    <comment ref="P58" authorId="0" shapeId="0" xr:uid="{00000000-0006-0000-0B00-000005000000}">
      <text>
        <r>
          <rPr>
            <sz val="11"/>
            <color theme="1"/>
            <rFont val="Calibri"/>
            <family val="2"/>
            <charset val="238"/>
            <scheme val="minor"/>
          </rPr>
          <t>GLAVA (glavna stavka):
Sanacija AB istaka Sanacija oštećenih balkona i raznih dotrajalih AB istaka na konstrukciji građevine. Stavka uključuje: - Faza 1 Čišćenje postojećeg betona kako bi se postigla čista površina bez prašine i rastresitog materijala. Oko korodirane armature treba biti očišćeno dovoljno betona kako bi se omogućilo čišćenje armature. Uklanjanje dotrajalih, slabih i oštećenih betonskih dijelova, te čišćenje vidljive armature od hrđe, kamenca, morta, betona i drugih labavih i štetnih materijala pjeskarenjem i ispiranje pod visokim pritiskom do Sa 2 (ISO 8501-1). - Faza 2 Temeljno antikorozivno premazivanje armature uključujući dobavu i dostavu potrebnog premaza - Faza 3 Reprofilacija AB ploče reparaturnim mortom uz predradnje postavljanja veznog mosta (tip proizvoda kao Sika Emaco S488 ili jednakovrijedno) Završna obrada reparaturnog morta. Sve izvoditi prema detaljnim uputama opisanim u Projektu građevinske konstrukcije.
STAVKA (podstavka):
TIP B
———
Ako je gore TOČNO — preskoči.
Ako nije — ispravi tekst u ovom komentaru.
(jmj TIP B · količina 5.0 · oznaka A9.)</t>
        </r>
      </text>
    </comment>
    <comment ref="P59" authorId="0" shapeId="0" xr:uid="{00000000-0006-0000-0B00-000006000000}">
      <text>
        <r>
          <rPr>
            <sz val="11"/>
            <color theme="1"/>
            <rFont val="Calibri"/>
            <family val="2"/>
            <charset val="238"/>
            <scheme val="minor"/>
          </rPr>
          <t>GLAVA (glavna stavka):
Sanacija AB istaka Sanacija oštećenih balkona i raznih dotrajalih AB istaka na konstrukciji građevine. Stavka uključuje: - Faza 1 Čišćenje postojećeg betona kako bi se postigla čista površina bez prašine i rastresitog materijala. Oko korodirane armature treba biti očišćeno dovoljno betona kako bi se omogućilo čišćenje armature. Uklanjanje dotrajalih, slabih i oštećenih betonskih dijelova, te čišćenje vidljive armature od hrđe, kamenca, morta, betona i drugih labavih i štetnih materijala pjeskarenjem i ispiranje pod visokim pritiskom do Sa 2 (ISO 8501-1). - Faza 2 Temeljno antikorozivno premazivanje armature uključujući dobavu i dostavu potrebnog premaza - Faza 3 Reprofilacija AB ploče reparaturnim mortom uz predradnje postavljanja veznog mosta (tip proizvoda kao Sika Emaco S488 ili jednakovrijedno) Završna obrada reparaturnog morta. Sve izvoditi prema detaljnim uputama opisanim u Projektu građevinske konstrukcije.
STAVKA (podstavka):
TIP C
———
Ako je gore TOČNO — preskoči.
Ako nije — ispravi tekst u ovom komentaru.
(jmj TIP C · količina 6.0 · oznaka A9.)</t>
        </r>
      </text>
    </comment>
    <comment ref="P63" authorId="0" shapeId="0" xr:uid="{00000000-0006-0000-0B00-000007000000}">
      <text>
        <r>
          <rPr>
            <sz val="11"/>
            <color theme="1"/>
            <rFont val="Calibri"/>
            <family val="2"/>
            <charset val="238"/>
            <scheme val="minor"/>
          </rPr>
          <t>GLAVA (glavna stavka):
Zamjena oštećenih metalnih papuča Nakon uklanjanja dijela fasade (zasebna stavka u glavnog troškovniku) uz metalne papuče obaviti ispitivanje spoja metalne papuče i same konstrukcije objekta . Prema potrebi stavkom je predviđena zamjena dotrajalih metalnih papuča s novima. Obračun po stvarnom broju zamijenjenih metalnih papuča i prema odobrenju Nadzora. Sve izvoditi prema detaljnim uputama opisanim u Projektu građevinske konstrukcije. —  TIP C
STAVKA (podstavka):
TIP B
———
Ako je gore TOČNO — preskoči.
Ako nije — ispravi tekst u ovom komentaru.
(jmj TIP B · količina 5.0 · oznaka A10.)</t>
        </r>
      </text>
    </comment>
    <comment ref="P68" authorId="0" shapeId="0" xr:uid="{00000000-0006-0000-0B00-000008000000}">
      <text>
        <r>
          <rPr>
            <sz val="11"/>
            <color theme="1"/>
            <rFont val="Calibri"/>
            <family val="2"/>
            <charset val="238"/>
            <scheme val="minor"/>
          </rPr>
          <t>GLAVA (glavna stavka):
Sanacija oštećenih rogova Stavka uključuje dobavu, dostavu i montažu svih elemenata potrebnih za sanaciju oštećenih rogova. Oštećene i ispucale rogove je potrebno sanirati kitom za drvo (tip kao Wuerth Holzkit ili jednakovrijedno). Nakon kitanja rogova se postavljaju novi drveni elementi, b/h=8/14 cm, bočno i povezuju se vijcima ASSY 4 WH Φ12 x200/100mm. Nova bočna drvena građa je duljine istih kao rogovi. Ako su ojačanja na vidljivim dijelovima potrebno je bojati sa Capadur Wetterschutzfarbe NQG u RAL 9010 s prethodnim nanošenjem temeljnog premaza sve prema uputama od proizvođača. Sve izvoditi prema detaljnim uputama opisanim u Projektu građevinske konstrukcije.
STAVKA (podstavka):
Obračun po komadu stvarno izvedenih radova
———
Ako je gore TOČNO — preskoči.
Ako nije — ispravi tekst u ovom komentaru.
(jmj Obračun po komadu stvarno izvedenih radova · količina 26.0 · oznaka A11.)</t>
        </r>
      </text>
    </comment>
    <comment ref="P72" authorId="0" shapeId="0" xr:uid="{00000000-0006-0000-0B00-000009000000}">
      <text>
        <r>
          <rPr>
            <sz val="11"/>
            <color theme="1"/>
            <rFont val="Calibri"/>
            <family val="2"/>
            <charset val="238"/>
            <scheme val="minor"/>
          </rPr>
          <t>GLAVA (glavna stavka):
Sanacija oštećenih podrožnica Stavka uključuje dobavu, dostavu i montažu svih elemenata potrebnih za sanaciju oštećenih podrožnica. Oštećene i ispucale podrožnice je potrebno sanirati kitom za drvo (tip kao Wuerth Holzkit ili jednakovrijedno). Nakon kitanja podrožnica se postavljaju novi drveni elementi, b/h=8/24 cm, bočno i povezuju se vijcima ASSY 4 WH Φ12 x200/100mm. Nova bočna drvena građa je duljine istih kao podrožnice. Ako su ojačanja na vidljivim dijelovima potrebno je bojati sa Capadur Wetterschutzfarbe NQG u RAL 9010 s prethodnim nanošenjem temeljnog premaza sve prema uputama od proizvođača. Sve izvoditi prema detaljnim uputama opisanim u Projektu građevinske konstrukcije.
STAVKA (podstavka):
Obračun po komadu stvarno izvedenih radova
———
Ako je gore TOČNO — preskoči.
Ako nije — ispravi tekst u ovom komentaru.
(jmj Obračun po komadu stvarno izvedenih radova · količina 7.0 · oznaka A12.)</t>
        </r>
      </text>
    </comment>
    <comment ref="P76" authorId="0" shapeId="0" xr:uid="{00000000-0006-0000-0B00-00000A000000}">
      <text>
        <r>
          <rPr>
            <sz val="11"/>
            <color theme="1"/>
            <rFont val="Calibri"/>
            <family val="2"/>
            <charset val="238"/>
            <scheme val="minor"/>
          </rPr>
          <t>GLAVA (glavna stavka):
Sanacija oštećenih nadzidnica Stavka uključuje dobavu, dostavu i montažu svih elemenata potrebnih za sanaciju oštećenih nadzidnica. Oštećene i ispucale nadzidnice je potrebno sanirati kitom za drvo (tip kao Wuerth Holzkit ili jednakovrijedno). Nakon kitanja rogova se postavljaju novi drveni elementi, b/h=8/20 cm, bočno i povezuju se vijcima ASSY 4 WH Φ12 x200/100mm. Nova bočna drvena građa je duljine istih kao nadzidnice. Ako su ojačanja na vidljivim dijelovima potrebno je bojati sa Capadur Wetterschutzfarbe NQG u RAL 9010 s prethodnim nanošenjem temeljnog premaza sve prema uputama od proizvođača. Sve izvoditi prema detaljnim uputama opisanim u Projektu građevinske konstrukcije.
STAVKA (podstavka):
Obračun po komadu stvarno izvedenih radova
———
Ako je gore TOČNO — preskoči.
Ako nije — ispravi tekst u ovom komentaru.
(jmj Obračun po komadu stvarno izvedenih radova · količina 1.0 · oznaka A13.)</t>
        </r>
      </text>
    </comment>
    <comment ref="P79" authorId="0" shapeId="0" xr:uid="{00000000-0006-0000-0B00-00000B000000}">
      <text>
        <r>
          <rPr>
            <sz val="11"/>
            <color theme="1"/>
            <rFont val="Calibri"/>
            <family val="2"/>
            <charset val="238"/>
            <scheme val="minor"/>
          </rPr>
          <t>GLAVA (glavna stavka):
Zamjena nadzidnice
STAVKA (podstavka):
Stavkom obuhvaćena pažljiva demontaža postojećih rogova u širini nadzidnice dimenzija 12/14cm duljine 5,8-6,5m' radi nanove montaže istih (11 komada). Pažljiva demontaža postojećih daski i paropropusne folije u rasponu do susjednog roga koji se ne mijenja, površine cca 78m2. Pažljiva demontaža postojećih letvi i kontraletvi s crijepom površine cca 78m2 Dobava i montaža nove krovne konstrukcije koja se sastoji od nove nadzidnice dimenzija 20/20cm duljine 5,1m'+4,0m'. Postava postojećih rogova na originalne pozicije (11 komada). Dobava i postava novih daski (debljine kao i postojeće) i paropropusne folije u zoni zamjene (stavka uključuje rubni preklop i spoj na postojeću foliju). Dobava i postava letve u dva smjera dimenzija u skladu s postojećom konstrukcijom. Ako su ojačanja na vidljivim dijelovima potrebno je bojati sa Capadur Wetterschutzfarbe NQG u RAL 9010 s prethodnim nanošenjem temeljnog premaza sve prema uputama od proizvođača. Sve izvoditi prema detaljnim uputama opisanim u Projektu građevinske konstrukcije.
———
Ako je gore TOČNO — preskoči.
Ako nije — ispravi tekst u ovom komentaru.
(jmj Stavkom obuhvaćena pažljiva demontaža postojećih rogova u širini nadzidnice dimenzija 12/14cm duljine 5,8-6,5m' radi nanove montaže istih (11 komada).
Pažljiva demontaža postojećih daski i paropropusne folije u rasponu do susjednog roga koji se ne mijenja, površine cca 78m2.
Pažljiva demontaža postojećih letvi i kontraletvi s crijepom površine cca 78m2
Dobava i montaža nove krovne konstrukcije koja se sastoji od nove nadzidnice dimenzija 20/20cm duljine 5,1m'+4,0m'.
Postava postojećih rogova na originalne pozicije (11 komada).
Dobava i postava novih daski (debljine kao i postojeće) i paropropusne folije u zoni zamjene (stavka uključuje rubni preklop i spoj na postojeću foliju).
Dobava i postava letve u dva smjera dimenzija u skladu s postojećom konstrukcijom.
Ako su ojačanja na vidljivim dijelovima potrebno je bojati sa Capadur Wetterschutzfarbe NQG u RAL 9010 s prethodnim nanošenjem temeljnog premaza sve prema uputama od proizvođača.
Sve izvoditi prema detaljnim uputama opisanim u Projektu građevinske konstrukcije. · količina 2.0 · oznaka A14.)</t>
        </r>
      </text>
    </comment>
    <comment ref="P82" authorId="0" shapeId="0" xr:uid="{00000000-0006-0000-0B00-00000C000000}">
      <text>
        <r>
          <rPr>
            <sz val="11"/>
            <color theme="1"/>
            <rFont val="Calibri"/>
            <family val="2"/>
            <charset val="238"/>
            <scheme val="minor"/>
          </rPr>
          <t>GLAVA (glavna stavka):
Oštećenja krovnog vijenca —  Radovi demontaže i konstruktivne sanacije NEPREDVIĐENI RADOVI (VTR 10%)
STAVKA (podstavka):
Stavka se odnosi na sanaciju krovnog vijenca na mjestima oštećenja odnosno odvanjanja od fasade. Nakon izvedbe skele za izvođenje nove fasade ustanoviti će se postojanost vijenca sondiranjem. Radovi sanacije uključuju pažljivu demontažu završne obloge vijenca te rubnog crijepa. Čišćenje postojeće podloge i priprema za postavu aquapanel outdoor, r.š. cca 60cm. Završna obrada u stavci Fasaderskih radova.
———
Ako je gore TOČNO — preskoči.
Ako nije — ispravi tekst u ovom komentaru.
(jmj Stavka se odnosi na sanaciju krovnog vijenca na mjestima oštećenja odnosno odvanjanja od fasade.
Nakon izvedbe skele za izvođenje nove fasade ustanoviti će se postojanost vijenca sondiranjem.
Radovi sanacije uključuju pažljivu demontažu završne obloge vijenca te rubnog crijepa.
Čišćenje postojeće podloge i priprema za postavu aquapanel outdoor, r.š. cca 60cm.
Završna obrada u stavci Fasaderskih radova. · količina 464.0 · oznaka A15.)</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zbuka-agent (čitač)</author>
  </authors>
  <commentList>
    <comment ref="R20" authorId="0" shapeId="0" xr:uid="{00000000-0006-0000-0C00-000001000000}">
      <text>
        <r>
          <rPr>
            <sz val="11"/>
            <color theme="1"/>
            <rFont val="Calibri"/>
            <family val="2"/>
            <charset val="238"/>
            <scheme val="minor"/>
          </rPr>
          <t>GLAVA (glavna stavka):
POPRAVCI POSTOJEĆEG KROVIŠTA NA MJESTIMA UGRADNJE NOVIH PROZORA, ZATVARANJE POSTOJEĆIH I SL. Dobava i montaža drvene krovne konstrukcije kosog krova koja se sastoji od drvenih daski, paropropusne folije (stavka uključuje rubni preklop i spoj na postojeću foliju), letvi u dva smjera dimenzija kao i postojeće. Sve izvedeno prema pravilima struke i dimenzijama sukladnim postojećem stanju. Sva drvena građa crnogorica II. klase, tretirana jednoslojnom lazurom za zaštitu drva na bazi vode kao Remmers Adolit BQ 1. U cijeni stavke obuhvaćen sav vertikalni i horizontalni transport. Svakva uključuje i uklanjanje postojećih dotrajalih elemenata krovišta na mjestima gdje je to potrebnu u suglasnosti s nadzornim inženjerom.
STAVKA (podstavka):
Obračun po m2 do kompletnog završetka (20% tlocrtne projekcije ukupnog krovišta).
———
Ako je gore TOČNO — preskoči.
Ako nije — ispravi tekst u ovom komentaru.
(jmj Obračun po m2 do kompletnog završetka (20% tlocrtne projekcije ukupnog krovišta). · količina 69.60000000000001 · oznaka F2.1)</t>
        </r>
      </text>
    </comment>
    <comment ref="R25" authorId="0" shapeId="0" xr:uid="{00000000-0006-0000-0C00-000002000000}">
      <text>
        <r>
          <rPr>
            <sz val="11"/>
            <color theme="1"/>
            <rFont val="Calibri"/>
            <family val="2"/>
            <charset val="238"/>
            <scheme val="minor"/>
          </rPr>
          <t>GLAVA (glavna stavka):
POKRIVANJE KROVA NOVIM BETONSKIM CRIJEPOM Dobava i pokrivanje krova novim betonskim crijepom u tonu i obliku kao i postojeći. Stavka uključuje dobavu i postavu novog rubnog crijepa na mjestima uklanjanje radi dotrajalosti vijenca. Izvođač je dužan prije postave dostaviti uzorak crijepa na odobrenje. U cijeni stavke obuhvaćen sav vertikalni i horizontalni transport.
STAVKA (podstavka):
Obračun po m2 do kompletnog završetka (30% tlocrtne projekcije ukupnog krovišta).
———
Ako je gore TOČNO — preskoči.
Ako nije — ispravi tekst u ovom komentaru.
(jmj Obračun po m2 do kompletnog završetka (30% tlocrtne projekcije ukupnog krovišta). · količina 104.39999999999999 · oznaka F2.2)</t>
        </r>
      </text>
    </comment>
    <comment ref="R26" authorId="0" shapeId="0" xr:uid="{00000000-0006-0000-0C00-000003000000}">
      <text>
        <r>
          <rPr>
            <sz val="11"/>
            <color theme="1"/>
            <rFont val="Calibri"/>
            <family val="2"/>
            <charset val="238"/>
            <scheme val="minor"/>
          </rPr>
          <t>GLAVA (glavna stavka):
POKRIVANJE KROVA NOVIM BETONSKIM CRIJEPOM Dobava i pokrivanje krova novim betonskim crijepom u tonu i obliku kao i postojeći. Stavka uključuje dobavu i postavu novog rubnog crijepa na mjestima uklanjanje radi dotrajalosti vijenca. Izvođač je dužan prije postave dostaviti uzorak crijepa na odobrenje. U cijeni stavke obuhvaćen sav vertikalni i horizontalni transport.
STAVKA (podstavka):
Obračun po m' do kompletnog završetka.
———
Ako je gore TOČNO — preskoči.
Ako nije — ispravi tekst u ovom komentaru.
(jmj Obračun po m' do kompletnog završetka. · količina 40.0 · oznaka F2.2)</t>
        </r>
      </text>
    </comment>
    <comment ref="R30" authorId="0" shapeId="0" xr:uid="{00000000-0006-0000-0C00-000004000000}">
      <text>
        <r>
          <rPr>
            <sz val="11"/>
            <color theme="1"/>
            <rFont val="Calibri"/>
            <family val="2"/>
            <charset val="238"/>
            <scheme val="minor"/>
          </rPr>
          <t>GLAVA (glavna stavka):
DOBAVA I POSTAVA KAŠIRANA KAMENA VUNA IZNAD GK STROPA Dobava i ugradnja materijala za toplinsku izolaciju. Slobodno polaganje ploča od kamene vune debljine 15cm, kaširane Alu-folijom između rogova i na gk ploče stuštenog stropa.
STAVKA (podstavka):
Obračun po m2 (tlocrtna projekcija) do kompletnog završetka.
———
Ako je gore TOČNO — preskoči.
Ako nije — ispravi tekst u ovom komentaru.
(jmj Obračun po m2 (tlocrtna projekcija) do kompletnog završetka. · količina 244.0 · oznaka F2.3)</t>
        </r>
      </text>
    </comment>
    <comment ref="R34" authorId="0" shapeId="0" xr:uid="{00000000-0006-0000-0C00-000005000000}">
      <text>
        <r>
          <rPr>
            <sz val="11"/>
            <color theme="1"/>
            <rFont val="Calibri"/>
            <family val="2"/>
            <charset val="238"/>
            <scheme val="minor"/>
          </rPr>
          <t>GLAVA (glavna stavka):
ZAVRŠNO ISPITIVANJE NEPROPUSNOSTI CIJELOG KROVA Ispitivanje se vrši nakon završetka svih radova mlazom vode niskoga tlaka prije montaže spuštenog stropa. Ispitivanje vršiti prisustvo nadzornog inženjera u trajanju od najmanje 4h.
STAVKA (podstavka):
Obračun po m2 (tlocrtna projekcija) do kompletnog završetka.
———
Ako je gore TOČNO — preskoči.
Ako nije — ispravi tekst u ovom komentaru.
(jmj Obračun po m2 (tlocrtna projekcija) do kompletnog završetka. · količina 348.0 · oznaka F2.4)</t>
        </r>
      </text>
    </comment>
    <comment ref="R38" authorId="0" shapeId="0" xr:uid="{00000000-0006-0000-0C00-000006000000}">
      <text>
        <r>
          <rPr>
            <sz val="11"/>
            <color theme="1"/>
            <rFont val="Calibri"/>
            <family val="2"/>
            <charset val="238"/>
            <scheme val="minor"/>
          </rPr>
          <t>GLAVA (glavna stavka):
BRUŠENJE POSTOJEĆEG PODGLEDA NADSTREŠNICA Brušenje i čišćenje postojećih drvenih daski. Nakon dobro pripremenjene i očišćene podloge, drvo se štiti jednoslojnim lazurom za zaštitu drva na bazi vode kao Remmers Adolit BQ 1 te se boja s Capadur Wetterschutzfarbe NQG u RAL 9010 s prethodnim nanošenjem temeljnog premaza sve prema uputama od proizvođača.
STAVKA (podstavka):
Obračun po m2 (tlocrtna projekcija) do kompletnog završetka.
———
Ako je gore TOČNO — preskoči.
Ako nije — ispravi tekst u ovom komentaru.
(jmj Obračun po m2 (tlocrtna projekcija) do kompletnog završetka. · količina 45.0 · oznaka F2.5)</t>
        </r>
      </text>
    </comment>
    <comment ref="R42" authorId="0" shapeId="0" xr:uid="{00000000-0006-0000-0C00-000007000000}">
      <text>
        <r>
          <rPr>
            <sz val="11"/>
            <color theme="1"/>
            <rFont val="Calibri"/>
            <family val="2"/>
            <charset val="238"/>
            <scheme val="minor"/>
          </rPr>
          <t>GLAVA (glavna stavka):
KITANJE I LIČENJE POSTOJEĆIH VIDLJIVIH ROGOVA Kitanje vanjskih vidljivih rogova dimenzija 12/14cm, duljine 100-200cm na mjestima oštećenja kitom za drvo (tip kao Wuerth Holzkit ili jednakovrijedno) nakon čega se rogovi bojaju sa Capadur Wetterschutzfarbe NQG u RAL 9010 s prethodnim nanošenjem temeljnog premaza sve prema uputama od proizvođača.
STAVKA (podstavka):
Obračun po komadu do kompletnog završetka.
———
Ako je gore TOČNO — preskoči.
Ako nije — ispravi tekst u ovom komentaru.
(jmj Obračun po komadu do kompletnog završetka. · količina 46.0 · oznaka F2.6)</t>
        </r>
      </text>
    </comment>
  </commentList>
</comments>
</file>

<file path=xl/sharedStrings.xml><?xml version="1.0" encoding="utf-8"?>
<sst xmlns="http://schemas.openxmlformats.org/spreadsheetml/2006/main" count="3032" uniqueCount="1502">
  <si>
    <t>TROŠKOVNIK PROCJENE RADOVA</t>
  </si>
  <si>
    <t>NOVI RESORT, Novi Vinodolski, Hrvatska</t>
  </si>
  <si>
    <t>Informacije o projektu</t>
  </si>
  <si>
    <t>Naziv građevine:</t>
  </si>
  <si>
    <t xml:space="preserve">Novi Resort </t>
  </si>
  <si>
    <t>Naziv zahvata:</t>
  </si>
  <si>
    <t>Preuređenje dijela interijera hotela  "Novi Resort"
IZVEDBENI PROJEKT</t>
  </si>
  <si>
    <t>Lokacija:</t>
  </si>
  <si>
    <t>Novi Vinodolski, 51250, Hrvatska</t>
  </si>
  <si>
    <t>Investitor:</t>
  </si>
  <si>
    <t>NV Adria Complex d.o.o.</t>
  </si>
  <si>
    <t>Masarykova ulica 3</t>
  </si>
  <si>
    <t>Zagreb</t>
  </si>
  <si>
    <t>10000-HR</t>
  </si>
  <si>
    <t>Izradio:</t>
  </si>
  <si>
    <t>Atellior d.o.o.</t>
  </si>
  <si>
    <t>Radnička cesta 39</t>
  </si>
  <si>
    <t>Datum izdavanja:</t>
  </si>
  <si>
    <t>Broj projekta:</t>
  </si>
  <si>
    <t xml:space="preserve">203200000
</t>
  </si>
  <si>
    <t>Revizija:</t>
  </si>
  <si>
    <t>Datum revizije</t>
  </si>
  <si>
    <t>03.06.2025.</t>
  </si>
  <si>
    <t>Novi Resort</t>
  </si>
  <si>
    <t>Troškovnik - Izvedbeni projekt - GOR</t>
  </si>
  <si>
    <t>Revizija br:</t>
  </si>
  <si>
    <t>Baziran na izvedbenom projektu</t>
  </si>
  <si>
    <t>Datum:</t>
  </si>
  <si>
    <t>Napomena: Ukupan prikaz svih radova po objektu</t>
  </si>
  <si>
    <t>Opća napomena:
Ova procjena troškova je procjena troškova projektanta interijera na temelju izvedbenog projekta. Procjena nije obvezujuća. Sve cijene iskazane su bez PDV-a.</t>
  </si>
  <si>
    <t>0.</t>
  </si>
  <si>
    <t>OPĆI UVJETI - GRAĐEVINSKO OBRTNIČKI RADOVI</t>
  </si>
  <si>
    <t>0.0.</t>
  </si>
  <si>
    <t>OPĆI UVIJETI ZA SVE VRSTE RADOVA</t>
  </si>
  <si>
    <t>Sve odredbe ovih uvjeta, koje se dostavljaju u digitalnom obliku, smatraju se sastavnim dijelom opisa svake pojedine stavke ovog troškovnika.Investitor je dužan tijekom građenja osigurati stručni nadzor izvedbe za građevinu u cijelosti i u pojedinim segmentima.Ponuda mora biti izrađena na temelju datih podloga, kompletna i usuglašena s projektom.Svi građevinsko-obrtnički radovi se moraju u potpunosti izvesti prema projektu: nacrtima i detaljima, tehničkom opisu, troškovniku, te važećim propisima i pravilima struke, te pismenim naređenjima, ali sve u okviru ponuđene cijene.Za sve promjene i odstupanja od projekta mora se pribaviti pismena suglasnost projektanta. Eventualne izmjene materijala ili načina izvedbe tijekom gradnje moraju se izvršiti isključivo pismenim dogovorom s projektantom i nadzornim inženjerom. Svi vantroškovnički radovi koji se neće utvrditi na gore opisani način, neće se moći priznati u obračunu.Izvoditelj je dužan prije početka radova proučiti projektnu dokumentaciju na licu mjesta, te izvršiti provjere svih mjera na licu mjesta: kote izvedenog stanja i mjesta nove ugradnje, te u slučaju odstupanja treba pravovremeno obavijestiti i konzultirati projektanta. Ako opis neke stavke dovodi izvoditelja u sumnju o načinu izvedbe, treba pravovremeno tražiti objašnjenje od projektanta. Sva kontrola se vrši bez posebne naplate.</t>
  </si>
  <si>
    <t>Izvoditelj je obvezan putem dnevnika registrirati sve izmjene i eventualna odstupanja od projekta, a po dovršetku gradnje obvezan je predati investitoru projekt izvedenog stanja objekta, koji se sastoji od arhitektonsko-građevnog projekta, te svih projekata u kojima je došlo do izmjene.Sav materijal koji se upotrebljava mora odgovarati Hrvatskim standardima i propisanoj kvaliteti. Za sve elemente koji se ugrađuju potrebna je izmjera na objektu. Po donošenju materijala na gradilište, uz poziv izvoditelja, pregled materijala obavit će nadzorni inženjer i njegovo stanje konstatirati u građevinskom dnevniku (odgovara li predmetni materijal standardima i projektu). Ukoliko izvoditelj upotrijebi neodgovarajući materijal, a to se utvrdi naknadno, na zahtjev nadzornog inženjera mora ga ukloniti s građevine i postaviti drugi koji odgovara propisima i projektu u vlastitom trošku. Izvoditelj građevinsko-obrtničkih radova dužan je izdati ateste za sve upotrijebljene materijale i opremu.</t>
  </si>
  <si>
    <t>U cijenu koštanja treba uključiti izradu radioničkih nacrta za sve elemente koji nisu standardne proizvodnje, prvorazrednu izvedbu, dopremu, ugradnju, montažu i razmještaj.Svi radovi moraju biti kvalitetno izvedeni. Sve nedostatke uočene u tijeku ili nakon radova izvoditelj je dužan ispraviti o svom trošku.Prije izvođenja svakog rada mora se obaviti točno razmjeravanje i obilježavanje na zidu, stropu ili podu, te tek onda započeti s radovima.</t>
  </si>
  <si>
    <t>Sav transport je uključen u cijenu stavki.</t>
  </si>
  <si>
    <t>Sva rušenja i odvoz nastale šute i otpada je uključen u cijenu svake stavke ovog troškovnika.</t>
  </si>
  <si>
    <t>U cijenu svih radova je uključena zaštita prethodno izvedenih radova od eventualnih oštećenja na novim radovima.</t>
  </si>
  <si>
    <t>Rušenje, dubljenje i bušenje armirano-betonske i čelične konstrukcije smije se obavljati samo uz suglasnost građevnog nadzornog inženjera. Jedinične cijene primjenjivat će se na izvedene količine bez obzira u kojem postotku odstupaju od količina u troškovniku.</t>
  </si>
  <si>
    <t>Sve štete učinjene prigodom rada na vlastitim ili tuđim radovima trebaju se ukloniti na račun počinitelja. Svi nekvalitetni radovi trebaju se otkloniti i zamijeniti ispravnima, bez bilo kakve odštete od strane investitora.</t>
  </si>
  <si>
    <t>Opći uvjeti na početku pojedinih grupa radova odnose se na sve stavke radova te grupe, osim ako u opisu stavke nije drugačije opisano. Ukoliko materijal u pojedinim stavkama nije naznačen ili nije dovoljno jasno preciziran u pogledu kvalitete, izvođač je dužan upotrijebiti prvoklasni materijal.</t>
  </si>
  <si>
    <t>Jediničnom cijenom za svaki rad predviđen ovim troškovnikom obuhvaćeno je:</t>
  </si>
  <si>
    <t>A/ potpuno dovršenje sa svim predradnjama, transportom i ostalim radnim operacijama,</t>
  </si>
  <si>
    <t>B/ sav rad, alat, materijal, amortizacija i svi ostali troškovi koji se odnose na ovaj objekt,</t>
  </si>
  <si>
    <t>C/ troškovi i takse privremenih priključaka potrebnih instalacija,</t>
  </si>
  <si>
    <t>D/ sve potrebne pokretne i nepokretne radne, transportne i pomoćne skele, sa izradom, postavljanjem, skidanjem i odvozom. Isto važi i za privremene pomoćne objekte.</t>
  </si>
  <si>
    <t>E/ čišćenje i održavanje objekta koji je u gradnji i gradilišta za sve vrijeme gradnje,ČIŠĆENJE OKOLNIH PROMETNICA Održavanje okolnih prometnica i čišćenje tokom izvedbe radova u dužini cca 500 m oko hotelskog kompleksa</t>
  </si>
  <si>
    <t>F/ osiguranje neometanog prolaza i prometa,</t>
  </si>
  <si>
    <t>G/ sve higijensko-tehničke zaštitne mjere za sve zaposlene radnike.</t>
  </si>
  <si>
    <t>H/ PRIVREMENA REGULACIJA PROMETA, Organiziranje privremene regulacije prometa ako za to postoji potreba.</t>
  </si>
  <si>
    <t>Po završetku svih radova na objektu izvođač je dužan ukloniti privremene objekte, sav otpad kojeg je zatekao na gradilišti prije početka radova kao i onaj kojeg će proizvesti za vrijeme radova, očistiti gradilište i sva ostala prekopavanja dovesti u prvobitno stanje, te o svom trošku odgovarajućim sredstvima čišćenja, pranja i sl. dovede cijelu predmetnu građevinu sa instalacijama u potpuno čisto i ispravno stanje zajedno s njenim okoliše,  i u tom ih stanju odražavati do predaje na korištenje na zadovoljstvo Investitora.</t>
  </si>
  <si>
    <t>Čišćenje svih površina odnosno objekta odvija se za vrijeme izvođenja i po završetku izvedbe svih vrsta radova, navedenih u ovom troškovniku.</t>
  </si>
  <si>
    <t>Izvođač je dužan uredno voditi svu dokumetaciju definiranu propisima iz oblasti zaštite okoliša. U slučaju da otpad ima neku vrijednost (otpadni metal, kameni materijal), zbrinjavanje će izvršiti sukladno nalogu Investitora.</t>
  </si>
  <si>
    <t>Obračun količina radova vrši se na način opisan u svakoj poziciji ovog troškovnika, predviđen za taj rad u prosječnim građevinskim i obrtničkim normama.</t>
  </si>
  <si>
    <t>Redosljed izvođenja vršiti prema ovom troškovniku ili prema prethodnom dogovoru s Investitorom i nadležnom službom.</t>
  </si>
  <si>
    <t>S obzirom da su u sklopu radova obuhvaćeni i oni djelovi hotelskog kompleksa koji su u funkciji, kod navedenih djelova obavezno je izvoditi radove na način da se ne proizvodi prekomjerna buka, potrebno je slijediti upute Investitora i nadzorne službe o korištenju transportnih i komunikacijskih puteva, unutar i izvan hotela kako se ne bi narušavao mir gostiju u hotelu.</t>
  </si>
  <si>
    <t>UVJETI IZVEDBE</t>
  </si>
  <si>
    <t>Za sve radove treba primjenjivati tehničke propise, građ. norme, a upotrebljeni materijal, koji izvođač dobavlja i ugrađuje, mora odgovarati standardima (HRN). Izvedba radova treba biti prema nacrtima, općim uvjetima i opisu radova, detaljima i prema pravilima zanata. Eventualna odstupanja treba prethodno dogovoriti s nadzornim inženjerom i projektantom za svaki pojedini slučaj.</t>
  </si>
  <si>
    <t>Tolerancije mjera izvedenih radova određene su uzancama zanata, odnosno prema odluci projektanta i nadzorne službe. Sva odstupanja od dogovorenih tolerantnih mjera dužan je izvođač otkloniti o svom trošku. To vrijedi za sve vrste radova, kao što su građevinski, obrtnički i montažerski, opremanje i ostali radovi.</t>
  </si>
  <si>
    <t>Uskladištenje materijala treba provesti tako da materijal bude osiguran od vlaženja i lomova, jer se samo neoštećen i kvalitetan smije ugrađivati. Ovo se odnosi na sve gotove prefabrikate, obrtničke proizvode i materijal za obrtničke radove. Vezna sredstva također moraju biti prvorazredna. Cement, opeka, kameni agregat, pijesak, bitumen i sl. treba ispitati prema važećim tehničkim propisima i ateste predočiti nadzornom inženjeru.</t>
  </si>
  <si>
    <t>Rad obuhvaća osim opisanog u troškovniku, još  i prijenose, prijevoz, dizanje, utovar i istovar materijala unutar gradilišta, pripremanje morta i betona, zaštićivanje konstrukcije od štetnih atmosferskih utjecaja, sve pomoćne radove kao: skupljanje rasutog materijala, održavanje čistoće gradilišta.</t>
  </si>
  <si>
    <t>Skele, podupore i razupore treba također predvidjeti u cjelini. Skele moraju biti u skladu s propisima HTZ. Iskopane rovove treba u načelu podupirati ako su dubine preko jednog metra. Osim toga, treba ukalkulirati sve potrebne zaštitne ograde, te rampe i mostove za prijevoz  materijala po gradnji.</t>
  </si>
  <si>
    <t>Pomoć obrtnicima i instalaterima, kojima treba osigurati prostoriju za smještaj alata i pohranu materijala, ustupanje radne snage za dubljenje, probijanje i bušenje, te popravak žbuke nakon završenih keramičarskih, kamenorezačkih, kamenarskih, parketarskih, stolarskih i bravarskih, a prije soboslikarsko-ličilačkih radova. Izvođač građevinskih radova dužan je obrtnicima i instalaterima dati potrebne skele za radove na visini većoj od dva metra.</t>
  </si>
  <si>
    <t>Kod radova za vrijeme ljetnih vrućina, zimi i kišnih dana treba osigurati konstrukcije od štetnih atmosferskih utjecaja, a u slučaju da dođe do oštećenja uslijed prokišnjavanja ili smrzavanja, izvođač će izvršiti popravke o svom trošku.</t>
  </si>
  <si>
    <t>Izvesti krpanje žbuke, popravak obojenih ploha, te sve popravke, oštećenja koja su nastala tokom gradnje, a trebaju se obaviti u garantnom roku.</t>
  </si>
  <si>
    <t>Prethodno provoditi ispitivanje ugrađenog materijala, vodovodne instalacije, odnosno sve u vezi s dobavljanjem potrebnih atesta (nalaza).</t>
  </si>
  <si>
    <t>OPĆI  UVJETI ZA IZVOĐENJE GRAĐEVINSKIH RADOVA, PRIPREMNIH RADOVA, UREĐENJE  GRADILIŠTA I POMOĆNIH  RADOVA</t>
  </si>
  <si>
    <t>Izvođač je dužan prije početka radova sprovesti sve pripremne radove da se izvođenje može nesmetano odvijati. U tu svrhu izvođač je dužan detaljno proučiti investiciono tehničku dokumentaciju, te izvršiti potrebne računske kontrole. Potrebno je proučiti sve tehnologije izvedbe pojedinih radova radi optimalne organizacije građenja, nabavke materijala, kalkulacije i sl.</t>
  </si>
  <si>
    <t>Izvođač i njegovi kooperanti dužni su svaki dio investiciono tehničke dokumentacije pregledati, te dati primjedbe na eventualne tehničke  probleme koji bi mogli prouzročiti slabiji kvalitet, postojanost ugrađenih elemenata ili druge štete. U protivnom biti će dužan ovakve štete sanirati o svom trošku. Naročitu pažnju kod toga treba posvetiti usaglašavanju građevinskih i instalaterskih nacrta. Ako ustanovi neke razlike u mjerama, nedostatke ili pogreške u podlogama, dužan je pravovremeno obavijestiti nadzornog inženjera i odgovornog projektanta, te zatražiti rješenja.</t>
  </si>
  <si>
    <t>UREĐENJE GRADILIŠTA</t>
  </si>
  <si>
    <t>Uređenje gradilišta dužan je izvođač izvesti prema shemi organizacije gradilišta koju je obavezan dostaviti uz ponudu. U organizaciji gradilišta izvođač je dužan uz ostalo posebno predvidjeti:</t>
  </si>
  <si>
    <t>- prostorije za svoje kancelarije,</t>
  </si>
  <si>
    <t>gradilište osigurati ogradom ili drugim posebnim elementima za sigurnost ljudi i zaštitu prometa i objektata,ISTU JE POTREBNO UKALKULIRATI U JEDINIČNU CIJENU,ODNOSNO FAKTOR GRADILIŠTA ,NE OBRAČUNAVA SE ZASEBNO</t>
  </si>
  <si>
    <t>-postaviti natpisnu ploču  prema propisima.ISTU JE POTREBNO UKALKULIRATI U JEDINIČNU CIJENU,ODNOSNO FAKTOR GRADILIŠTA ,NE OBRAČUNAVA SE ZASEBNO</t>
  </si>
  <si>
    <t>- postaviti potreban broj urednih skladišta, pomoćnih radnih prostorija, nadstrešnica, odrediti i urediti prometne i parkirne površine za radne i teretne automobile, opremu, građevinske strojeve  i sl., te opremu i objekte za rastresiti i habasti građevinski materijal,</t>
  </si>
  <si>
    <t>- Izvođač je dužan gradilište sa svim prostorijama i cijelim inventarom redovito održavati i čistiti,</t>
  </si>
  <si>
    <t>- Sve materijale izvođač mora redovito i pravovremeno dobaviti da ne dođe do bilo kakvog zastoja gradnje,</t>
  </si>
  <si>
    <t>- U kalkulacije izvođač mora prema ponuđenim radovima uračunati eventualne zaštite za zimski period građenja, kišu ili sl.</t>
  </si>
  <si>
    <t>- Izvođač je dužan svu površinsku vodu u granicama gradilišta na svim nižim nivoima redovito odstranjivati odnosno nasipavati,</t>
  </si>
  <si>
    <t>- Na gradilištu mora postojati permanentna čuvarska služba za cijelo vrijeme trajanja gradnje također uračunata u faktor,</t>
  </si>
  <si>
    <t>- Gradilište mora biti po noći dobro osvijetljeno,</t>
  </si>
  <si>
    <t>- Sve otpadne matreijele  (šuta, lomovi, mort, ambalaža i sl.) treba odmah odvesti. Troškove treba ukalkulirati u režiju i faktor. Ukoliko se isti neće izvršavati Investitor ima pravo čišćenja i odvoz otpada povjeriti drugome, a na teret izvođača radova,</t>
  </si>
  <si>
    <t>- Izvođač je dužan uz shemu organizacije gradilišta dostaviti i spisak sve mehanizacije i opreme koja će biti na raspolaganju gradilišta, te satnice za rad i upotrebu svakog stroja,</t>
  </si>
  <si>
    <t>- Izvođač je dužan bez posebne naplate osigurati investitoru i projektantu potrebnu pomoć kod obilaska gradilišta i nadzora, uzimanju uzoraka i sl., potrebnim pomagalima i ljudima,</t>
  </si>
  <si>
    <t>- Na gradilištu moraju biti poduzete sve HTZ mjere prema postojećim propisima.</t>
  </si>
  <si>
    <t xml:space="preserve">- Izvođač je dužan po završetku radova gradilište kompletno očistiti, </t>
  </si>
  <si>
    <t>JEDINIČNA CIJENA</t>
  </si>
  <si>
    <t>U jediničnu cijenu uključena je nadoknada za sav potreban rad i materijal potreban za izvođenje svake pojedine stavke (gotovost stavke je do njezine pune funkcije), ako u stavci troškovnika nije drugačije rečeno. Jedinična cijena uključuje i izvođenje svih pomoćnih i pripremnih radnji, kao i sve potrebne pomoćne utovare, pretovare i transporte, te odvoz materijala na javnu, registriranu deponiju ili deponiranje materijala na mjesto koje odredi investitor</t>
  </si>
  <si>
    <t>Cijene pojedinih radova moraju sadržavati sve elemente koji određuju cijenu gotovog proizvoda, a u skladu sa odredbama troškovnika. Ako izvođač sumnja u valjanost ili kvalitetu nekog propisanog materijala i drži da za takvu izvedbu ne bi mogao preuzeti odgovornost, dužan je o tome obavijestiti projektanta s obrazloženjem i dokumentacijom. Konačnu odluku donosi projektant u suglasnosti s nadzornim inženjerom, nakon proučenog prijedloga izvođača. Ponuda obuhvaća sve radove koji su neophodni za izvedbu određenih radova, uključujući i čišćenje nakon obavljanja istih.</t>
  </si>
  <si>
    <t>Cijene ponuđene troškovnikom uključuju sve građevinske strojeve, radnike, kontrolu kvalitete, materijala i rada (sve ateste), montažu, osiguranje, dobit, poreze i davanja, te potrebne radnje, troškove organizacije i mjere koje nalažu Zakon o prostornom uređenju i Zakon o gradnji, Zakon o zaštiti na radu i Zakon o zaštiti od požara, zajedno sa svim rizicima, odgovornostima i obvezama navedenim ili nagovještenim ugovorom.</t>
  </si>
  <si>
    <t>Jedinična cijena sadrži sve nabrojeno kod opisa pojedine grupe radova, te se na taj način vrši i obračun istih. Jedinične cijene primjenjivati će se na izvedene količine bez obzira u kojem postotku iste odstupaju od količine u troškovniku.</t>
  </si>
  <si>
    <t>MATERIJAL</t>
  </si>
  <si>
    <t>Pod tim nazivom se podrazumjeva samo cijena materijala tj. dobavna cijena i to kako glavnog materijala, tako i pomoćnog, veznog i slično. U tu cijenu uključena je i cijena transportnih troškova bez obzira na prijevozno sredstvo sa svim prijenosima, utovarima i istovarima, te uskladištenje i čuvanje na gradilištu od uništenja (prebacivanje, zaštita i slično). Tu je uključeno i davanje potrebnih uzoraka kod izvjesnih vrsta materijala.
Pod cijenom materijala podrazumijeva se dobavna cijena svih materijala koji sudjeluju u radnom procesu, to jest cijena glavnih i pomoćnih materijala potrebnih za ugradnju do kompletne funkcionalnosti i gotovosti. 
U cijenu je uključena i cijena transportnih troškova bez obzira na prijevozno sredstvo, sa svim prijenosima, utovarima i istovarima, te podizanjima na mjesto ugradbe, kao i cijena čuvanja, zaštite i skladištenja materijala do ugradnje. Prema Zakonu o gradnji NN 153/13,  potrebno je uzimanje uzoraka - probnih kocki - za beton, te ugradnja samo onih materijala koji imaju važeće ateste. Svu dokumentaciju o dokazu kvalitete materijala prikuplja izvođač radova i po završetku predaje Investitoru.
U cijenu je također uključeno i davanje potrebnih uzoraka kod nekih materijala (prema zahtjevu naručitelja)</t>
  </si>
  <si>
    <t>RAD</t>
  </si>
  <si>
    <t>U kalkulaciji rada treba uključiti sav rad, kako glavni, tako i pomoćni, te sav unutarnji transport. Ujedno treba uključiti sav rad oko zaštite gotovih konstrukcija i dijelova objekta od štetnog utjecaja vrućine, hladnoće i slično.</t>
  </si>
  <si>
    <t>SKELE</t>
  </si>
  <si>
    <t>Sve lake, pokretne, pomoćne  skele,  bez obzira na visinu, ulaze u jediničnu cijenu dotičnog rada, osim fasadne skele za obradu fasade, koja se obračunava kao posebna stavka. Skela mora biti na vrijeme postavljena kako ne bi nastao zastoj u radu. Pod pojmom skela podrazumijeva se i prilaz istoj, te ograda. Kod zemljanih radova u jediničnu cijenu ulaze razupore, te mostovi za prebacivanje iskopa većih dubina. Ujedno su tu uključeni i prilazi, te mostovi za betoniranje konstrukcije i slično.</t>
  </si>
  <si>
    <t>IZMJERE</t>
  </si>
  <si>
    <t>Ukoliko nije u pojedinoj stavci dat način obračuna radova, treba se u svemu pridržavati prosječnih normi u građevinarstvu.</t>
  </si>
  <si>
    <t>ZIMSKI I LJETNI RAD</t>
  </si>
  <si>
    <t>Ukoliko je ugovoreni termin izvršenja objekta uključen i zimski odnosno ljetni period, to se neće posebno izvođaču priznavati na ime naknade za rad pri niskoj temperaturi, zaštita konstrukcija od hladnoće i vrućine, te atmosferskih nepogoda, sve mora biti uključeno u jediničnu cijenu. Za vrijeme zime objekat se mora zaštititi. Svi eventualni smrznuti dijelovi moraju se ukloniti i izvesti ponovo bez bilo kakve naplate. Ukoliko je temperatura niža od temperature pri kojoj je dozvoljen dotični rad, a Investitor ipak traži da se radi, Izvođač si ima pravo zaračunati naknadu po važećoj normi ali u tom slučaju Izvođač snosi punu odgovornost za ispravnost i kvalitetu rada. To isto vrijedi i za zaštitu radova tokom ljeta od prebrzog sušenja uslijed visoke temperature.</t>
  </si>
  <si>
    <t>FAKTORI</t>
  </si>
  <si>
    <t>Jediničnom cijenom treba obuhvatiti i slijedeće radove, koji se neće zasebno platiti, kao naknadni rad, i to:</t>
  </si>
  <si>
    <t>najamne troškove za posuđenu mehanizaciju, koju izvođač sam ne posjeduje, a potrebna mu je pri izvođenju rada,</t>
  </si>
  <si>
    <t>sva ispitivanja materijala,</t>
  </si>
  <si>
    <t>ispitivanja dimnjaka u svrhu dobivanja potvrde od dimnjačara o ispravnosti,</t>
  </si>
  <si>
    <t>barake za smještaj radnika i kancelarije gradilišta,</t>
  </si>
  <si>
    <t>uskladištenje materijala i elemenata za obrtničke i instalaterske radove do njihove ugradbe,</t>
  </si>
  <si>
    <t>uređenje gradilišta po završetku rada, sa otklanjanjem svih otpadaka, šute, ostataka građevnog materijala, inventara, pomoćnih objekata itd.</t>
  </si>
  <si>
    <t>Sve navedeno važi za obrtničke i instalaterske radove</t>
  </si>
  <si>
    <t>ATESTI ZA IZVEDENE RADOVE</t>
  </si>
  <si>
    <t>Izvođač je dužan posjedovati ili ishodovati sve zakonom i troškovnikom predviđene ateste i ispitivanja za sve ugrađene materijale i izvedene radove o svom trošku (bez naknadnog obračunavanja investitoru), a u svemu prema Zakonima i tehničkim propisima. Izvoditelj je dužan sve ateste dostavljati investitoru tijekom izvođenja.</t>
  </si>
  <si>
    <t>NAKNADNI RADOVI</t>
  </si>
  <si>
    <t>Za naknadne radove čiji opisi se ne nalaze u troškovniku, a koji se imaju izvesti po nalogu nadzornog inženjera, obračun se vrši po stvarnim troškovima rada i materijala,s tim da je izvođač dužan dati na odobrenje nadzornom inženjeru detaljnu analizu troškova materijala i rada. Prije početka izvođač je dužan investitoru predati brutto satnice svojih radnika po djelatnostima.
U slučaju da izvođač neke radove izvede materijalom kvalitetnijim od predviđenog, a da za to nije prethodno ishodio odobrenje investitora, nema pravo nadoknade za povećanje troškova izvedbe.</t>
  </si>
  <si>
    <t>Za naknadne radove čiji se opisi ili slični nalaze u ugovornom troškovniku primjenjivati će se ugovorne jedinične cijene.</t>
  </si>
  <si>
    <t>Sva odstupanja stvarno izvedenih količina u odnosu na količine predviđene projektantskim troškovima (+ ili -) obračunati će se prema stvarno izvršenim radovima što će se sporazumno riješiti između predstavnika izvođača i nadzornog inženjera odnosno investitora.</t>
  </si>
  <si>
    <t>OSTALO</t>
  </si>
  <si>
    <t>U jedinične cijene stavki imaju biti uračunati svi radovi i potrebni materijali (eventualno nespecificirani posebno u samom troškovniku), a koji su (prema uzancama struke i pravilima dobrog zanata) potrebni za potpuno dovršenje građevine, tj. dovođenje u stanje "potpuno spremno za uporabu". Svi takovi radovi imaju biti uračunati u jedinične cijene, tj. neće se posebno plaćati.</t>
  </si>
  <si>
    <t>Sve stavke troškovnika ukoliko ima nekih nejasnoća, izvođač će pojasniti s projektantom prije ulaska u posao, jer se nakon početka radova neće tolerirati nikakve nejasnoće opisa stavki i tražiti će se besprijekorno izvršenje istih u smislu kakvim ih je projektant zamislio i definirao. Prije narudžbe materijala po stavkama, izvođač je dužan prekontrolirati iste i uzeti stvarne mjere na licu mjesta kako ne bi došlo do štete uslijed krivih podataka po pitanju količine radova i produženja roka zbog naknadnih narudžbi istih.</t>
  </si>
  <si>
    <t>Ugovorna cijena koja je dobivena iz rekapitulacije troškova fiksna je i nepromijenjiva. Količine, stavke i opisi stavaka se trebaju smatrati konačnim količinama radova. Troškovničke stavke služe samo za potrebe naplate po privremenim situacijama. Sve ovdje propisane obveze Izvođača sadržane su u Ugovornoj cijeni te Izvođač ne ostvaruje pravo na dodatna plaćanja s tog naslova.</t>
  </si>
  <si>
    <t>Radovi se ugovaraju po sistemu "ključ u ruke". Izvođač je dužan prije davanja ponude provjeriti cijeli opseg radova i količine, jer se naknadne primjedbe niti eventualni zahtjevi za višerad neće prihvatiti.</t>
  </si>
  <si>
    <t>Izvođač je prije davanja ponude Naručitelju dužan prikupiti sve potrebne informacije koje su mu potrebne za formiranje fiksne i nepromijenjive Ugovorne cijene i utvrđivanje roka Izvedbe što uključuje, bez ograničenja: cijene roba, radova i usluga, podatke iz natječajne i projektne dokumentacije, podatke o mogućnosti rada tijekom sezone i noću, konfiguraciju, geologiju i morfologiju terena, meteorološke i hidrološke podatke, postojeće podzemne i nadzemne vodove, mogućnosti pristupa gradilištu, mogućnosti privremenog skladištenja i deponiranja opreme i privremenih objekata u vlasništvu Izvođača na gradilištu, mogućnosti primjene različitih tehnologija izvođenja radova, administrativne barijere bilo koje vrste, uvjete relevantnih javno-pravnih tijela i jedinica lokalne i regionalne samouprave, mogućnosti priključaka vode i energenata, mogućnosti dobave materijala i opreme, dostupnost ovlaštenih deponija i specijaliziranih tvrki za zbrinjavanje otpada, okolnosti vezane za dostupnost radne snage, materijala, opreme, proizvođača i specijaliziranih podizvođača.</t>
  </si>
  <si>
    <t>U slučaju pojedinih nejasnoća u troškovniku i/ili projektu i/ili natječajnoj dokumentaciji Izvođač je dužan postaviti odgovarajuće pitanje za razrješenje Naručitelju prije predaje ponude Naručitelju.</t>
  </si>
  <si>
    <t>Ukoliko Izvođač propusti prikupiti informacije koje je kao iskusni Izvođač trebao i mogao prikupiti, Naručitelj neće priznati dodatne troškove Izvođaču niti će priznati produljenje roka.</t>
  </si>
  <si>
    <t>Izvođač je dužan izvesti i u Ugovornu cijenu uključiti sve svoje troškove, uključujući, bez ograničenja: profit, troškove osiguranja, troškove poreza, pristojbi, parafiskalnih nameta i svih drugih davanja državi, jedinicama regionalne i lokalne samouprave i ostalim javno-pravnim tijelima, troškove privremenog ograđivanja, zaštite i čuvanja gradilišta od strane zaštitarske agencije, troškove ograđivanja gradilišta, troškove materijala i opreme, troškove upravno-prodajne režije (uprava), troškove najma prostora bilo koje vrste, troškove propisnog privremenog skladištenja materijala i opreme, troškove višestruke manipulacije materijalom i opremom (ovisno o tehnologiji Izvođača i drugim okolnostima), troškove postave i skidanja privremenih konstrukcija, oplata i skela, troškove privremene zaštite građevine od atmosferlija, visokih i niskih temperatura i padalina sukladno pravilima struke, troškove čišćenja, održavanja i rehabilitacije postojećih prometnica koje se koriste tijekom gradnje, troškove svih radova i aktivnosti koje je potrebno provesti, troškovi osiguranja i kontrole kvalitete prema važećim standardim i propisima, troškovi zaštite na radu, zaštite od požara i zaštite okoliša sukladno propisima, troškovi sprječavanja onečišćenja okoliša, troškovi stručnjaka zaštite na radu i zaštite okoliša, troškovi pormoćnih i glavnih materijala, mehanizacije i opreme Izvođača, skele, oplate, ograda, radne snage i svog potrebnog tehničkog i drugog osoblja, financijski i telekomunikacijski troškovi, pogonski troškovi, troškovi energenata potrebnih za izvedbu radova, troškovi mobilizacije i demobilizacije,</t>
  </si>
  <si>
    <t>troškovi vanjskog i unutarnjeg, horizontalnog i vertikalnog prijenosa i prijevoza, izgradnje i razgradnje privremenih priključaka vode i električne energije, troškovi smještaja, prehrane i prijevoza svog osoblja i radnika Izvođača i njegovih podizvođača, troškovi propisnog zbrinjavanja otpada, troškovi uređenja okoliša po dovršenju radova, troškovi konačnog čišćenja interijera i eksterijera građevine po dovršetku radova, troškovi pripreme potrebnih izvještaja, troškovi prisustvovanja i aktivnog sudjelovanja na tjednim sastancima s nadzornom službom i Voditeljem projekta Naručitelja, troškovi pripreme potrebne dokumentacije s ciljem prezentacije metodologije izvođenja radovam troškovi inženjerskog osoblja i poslovođa, troškovi vezani uz komunikaciju sa svim zainteresiranim javnopravnim tijelima, troškovi izrade, praćenja i revizije (u slučaju potrebe) dinamičkog plana radova i resursa te financijskog plana projekta u software-u kojeg odredi Naručitelj.</t>
  </si>
  <si>
    <t>Izvođač je dužan u Ugovornu cijenu uključiti troškove privremenog priključka vode i električne energije koji su mu potrebni u svrhu izvedbe radova i potrebna ispitivanja instalacija.</t>
  </si>
  <si>
    <t>Izvođač je dućan zbrinuti uklonjeni materijal sukladno propisima, te o tome voditi propisnu dokumentaciju.Sve navedeno je sastavni dio Ugovorne cijene radova.</t>
  </si>
  <si>
    <t>Izvođač je obvezan osigurati gradilište (sve radove, svoje radnike, opremu i imovinu) za vrijeme izvođenja radova kod osiguravajućih društava od nastanka štete uslijed nastanka osiguranog slučaja. Osiguranje se mora odnositi i na treće osobe. Troškovi osiguranja su uključeni u Ugovornu cijenu radova.</t>
  </si>
  <si>
    <t>Izvođač je dužan imenovati Inženjera gradilišta sukladno propisima i ovlašene voditelje radova za građevinske radove. Također je dužan osigurati stalno prisustvo ovlaštenih voditelja pojedinih radova za vrijeme izvođenja radova.</t>
  </si>
  <si>
    <t>Izvođač je, u slučaju nejasnoće, dužan postaviti upit Investitoru prije davanja ponude.</t>
  </si>
  <si>
    <t>Izvođač je svjestan da, ako tako odluči Investitora, radove na gradilištu može izvoditi više izvođača, te je dužan planirati i koordinirati svoje radove s drugim Izvođačima bez prava na dodatnu naknadu.</t>
  </si>
  <si>
    <t>Investitora prije slanja ponude Izvođača može osloboditi Izvođača od pojedinih obveza definiranih ovim općim uvjetima ugovora što je Izvođač također dužan uzeti u obzir prilikom izrade svoje ponude.</t>
  </si>
  <si>
    <t>Redosljed izvođenja vršiti prema ovom troškovniku ili prema prethodnom dogovoru s nadzornim inženjerom Investitora i nadležnom službom.</t>
  </si>
  <si>
    <t>Radove svih stavki odvijaju se u vremenu koje odredi Investitor i nadležna služba operatera.</t>
  </si>
  <si>
    <t>0.1.</t>
  </si>
  <si>
    <t>OPĆI UVJETI - PRIPREMNI RADOVI I OPĆI RADOVI</t>
  </si>
  <si>
    <t>Prije početka gradnje potrebno je predvidjeti i planirati sve aktivnosti koje su potrebne da se građevina izgradi u skladu sa važećim zakonima i propisima, u ugovorenom roku i uz poštivanje ugovorenih ekonomsko-financijskih uvjeta. Zbog opsežnosti radova, dužine gradnje, potencijalnog sudjelovanja velikog broja izvršitelja te zbog drugih specifičnosti građevine, priprema gradnje je zahtjevan i odgovoran posao. U tom smislu, potrebno je prethodno izraditi projekt organizacije građenja (POG).</t>
  </si>
  <si>
    <t>Radove treba izvesti točno prema opisu troškovnika, a u stavkama gdje nije objašnjen način rada i posebne osobine finalnog produkta, izvođač je dužan pridržavati se uobičajenog načina rada, uvažavajući odredbe važećih standarda, uz obvezu izvedbe kvalitetnog proizvoda.</t>
  </si>
  <si>
    <t>Osim toga, izvođač je obvezan pridržavati se uputa projektanta/nadzora u svim pitanjima koja se odnose na izbor i obradu materijala i način izvedbe pojedinih detalja, ukoliko to nije već detaljno opisano troškovnikom, a naročito u slučajevima kada se zahtjeva izvedba van propisanih standarda.
Sav materijal za izgradnju mora biti kvalitetan i mora odgovarati opisu troškovnika i postojećim građevinskim propisima.U slučaju da opis pojedine stavke nije dovoljno jasan, mjerodavna je samo uputa i tumačenje projektanta/nadzora. O tome se izvođač treba informirati već prilikom sastavljanja jedinične cijene.
Cijene pojedinih radova moraju sadržavati sve elemente koji određuju cijenu gotovog proizvoda, a u skladu sa odredbama troškovnika. Ako izvođač sumnja u valjanost ili kvalitetu nekog propisanog materijala i drži da za takvu izvedbu ne bi mogao preuzeti odgovornost i dati garanciju na izvedene radove, dužan je o tome obavijestiti projektanta s obrazloženjem i dokumentacijom. Konačnu odluku donosi projektant u suglasnosti s nadzornim inženjerom, nakon proučenog prijedloga izvođača.</t>
  </si>
  <si>
    <t>Prije početka svih radova potrebno je provjeriti stanje instalacija na pojedinim mjestima te iste isključiti, blindirati , uz prethodno odobrenje i suglasnost Investitora i nadzorne službe hotela kako se ne bi poremetio rad u ostalim djelovima objekta.Nakon završetka radova potrebno je isključene/otkopćane/blindirane instalacije ponovo uključiti. Izvesti probni rad. U slučaju poteškoća u funkcioniranju instalacija pri ponovnom uključenju/ukopčavanju iste je dužan Izvođač ukloniti bez pripadajuće naknade za tu vrstu posla.</t>
  </si>
  <si>
    <t>Izvođač je dužan o svom trošku izvršiti izradu privremenog priključka struje i vode za potrebe izvođenja radova, izradu privremenih rampi za iznošenje opreme, namještaja, materijala, šute, ograđivanje i održavanje privremenog gradilišnog deponija, kao i sve ostale radnje nužne za nesmetano odvijanje radova, sve u skladu s pravilima struke, zakonskom regulativom i zahtjevima Investitora.</t>
  </si>
  <si>
    <t>Izvođač je dužan o svom trošku izvršiti dobavu, dostavu i održavanje kemijskog WC-a za potrebe osoblja na gradilištu, te uklananje istog po završetku radova.</t>
  </si>
  <si>
    <t>Primopredaja gradilišta
Investitor predaje izvođaču građevinskih radova zemljište na kojem se izvodi građevina. Prilikom primopredaje potrebno je u građevinski dnevnik upisati sve elemente važne za primopredaju (popis dokumentacije, važne točke na gradilištu, posebne uvjete koji utječu na način gradnje i sl.)</t>
  </si>
  <si>
    <t>Iskolčenje
Izvođač radova dužan je za vrijeme građenja stalno održavati i osigurati sve repere i poligonske točke. Iskolčenje objekata treba neprestano nadzirati i po potrebi obnavljati. Izvođač je sve vrijeme građenja dužan obnavljati izvedeno iskolčenje i sve oznake na terenu, bez obzira na uzroke štete.Geodetskom kontrolom utvrđuje se visinski i položajno početno stanje ili stanje izvedenog posla. Točnost mjerenja mora biti u skladu s geodetskim normama za pojedine vrste mjerenja i u skladu sa zahtjevima za kakvoću pojedinih radova prema ovim ili posebnim tehničkim uvjetima.</t>
  </si>
  <si>
    <t>Dinamika izvođenja radova
Izvođač je prije početka gradnje dužan investitoru predati PLAN DINAMIKE IZVOĐENJA RADOVA PO AKTIVNOSTIMA,KOMPLETNO SA RESURSIMA RADNE SNAGE I MEHANIZACIJE,TE FINANCIJSKOM STRUKTUROM TROŠKOVA RADOVA IZ DINAMIČKOG PLANA s prijedlogom roka završetka radova.Izradu istoga ukalkulirati u troškove prilikom ugovaranja u jediničnu cijenu.Naknadni troškovi za izradu istoga se neće uvažiti.</t>
  </si>
  <si>
    <t>Zaštita okoliša
Potrebno spriječiti bilo kakvu mogućnost zagađenja gradilišta i prometnica predviđenih za transport.
Predviđena mehanizacija za izvođenje mora biti u besprijekornom stanju, a ne smiju se primjenjivati pomoćni materijali kojima se može onečistiti okoliš (voda, tlo, flora i fauna).</t>
  </si>
  <si>
    <t>Osiguranje gradilišta pogonskom energijom i vodom
Izvođač je dužan osigurati pogonsku energiju i vodu za potrebe gradilišta u dogovoru s naručiteljem.</t>
  </si>
  <si>
    <t>Organizacija gradilišta
Organizaciju gradilišta sa shemom transporta i energetskih priključaka treba dati na uvid i odobrenje naručitelju.</t>
  </si>
  <si>
    <t>Osiguranje građevine
Prije početka izvođenja radova izvođač je dužan osigurati objekt kod OZ-a i prijaviti ga nadležnoj građevinskoj inspekciji i inspekciji zaštite na radu te o tome dati Naručitelju pismeni dokaz.</t>
  </si>
  <si>
    <t>Tehnička zaštita
Svi elementi tehničke zaštite, prema važećim propisima ukalkulirani su u cijenu, tj. obuhvaćeni faktorom gradilišta. Radi kontrole provođenja tehničke zaštite, izvođač je dužan pravovremeno prijaviti početak radova nadležnoj inspekciji rada, a o provođenju zaštite treba izraditi poseban elaborat koji mora ovjeriti kod inspekcije rada te jedan primjerak dostaviti naručitelju.</t>
  </si>
  <si>
    <t>Čišćenje terena
Kontrolu kakvoće obavljati u svemu prema važećoj normi HRN U.E1.010.
Radove izvoditi uz primjenu higijensko-tehničkih zaštitnih mjera, bez nanošenja štete susjednim objektima, posjedima uz trasu i imovini uopće. Rušenjem stabala ne smiju se oštetiti stabla koja nisu predviđena za rušenje.</t>
  </si>
  <si>
    <t>POSEBNI NAPUTCI ZA UREĐENJE GRADILIŠTA</t>
  </si>
  <si>
    <t>Prethodne odredbe i odobrenje gradnje</t>
  </si>
  <si>
    <t>Investitor stavlja, sukladno projektnoj dokumentaciji , glavnom izvođaču radova bez naknade privremeno na raspolaganje teren za uređenje gradilišta u potrebnom obimu ili shodno lokalnim uvjetima.</t>
  </si>
  <si>
    <t>Ograničenje troškova</t>
  </si>
  <si>
    <t>Predočenje nacrta uređenja gradilišta plaćeno je u cijenama. To važi i za slučaj da je za razne faze izgradnje potrebno više nacrta. U cijenu treba uračunati i pristojbe u svezi s uređenjem gradilišta.</t>
  </si>
  <si>
    <t>Odstranjivanje otpada</t>
  </si>
  <si>
    <t>Vlastiti preostali materijal i materijal od rušenja treba izvođač besplatno ukloniti. Moraju se poštivati odnosni propisi o zbrinjavanju posebnog otpada. Ukopavanje ili spaljivanje na gradilištu je zabranjeno. Zbrinjavanje otpada, mase od rušenja ili građevinskog otpada obuhvaća ponovno iskorištavanje sukladno propisima odnosno potrebnim mjerama skupljanja, transporta, obrade i skladištenja prema propisima i nalozima organa.</t>
  </si>
  <si>
    <t>Investitor može se zahtijevati dokaz o urednom zbrinjavanju otpada.</t>
  </si>
  <si>
    <t>Opći podaci o izvedbi</t>
  </si>
  <si>
    <t>Na zahtjev treba prije uređenja gradilišta napraviti plan uređenja gradilišta i predočiti Investitoru na odobrenje. Pri tom treba uzeti u obzir da se ne sprečavaju eventualni radovi izmjere, posebice iskolčavanja i provjere granica ulica, puteva i građevine. U nacrtu uređenja treba uzeti u obzir i skladištenje zemljane mase. Površine, skladišne površine, slobodne površine i slično, koje će se koristiti za uređenje gradilišta, trebaju se umetnuti u nacrt uređenja gradilišta s podatkom svrhe korištenja. Uređenje gradilišta na tratini ili humusu nije dopušteno. Prije uređenja gradilišta treba izvođač utvrditi stanje učvršćenja pločnika i kolnika, koji graniče s građevinskom parcelom kao i susjedne površine gradilišta, u prisustvu vlasnika. O tome treba voditi zapisnik i obje ga strane moraju potvrditi. Uređenje gradilišta treba izvršiti tako da se vodovi napajanja i odvođenja za građevinske mjere mogu položiti pravodobno i bez smetnji.</t>
  </si>
  <si>
    <t>Postojeći graničnici (kamenje) i oznake izmjera moraju se osigurati s početkom radova u sklopu uređenja gradilišta do pospremanja uređenja gradilišta. Prije početka radova mora se izvođač informirati o prolazu vodova, kablove itd. (nadzemno i podzemno). Potrebna premještanja mora izvođač pravodobno zatražiti. U slučaju dvojbe dat će izvođač nalogodavcu uputu, po potrebi će se provesti utvrđivanje.</t>
  </si>
  <si>
    <t>Kod micanja uređenja gradilišta treba paziti:
- Investitora treba informirati o namjeravanom micanju uređenja gradilišta ili bitnih dijelova istog
- Dijelove, koji više nisu potrebni, treba brzo maknuti
- Nakon skidanja uređenja gradilišta treba teren, koji je za isto bio korišten odnosno korištene građevinske uređaje i građevine vratiti u prvobitno stanje, ako nije drugačije utanačeno.</t>
  </si>
  <si>
    <t>Posebni zahtjevi za korištenje</t>
  </si>
  <si>
    <t>Izvođač mora postavit zahtjeve kod nadležnih organa za uređenje i uklanjanje postrojenja bez Sudjelovanja nalogodavca. Struja, koju uzimaju druge tvrtke, zaračunat će se njima direktno.</t>
  </si>
  <si>
    <t>0.2.</t>
  </si>
  <si>
    <t>OPĆI UVJETI - RUŠENJE I DEMONTAŽA</t>
  </si>
  <si>
    <t>Ovim troškovnikom obuhvaćeno je rušenje odnosno uklanjanje postojeće opreme i elemenata soba i apartmana kao i u javnim zatvorenim i otvorenim prostorima hotela. Radovima na rušenju i demontažama mora se prići s velikim oprezom, sa svim potrebnim osiguranjima objekta i mjerama zaštite okoliša i štetnog utjecaja na objekt. Sve radove treba izvesti uz obveznu primjenu važećih propisa zaštite na radu za ovu vrstu radova.  Za tu vrstu radova potrebno je imati odgovarajuću strukturu radne snage  za osiguranje podupiranja, izradu zaštitnih ograda, te stalnu kontrolu na mjestima gdje se rušenje i demontaža obavlja kako ne bi došlo do neplaniranog urušavanja te zbog očuvanja svih konstruktivnih elemenata na objektu.</t>
  </si>
  <si>
    <t>Radove izvesti prema slijedećim zakonima i pravilnicima:    
1.  Zakon o zaštiti okoliša  (NN 80/13, 153/13, 78/15, 12/18, 118/18)
2.  Zakon o zaštiti od buke (NN 30/09, 55/13, 153/13, 41/16, 114/18, 14/21)
3.  Zakon o gospodarenju otpadom (NN 84/21, 142/23)
4.  Pravilnik o sadržaju plana zaštite od požara i tehnoloških eksplozija (NN 35/94, 55/94)
5.  Zakon o zaštiti na radu (NN 71/14, 118/14, 154/14 , 94/18, 96/18)
6.  Pravilnik o zaštiti na radu u graditeljstvu (Sl. List 42/68, 45/68, te NN 18/83 i 59/96)
7.  Pravilnik o zaštiti na pri utovaru i istovaru tereta (NN 49/86)
8. Pravilnik o zaštiti na radu pri ručnom prenošenju tereta (42/05)
9.  Pravilnik o sigurnosti i zdravlju pri radu s električnom energijom (59/96, 94/96, 114/03, 100/04, 86/08, 116/08 i 75/09) 
10.  Pravilnik o izradi procjene rizika (NN 112/14, 129/19)</t>
  </si>
  <si>
    <t>Prije početka radova, treba izvesti zaštitu postojećih konstrukcija koji se tijekom radova ne demontiraju ili ruše, i isto uračunati u jediničnu cijenu rada, iako isto nije posebice navedeno u opisu stavke. Zaštita treba biti takva, da je potpuno funkcionalna i zaštićuje duži vremenski period, od početka radova sve do završetka izgradnje. Tijekom radova, izvoditelj je dužan zaštitu održavati u uporabnom stanju i po potrebi obnavljati ili popravljati.    
Ukoliko ipak greškom izvoditelja zbog nekvalitetno izvedene zaštite, neopreza ili prerano skinute zaštite dođe do oštećenja ili uništenja konstrukcije ili dijelova građevine, Izvođač je dužan štetu na svoj trošak sanirati i nadoknaditi investitoru sve troškove u svezi s istim. Radove na popravku ili obnovi treba Izvođač u takvom slučaju naručiti kod poduzeća specijaliziranog i dokazanog na odgovarajućim poslovima, koji su predmet radova. Takvo specijalizirano poduzeće mora prethodno odobriti investitor.</t>
  </si>
  <si>
    <t>Kod rušenja treba paziti da uporabljeni alat nema nepovoljan utjecaj na kostrukciju (udarci, vibracije). Nadzorni inženjer dužan je upozoriti izvoditelja u slučaju uporabe nedozvoljenih alata i zabraniti mu daljnji rad na toj Poziciji, sve dok izvoditelj ne prilagodi alat stanju konstrukcije.    
Demontaže i rušenja će se izvesti ručnim i mehaničkim sredstvima na način da se posljedice rada štetno ne odraze na okruženje.  Izvođač mora u toku razgradnje primjenjivati adekvatne mjere i radove kako bi se okoliš zaštitio od prekomjerne prašine koja se nužno stvara prilikom rada na rušenju pojedinih elemenata građevine. Prije početka rušenja konstruktivnih elemenata izvršiti demontažu svih instalacija, opreme i bravarije. Porušeni materijal treba sukcesivno odvoziti ili reciklirati. Prije početka radova mora se ugrožena zona ograditi ogradom visine min. 2.0 m.</t>
  </si>
  <si>
    <t>Zbrinjavanje otpadnog materijala 
Ukoliko se kod rušenja ustanovi da je neki materijal štetan za okoliš (razne hidroizolacije, kemijske supsatnce i sl.) iste treba izdvojiti od ostalog otpada i na adekvatan način zbrinuti prema važećim propisima. 
Zbrinjavanje tog otpada provodi izvođač.Zbrinjavanje i odvoz otpada izvođač je dužan ukalkulirati u jediničnu cijenu stavki.
Izvođač rušenja mora sve građevinske elemente usitniti na veličine i težine prikladne za utovar i odvoz kamionima. Porušeni materijal treba sukcesivno odvoziti kako bi se omogućio nesmetan tok rušenja. 
Kompletan materijal dobiven demontažom i rušenjem, vlasništvo je investitora i u cijeni svih navedenih stavki uključeno je privremeno odlaganje na gradilištni deponij, te po odobrenju Investitora i nadzornog inženjera, pravilno zbrinjavanje istog i odvoz materijala na gradski deponij.
O zbrijavanju demontirane bravarije,čeličnih konstrukcija i sl. treba odlučiti Investitor, tj. da li će biti naknadno korištena ili prodana kao staro željezo.</t>
  </si>
  <si>
    <t>Jedinična cijena obuhvaća:
- sve poslove do potpune gotovosti pojedine stavke troškovnika
- sav rad na rušenju i demontaži
- potrebna poduhvatanja i podupiranja, te osiguranje konstruktivnih dijelova
- sve pokretne i lake skele s propisnom ogradom i zaštitom od prašine
- utovar, transport i istovar na privremenu deponiju koju određuje Investitor
- utovar i transport i do  deponije po izboru izvođača uključujući sve komunalne ili slične takse, odnosno troškove
- sortiranje materijala tj. odvajanje šute i drugog otpada predviđenog za odvoz na konačnu deponiju od elemenata i opreme koji bi se mogli nakon čišćenja i sortiranja (koje također ulazi u cijenu), biti korisni investitoru, te mu se trebaju predočiti prije konačne dispozicije.
- prostor za privremeno spremanje demontiranih elemenata
- sva zaštitna sredstva, pomoćne skele i podupore potrebne prilikom rušenja
- pomoćni alati uređaji i strojevi potrebni za postupak pažljivog rušenja građevine
- svi prenosi i prijevozi po gradilištu
- radovi na zaštiti okoliša od zagađenja (polijevanje šute vodom prije transporta, čišćenje radnih površina i održavanje čistoće kod izvođenja radova)
- čišćenje prostora u tijeku radova i nakon završetka svih radova, te otpremu vlastitog otpada i viška materijala     
Sve radove treba izvesti uz obveznu primjenu važećih propisa zaštite na radu za ovu vrstu radova.</t>
  </si>
  <si>
    <t>Napomena:</t>
  </si>
  <si>
    <t>Izvođač radova prije formiranja ponude dužan je pregledati i upoznati se sa cjelokupnom postojećom tehničkom dokumentacijom, pregledati lokaciju i upoznati se sa stvarnim stanjem na istoj, kako bi bio što bolje informiran o predmetu ponude. Naknadni troškovi neće se uvažiti.</t>
  </si>
  <si>
    <t xml:space="preserve">Demontaža postojeće instalacije (hidroinstalacija, elektroinstalacija, strojarske instalacije) nije predmet ovog troškovnika, osim ako u zasebnoj stavci nije drugačije navedeno. Stoga sve radove rušenja i demontaže izvoditi na način da se iste ne oštete. </t>
  </si>
  <si>
    <t>Svu demontiranu i uklonjenu opremu i namještaj skladištiti u prostoru predviđenom od strane Investitora, osim ako Investitor drugačije ne navede, u tom slučaju odvozi se na gradski deponij. (Utovar, istovar, horizontalni i vertikalni transport te odvoz uračnati u cijenu stavke).</t>
  </si>
  <si>
    <t>0.3.</t>
  </si>
  <si>
    <t>OPĆI UVJETI - ZEMLJANI RADOVI</t>
  </si>
  <si>
    <t>Prije početka radova geodetski snimiti teren i u prisutnosti nadzornog inženjera odrediti relativnu visinsku kotu ±00, iskolčiti zgradu (objekt) te provjeriti da li trase postojećih instalacionih vodova na gradilištu i u blizini kolidiraju sa iskopom ili radnim prostorom potrebne mehanizacije.</t>
  </si>
  <si>
    <t>Prije početka zemljanih radova, teren treba očistiti od šiblja i korova ili stabala do 10 cm promjera (ukoliko to smeta postavljanju objekta ili organizaciji gradilišta). Ovi radovi kao i radovi oko razmjeravanja terena i obilježavanja zgrade uračunati su u jedinične cijene.</t>
  </si>
  <si>
    <t>Dužnost je izvođača da utvrdi pravi sastav tla, odnosno njegovu kategoriju i ukoliko odstupa od Geotehničkog elaborata i/ili projekta konstrukcije, obavijesti projektanta i nadzornog inženjera.</t>
  </si>
  <si>
    <t>Ukoliko se prilikom iskopa pojave podzemni vodotoci ili se razina vode podigne iznad utvrđenih visina prema podacima u geomehaničkom izvještaju, crpljenje vode kod takvih izvanrednih stanja dužan je izvesti izvoditelj o svom trošku kao i sve dodatne mjere zaštite i prevencija da se spriječi pojava vode.</t>
  </si>
  <si>
    <t>Planiranje dna širokog iskopa i iskopa za postavljanje drenažnih cijevi izvesti sa točnošću od ±3 cm, što je uključeno u jediničnu cijenu.</t>
  </si>
  <si>
    <t>Primanje iskopa vrši se u prisustvu nadzornog inžinjera. Iskop na određenu dubinu vršiti sukladno projektnoj dokumentaciji, u konkretnom slučaju do dna postojećeg temelja. Dno iskopa  mora se nalaziti na nosivom tlu bez obzira na projektiranu dubinu. Eventualno potrebni dodatni iskopi platiti će se prema stvarnim količinama. IZVOĐAČ JE DUŽAN OSIGURATI  PREGLED ISKOPA OD STRANE OVLAŠTENOG GEOMEHANIČARA</t>
  </si>
  <si>
    <t>Ukoliko izvođač prilikom iskopa zemlje naiđe na bilo kakve predmete, objekte ili instalacije, dužan je na tom mjestu obustaviti radove  i o tome obavijestiti investitora i nadzornog inžinjera.Naknadni troškovi se neće priznati.Predviđeno u pripremnim radovima.</t>
  </si>
  <si>
    <t>Iskopani materijale odvozi na privremenu deponiju određenu od strane izvođača, te će se naknadno koristiti prilikom zatrpavanja zidova objekta, a razlika će biti udeponirana na deponij po izboru izvođača.</t>
  </si>
  <si>
    <t>Podupiranja, razupiranja i zaštita iskopa od oborinskih voda prekrivanjem PVC folijama i izvedbom površinske odvodnje kanalima i muljnim crpkama, obuhvaćena su jediničnim cijenama, a izvode se prema geomehaničkom elaboratu i projektu zaštite građevinske jame.</t>
  </si>
  <si>
    <t>Potrebna građa za podupiranje mora biti pripremljena na gradilištu prije početka iskopa.</t>
  </si>
  <si>
    <t>Ako se iskopane jame oštete, odrone ili zatrpaju nepažnjom ili uslijed nedovoljnog podupiranja, izvođač ih dovodi u ispravno stanje, bez posebne naknade.</t>
  </si>
  <si>
    <t>Ukoliko je izvođač otkopao ispod projektom predviđene temeljne ravnine obavezan je bez naknade popuniti tako nastale šupljine betonom C 12/15, do projektirane kote.</t>
  </si>
  <si>
    <t>Količine iskopa, transporta i nasipa zemlje obračunavaju se prema sraslom stanju tla. Ukoliko troškovničkom stavkom nije drugačije navedeno odvoz zemlje uključuje transport na gradsku planirku.</t>
  </si>
  <si>
    <t>Jedinične cijene za pojedine stavke trebaju sadržavati:</t>
  </si>
  <si>
    <t>a) sav rad za iskop (ručni ili mehanički)</t>
  </si>
  <si>
    <t>b) potrebne razupore, podupore (osiguranje od urušavanja)</t>
  </si>
  <si>
    <t>c) postava potrebne ograde i mostova za prebacivanje</t>
  </si>
  <si>
    <t>d) sva potrebna planiranja i niveliranje</t>
  </si>
  <si>
    <t>e) sva potrebna nabijanja površina</t>
  </si>
  <si>
    <t>f) crpljenje površinske ili procjedne vode</t>
  </si>
  <si>
    <t>Obračun zemljanih radova:</t>
  </si>
  <si>
    <t>Obračun radova kod čišćenja terena obračunava se po m2, odnosno komadima kada je riječ o stablima, dok se odstranjivanje ostalih prepreka obično uzima paušalno.</t>
  </si>
  <si>
    <t>Obračun iskopanog materijala kod iskopa ili otkopa uzima se po m3u sraslom stanju, tj. prema volumenu u kojem se nalazilo prije kopanja i prema dimenzijama iz projekta.</t>
  </si>
  <si>
    <t>Obračun materijala u nasipu uzima se prema volumenu izrađenog nasipa.</t>
  </si>
  <si>
    <t>Za sve stavke obuhvaćene troškovnikom zemljanih radova u jediničnu cijenu potrebno je uračunati sve horizontalne i vertikalne transporte, te utovar u vozilo, dok je odvoz suvišne zemlje od širokog iskopa i ostalih iskopa na deponiju izvođača obuhvaćen posebnom stavkom.</t>
  </si>
  <si>
    <t>Jedinične cijene iz ponudbenog troškovnika formirane su sa svim troškovima pripremno završnih radova, održavanjem prometnica čistima, izradom nanosne skele, visinskim snimanjem postojećeg terena, uklanjanjem svih podzemnih građevina i potrebnim demontažama. Iskop terena neovisan je o kategoriji zemljišta.</t>
  </si>
  <si>
    <t>0.4.</t>
  </si>
  <si>
    <t>OPĆI UVJETI - ČELIČNE KONSTRUKCIJE/BRAVARSKI RADOVI</t>
  </si>
  <si>
    <t>Svi radovi moraju biti izrađeni u skladu sa zahtjevima važećih standarda i u skladu sa uzancama zanata u građevinarstvu, te prema Pravilniku o tehničkim mjerama i uvjetima za završne radove u zgradarstvu, Službeni list 49/70 i prema podacima iz projekta.</t>
  </si>
  <si>
    <t xml:space="preserve">Bravarski radovi
Svi bravarski radovi i čelične konstrukcije moraju se izvesti prema nacrtima, opisu troškovnika i uputama projektanta ili nadzornog inženjera.
</t>
  </si>
  <si>
    <t>Vlastita konstruktivna rješenja i posebnost načina ugradnje, opšavni profili i predloženi okov prije ugovaranja ponuđač će usuglasiti sa zahtjevima projektanta.</t>
  </si>
  <si>
    <t>Izvođač je dužan uzeti na gradilištu sve mjere otvora u koje se treba ugraditi bravarija te nakon toga pristupiti izradi iste.</t>
  </si>
  <si>
    <t>Prije početka izrade obavezno se moraju uskladiti mjere i količine na objektu s onima u projektima.</t>
  </si>
  <si>
    <t>Ako je pojedinom stavkom traženo, izvođač treba ponuditi kompletnu cijenu proizvoda, tj. kompletnu izvedbu bravarije, ličenje, ustakljenje te drvene ili druge ispune ako je isto u dotičnoj poziciji traženo.</t>
  </si>
  <si>
    <t>U tom slučaju izvođač bravarskih radova treba biti u kooperaciji sa izvođačem ličilačkih, stolarskih, staklorezačkih i sl. radova a on je pred investitorom nosilac posla i odgovoran za kvalitet ukupnog rada. Sastavni dio bravarskih radova u tom slučaju su uvjeti staklorezačkih, stolarskih i ličilačkih radova.</t>
  </si>
  <si>
    <t>Materijal
Sav materijal koji se upotrebljava za izradu bravarskih radova mora odgovarati važećim standardima.</t>
  </si>
  <si>
    <t>kvadratno željezo                                                      HRN C.B4.024</t>
  </si>
  <si>
    <t>plosno željezo                                                          HRN C.B4.025</t>
  </si>
  <si>
    <t>okruglo željezo                                                         HRN C.G6.020</t>
  </si>
  <si>
    <t>profilno željezo                                                         HRN C.B0.500</t>
  </si>
  <si>
    <t>čelični limovi                                                            HRN C.B4.110, 111, 112</t>
  </si>
  <si>
    <t>rebrasti limovi od aluminija                                        HRN C.C4.060</t>
  </si>
  <si>
    <t>profili od aluminija                                                    HRN C.C3.020</t>
  </si>
  <si>
    <t>okov za vrata I prozore                                             HRN M.K3.032</t>
  </si>
  <si>
    <t>ispitivanje vratiju prema standardnom razvoju požara   HRN U.J1.160</t>
  </si>
  <si>
    <t>Površinska obrada</t>
  </si>
  <si>
    <t>Antikorozivna zaštita čeličnih dijelova mora biti u skladu sa važećim propisima Pravilnika o tehničkim mjerama i uvjetima za zaštitu čeličnih konstrukcija od korozije. Kompletna površinska obrada svih materijala mora biti u skladu sa važećim propisima i uputama proizvođača primjenjenog materijala (sredstva), a prema zahtjevu projektanta. Sva bravarija mora prije otpreme na gradilište biti pjeskarena i ličena pravim temeljnim slojem, ili pocinčana ukoliko je tako u stavci definirano.</t>
  </si>
  <si>
    <t>Izrada</t>
  </si>
  <si>
    <t>Izvoditelj je obavezan po sklapanju ugovora a prije početka proizvodnje, dostaviti naručitelju izvedbene i radioničke nacrte i detalje, da zajedno s projektantom i investitorom izvrši pregled istih i njihovo usklađivanje sa ostalim građevinskim i građevinsko-obrtničkim  i instalaterskim radovima.</t>
  </si>
  <si>
    <t>Svi definitivno izrađeni izvedbeni nacrti i detalji, predočeni uzorci okova odnosno predočeni prospekti tipiziranih elemenata moraju biti potpisani od strane projektanta i investitora.</t>
  </si>
  <si>
    <t>Sav okov treba biti kvalitetne izvedbe i sa detaljima bravarije predočen nadzornom inženjeru i projektantu na odobrenje a sadržan je u cijeni.</t>
  </si>
  <si>
    <t>Željezni dijelovi spajaju se varenjem. Kod spajanja vijcima svaki sastav mora biti tako konstruktivno riješen da na vanjskim površinama nema vidljivih vijaka.Spojevi se ne obračunavaju posebno,već su ukalkulirani u jediničnu cijenu.</t>
  </si>
  <si>
    <t>Kod prozorski i sl. profila specijalni umeci od tvrdog PVC materijala moraju osigurati  kvalitetu i čisti sastav dvaju profila. Sva vanjska bravarija mora biti brtvena protiv prodora kiše i prašine.</t>
  </si>
  <si>
    <t>Svi tehnički i fizikalni zahtjevi trebaju biti ispunjeni prema propisima ili prema posebnim traženjima projektanta. Konstrukcija mora biti dimenzionirana tako da sigurno prihvaća opterećenja i funkcije elemenata. Sve nosive dijelove statički provjeriti. Prije početka izrade obavezno se moraju uskladiti mjere i količine na objektu.</t>
  </si>
  <si>
    <t>Atesti</t>
  </si>
  <si>
    <t>Za sve radove predviđene troškovnikom izvoditelj je dužan pribaviti ateste od odgovarajućih instituta, za kvalitetu materijala, površinske obrade, ispravnost po izvoditelju predloženih detalja kao i antikorozivne zaštite.</t>
  </si>
  <si>
    <t>Obračun</t>
  </si>
  <si>
    <t>Obračun izvedenih radova vrši se prema “Prosječnim normama u građevinarstvu”.</t>
  </si>
  <si>
    <t>Nadzorni inženjer upisom u dnevnik dozvoljava početak radova.</t>
  </si>
  <si>
    <t>Obračun po kg ugađenog čelika bez dodatka na zavar i spojni pripor, isto je potrebno ukalkulirati u jediničnu cijenu prilikom nuđenja.</t>
  </si>
  <si>
    <t>Jedinična cijena treba sadržavati:</t>
  </si>
  <si>
    <t>a) sav materijal, dobavu, izradu i dopremu alata, mehanizaciju i uskladištenje
b) sav spojni materijal, varovi i obrada varova
c) uzimanje svih potrebnih izmjera na objektu
d) izrada radioničkih nacrta i detalja
e) troškove radne snage za kompletan rad opisan u troškovniku
f) dvokratni osnovni premaz prema uvjetima antikorozivne zaštite u radioni, te kompletnu zaštitu sa završnom obradom ličenjem, ako je to u stavci određeno, plastificiranjem ili eloksiranjem aluminijskih profila
g) sve horizontalne i vertikalne transporte do mjesta montaže
h) potrebnu radnu skelu (ukoliko ima potrebe za istom, uz napomenu da se ovdje izuzima fasadne skela jer že ona biti zasebna stavka ovog dokumenta kako je ranije navedeno u općim uvjetima)
i) čišćenje nakon završetka radova, uključiti odvoz otpadnog materijala na gradski deponij
j) svu štetu kao i troškove popravka kao posljedica nepažnje u toku izvedbe (snosi Izvoditelj)
k) sve troškove zaštite na radu
l) sve troškove atesta</t>
  </si>
  <si>
    <t>0.5.</t>
  </si>
  <si>
    <t>OPĆI UVJETI - IZOLATERSKI RADOVI</t>
  </si>
  <si>
    <t>a) HIDROIZOLACIJE</t>
  </si>
  <si>
    <t>Ovi radovi obuhvaćaju hidroizolaciju i toplinsku izolaciju podova, zidova i krova. Ostale izolacije obuhvaćene su u pokrivačkim, limarskim i drugim zanatskim radovima.</t>
  </si>
  <si>
    <t>IZVEDBA
Pažljivo izvesti savijanje traka i preklope prema uputama proizvođača, uz upotrebu tipskih prefabriciranih elemenata za složene spojeve (uglove, bridove, vodolovna grla, prodore i slično), jer će sve manjkavosti i štete nastale lošom izvedbom izolacije snositi izvođač.
Podloga mora biti očišćena od prašine, mora biti ravna i potpuno suha. Max. vlažnost podloge je 4% površinski. Parna brana se može polagati samo po suhom vremenu. Za parnu branu primjenjuju se folije kompatibilne s odabranim izolacijskim sustavom, a u skladu s uputama proizvođača sustava.
Slojevi izolacije polažu se samo na posve suhu i očišćenu podlogu kod temperature koju definira proizvođač i materijal odabrenog izolacijskog sistema. Izolacijske trake moraju prilegnuti na podlogu ravno cijelom površinom, bez nabora i mjehura. 
Posebnu pažnju obratiti na zaštitu od požara kod rada s vrućim bitumenskim premazima i varenim ljepenkama zbog velike zapaljivosti bitumena.
U slučaju požara gasiti pijeskom ili pjenom. Gašenje vodom je opasno zbog prskanja vrelog bitumena.</t>
  </si>
  <si>
    <t>Pažljivo izvesti savijanje traka i preklope prema uputama proizvođača, uz upotrebu tipskih prefabriciranih elemenata za složene spojeve (uglove, bridove, vodolovna grla, prodore i slično), jer će sve manjkavosti i štete nastale lošom izvedbom izolacije snositi izvođač.
Podloga mora biti očišćena od prašine, mora biti ravna i potpuno suha. Max. vlažnost podloge je 4% površinski. Parna brana se može polagati samo po suhom vremenu. Za parnu branu primjenjuju se folije kompatibilne s odabranim izolacijskim sustavom, a u skladu s uputama proizvođača sustava.
Slojevi izolacije polažu se samo na posve suhu i očišćenu podlogu kod temperature koju definira proizvođač i materijal odabrenog izolacijskog sistema. Izolacijske trake moraju prilegnuti na podlogu ravno cijelom površinom, bez nabora i mjehura. 
Posebnu pažnju obratiti na zaštitu od požara kod rada s vrućim bitumenskim premazima i varenim ljepenkama zbog velike zapaljivosti bitumena.
U slučaju požara gasiti pijeskom ili pjenom. Gašenje vodom je opasno zbog prskanja vrelog bitumena.</t>
  </si>
  <si>
    <t>Sve hidroizolaterske radove treba izvesti solidno i stručno prema važećim propisima i pravilima dobrog zanata.</t>
  </si>
  <si>
    <t>Hidroizolacije na bazi bitumena izvode se kao premazi i kao premazi sa izolacionim trakama (ljepenkama).</t>
  </si>
  <si>
    <t>Izolacionu ljepenku i ostale vrste izolacionih traka i ploča treba rezati ravno i pravokutno. Zaderani i krpani komadi isključeni su od ugradbe. Svi preklopi moraju biti najmanje 10 cm široki i ljepljeni bitumenom - hladnom bitumenskom masom ili vrućom bitumenskom izolacionom masom.  Kod polaganja dvaju ili više slojeva izolacionih traka ili ploča preklopi ne smiju ležati jedan na drugom, već moraju biti pomaknuti.</t>
  </si>
  <si>
    <t>Podloga za hidroizolaciju mora biti suha i čvrsta, ravna i bez šupljina na površini, te očišćena od prašine i raznih nečistoća. Svi spojevi izvedeni su potrebnim preklopima min. 10 cm, pažljivo izvesti savijanje, jer će sve manjkavosti i štete nastale lošom izvedbom izolacije snositi izvođač.</t>
  </si>
  <si>
    <t>Spoj horizontalne i vertikalne izolacije izvoditi sa bubrećim kitovima, nakon izvedbe oba premaza.</t>
  </si>
  <si>
    <t>Izolacija treba prilegnuti na podlogu ravno cijelom površinom, bez nabora i mjehura.</t>
  </si>
  <si>
    <t>Posebnu pažnju obratiti na zaštitu od požara kod rada sa vrućim bitumenskim premazima i varenim ljepenkama zbog velike zapaljivosti bitumena.</t>
  </si>
  <si>
    <t>U slučaju požara gasiti pijeskom ili pjenom. Gašenje vodom je opasno zbog prskanja vrelog bitumena.</t>
  </si>
  <si>
    <t>Hidroizolacije na bazi penetrirajućih premaza (silikatne osnove) se nanose neposredno nakon vezanja betona, odnosno nakon skidanja oplate. Vlažnost i kiselost betonske podloge treba izvođač provjeriti i uskladiti recepturu premaza sa kvalitetom podloge.</t>
  </si>
  <si>
    <t>Onečišćene podloge (zemlja, ulje i sl.) čistiti mehanički i vodom te  sredstvima koja propisuje i dozvoljava proizvođač premaza. Broj i način nanošenja premaza prema uputstvu proizvođača.</t>
  </si>
  <si>
    <t>Ukoliko se tijekom ispitivanja vodonepropusnosti ("vodene probe") ili naknadno ustanovi tj. pojavi voda i/ili vlaga zbog nesolidne izvedbe, potrebno je detaljno pregledati površinu cijelog krova te ustanoviti oštećenja hidroizolacije i eventualno slojeva toplinske izolacije i parne brane, i popraviti ih u skladu s uputama izolacijskog sustava na trošak izvođača. 
Izvođač mora, u tom slučaju, o svom trošku izvesti popravak pojedinih građevinskih i obrtničkih radova, koji se prilikom ponovne izvedbe oštete ili moraju demontirati.</t>
  </si>
  <si>
    <t>Kod višeslojnih izolacijskih sustava krovova posebnu pažnju obratiti na dinamiku izvođenja radova u skladu s vremenskim uvjetima. 
Sloj toplinske izolacije između parne brane i hidroizolacije mora biti apsolutno suh u svim fazama izvedbe. 
Ukoliko tijekom izvedbe slojeva krova ili pri ispitivanju vodonepropusnosti dođe do vlaženja slojeva toplinske izolacije ispod hidroizolacije, neovisno o uzroku vlaženja potrebno je podignuti sloj hidroizolacije te prosušiti sve podložne slojeve, kao i betonsku konstrukciju ispod parne brane do postotka vlažnosti propisanog od strane proizvođača sustava. 
Sve ploče toplinske izolacije na kojima se tada utvrde oštećenja nastala kao posljedica utjecaja vlage potrebno je odstraniti i u cjelosti zamjeniti neoštećenim suhim pločama.</t>
  </si>
  <si>
    <t>Sav materijal za izolaciju treba biti prvorazredne kvalitete, te odgovarati postojećim propisima i standardima HRN-i.</t>
  </si>
  <si>
    <t>Tehnički propis o građevnim proizvodima -bitumen i bitumenska veziva</t>
  </si>
  <si>
    <t>HRN EN 12591:2009</t>
  </si>
  <si>
    <t>HRN EN 13305:2009</t>
  </si>
  <si>
    <t>HRN EN 13924:2007</t>
  </si>
  <si>
    <t>Tehnički propis o građevnim proizvodima -savitljive hidroizolacijske trake</t>
  </si>
  <si>
    <t>HRN EN 13707:2005</t>
  </si>
  <si>
    <t>HRN EN 13707:2005/A1:2008</t>
  </si>
  <si>
    <t>HRN EN 13859-1:2008</t>
  </si>
  <si>
    <t>HRN EN 13859-2:2008</t>
  </si>
  <si>
    <t>HRN EN 13956:2005</t>
  </si>
  <si>
    <t>HRN EN 13956:2005/Ispr.1:2008</t>
  </si>
  <si>
    <t>HRN EN 13967:2005</t>
  </si>
  <si>
    <t>HRN EN 13967:2005/A1:2008</t>
  </si>
  <si>
    <t>HRN EN 13969:2005</t>
  </si>
  <si>
    <t>HRN EN 13969:2005/A1:2008</t>
  </si>
  <si>
    <t>HRN EN 13984:2005</t>
  </si>
  <si>
    <t>HRN EN 13984:2005/A1:2008</t>
  </si>
  <si>
    <t>HRN EN ISO 1182:2002</t>
  </si>
  <si>
    <t>HRN EN ISO 1716:2002</t>
  </si>
  <si>
    <t>Sintetičke hidroizolacije</t>
  </si>
  <si>
    <t>Poliesterom pojacana, višeslojna sinteticka krovna membrana bazirana na polivinil kloridu (PVC);TPO</t>
  </si>
  <si>
    <t>HRN EN 13956</t>
  </si>
  <si>
    <t>HRN  EN ISO 527-1</t>
  </si>
  <si>
    <t>HRN U.M³.240 hladni premaz</t>
  </si>
  <si>
    <t>HRN U.M³.224, 244 vrući premaz</t>
  </si>
  <si>
    <t>HRN U.M³.232, 221, 226 ljepenka</t>
  </si>
  <si>
    <t>HRN A.3.026, 027 bitumenizirana juta</t>
  </si>
  <si>
    <t>Ukoliko je opis neke stavke izvođaču nejasan, potrebno je pravovremeno, prije predaje ponude, tražiti objašnjenje od provoditelja natječaja. Eventualne izmjene materijala, te način izvedbe tijekom gradnje moraju se ishoditi isključivo pismenim dogovorom s projektantom i nadzornom službom. Sve ostale radnje, koje neće biti na taj način utvrđene, neće se priznati u obračunu.
Ukoliko se stavkom troškovnika traži materijal koji nije obuhvaćen propisima, treba se u svemu izvesti prema uputama proizvođača, te garancijom i atestima za to ovlaštenih ustanova (IGH, Cemtra, ZIK, sl.).
Prije početka radova izvođač mora ustanoviti kvalitetu podloge na koju se izvodi izolacija i ako nije pogodna za rad mora o tome, na osnovu relevantnih dokaza, pismeno izvjestiti nadzornog inženjera kako bi se podloga na vrijeme popravila i pripremila za izvođenje izolacije.
Podloga za hidroizolaciju mora biti:
- homogena,
- suha i čvrsta,
- ravna i bez šupljina na površini
- bez ulja i masti, prašine, rastresitih ili nevezanih čestica
- izvedena u projektiranim padovima.
Onečišćene podloge (zemlja, ulje i sl.) čistiti mehanički i vodom te sredstvima koja propisuje i dozvoljava proizvođač izolacijskog sustava.</t>
  </si>
  <si>
    <t>Ukoliko se naknadno ustanovi tj. pojavi vlaga zbog nesolidne izvedbe, ne dozvoljava se krpanje, već se mora ponovno izvesti izolacija cijele površine na trošak izvođača. Izvođač mora u tom slučaju o svom trošku izvesti i popravak pojedinih građevinskih i obrtničkih radova, koji se prilikom ponovne izvedbe oštete ili moraju demontirati.</t>
  </si>
  <si>
    <t>Obračun se vrši prema postojećim normama GN 301,5.</t>
  </si>
  <si>
    <t>JEDINIČNA CIJENA
Dodatno, u jediničnu cijenu svake stavke treba biti ukalkulirano:
. uzimanje mjera na licu mjesta, krojenje i rezanje materijala
. izrada detalja izvedbe (ugradbe) i adekvatne radioničke dokumentacije pridržavajući se uputa proizvođača sustava i uvažavajući klimatske uvjete, te dostava na ovjeru projektantu i nadzoru u dva primjerka.
. izvedba svih opisanih slojeva hidroizolacije, toplinske izolacije kao i završnih slojeva ukoliko je tako specificirano.
. svi preklopi materijala i eventualni otpadni materijal za izvedbu u skladu s pravilima struke
. upotreba prefabriciranih elemenata za složene spojeve (uglove, bridove, vodolovna grla, prodore i slično) u svemu u skladu s odabranim sustavom izolacije.
. sav materijal i rad potreban za sva brtvljenja na mjestima spojeva i završetaka hidroizolacija, svi tipski završni profili
. kod izvođenja radova treba se pridržavati smjernica o primjeni propisanoj od strane proizvođača materijala. Kvaliteta ugrađene hidroizolacije dokazuje se ispitivanjem vodenom probom u trajanju najmanje 48 sati, a predaje upisom u građevinski dnevnik.</t>
  </si>
  <si>
    <t>Dodatno, u jediničnu cijenu svake stavke potrebno je uračunati i sljedeće:
- uzimanje mjera na licu mjesta, krojenje i rezanje materijala,
- izrada detalja izvedbe (ugradnje) i adekvatne radioničke dokumentacije pridržavajući se uputa proizvođača sustava i uvažavajući klimatske uvjete, te dostava na ovjeru projektantu i nadzoru u dva primjerka,
- izvedba svih opisanih slojeva hidroizolacije, toplinske izolacije kao i završnih slojeva ukoliko je tako specificirano,
- svi preklopi materijala i eventualni otpadni materijal za izvedbu u skladu s pravilima struke,
- upotreba prefabriciranih elemenata za složene spojeve (uglove, bridove, vodolovna grla, prodore i slično) u svemu u skladu s odabranim sustavom izolacije,
- sav materijal i rad potreba za sva brtvljenja na mjestima spojeva i završetaka hidroizolacije,
- svi tipski završni profili
- kod izvođenja radova potrebno je pridržavati se smjernica o primjeni propisanoj od strane proizvođača materijala. Kvaliteta ugrađene hidroizolacije dokazuje se ispitivanjem vodenom probom u trajanju najmanje 48 sati, a predaje upisom u građevinski dnevnik</t>
  </si>
  <si>
    <t>Obračun po m2 uključivo sve tipske prefabricirane komade izolacije (spojevi uglova, bridovi, špicevi, tipski završni profili,kaširane limove) i spajanje na vertikalnu izolaciju opšava zidova.U jediničnu cijenu ukalkulirati izradu dilatacija i brtvljenje oko prodora instalacija,cijevi i sl. na mjestima gdje je to potrebno.OBRAČUN ISKLJUČIVO PO TLOCRTNOJ POVRŠINI  IZVEDENE HIDROIZOLACIJE.</t>
  </si>
  <si>
    <t>Ovi opći uvjeti mijenjaju se ili nadopunjuju opisom pojedine stavke troškovnika.</t>
  </si>
  <si>
    <t>Prije montaže na gradilištu, izvođač je dužan izgraditi razradu detalja izrade (ugradbe) pridržavajući se pravila dobrog zanata i uvažavajući klimatske uvjete, te dati ih na ovjeru projektantu i nadzoru.</t>
  </si>
  <si>
    <t>Za atestirane detalje proizvođača nije potrebna suglasnost projektanta. Ovo se ne odnosi na posebne detalje koji su projektom već definirani. Primopredaja radova prema investoru će se izvršiti isključivo nakon pregleda izvedenih radova od strane izvođača, investitora i predstavnika proizvođača hidroizolacija.</t>
  </si>
  <si>
    <t>b) PARNA BRANA</t>
  </si>
  <si>
    <t>Parna brana je visoko vrijedni izolacioni sloj koji se postavlja ispod toplinske izolacije. Prije polaganja parne brane moraju biti izvedena podnožja u uglovima (holkeri), tako da se izolacijske trake ne lome pod pravim kutem, nego se koso postavljaju na vertikalnu plohu. Podloga mora biti očišćena od prašine, mora biti ravna i potpuno suha. Max. vlažnost podloge je 3% mase. Parna brana se može polagati samo po suhu vremenu. Za parnu branu primjenjuju se metalne (aluminijske) folije, a kao sredstvo za ljepljenje bitumen i bitumenska masa u vrućem stanju.</t>
  </si>
  <si>
    <t>c) TERMOIZOLACIJA</t>
  </si>
  <si>
    <t xml:space="preserve">Termoizolacija se izvodi od materijala koji imaju osobine da slabo provode toplinu (proračunom je određena vrijednost toplinske izolacije). Izvode se prema opisu troškovnika, kvalitetno i prema HRN-a, te tehničkim propisima  za toplinsku i zvučnu izolaciju.
</t>
  </si>
  <si>
    <t>Obračun radova vrši se po m2 površine, osim ako nije drugačije navedeno zasebno u stavci.</t>
  </si>
  <si>
    <t>0.6.</t>
  </si>
  <si>
    <t>OPĆI UVJETI - ZIDARSKI RADOVI</t>
  </si>
  <si>
    <t>Zidarske radove izvesti u svemu prema projektu, Tehničkom propisu za zidane konstrukcije i troškovniku. Ako koja stavka nije izvođaču jasna, mora prije ponude tražiti objašnjenje od projektanta. Eventualne izmjene materijala, te način izvedbe tokom gradnje mora se izvršiti isključivo pismenim dogovorom s projektantom i nadzornim organom. Sve više radnje koje neće biti na taj način utvrđene, neće se priznati u obračun. Ukoliko se traži stavkom troškovnika materijal koji nije obuhvaćen propisima, ima se u svemu izvesti prema uputama proizviđača, te garancijom i atestima od za to ovlaštenih ustanova (IGH ili sl.).</t>
  </si>
  <si>
    <t>Građevni proizvod proizveden u proizvodnom pogonu (tvornici) izvan gradilišta smije se ugraditi u zidanu konstrukciju ako ispunjava zahtjeve propisane ovim Propisom i ako je za njega izdana isprava o sukladnosti u skladu s odredbama posebnog propisa.</t>
  </si>
  <si>
    <t>Mort, beton, armatura, zidni elementi od prirodnog kamena i predgotovljeno ziđe izrađeni na gradilištu za potrebe toga gradilišta, smiju se ugraditi u zidanu konstrukciju ako je za njih dokazana uporabljivost u skladu s projektom zidane konstrukcije i ovim Propisom.</t>
  </si>
  <si>
    <t>Specificirana svojstva, dokazivanje uporabljivosti, potvrđivanje sukladnosti, označavanje građevnih proizvoda, ispitivanje građevnih proizvoda, posebnosti pri projektiranju i građenju građevina koje sadrže zidanu konstrukciju te potrebni kontrolni postupci kao i drugi zahtjevi koje moraju ispunjavati građevni proizvodi određeni su u prilozima Tehničkog propisa za zidane konstrukcije.</t>
  </si>
  <si>
    <t>Tehnička svojstva zidnog elementa moraju ispunjavati opće i posebne zahtjeve bitne za krajnju namjenu zidnog elementa i moraju biti specificirana prema normama niza HRN EN 771, normama na koje taj niz upućuje i odredbama ovoga Priloga.</t>
  </si>
  <si>
    <t>Norme za zidne elemente
HRN EN 771-1:2005 Specifikacije za zidne elemente – 1. dio: Opečni zidni elementi (EN 771-1:2003+A1:2005)
HRN EN 771-2:2005 Specifikacije za zidne elemente – 2. dio: Vapnenosilikatni zidni elementi (EN 771-2:2003+A1:2005)
HRN EN 771-3:2005 Specifikacije za zidne elemente – 3. dio: Betonski zidni elementi (gusti i lagani agregat) (EN 771-3:2003+A1:2005)
HRN EN 771-4:2004 Specifikacije za zidne elemente – 4. dio: Zidni elementi od porastoga betona (EN 771-4:2003)
HRN EN 771-4/A1:2005 Specifikacije za zidne elemente – 4. dio: Zidni elementi od porastoga betona (EN 771-4:2003/A1:2005)
HRN EN 771-5:2005 Specifikacije za zidne elemente – 5. dio: Zidni elementi od umjetnoga kamena (EN 771-5:2003+A1:2005)
HRN EN 771-6:2006 Specifikacije za zidne elemente – 6. dio: Zidni elementi od prirodnoga kamena (EN 771-6:2005)
HRN EN 12859:2002 Gipsani blokovi – Definicije, zahtjevi i ispitne metode (EN 12859:2001)</t>
  </si>
  <si>
    <t>Norme za mort
HRN EN 998-2:2003 Specifikacije morta za ziđe – 2. dio: Mort za ziđe (EN 998-2:2003)
HRN CEN/TR 15225:2006 Smjernice za tvorničku kontrolu proizvodnje za označavanje oznakom CE (potvrđivanje sukladnosti 2+) za projektirane mortove (CEN/TR 15225:2005)
HRN EN 13501-1:2002 Razredba građevnih proizvoda i građevnih elemenata prema ponašanju u požaru – 1. dio: Razredba prema rezultatima ispitivanja reakcije na požar (EN 13501-1:2002)</t>
  </si>
  <si>
    <t>Norme za građevno vapno
HRN EN 459-1:2004 Građevno vapno – 1. dio: Definicije, specifikacije i kriteriji sukladnosti (EN 459-1:2001 + AC:2002)
HRN EN 459-3:2004 Građevno vapno – 3. dio: Vrednovanje sukladnosti (EN 459-3:2001 + AC:2002)</t>
  </si>
  <si>
    <t>Norme za zidarski cement
HRN EN 413-1:2004 Zidarski cement – 1. dio: Sastav, specifikacije i kriteriji sukladnosti (EN 413-1:2004),
HRN EN 197-2:2004 Cement – 2. dio: Vrednovanje sukladnosti
HRN CR 14245:2004 Vodič za primjenu EN 197-2 »Vrednovanje sukladnosti«
HRN EN 13279-1:2006 Veziva i žbuke na osnovi gipsa – 1. dio: Definicije i zahtjevi (EN 13279-1:2005)</t>
  </si>
  <si>
    <t>Zidovi</t>
  </si>
  <si>
    <t>Zidati treba u pravilnom vezu, u potpuno horizontalnim redovima debljine 1 cm ispunjenim mortom. Mort mora odgovarati točno omjerima po količinama materijala označenim u poziciji  N 301,1 prosječnih normi, a čvrstoća i kvaliteta mora odgovarati propisima HRN-i. Pijesak mora biti čist bez organskih primjesa. Cement za produžen i cementni mort mora odgovarati propisima HRN-i. Vapno treba biti dobro gašeno i odležano. Ukoliko se radi s hidratiziranim vapnom obavezno se držati upute proizvođača. Pri zidanju ostaviti sve otvore za kanale, instalacije i sl., a prema projektu.</t>
  </si>
  <si>
    <t>Kod zidova debljine do 12 cm iznad vrata uključiti u jediničnu cijenu zida izradu i montažu armirano betonskih montažnih nadvoja. Pri obračunu količine svi otvori se odbijaju po zidarskim mjerama, uključujući armirano betonske nadvoje kod punog zida. Svježe zidove treba zaštititi od utjecaja visoke i niske temperature i atmosferskih nepogoda. Površine kod koji se samo naknadno obrađuju reške (fugiraju) treba pažljivo zidati  sa čistim licem i oštrobridom opekom.</t>
  </si>
  <si>
    <t>Kod izrade dimnjaka i  ventilacionih kanala treba se pridržavati uputstva i prospekata proizvođača montažnih elemenata u pogledu nosivosti, zidanja i termičkih vrijednosti.</t>
  </si>
  <si>
    <t>Žbukanje</t>
  </si>
  <si>
    <t>Žbukanje zidova u pogodno vrijeme i kad su zidovi  i stropovi potpuno suhi. Po velikoj zimi i vrućini treba izbjegavati žbukanje, jer tada može doći do smrzavanja odnosno pucanja uslijed sušenja. Prije žbukanja treba plohe dobro očistiti i navlažiti. Spojnice moraju biti udubljene cca 2 cm od plohe zida. Površine žbuke moraju biti glatke i ravne bez pukotina i visova. Uglovi i završeci oštri, ravni, okomiti, vodoravni ili u pravcu označenim u nacrtima. Sudar žbuka sa svim elementima ugrađenim u zid mora biti potpuno zatvoren i fino obrađen. Ploha žbuke ne smije prekoračiti ravnine ugrađenih okvira (tipskih metalnih uglovnih profila), doprozornika i dovratnika. Svi uglovi  i sudari moraju biti oštro i ravno odrezani i pod ravnim kutem izvedeni, i ojačani tipskim kutnim metalnim profilima.
OBRAČUN SE VRŠI PO m2 STVARNO OŽBUKANE I IZVEDENE POVRŠINE BEZ DODATKA NA OBRADU OKO OTVORA,ŠPALETA, SKUČENOST PROSTORA I SL. isto je nužno ukalkulirati u jediničnu cijenu</t>
  </si>
  <si>
    <t>Razni graditeljski radovi</t>
  </si>
  <si>
    <t>Sve ugradbe izvesti točno po propisima i na mjestu označenom po projektu, a u vezi opisa pojedine stavke. Kod ugradbe doprozornika uključena je ugradba prozorskih klupčica, kutija za eslinger rolete, kutija za opruge kod eslingera, kutija za flos roletu i sl., dakle sve što ide uz doprozornik. Ovo se analogno odnosi i na druge ugradbe.</t>
  </si>
  <si>
    <t>Kod stavaka, gdje je uz ugradbu označena i dobava, istu treba uključiti, a također i eventualnu izradu pojedinih elemenata, koji se izvode na gradilištu i ugrađuju montažno.</t>
  </si>
  <si>
    <t>U cijenu treba uračunati svu zidarsku pripomoć obrtnicima, instalaterima, nošenje izuzetno teških predmeta, pripomoć kod raznih ugradbi, te materijal za ugradbu. NAKNADNI TROŠKOVI NEĆE SE UVAŽITI.</t>
  </si>
  <si>
    <t>Obračun za zidarske radove vrši se prema GN 301.</t>
  </si>
  <si>
    <t>Jedinična cijena zidarskih radova mora sadržavati:</t>
  </si>
  <si>
    <t>- dobavu, dostavu i dopremu svog materijala (uključivo i vezni)
- sav potreban rad, uključivo prijenos, alat i strojeve,
- svu potrebnu skelu bez obzira na visinu i vrstu s prolazima,
- transportne troškove materijala,
- potrebnu oplatu u slučaju zidarskih svodova i sl.
- zaštitu zidova od utjecaja vrućine, hladnoće, atmosferskih nepogoda i sl.
- čišćenje prostorija i zidnih površina po završetku zidanja, žbuke sa odvozom otpada,
- poduzimanje mjera po HTZ i ostalim postojećim propisima</t>
  </si>
  <si>
    <t>Jedinična cijena kod žbukanja odnosno obrade fasade treba sadržavati:</t>
  </si>
  <si>
    <t>- dobavu, dostavu i dopremu svog materijala,
- sav potreban rad, ukključujući i prijenose, alat i strojeve,
- svu potrebnu skelu, bez obzira na vrstu i visinu,
- kvašenje i pačokiranje površine, gdje je to po opisu iznad potrebno,
 - izrada uzoraka fasadne žbuke
- čišćenje prostorija po završenom radu sa odnosom šute
- poduzimanje mjera po HTZ i ostalim postojećim propisima</t>
  </si>
  <si>
    <t>Jedinična cijena za razne graditeljske radove treba sačinjavati:</t>
  </si>
  <si>
    <t>- dobavu, dostavu i dopremu svog materijala (uključujući i sav pomoćni materijal za ugradbe poput morta, ljepenke, skobe itd),
- sav potreban rad, ukključujući i prijenose, alat i strojeve,
- sva potrebna bušenja i dubljenja,
- izrada i postava drvenih podmetača potrebnih za ugradbu,
- svu potrebnu skelu, bez obzira na vrstu i visinu,
- čišćenje prostorija po završenom radu sa odnosom šute
- poduzimanje mjera po HTZ i ostalim postojećim propisima</t>
  </si>
  <si>
    <t>Ugradbu treba vršiti tako, da se ne čini šteta na ostalom dijelu objekta.</t>
  </si>
  <si>
    <t>Ovi opći uvjeti se mijenjaju ili dopunjuju opisom pojedine stavke troškovnika.</t>
  </si>
  <si>
    <t>0.7.</t>
  </si>
  <si>
    <t>OPĆI UVJETI - LIMARSKI RADOVI</t>
  </si>
  <si>
    <t>Sve limarske radove izvesti točno prema opisu u troškovniku, tamo gdje je to projektom predviđeno. Materijali moraju zadovoljavati odgovarajuće propise i standarde:</t>
  </si>
  <si>
    <t>- čelični lim HRN C.B4.011,  017,  030,  110,  113</t>
  </si>
  <si>
    <t>- pocinčani lim HRN C.B4.081, HRN C.E4.020</t>
  </si>
  <si>
    <t>- olovni lim HRN C.E4.040</t>
  </si>
  <si>
    <t>- bakreni lim HRN C.D4.500,  020</t>
  </si>
  <si>
    <t xml:space="preserve">limovi od aluminija ili aluminijskih legura HRN C.C4.020,  025,  030,  050,  051, </t>
  </si>
  <si>
    <t>HRN C.C4.060 - 062,  120,  150</t>
  </si>
  <si>
    <t>Svi ostali materijali, koji nisu obuhvaćeni standardima, moraju imati ateste od za to ovlaštenih organizacija.</t>
  </si>
  <si>
    <t>Ako je opis koje stavke izvođaču nejasan, treba pravovremeno prije predaje ponude tražiti objašnjenje od projektanta. Eventualne izmjene materijala, te način izvedbe tokom gradnje moraju se izvršiti isključivo pismenim dogovorom s projektantom i nadzornim inženjerom. Sve više radnje koje neće biti na taj način utvrđene neće se priznati u obračun.</t>
  </si>
  <si>
    <t>Ispod svih opšava treba položiti sloj krovne ljepenke. Izvođač je prije izrade limarije dužan uzeti sve izmjere u naravi, a također je dužan prije početka montaže ispitati sve dijelove, gdje se imaju izvesti limarski radovi, te na eventualnu neispravnost istih upozoriti nadzornog organa, jer će se u protivnom naknadni popravci izvršiti na račun limarskih radova. Način izvedbe i ugradbe, te obračun u svemu prema postojećim normama za izvođenje završnih radova u građevinarstvu TU-XVII.</t>
  </si>
  <si>
    <t>- uzimanje mjera na gradnji za izvedbu i obračun,
- dopremu, dostavu i ugradnju svog potrebnog materijala (uključivo i pomoćni),
- sav potreban rad na gradnji u radionici,
- poduzimanje mjera po HTZ i drugim postojećim propisima,
- dovođenje plina, struje i vode od priključaka na gradilištu do mjesta upotrebe,
- transport materijala na gradilište, uskladištenje te doprema na mjesto ugradbe,
- zaštita izvedenih radova do primopredaje,
- korištenje skele te kuke, užadi, ljestvi,
- označavanje mjesta za štemanje,
- ugradba u ziđe i sl., obujmica, slivnika i sl.
- dobava i ugradba pakni odnosno ugradba limarije upucavanjem,
- čišćenje i minimiziranje željeznih dijelova,
- dobava i polaganje podložne ljepenke</t>
  </si>
  <si>
    <t>0.8.</t>
  </si>
  <si>
    <t>OPĆI UVJETI - FASADERSKI RADOVI</t>
  </si>
  <si>
    <t>Materijal za izradu skela mora biti potpuno ispravan. Odgovorna osoba dužna je izvršiti pregled materijala prije ugradbe. Skele moraju biti izvedene po mjerama i na način označen u statičkom računu i crtežima za skele. Izvedene skele moraju biti sposobne podnijeti  predviđeno opterećenje, moraju biti stabilne, otporne i ukrućene da se ne bi izvile, povile, prevrnule ili popustile u ma kom pravcu. IZVOĐAČ JE O SVOME TROŠKU DUŽAN NAPRAVITI PROJEKT SKELE SA STATIČKIM PRORAČUNOM, isto ukalkulirati u jediničnu cijenu.</t>
  </si>
  <si>
    <t>Skele moraju biti izvedene tako da se mogu skinuti lako, bez potresa i oštećenja konstrukcije koju podupiru ili uz koju su izvedene.</t>
  </si>
  <si>
    <t>Odgovorna osoba dužna je prije upotrebe, jednom mjesečno u toku upotrebe i nakon dužeg prekida rada izvršiti pregled skele.</t>
  </si>
  <si>
    <t>Izvedba lakih pokretnih skela  uključena je u standardnoj izvedbi ostalih građevinskih radova i ne obračunavaju se posebno. Pod lakim i pokretnim skelama, kao i nepokretnim, te fasadnim konzolnim skelama podrazumjevaju se skele izrađene sa svrhom da podnesu manja opterećenja radnika, alata i manjih količina materijala kod ugradbe i montaže.</t>
  </si>
  <si>
    <t>Pod nosivim skelama podrazumjevaju se skele izrađene sa svrhom da podnesu opterećenja oplate kod betonskih i armirano-betonskih radova, zidanih svodova i sličnih konstrukcija ili radi pridržavanja teških elemenata kod montaže i slično.</t>
  </si>
  <si>
    <t>OPIS RADA</t>
  </si>
  <si>
    <t>Izrada skela s izradom radnih podova, zaštitnih ograda (ako u pojedinim stavkama nije drugačije određeno), sidrenjem, podupiranjem i ukrućenjem skele.</t>
  </si>
  <si>
    <t>Prijenos svega potrebnog materijala (drvene građe, željeznih bešavnih cijevi, spojnih sredstava) od deponija do mjesta izrade skele, skidanje skele sa spuštanjem materijala. Čišćenje materijala, vađenje čavala, prijenos na deponiju i sortiranje.</t>
  </si>
  <si>
    <t>Izvedba svih pripremnih i pomoćnih radova na izradi skele kao: primjena odredaba važećih propisa zaštite na radu, uzimanje mjera na gradilištu, pregled prije ugradbe.</t>
  </si>
  <si>
    <t>Obrada vanjskih zidova zgrade - fasade, vrši se u dva sloja. Prvi osnovni sloj (grund) nabacuje se preko površine koja se obrađuje i ona mora biti čista, određene čvrstoće i dovoljno hrapava da bi se omogućila trajna veza osnovnog sloja za površinu koja se obrađuje, a završni sloj mora biti trajno vezan za grund.</t>
  </si>
  <si>
    <t>Prije nanošenja osnovnog sloja sve eventualne žice (za oplate greda ili stupova) treba odstraniti, kako bi se izbjeglo prenošenje korozije na završni sloj, a samim tim i fleke na fasadi.</t>
  </si>
  <si>
    <t>Sve izvedene površine moraju biti potpuno ravne, vertikalne, gdje je potrebno horizontalne, kose ili oble.</t>
  </si>
  <si>
    <t>Profili ili uglovi moraju biti sa oštrim rubovima, izrađeni točno prema predviđenom obliku.</t>
  </si>
  <si>
    <t>NAČIN OBRAČUNA</t>
  </si>
  <si>
    <t>Lake pokretne, lake nepokretne i konzolne skele obračunavaju se po m2 horizontalne projekcije skele.</t>
  </si>
  <si>
    <t>Prilaz na skele (trepne) obračunava se po m2 mjereno po visini.</t>
  </si>
  <si>
    <t>Zaštitne oplate na skelama obračunavaju se po m2 razvijene površine oplate.</t>
  </si>
  <si>
    <t>Fasadne skele obračunavaju se po m2 vertikalne projekcije skele mjereno po vanjskom rubu</t>
  </si>
  <si>
    <t>Nosive skele obračunavaju se po m3 zapremnine skele, mjereno po vanjskim konturama skele.</t>
  </si>
  <si>
    <t>Zaštitne ograde ukalkulirane u jedinične cijene stavki.</t>
  </si>
  <si>
    <t>Obračun fasaderskih radova vrši se po m2 izvedenenog fasadnog sustava razvijanjem svih istaka, tj. za stvarno uređene površine.</t>
  </si>
  <si>
    <t>Otvori oko kojih postoje uložine (špaletne) do 20 cm širine, odbijaju se slijedeći način:</t>
  </si>
  <si>
    <t>a) otvori veličine do 3,00 m2 ne odbijaju se i njihove uložine se ne obračunavaju;
b) kod otvora veličine 3,00-5,00 m2 odbija se površina preko 3,00 m2, a uložine se ne obračunavaju posebno;
c) kod otvora veličine preko 5,00 m2 odbija se površina preko 3,00 m2, a uložine se obračunavaju posebno; ako su uložine šire od 20 cm onda se višak preko 20 cm obračunava posebno po m2</t>
  </si>
  <si>
    <t>NAPOMENA:  
Izvedba svih radova strogo prema uputama proizvođača upotrebljenih materijala, uključivo sve potrebne predradnje, grundiranja podloge i sl. Jediničnim cijenama stavki obuhvatiti sve tipske i ostale profile potrebne za izvedbu (rubovi špaleta uz fasadne otvore ("slijepi okviri"), sokl, uglovi, vodilice, dilatacijski profili, okapnice i sl). Izvedba na način da su profili maksimalno skriveni (nevidljiva izvedba).</t>
  </si>
  <si>
    <t>0.9.</t>
  </si>
  <si>
    <t>OPĆI UVJETI - GIPSKARTONSKI RADOVI</t>
  </si>
  <si>
    <t>Svi materijali za spuštene stropove ili pregradne stijene i obloge moraju biti prvoklasni, moraju odgovarati važećim standardima i moraju posjedovati ateste a svi radovi moraju se izvoditi prema uputama proizvođača elemenata od kojih se radovi izvode.</t>
  </si>
  <si>
    <t>Montažni zidovi od gipskartonskih ploča</t>
  </si>
  <si>
    <t>Montažni zidovi sistema tip kao KNAUF se izvode od podkonstrukcije - nosivih CW profila od pocinčanog lima debljine 0,6 mm presjeka 75/100 mm na maksimalnom razmaku  41,7 - 62,5 cm ( ako stavkom nije drugačije naznačeno ) s donjim i gornjim UW-profilom. Između profila se umeće mineralna vuna. Kod spoja sa zidom, stropom ili podom na profile se nanosi brtvena masa. Sve rubne profile na spojevima s podom, stropom i sa zidovima treba učvrstiti odgovarajućim učvrsnim elementima.Sve radove izvoditi sukladno uputama proizvođača i sukladno zadanim sustavima.Ukoliko pojedini dio sustava nije specificiran a nužan je za izvedbu isti se mora izvesti sukladno pravilima struke i bez dodatne naknade.Na manjkavost pojedine stavke proizvođač je dužan upozoriti prilikom ugovaranja,a dodatne naknade se neće uvažiti.</t>
  </si>
  <si>
    <t>Na potkonstrukciju se obostrano pričvršćuju gipskartonske ploče prema opisu u stavci pomoću tzv. vijaka za brzu ugradnju. Spojevi ploča se nakon montaže zapune ispunjačem rešaka i zaglade lopaticom. Spojevi rezanih rubova gipsane ploče obrađuju se uz primjenu papirnate bandažne trake. Vidljive glave vijaka također pregletati. Kod višeslojnog oblaganja spojevi donjih slojeva KNAUF ploča se samo zapunjavaju a spojevi gornjeg sloja se završno obrađuju gletanjem. Nakon obrade spojeva završno čitavu površinu pregletati smjesom za izravnanje što ulazi u stavku.Kod otvora vrata dovratnik izvesti od UA profila kada je visina veća od 2,80 m ili vratno krilo teže od 25 kg , a sve prema uputama proizvođača. Stavkom mora biti definirana ugradnja UA profila van standardnih uputa.
Učvršćenje ploča na potkonstrukciju izvoditi originalnim pripadajućim vijcima za brzu montažu i odgovarajuću vrstu ploče uz obvezno upuštanje glave vijka za cca 2 mm u odnosu na ravninu vidljive plohe obloge zida ili stropa.
Učvrsna sredstva za bočne masivne građevne elemente su tipli s vijcima, a za one građevne elemente koji nisu masivni učvrsna sredstva se određuju prema vrsti podloge.
U području spojeva pregradnih zidova s bočnim građevnim elementima na profile je potrebno nanijeti Knauf brtveni kit ili PE brtvenu traku. Kod očekivanih progiba međukatnih konstrukcija od &gt;10mm, potrebno je izvesti klizne spojeve.
Ukoliko se ploče polažu direktno na plohu koja se oblaže - bez potkonstrukcije - za lijepljenje se smije upotrijebiti samo originalno pripadajuće ljepilo izabranog dobavljača osnovnog materijala uz odgovarajuću impregnaciju površine. 
Fuge između ploča ispunjavaju se također pripadajućim ispunjačem i ojačavaju perforiranom papirnatom trakom za spojnice, a izložene ivice ojačavaju se aluminijskim perforiranim Al profilima. Kod uglova i ivica hodnika i prostora opterećenih velikom frekvencijom prolaza tj. mogućnosti oštećenja potrebno je koristiti Knauf Ultrabull ili Ultrakorner. Kod impregniranih gips-kartonskih ploča treba koristiti impregnirani Uniflott.
Ovješenje tereta na Knauf spuštene stropove-pojedini tereti koji se učvršćuju neposredno za gipsanu ploču ne smiju biti teži od 0.06 kg po rasponu ploče i dužnom metru. Teži predmeti, smatraju se dodatnim teretom i ako nisu uključeni u proračun jediničnih težina spuštenih stropova, trebaju se učvrstiti na međukatnu osnovnu konstrukciju.
Izvođenje ove vrsti radova podrazumijeva angažiranje stručne radne snage i pripadajućeg originalnog alata. 
Jedinična cijena obuhvaća nabavu materijala sa uključenim transportom do gradilišta, skladištenje materijala i manipulaciju materijala na gradilištu, radnu skelu, izvođenje radova, popravku loše izvedenih radova i čišćenje prostora nakon završetka ove vrsti radova kao i nadoknadu svih šteta nastalih izvođenjem gips-kartonskih radova na izvršenim radovima ostalih izvođača. 
Prekidi rada (vrijeme čekanja) koji su posljedica instalacijskih radova ukalkulirani su u jedinične cijene.
Isto tako potrebno je pripraviti HRN ateste za ponuđeni i ugrađeni materijal, a prema Zakonu o gradnji i uzancama za ovu vrstu poslova.</t>
  </si>
  <si>
    <t>Spušteni stropovi od gipskartonskih ploča</t>
  </si>
  <si>
    <t>Spušteni stropovi od gipskartonskih ploča sistema tip kao KNAUF sastoje se od metalne potkonstrukcije - nosivih i montažnih profila i ploča.</t>
  </si>
  <si>
    <t>Podkonstrukcija je izrađena od CD 60/27 profila, tipa D 112, od pocinčanog lima debljine 0,7 mm i posebnih vješača koji se vijcima s tiplima pričvršćuju o stropnu konstrukciju ( anker fix element ili nonius ovjesni element ). Nosivi profili su na razmaku od 75 -100 cm, ovješeni na maksimalnom razmaku od 60 - 90 cm. Na nosive profile dolaze montažni na maksimalnom razmaku od 40-62,5 cm.</t>
  </si>
  <si>
    <t>Kod duljina većih od 10,0 m i znatno suženih stropnih površina potrebno je izvesti dilatacijske spojeve što ulazi u jediničnu cijenu.</t>
  </si>
  <si>
    <t>Spoj sa zidom izvesti UD profilima. Učvrščenje izvesti pogodnim sredstvima ovisno o materijalu zida.</t>
  </si>
  <si>
    <t>Na podkonstrukciju se posebnim samoreznim vijcima u poprečnom smjeru pričvrščuju gipskartonske ploče standardnih dimenzija od 200-300/125 cm.</t>
  </si>
  <si>
    <t>Spojevi ploča ( bez bandažiranja ili s bandažiranjem ) se moraju se obraditi specijalnim zapunjačem prema preporuci proizvođača. Kod dvostrukog oblaganja stropa potrebno je obraditi i spojeve prvog  sloja ploča. Završno kompletnu površinu treba pregletati specijalnom glet masom.</t>
  </si>
  <si>
    <t>Strop mora biti potpuno ravan i ne smiju se vidjeti spojevi ploča. Spoj sa zidom ili s vertikalnim plohama stropa mora biti zapunjen masom za reške.</t>
  </si>
  <si>
    <t>Kvaliteta završne obrade spojeva i površine prvog sloja prema kvaliteti Q1, a kvaliteta završne obrade drugog sloja prema kvalitet obrade površine Q2. Razine kvalitete obrade površina zidova i stropova su Q2, jedino u zoni gdje se vrši ličenje kvalitet obrade Q3, a u zoni gdje se postavljaju tapete ide kvaliteta obrade površine je Q4.U jediničnu cijenu stavke  je uključena izrada otvora za vrata s time da je s obzirom na visinu zida potrebna primjena UA čeličnih profila sa pripadajučim utičnim kutnicima,Također je uključeno u jediničnu cijenu izrezivanje svih potrebnih otvora za instalacije,rasvjetna tijela, utičnice,prekidače i sl.,izrada dilatacija sukladno uputama proizvođača,te dobava i montaža svih potrebnih revizija.Obračun se vrši po m2 izvedenog stropa ili zida,gore navedene revizije i otvori se ne naplaćuju posebno već su ukalkulirane u jediničnu cijenu.</t>
  </si>
  <si>
    <t>Kod izvedbe konstrukcija od GK  ploča potrebno se držati svih uputa proizvođača, naročito glede uskladištenja ploča i uvjeta temperature i vlažnosti zraka prostora u kojima će se izvoditi spušteni strop ili pregrada (temperatura od 11 do 35oC i relativna vlažnost do 70 %). Ploče treba svakako zaštititi od kondenzne vlage. Prije izvedbe stropa ploče moraju biti na mjestu ugradnje najmanje 24 sata ranije, da bi se prilagodile mikroklimatskim uvjetima prostora. S polaganjem se može započeti tek kad su završeni svi radovi žbukanja, estriha i sl. te su dovoljno suhi, nakon ugradnje prozora, montaže grijanja i svih instalacija koje dolaze unutar stropa. Ljeti je potrebno osigurati prozračivanje, a zimi za montažu treba biti uključeno grijanje. Ako se nakon montaže iz nekih razloga grijanje treba isključiti, već montirane ploče treba  skinuti i propisno uskladištiti do punog puštanja objekta u funkciju. Montirani strop ili pregradu je potrebno očistiti od eventualnih nečistoća koje su nastale pri izvedbi, ali pri tome treba postupiti po uputstvu proizvođača suhim postupkom ili sa što manje vlage.</t>
  </si>
  <si>
    <t>Ako je pri montaži došlo do manjih oštećenja ploča, moguće ih je posebnim kitom otkloniti, ukoliko su ona veća, potrebno je zamjeniti cijelu ploču, što će upisom u građevinski dnevnik odrediti nadzorni inženjer.</t>
  </si>
  <si>
    <t>Za učvrščenje tereta na GK konstrukcije treba primjeniti specijalna pričvrsna sredstva te se pridržavati uputa o max opterećenju. Također sva potrebna ojačanja u zidu izvesti u skladu i prema pozicijama s nacrtima te uputama proizvođača.
Kod obračuna izvedenih radova obračunava se samo stvarno izvedena površina,dok se otvori odbijaju u potpunosti.Izradu otvora ukalkulirati u jediničnu cijenu stavke.</t>
  </si>
  <si>
    <t>Kod polaganja spuštenog stropa potrebno se držati svih uputa proizvođača, naročito glede uskladištenja ploča i uvjeta temperature i vlažnosti zraka prostora u kojima će se izvoditi spušteni strop. Ploče treba svakako zaštititi od kondenzne vlage. Prije izvedbe stropa ploče moraju biti na mjestu ugradnje najmanje 24 sata ranije, da bi se prilagodile mikroklimatskim uvjetima prostora. S polaganjem se može započeti tek kad su završeni svi radovi žbukanja, estriha I sl. te su dovoljno suhi, nakon ugradnje prozora, montaže grijanja i svih instalacija koje dolaze unutar stropa. Montirani strop je potrebno očistiti od eventualnih nečistoća koje su nastale pri izvedbi, ali pri tome treba postupiti po uputstvu proizvođača suhim postupkom ili sa što manje vlage. Ako je pri montaži došlo do manjih oštećenja ploča, moguće ih je posebnim kitom otkloniti, ukoliko su ona veća, potrebno je zamjeniti cijelu ploču, što će upisom u građevinski dnevnik odrediti nadzorni inženjer.</t>
  </si>
  <si>
    <t>Kod obračuna radova GK radova, špalete,niše,završetci zidova ili slično obračunavaju se po m2 i jedinčnoj cijeni sustava iz troškovničke stavke</t>
  </si>
  <si>
    <t>U jediničnoj cijeni sadržano je:</t>
  </si>
  <si>
    <t>·         sav materijal, dobava i uskladištenje, te unutarnji transporti</t>
  </si>
  <si>
    <t>·         sav rad opisan u stavci</t>
  </si>
  <si>
    <t>·         potrebna radna skela</t>
  </si>
  <si>
    <t>·         sve revizije treba ukalkulirati u jediničnu cijenu stropa ili zida,ne obračunavaju se zasebno</t>
  </si>
  <si>
    <t>·         čišćenje po završenom raduuključivo odvoz viška materijala na gradsku deponiju</t>
  </si>
  <si>
    <t>·         popravci štete na vlastitom ili drugim radovima učinjeni iz nepažnje</t>
  </si>
  <si>
    <t>·         troškovi zaštite na radu i troškovi atesta</t>
  </si>
  <si>
    <t>0.10.</t>
  </si>
  <si>
    <t>OPĆI UVJETI - STOLARSKI RADOVI</t>
  </si>
  <si>
    <t>Ponuđač je dužan nuditi solidan i ispravan rad, na temelju shema i troškovnika, pa se neće uzeti u obzir naknadno pozivanje na eventualno nerazumjevanje ili manjkavosti opisa ili nacrta. Davanjem ponude ponuđač usvaja u cjelosti ove uvjete.</t>
  </si>
  <si>
    <t>Ponuđač nudi gotov stolarski element:</t>
  </si>
  <si>
    <t>- izrada u radionici s dostavom na gradilište i svim potrebnim materijalom i prvoklasnom izvedbom,
- kompletna  montaža i ugradba na gradilištu,
- sve horizontalne i vertikalne transporte do mjesta ugradnje,
- eventualno potrebnu radnu skelu s postavom i skidanjem (izuzima se fasadna skela),ukalkulirana u jediničnu cijenu,
- ostakljenje, vrsta stakla, naznačena u pojedinoj stavci, s kitanjem silikonskim kitom,
- završna obrada kako je u pojedinoj stavci označeno,
- okov prvoklasan za fukcionalnu upotrebu,
- čišćenje prostorija i okoliša nakon završetka radova, svu štetu i troškove poravka kao posljedicu nepažnje u toku izvedbe,
- troškove zaštite na radu.</t>
  </si>
  <si>
    <t>MATERIJALI</t>
  </si>
  <si>
    <t>Stolarski</t>
  </si>
  <si>
    <t>Sav upotrebljeni materijal za stolarske elemente koji se liče trebaju biti najbolje kvalitete koja postoji na domaćem tržištu, a treba odgovarati propisima HRN-i.</t>
  </si>
  <si>
    <t>Kvaliteta materijala za izradu unutrašnjih vrata, dovratnika i krila od obrađenih dasaka, šper ploča, lesonit ploča, iverice i panela i sl.  prema HRN D.E1.011 i HRN D.E1.012</t>
  </si>
  <si>
    <t>Svi stolarski elementi koji se ugrađuju po ovim uvjetima izvode se od jelovine (završna obrada ličenjem) ili hrastovine . Drvo ne smije imati pogreške koje potječu od kukaca, kao što su bušotine i crvotočine. Drvo treba biti ravno rašteno s pravilnim godovima, bez pukotina, smolastih kvrga i smoljnjača, te mehaničkih oštečenja. Drvo mora biti odležano i suho, za prozore i vrata koje se liče može sadržavati 13 - 15 % vlage.</t>
  </si>
  <si>
    <t>IZVEDBA I OBRADA</t>
  </si>
  <si>
    <t>Prije pristupa izradi stolarije izvođač je obavezan prekontrolirati količine i zidarske veličine otvora na gradilištu. Radioničke nacrte izrađuje izvođač stolarskih radova, te dostavlja na usaglašavanje projektantu. Izvođač je dužan s rukovodiocem gradilišta definirati redoslijed izrade i isporuke stolarskih elemenata.</t>
  </si>
  <si>
    <t>Svi stolarski elementi isporučuju se na gradilištu kao gotov finalni proizvod, osim onog dijela stolarije koji se liči na gradilištu.</t>
  </si>
  <si>
    <t>Sva stolarija kod dostave mora biti zaštićena, dok se finalno obrađeni proizvodi zaštićuju i nakon ugradbe od nenamjernog oštećenja, a što je sadržano u jediničnoj cijeni.</t>
  </si>
  <si>
    <t>Svi dovratnici prije mokre ugradbe moraju biti zaštićeni ljepenkom ili PVC folijom prema zidu i to sa svih ugradbenih strana.KOD IZRADE KUPAONSKIH VRATA OBAVEZNO UZETI U OBZIR ZAŠTITU VRATA I DOVRATNIKA OD VODE isto potrebno dodatno impregnirati epoxy smolama i nakon ugradnje zabrtviti te samim time onemogučiti doticaje sa vodom.</t>
  </si>
  <si>
    <t>Dovratnici su izrađeni od jelovog masiva ili materijala po izboru projektanta , ličeni uljenom bojom po izboru projektanta.</t>
  </si>
  <si>
    <t>U cijenu ulazi gotov finalni ugrađeni proizvod, s ličenjem i ostakljenjem, komplet sa svim opšavima i okovom.</t>
  </si>
  <si>
    <t>U jediničnu cijenu stavki izvođač je dužan ukalkulirati obradu oko stolarskih elemenata,te investitoru predati gotov proizvod</t>
  </si>
  <si>
    <t>OKIVANJE</t>
  </si>
  <si>
    <t>Izvođač radova obavezan je dobaviti, montirati, te u cijenu ukalkulirati:</t>
  </si>
  <si>
    <t>standardni okov od bijelog metala dimenzioniran prema veličini otvora, za besprijekornu upotrebu pojedinog stolarskog elementa, bez obzira da li je u pojedinim stavkama shema posebno sve iskazano,</t>
  </si>
  <si>
    <t>sve željezne, aluminijske i gumene profile pojedinog stolarskog elementa,</t>
  </si>
  <si>
    <t>U jediničnu cijenu stavki kliznih vrata koja klize u zid od gipskartonskih ploča izvođač je dužan ukalkulirati kompletan materijal,pomoćni materijal i rad.uključivo i metalnu kazetu do potpunog dovršetka posla.Naknadni traženi troškovi neće biti uzeti u obzir.</t>
  </si>
  <si>
    <t>svi željezni dijelovi koji se ugrađuju na stolarskim elementima moraju prethodno biti anitikorozivno zaštićeni ili pocinčani, a sva nova vezna sredstva (čavli, vijci, moždanici i sl.) za elemente koji se liče su prema propisima HRN-i.</t>
  </si>
  <si>
    <t>VELIČINE</t>
  </si>
  <si>
    <t>Prije izrade stavaka stolarije sve mjere treba obavezno prekontrolirati na objektu.</t>
  </si>
  <si>
    <t>0.11.</t>
  </si>
  <si>
    <t>OPĆI UVJETI - ALUMINIJSKI I BRAVARSKI RADOVI</t>
  </si>
  <si>
    <t>U nastavku su opisani tehnički uvjeti za izradu metalnih i aluminijskih konstrukcija.</t>
  </si>
  <si>
    <t>Svi radovi moraju se izvoditi prema podacima iz projektne dokumentacije i u skladu s važećim propisima i standardima. Zbog toga se potrebno pridržavati općih uvjeta staklarskih radova (pri izradi izo-stakla i staklenih elemenata), kao i točnih uputa za ugradnju profila, koje izdaje proizvođač konstrukcije.</t>
  </si>
  <si>
    <t>Kvaliteta materijala i izvedba temelji se na slijedećim važećim propisima:</t>
  </si>
  <si>
    <t>Toplinska tehnika - HRN U.J5.001</t>
  </si>
  <si>
    <t>Tehnički uvijeti za projektiranje i građenje zgrada – akustika - HRN U.J6.201</t>
  </si>
  <si>
    <t>Tehnički uvjeti za izvođenje staklorezačkih radova – HRN U.F2.025</t>
  </si>
  <si>
    <t>Tehnički propisi o djelovanju vjetra na nosive konstrukcije  - Sl.list 41/64</t>
  </si>
  <si>
    <t>VRSTE RADOVA</t>
  </si>
  <si>
    <t>Predmet ovog troškovnika su bravarski radovi, koji uključuju izradu, transport i montažu aluminijskih elemenata i ako je u stavci opisano, ustakljenje konstrukcije, umetanje sendvič panela, izolacija ili drugih ispuna.</t>
  </si>
  <si>
    <t>NAPOMENE</t>
  </si>
  <si>
    <t>Ako se u ponudi pojave nejasnoće, mora se poštivati slijedeći redoslijed:</t>
  </si>
  <si>
    <t>1. Popis radova</t>
  </si>
  <si>
    <t>2. Tehnički opis</t>
  </si>
  <si>
    <t>3. Tehnička dokumentacija</t>
  </si>
  <si>
    <t>Nejasnoće se moraju uskladiti s projektantom prije predaje ponude.</t>
  </si>
  <si>
    <t>U popisu radova, potrebno je provjeriti da li su sve pozicije potpune, prema pravilima struke i da li su točno predviđene za opisanu namjenu. Eventualne izmjene i dopune pozicija moraju se ovjeriti od strane projektanta i investitora.</t>
  </si>
  <si>
    <t>FORME I OBLICI</t>
  </si>
  <si>
    <t>Dokumentacija, predviđena za aluminijske konstrukcije na objektu, je obvezna prvenstveno zbog vizualno-arhitektonskog izgleda objekta.</t>
  </si>
  <si>
    <t>DIMENZIJE ELEMENATA</t>
  </si>
  <si>
    <t>Dimenzije, navedene u popisu radova, su građevinske (ugradbene) dimenzije. Promjene dimenzija navedenih metalnih konstrukcija do +/- 50 mm od ukupne dimenzije ne utječu na promjene jedinične cijene. Veća odstupanja obračunaju se prema ukupnim površinskim dimenzijama.</t>
  </si>
  <si>
    <t>Točne mjere uzima izvođač na licu mjesta. Ako je potrebno pristupiti izradi elemenata i pripremi za montažu prije mogućnosti uzimanja mjera na gradilištu, potreban je pismeni dogovor s investitorom.</t>
  </si>
  <si>
    <t>PREVENTIVNI UVJETI INVESTITORA</t>
  </si>
  <si>
    <t>Dodatni ugovori o standardima i propisma u vezi s požarnim uvjetima, radnim uvjetima, namjeni prostora, skladišnim površinama, režijskim stavkama, montažnim skelama, priključku struje, vode i sanitarijama, čišćenjem gradilišta, zaštiti ugrađenih elemenata od oštećenja, vremenskim rokovima, itd., se moraju pismeno potvrditi.</t>
  </si>
  <si>
    <t>PODACI O PROFILACIJSKOM SISTEMU</t>
  </si>
  <si>
    <t>Poštivati se moraju podaci o formalnim mjerama profilacije (dubina i pogledna širina) i tipovima konstrukcije na pojedinim pozicijama. U ponudi je ako je to navedeno, moguće nuditi alternative. Jednakovrijednost s navedenim konstruktivnim sistemom mora biti dokazana atestima, detaljnom dokumentacijom i primjerima s izradom uzoraka.</t>
  </si>
  <si>
    <t>Ponuđeni profilacijski sistem mora odgovarati propisima i uputama o izradi, koje izdaje proizvođač profilacijskog sistema.</t>
  </si>
  <si>
    <t>Proizvođać odnosno dobavitelj profilacije, mora po zahtjevu investitora priložiti ISO-9000 certifikacijsku dokumentaciju.</t>
  </si>
  <si>
    <t>ZAHTJEVANI MATERIJALI</t>
  </si>
  <si>
    <t>ALUMINIJ</t>
  </si>
  <si>
    <t>Uporabljeni moraju biti ekstrudirani profili s legurom AlMGSiO,5 čvrstoće F22 kg/mm², eloksacijske kvelitete. Za anodizirane aluminijske pločevine eloksacijske kvalitete mora biti uporabljena legura AlMg1 – polutvrdo, za prašno bojane aluminijske pločevine legura AlMg1 ili Al99,5 normalne kvalitete.</t>
  </si>
  <si>
    <t>Odstupanja od tih zahtjeva moraju biti pismeno utemeljena.</t>
  </si>
  <si>
    <t>Različiti materijali i oblici dobave (profili, pločevine odnosno pantovi i okovi) moraju biti međusobno usklađeni ovisno o oblikovnim zahtjevima. Kod pločevina se mora poštivati utjecaj smjera valjanja.</t>
  </si>
  <si>
    <t>SPOJEVI I PRIČVRSNA SREDSTVA</t>
  </si>
  <si>
    <t>Svi spojevi i pričvrsna sredstva moraju biti konstruirani tako, da su tolerancije usklađene s građevinskom konstrukcijom.</t>
  </si>
  <si>
    <t>Spojni elementi, kao vijci, zakovice, matice itd. moraju biti na spojevima s aluminijem od nehrđajučeg čelika (najmanje kvalitete A4 s reduciranom količinom Cu). Za sve ostale spojeve i male dijelove od čelika mora se upotrijebiti vruće cinčani materijal. Svi vijčani spojevi moraju biti osigurani od nepredviđenog popuštanja.</t>
  </si>
  <si>
    <t>Za sprečavanje lokalne korozije na spojevima između dva različita metala mora se postaviti distancer od neutralnog materijala (iznimka su suha područja, ukoliko je upotrijebljen nehrđajuči čelik).</t>
  </si>
  <si>
    <t>SPOJEVI PROFILA</t>
  </si>
  <si>
    <t>Uglovni spojevi moraju u poprečnom presjeku odgovarati unutarnjim konturama profila. Svi spojevi moraju biti mehanički pričvršćeni i zapunjeni ljepilom. Pri spojevima pod 45°mora biti precizno izvedeno ljepljenje uglovnog spojnika i mjesta pričvršćenja profila. Kod T-spojeva i križnih spojeva mora se spriječiti prodor vode u konstrukciju.</t>
  </si>
  <si>
    <t>Za ljepljenje se mora upotrijebiti dvokomponentno ljepilo za metale. Spojevi moraju ispunjavati zahtjeve o trajnoj čvrstoći i krutosti duž cijelog presjeka profila.</t>
  </si>
  <si>
    <t>BRTVENI PROFILI</t>
  </si>
  <si>
    <t>Materijal za brtvene profile: APTK, međunarodno EPDM = Etilen-Propilen-Terpolimer.</t>
  </si>
  <si>
    <t>Tvrdoća, dimenzije i profiliranost brtvila moraju odgovarati različitim namjenama. Osnovu za određivanje tvrdoće predstavlja standard DIN 7863.</t>
  </si>
  <si>
    <t>Upotrijebiti se moraju originalna sistemska brtvila. Za prozorska krila dopuštena je izvedba samo sa srednjim brtvilom. Pričvršćenje u okvir izvedeno je u području termičkog prekida profilacije. Brtve moraju biti lako zamjenjive, uglovni spojevi brtvi moraju biti vulkanizirani. U krilima koja nisu površinski poravnata, mora osim srednje brtve, funkciju brtvljenja vršiti još i unutarnja brtva. Kombinirana okna moraju na sastavnom spoju biti opremljena srednjom brtvom, koja je prilagođena konturi spoja.</t>
  </si>
  <si>
    <t>OKOVI</t>
  </si>
  <si>
    <t>Upotrijebiti samo kvalitetne originalne sistemske okove. Konstrukcija okova ne smije biti vidljiva izvana, već svi elementi moraju biti montiranu u konstrukciju, osim ako je u popisu radova drugačije predviđeno. Unutarnji dijelovi za upravljanje mehanizmom moraju biti izvedene iz anodiziranog aluminija.</t>
  </si>
  <si>
    <t>Pojedini dijelovi okova moraju se dimenzionirati ovisno o predviđenim opterečenjima. Unutarnji dijelovi moraju biti vijcima pričvršćeni na profilaciju.</t>
  </si>
  <si>
    <t>Okovi moraju biti nastavljivi, omogućiti ugradnju dodatnih elemenata, kao recimo srednjih trnova, dodatne škare, mogućnost otvaranja po vertikalnoj osi itd.</t>
  </si>
  <si>
    <t>Zaokretni i otklopni okovi moraju biti opremljeni zaštitom od nepravilnog upravljanja i škarama s dodatnom bremzom.</t>
  </si>
  <si>
    <t>PROPUSNOST FUGA</t>
  </si>
  <si>
    <t>Propusnost fuga i zaštita od nanosa kiše mora odgovarati zahtjevima po DIN 18055.</t>
  </si>
  <si>
    <t>ZAŠTITA OD BUKE</t>
  </si>
  <si>
    <t>Faktor prigušenja zvuka Rw, koji je zahtjevan u popisu radova, mora biti dokazan A-testom po DIN 4109 autorizirane institucije.</t>
  </si>
  <si>
    <t>Spojevi među ugrađenim elementom i građevinskom konstrukcijom moraju biti zvučno izolirani prema zahtjevima u popisu radova.</t>
  </si>
  <si>
    <t>ZAŠTITA OD KIŠE I KONDENZNE VLAGE</t>
  </si>
  <si>
    <t>Za sprečavanje rošenja na staklu, profilima i panelima uslijed neodgovorajućih građevinsko-fizikalnih uvjeta potrebno je prije svega paziti na vrstu i raspored elemenata grijanja i klimatizacije.</t>
  </si>
  <si>
    <t>Svi priključci na građevinsku konstrukciju moraju biti iznutra paro- i vodotjesni, izvana pak parno i vodo propusni. Mosebno je potrebno paziti na pravilno mjesto ugradnje.</t>
  </si>
  <si>
    <t>Ugibi i utori profilacije u koje lako prodiru oborinske vode i u kojima lako dolazi do pojave kondenzata, moraju imati osiguran neometan odvod vode iz konstrukcije na van. Poštivati se prije svega moraju upute proizvođača profilacije. Otvori za odvod vode na vanjskoj strani moraju biti zaštićeni sa za to predviđenom pokrovnom kapom.</t>
  </si>
  <si>
    <t>PROTUPOŽARNA ZAŠTITA</t>
  </si>
  <si>
    <t>Potrebno je pridržavati se protupožarnih propisa koji su na snazi.</t>
  </si>
  <si>
    <t>Posebno se moraju poštivati moguće klasifikacije za elemente građevine, njihove sastavne materijale i sidrene elemente. Protupožarni uvjeti propisani su u pojedinim pozicijama popisa radova.</t>
  </si>
  <si>
    <t>POVRŠINSKE OBRADE ALUMINIJA</t>
  </si>
  <si>
    <t>PRAŠNO BOJANJE</t>
  </si>
  <si>
    <t>Pri bojanju aluminijskih površina potrebno je poštivati važeće propise o kvaliteti. Debljina nanosa iznosi 65 ±15 μm za glavne vidljive površine. Za bočne (nevidljive) površine dostatan je prekrivajući nanos.</t>
  </si>
  <si>
    <t>Kalkulacijsku osnovu predstavljaju tonovi boja određeni u popisu radova. Uzorci boja moraju se prema zahtjevu priložiti projektantu i voditelju gradnje, a prije proizvodlje elemenata.</t>
  </si>
  <si>
    <t>IZVEDBA USTAKLJENJA</t>
  </si>
  <si>
    <t>Brtvljenja stakla i drugih ispuna izvode se kvalitetnim sistemskim brtvama iz APTK (EPDM) materijala ili vulkaniziranim (prefabriciranim) brtvenim okvirima.</t>
  </si>
  <si>
    <t>U opsegu radova izvođača bravarskih radova ulazi dobava i postavljanje vanjskih brtvi za ustakljenje. U fasadnim sistemima sa stupovima i prečkama i kod strešnih konstrukcija najprije se postavljaju unutarnje brtve za ustakljenje, a zatim slijedi montaža pritisnih profila i na kraju montaža aluminijskih pokrovnih letvi.</t>
  </si>
  <si>
    <t>MONTAŽA I IZVEDBA</t>
  </si>
  <si>
    <t>IZVEDBENA DOKUMENTACIJA</t>
  </si>
  <si>
    <t>Pri oblikovanju cijene mora se poštovati projektiranje i predaja izvedbenih detalja u svije kopije.</t>
  </si>
  <si>
    <t>Na zahtjev se moraju predati ovjereni statički proračuni.</t>
  </si>
  <si>
    <t>Ovjere arhitekta (projektanta) se odnose samo na usklađenost svih elemenata sa predloženim arhitektonskim zahtjevima. Odgovornost za tehničku pravilnost, čvrstoću, brtve itd. pak nakon odobrenja izvedbenih detalja, u cjelosti preuzima izvođač radova.</t>
  </si>
  <si>
    <t>ODOBRENJE PROIZVODNJE ELEMENATA</t>
  </si>
  <si>
    <t>Kod posebnih konstrukcija moguće je odobrenje proizvodnje (ako je zahtjevano) samo nakon što su izvršena propisana testiranja i po priloženom dokazu o kvaliteti materijala.</t>
  </si>
  <si>
    <t>IZRADA</t>
  </si>
  <si>
    <t>Rezanje aluminijskih profila mora biti izvedeno tako da je zadovljena točnost kutova nakon sastavljanja. Pri strojnoj obradi, moraju se pažljivo pobrusiti rubovi narezanih profila. Profile, kod kojih dođe do deformacija uslijed unutarnjih naprezanja, nije dozvoljeno upotrebljavati pri izradi fasade.</t>
  </si>
  <si>
    <t>Pri izradi se osobito moraju poštivati:</t>
  </si>
  <si>
    <t>- točnost i urednost kutnih i drugih spojeva</t>
  </si>
  <si>
    <t>- mjere komora između okvira štoka i krila moraju poštivati dozv. tolerancije</t>
  </si>
  <si>
    <t>- točnost mjera pri ugradnji i precizno ljepljenje brtvi, uglova brtvi i spojnih brtvi</t>
  </si>
  <si>
    <t>- dimenzioniranje i raspodjela otjecanja vode</t>
  </si>
  <si>
    <t>- brtvljenje profila, kao i utori predviđeni za postavljanje brtve unutar profila</t>
  </si>
  <si>
    <t>- točnost mjera pri montaži i ugradnji krila</t>
  </si>
  <si>
    <t>- kvalitetni sistemski originalni okovi moraju biti montirani prema uputi proizvođača okova odnosno profilacije. Potrebno je osigurati nesmetan rad okova, čime se omogućava redovito podmazivanje nesmetan rad okova.</t>
  </si>
  <si>
    <t>PLOČEVINE</t>
  </si>
  <si>
    <t>Ukoliko u popisu radova nije posebno navedeno, potrebno je nuditi sve funkcionalno potrebne priključke, pričvrsna sredstva i materijale, podkonstrukcije i pomoćne izolacijske i brtvene materijale.</t>
  </si>
  <si>
    <t>Priključci na građevinsku konstrukciju moraju biti izvedeni od najmanje 2 mm debele ALU pločevine. Pločevina mora biti mehanički obrađena prije završne površinske obrade.</t>
  </si>
  <si>
    <t>SLIJEPI OKVIRI</t>
  </si>
  <si>
    <t>Sidrenje slijepih okvira mora biti izvedeno tako, da se opterećenja prenose na građevinsku konstrukciju, a posebno sile prouzročene pantovima, ležajevima, prečkama i stupovima. Pomaci građevinske konstrukcije se ne smiju prenositi na slijepe okvire. Maksimalna udaljenost između sidrenih mjesta iznosi 800 mm. Maksimalna udaljenost od vanjskih uglova iznosi 150 do 200 mm.</t>
  </si>
  <si>
    <t>Slijepi okviri moraju biti izvedeni i montirani tako, da ih nakon montaže radnici ne mogu oštetiti. To ne vrijedi za opterećenja nastala uslijed prometa na gradilištu.</t>
  </si>
  <si>
    <t>Montaža slijepih okvira mora u svakom katu biti posebno izvedena po prethodno uzetim mjerama na licu mjesta. Mjere mora uzimati izvođač radova.</t>
  </si>
  <si>
    <t>Građevinsko-fizikalni konstrukcijski zahtjevi moraju također biti ispunjeni i u primjeru slijepih okvira. To uključuje izvedbu toplinske izolacije, hidroizolacije, zvučne izolacije i parne brane.</t>
  </si>
  <si>
    <t>UGRADNJA ELEMENATA</t>
  </si>
  <si>
    <t>Aluminijski elementi moraju biti na svakoj strani najmanje dvaput spojeni sa slijepim okvirom. Maksimalna udaljenost između sidrenih mjesta iznosi 800 mm. Maksimalna udaljenost od vanjskih uglova iznosi 150-200 mm. Promjene veličine elemenata prouzročene uslijed temperaturnih oscilacija, kao i deformacija građevinske konstrukcije, moraju se preuizimati preko konstruktivnih (dilatacijskih) fuga. U takvim primjerima potrebno je ugraditi posebne dilatacijske elemente konstrukcije.</t>
  </si>
  <si>
    <t>Montaža aluminijskih elemenata se vrši prema mjerama uzetim na licu mjesta.</t>
  </si>
  <si>
    <t>Priključci moraju ispunjavati građevinsko-fizikalne zahtjeve. To se odnosi na izvedbu toplinske izolacije, hidroizolacije, zvučne izolacije i parne brane.</t>
  </si>
  <si>
    <t>Sve obrade za dobivanje konačnog proizvoda i priključci na građevinsku konstrukciju moraju biti uračunati u konačnu cijenu i izvedeni u skladu s važečim propisima.</t>
  </si>
  <si>
    <t>Dobavu i ugradnju može se izvoditi tek nakon odobrenja nadzornog organa, te je stoga potrebno radove uskladiti s cijelim tokom gradnje.</t>
  </si>
  <si>
    <t>Ukoliko je u opisu radova predviđena ugradnja i montaža ventilacijskih rešetki, prozorskih klupčica, priključnih, stupovnih i drugih obloga, sjenila i sl, potrebno je prethotno uključiti u konačnu cijenu sve potrebne radove, kao što su bušenja, sidrenja, pomoćne konstrukcije, proširenja okvira itd.</t>
  </si>
  <si>
    <t>ZAŠTITA POVRŠINA</t>
  </si>
  <si>
    <t>Ukoliko su u popisu radova propisane zaštitne folije, mora biti omogućeno nesmetano odstranjivanje bez oštećenja profilacije i završne obrade le-teh.</t>
  </si>
  <si>
    <t>POSTIZANJE KVALITETE</t>
  </si>
  <si>
    <t>Izvođač radova odgovara za kvalitetu proizvodnje i izradu konstrukcije elemenata prema pravilima struke.</t>
  </si>
  <si>
    <t>Za postizanje kvalitete se moraju poštivati pismene upute o izradi i montaži, koje izdaje proizvođač aluminijskih sistema. Na zahtjev se moraju priložiti investitoru.</t>
  </si>
  <si>
    <t>POTVRDE I ATESTI</t>
  </si>
  <si>
    <t>Na zahtjev, moraju se građevinsko-fizikalne karakteristike upotrijebljenih aluminijskih sistema dokazati potvrdom odgovornih institucija.</t>
  </si>
  <si>
    <t>Računski dokazi moraju biti provjereni od strane ovlaštenog inžinjera za visoke gradnje ili graditeljstvo.</t>
  </si>
  <si>
    <t>Podatke o zadovoljavanju dopuštenih progiba nosivih profila se moraju na zahtjev priložiti u provjerljivom obliku.</t>
  </si>
  <si>
    <t>ZVRŠNO ČIŠĆENJE PROZORA I FASADE</t>
  </si>
  <si>
    <t>Na zahtjev voditelja gradnje svaki izvođač dužan je prije preuzimanja objekta očistiti elemente svojih radova izvana i iznutra. Potrebno je držati se pismenih uputa A5 »čišćenje aluminija u graditeljstvu«, koje izdaje Aluminiumzentrale, Könihsallee 30, 40212 Düsseldorf.</t>
  </si>
  <si>
    <t>Čišćenje fasade iz razloga koji nisu neposredno povezani s izvođačem radova, odnosno montažom, obračunavaju se posebno, a plačanje se izračunava paušalno, prema stvarno utrošenom vremenu i materijalu (evidentirano upisom u građevnu knjigu i ovjereno od strane nadzornog inžinjera).</t>
  </si>
  <si>
    <t>STAKLARSKI RADOVI</t>
  </si>
  <si>
    <t>Prilikom  izvedbe staklorezačkih radova imaju se u potpunosti primjenjivati postojeći propisi:</t>
  </si>
  <si>
    <t>- Pravilnik o tehničkim mjerama i uvjetima za završne radove u građevinarstvu</t>
  </si>
  <si>
    <t>- Pravilnik o zaštiti na radu u građevinarstvu</t>
  </si>
  <si>
    <t>- Tehnički uvjeti za izvođenje staklorezačkih radova</t>
  </si>
  <si>
    <t>ravno staklo vučeno HRN  B.E1.011</t>
  </si>
  <si>
    <t>sigurnosno staklo HRN B.E3.701</t>
  </si>
  <si>
    <t>Tehnički uvjeti za izvođenje staklorezačkih radova HRN U.F2.025</t>
  </si>
  <si>
    <t>ugrađivanje stakla u fasadne elemente DIN 18056</t>
  </si>
  <si>
    <t>Prije početka ostakljenja mora stolarija, bravarija ili ostali dijelovi koji se zastakljuju biti ugrađena a pokretna krila moraju biti postavljena na mjesto i propisno okovana. Svi dijelovi koji se ostakljuju moraju biti sposobni za ostakljivanje i svi žljebovi očišćeni od morta, betona i drugih otpadaka. Svi staklarski radovi izvode se u prozorska ili vratna krila, kao i u ostakljene stijene, ograde stubišta i sl., tako da staklo leži u čistom utoru okvira slobodno, a ne da dodiruje okvir.</t>
  </si>
  <si>
    <t>Materijal</t>
  </si>
  <si>
    <t>Svo staklo koje se ugrađuje u aluminijske ili željezne elemente mora odgovarati važećim standardima.</t>
  </si>
  <si>
    <t>Kvaliteta stakla koja se ugrađuje određuje se na temelju vrste stakla, veličine stakla i pogrešaka nastalih u njemu prilikom proizvodnje. Treba uopće ne ugrađivati staklo bilo koje vrste sa pogreškama.</t>
  </si>
  <si>
    <t>Izvedba</t>
  </si>
  <si>
    <t>Gotova izrađena prozorska i vratna krila, pregradne stijene, ograde i sl. ustakljuju se prema troškovniku određenim staklom, za svaku pojedinu stavku.</t>
  </si>
  <si>
    <t>Staklar je dužan svaki otvor na prozorskom krilu, na vratima, stijeni, ogradi  i sl. izmjerom kontrolirati, pa tek nakon toga izvršiti ostakljenje onom vrstom i debljinom stakla kako je u opisu troškovnika navedeno.</t>
  </si>
  <si>
    <t>Nadzorni inženjer upisom u dnevnik dozvoljava  početak radova.</t>
  </si>
  <si>
    <t>sav materijal, dobavu, izradu i dopremu alata, mehanizaciju i uskladištenje</t>
  </si>
  <si>
    <t>uzimanje potrebnih izmjera na objektu,</t>
  </si>
  <si>
    <t>izrada radioničkih nacrta i detalja,</t>
  </si>
  <si>
    <t>troškove radne snage za kompletan rad opisan u troškovniku i općim uvjetima,</t>
  </si>
  <si>
    <t>dvokratni osnovni premaz prema uvjetima antikorozivne zaštite u radioni, te kompletnu zaštitu sa završnom obradom ličenjem, ako je to u stavci određeno, plastificiranjem ili eloksiranjem</t>
  </si>
  <si>
    <t>sve horizontalne I vertikalne transporte do mjesta montaže,</t>
  </si>
  <si>
    <t>potrebnu radnu skelu (izuzima se fasadna skela),</t>
  </si>
  <si>
    <t>čišćenje nakon završetka radova,uključivo odvoz otpadnog materijala na gradsku deponiju</t>
  </si>
  <si>
    <t>svu štetu kao i troškove popravka kao posljedica nepažnje u toku izvedbe,</t>
  </si>
  <si>
    <t>troškove zaštite na radu,</t>
  </si>
  <si>
    <t>troškove atesta.</t>
  </si>
  <si>
    <t>0.12.</t>
  </si>
  <si>
    <t>OPĆI UVJETI - KERAMIČARSKI RADOVI</t>
  </si>
  <si>
    <t>Sva opločenja zidova, podova i sl. izvesti tamo gdje je to po projektu predviđeno. Izvedba mora zadovoljiti propise HRN U.F2.011.</t>
  </si>
  <si>
    <t>Materijali za izradu moraju zadovoljavati odgovarajuće propise i standarde:</t>
  </si>
  <si>
    <t>Pločice</t>
  </si>
  <si>
    <t>neglazirane podne pločice  HRN B.D1.310,  320,  322</t>
  </si>
  <si>
    <t>fasadne i podne pločice vučene i prešane HRN B.D1.335.334</t>
  </si>
  <si>
    <t>fasadne keramičke pločice HRN B.D8.050</t>
  </si>
  <si>
    <t>glazirane podne pločice  HRN B.D1.305, 306 i HRN B.D8.460, 052</t>
  </si>
  <si>
    <t>glazirane zidne pločice HRN B.D1.300, 301 i HRN B.D8.460, 052</t>
  </si>
  <si>
    <t>cement  HRN B.C1.010  - 015</t>
  </si>
  <si>
    <t>Sav vezni materijal, ljepila, zaptivni materijal i pomoćna sredstva HRN U.F2.011.</t>
  </si>
  <si>
    <t>Ako koja stavka nije izvođaču jasna, mora prije predaje ponude tražiti objašnjenje od projektanta. Eventualne izmjene materijala, te način izvedbe tokom gradnje mora se izvršiti isključivo pismenim putem dogovorom s projektantom i nadzornim organom. Sve više radnje koje neće biti na taj način utvrđene, neće se priznati u obračun.</t>
  </si>
  <si>
    <t>Način izvedbe i ugradbe, preuzimanje i priprema podloge , te način obračuna u svemu prema postojećim normama za izvođenje završnih radova u građevinarstvu TU-IX.</t>
  </si>
  <si>
    <t>Količine iskazane ovim troškovnikom su projektantske pa postotak zbog loma i sl. treba ukalkulirati u jed. cijenu.</t>
  </si>
  <si>
    <t>Kod izvedbe zidnog i podnog opločenja u jediničnu cijenu pojedine stavke ukalkulirati i brtvljenje silikonskim kitom sudara keramičkog opločenja s dovratnicima, oblogom  druge vrste,sanitarijama i sl.</t>
  </si>
  <si>
    <t>Obračun izvedenih keramičarskih radova se vrši po m2 izvedene keramike,bez dodatka prilikom izvedbe stepenica ili slično.</t>
  </si>
  <si>
    <t xml:space="preserve">- uzimanje potrebnih mjera na gradnji,
- sav potreban materijal (uključivo i vezni),
- sav potreban rad, uključujući alat i strojeve,
- sve dilatacijske, alu kutne i završne lajsne također uračunati u cijenu,
- sve protuklizne lajsne na stepenicama i lajsne na spojevima sa drugim vrstom opločenja,
- transportne troškove materijala,
- dovođenje struje, vode i plina od priključka na gradilištu do mjesta korištenja,
- davanje traženih uzoraka,
- zaštitu izvedenih radova,
- čišćenje izrađenih površina,
- odvoz otpadaka i šute nakon izvedenih radova,
- popravak manjih oštećenja i nečistoća na podlozi,
- poduzimanje mjera po HTZ i drugim postojećim propisima,
- popravak štete učinjene nepažnjom pri radu na svojim ili tuđim radovima,
- keramičku obradu raznih kutija i sl. elektr. instalacije na površinama koje se obrađuju.
</t>
  </si>
  <si>
    <t>0.13.</t>
  </si>
  <si>
    <t>OPĆI UVJETI - KAMENOREZAČKI RADOVI</t>
  </si>
  <si>
    <t>Opločnje kamenom vršiti tamo gdje je to po projektu predviđeno, a prema opisu stavke izvršiti polaganje u pijesku, cementnom mortu, ljepljenjem, pomoću metalnih sponki ili na neki drugi način. Izvoditelj se mora pridržavati važećih propisa i standarda te tehničkih uvjeta za izvođenje kamenorezačkih radova.</t>
  </si>
  <si>
    <t>Kamenarske radove izvesti iz najboljeg materijala, solidno i precizno, a kod izvedbe treba se u potpunosti pridržavati troškovnika, nacrta i pravila dobrog zanata.</t>
  </si>
  <si>
    <t>Zabranjen je rad koji ne odgovara propisima i pravilima dobrog zanata, te je izvođač dužan bez prigovora i odštete odstraniti sve što bi bilo neispravno izvedeno.</t>
  </si>
  <si>
    <t>Prije početka radova izvođač je dužan donijeti uzorke kamena na odobrenje projektantu.</t>
  </si>
  <si>
    <t>Izvođač kamenarskih radova koji izvodi opločenje na gotovu betonsku podlogu ili gotovi zid, mora prije početka radova podlogu pregledati i sve primjedbe saopćiti nadzornom inženjeru kako bi se eventualni nedostaci mogli na vrijeme odstraniti. Nikakav naknadni prigovor neće se uzeti u obzir, već će izvođač kamenarskih radova sve popravke morati izvršiti o svom trošku.</t>
  </si>
  <si>
    <t>Prije polaganja kamena potrebno je pripremiti podlogu, tj. očistiti od prašine i masnoća. Ukoliko se kamen polaže ljepljenjem treba prema uputstvu proizvođača ljepila pripremiti smjesu, a zatim je nanositi na podlogu prvo ravnom, onda nazubljenom lopaticom kako bi se dobila točna optimalna debljina sloja ljepila. Kamenu ploču utisnuti u ljepilo.</t>
  </si>
  <si>
    <t>Ljepilo mora odgovarati važećem standardu HRN U.F2.011.</t>
  </si>
  <si>
    <t>Kamene ploče treba brusiti nakon rezanja i polagati ih reška na rešku, sa ili bez otvorene reške. Ako se u pojedinoj stavci traži otvorena reška treba je izvesti uredno i u širini koja se u stavci traži.</t>
  </si>
  <si>
    <t>Kod polaganja kamenih ploča na pod ljepljenjem prethodno treba provjeriti ravninu poda. Kod odstupanja veæih od 0,5 cm potrebno je izvesti sloj za izravnanje posebnom masom za izravnanje, a što će se utvrditi pregledom i upisom u građevinski dnevnik od strane nadzornog inženjera. Nakon završenog polaganja ploča izvršiti fugiranje masom za fugiranje u boji po izboru projektanta, ukoliko su ploče položene s otvorenom reškom.</t>
  </si>
  <si>
    <t>Plohe gotovog poda ili zida moraju biti potpuno ravne, kontrola libelom u svim smjerovima.</t>
  </si>
  <si>
    <t>Sve kamene ploče trebaju biti I klase, iste boje, te posve ravne i ne smiju imati pukotine na površini. Ploče koje su okrhnute ili nepravilno brušene neće se preuzeti, a ukoliko ih izvođač ugradi morati će ih na vlastiti trošak izmjeniti.</t>
  </si>
  <si>
    <t>Navedene količine u opisu radova nisu obavezne, već ih projektant može naknadno smanjiti ili povećati. Obračun će se vršiti prema stvarno izvedenim radovima i količinama. Opločenja podova i oblaganje zidova obračunat će se po m² razvijene površine opločenja, dok će se izvođenje sokla, klupčica i sl. obračunati po m².</t>
  </si>
  <si>
    <t>Kod izvedbe zidnog i podnog opločenja u jediničnu cijenu pojedine stavke ukalkulirati i brtvljenje silikonskim kitom sudara keramičkog opločenja s dovratnicima, oblogom  druge vrste i sl.</t>
  </si>
  <si>
    <t>Jedinična cijena mora sadržavati:
- donošenje uzoraka na uvid,
- kontrola i uzimanje mjera na objektu,
- sav potreban materijal: kamene ploče, ljepilo, metalne spojke itd.
- sav potreban rad, alat i strojeve,
- sve dilatacijske, alu kutne i završne lajsne su također uračunati u jediničnu cijenu,
- transportne troškove,
- čišćenje prostorija po završenom radu s uklanjanjem šute i svih  otpadaka
- popravak štete učinjene na svojim ili tuđim radovima pri radu iz nepažnje.</t>
  </si>
  <si>
    <t>0.14.</t>
  </si>
  <si>
    <t>OPĆI UVJETI - SOBOSLIKARSKI RADOVI</t>
  </si>
  <si>
    <t>Sve radove treba izvoditi po izvedbenim nacrtima, opisima radova u troškovniku, te uputama projektanta i nadzornog inženjera. Sav upotrebljeni materijal treba zadovoljavati postojeće uzance i propise, a posebno:</t>
  </si>
  <si>
    <t>Pravilnik o tehničkim mjerama i uvjetima za završne radove u građevinarstvu,</t>
  </si>
  <si>
    <t>Tehnički uvjeti za izvođenje soboslikarskih -ličilačkih radova HRN U.F.2.015.</t>
  </si>
  <si>
    <t>Tehnički uvjeti za izvođenje ličilačkih radova HRN U.F2.012/78</t>
  </si>
  <si>
    <t>Pravilnik o tehničkim mjerama i uvjetima za završne radove u građevinarstvu Sl. list br. 49/70.</t>
  </si>
  <si>
    <t>Ukoliko opis neke od vrste dovodi do sumnje u način izvedbe, izvođač treba pravovremeno tražiti objašnjenje od projektanta.</t>
  </si>
  <si>
    <t>Izvedeni rad i upotrebljeni materijal mora u svemu (vrsti, boji i kvaliteti) biti jednak uzorku, što ga odabere projektant od najmanje 5 uzoraka, koje proizvođač izrađuje bez naplate. Materijal za izvedbu soboslikarsko-ličilačkih radova je naveden u stavkama troškovnika.</t>
  </si>
  <si>
    <t>Od primjenjenih se materijala traži da imaju prionjivost za podlogu, po mogućnosti da penetriraju u podlogu, da se njima jednostavno radi, da dobro "pokrivaju", da su im boje stalne, da su otporni na utjecaj sredine kojima su izloženi, da se ne brišu sa ploha na koje su naneseni, da su bezopasni za okolinu, da se premazi njima mogu obnavljati bez posebnih prethodnika i sl.</t>
  </si>
  <si>
    <t>Prije početka radova izvođač mora ustanoviti kvalitetu podloge za izvođenje soboslikarskih radova i ako ona nije pogodna za taj rad, mora o tome pismeno obavijestiti svog naručioca radova, kako bi se na vrijeme mogla popraviti i prirediti za soboslikanje i ličenje. Kasnije povezivanje i opravdanje da kvalitet nije dobar radi loše podloge, neće se uzimati u obzir. Na neuredne podloge ne može se izvoditi rad dok se podloge ne urede. Predviđa se da se svi stropovi i zidovi koji budu bojeni prethodno obrade gletaju masom i potpuno zaglade, a zatim da ih se boji disperzivnom ili perivom bojom za zidove.</t>
  </si>
  <si>
    <t>Materijal za izvedbu soboslikarskih radova treba biti prvorazredan. Na oličenim površinama ne smiju se poznati tragovi četke ili valjka, ne smije biti mrlja, a ton boje treba biti ujednačen.</t>
  </si>
  <si>
    <t>Investitor ima pravo na kontrolu kvalitete materijala kojim se radovi izvode. Ustanovi li da taj materijal ne odgovara propisanoj kvaliteti izvođač radova dužan je odstraniti lošu izvedbu i na vlastiti trošak izvesti radove sa kvalitetnim materijalom.</t>
  </si>
  <si>
    <t>O ispravnosti izvedenih površina mjerodavna je izjava nadzornog inženjera.</t>
  </si>
  <si>
    <t>Sve podloge moraju biti očišćene od prašine i ostalih prljavština. Bojiti je dozvoljeno samo suhu i pripremljenu podlogu.</t>
  </si>
  <si>
    <t>Osnovni premazi moraju se tako odabrati da su podesni za slijedeće premaze koji se predviđaju.</t>
  </si>
  <si>
    <t>Probni premazi moraju se po želji investitora izvesti za sve premaze.</t>
  </si>
  <si>
    <t>U jediničnu cijenu svake vrste radova treba uključiti: osnovni i pomoćni materijal, rastur materijala, transport do gradilišta i na gradilištu, trošak za izradu ili oštećenje skele i ostalih pomoćnih konstrukcija, trošak održavanja kvalitete izvedenog rada i zaštite dopremljenog materijala na gradilište, uklanjanja nečistoća ili šteta prouzrokovanih vlastitim radom, kao i trošak otpreme materijala. Jedinična cijena prema tome treba obuhvatiti sve troškove za izvedbu jedinice vrste rada prema opisu u troškovniku.</t>
  </si>
  <si>
    <t>U jediničnoj cijeni pojedinih stavaka obračunata je i upotreba svih skela bez obzira na visinu i drugih pomagala kod rada.</t>
  </si>
  <si>
    <t>Zidove i stropove treba  bojati, kad su potpuno suhi, a prije bojanja treba zakrpati sve eventualne rupe, pukotine ili krhotine, a podlogu pripremiti prema tehnologiji proizvođača boja i lakova.</t>
  </si>
  <si>
    <t>Dok radovi traju, izvođač je dužan zaštititi od oštećenja ili prljanja sve ostale građevinske dijelove i opremu (podove, stakla, vrata I sl.).</t>
  </si>
  <si>
    <t>U jediničnoj cijeni kod bojenja i ličenja na novom zidu i stropu uključeno je prema uputama prizvođača boje :</t>
  </si>
  <si>
    <t>Priprema podloge:</t>
  </si>
  <si>
    <t>Čišćenje površine od prašine i eventualno potrebni popravci na podlozi.</t>
  </si>
  <si>
    <t>Impregnacija:</t>
  </si>
  <si>
    <t>A/ Impregnacija za vapnene i produžne žbuke</t>
  </si>
  <si>
    <t>B/ Impregnacija za gipskartonske ploče, gipsvapnene žbuke, beton i YTONG blokovi</t>
  </si>
  <si>
    <t>Međusloj:</t>
  </si>
  <si>
    <t>- Gipskartonske ploče i produžna žbuka koju treba  zagladiti - impregniranu podlogu zagladiti glet masom u dva sloja</t>
  </si>
  <si>
    <t>Završno ličenje bojom:</t>
  </si>
  <si>
    <t>u dva sloja ili tri sloja, ovisno o boji i pokrivanju.</t>
  </si>
  <si>
    <t>Ličenje drvenih površina:</t>
  </si>
  <si>
    <t>Impregnacija površine FUGNICIDNOM IMPREGNACIJOM BEZBOJNOM</t>
  </si>
  <si>
    <t>Zaglađivanje površina, saniranje rešaka na spojevima i popravak neravnina KITOM ZA LOPATICE</t>
  </si>
  <si>
    <t>Predličenje TEMELJOM BIJELIM za vanjsku stolariju u dva sloja ili za unutarnju u jednom sloju, odnosno predličenje u drugoj boji prema odabiru projektanta.</t>
  </si>
  <si>
    <t>Završno ličenje u dva sloja.</t>
  </si>
  <si>
    <t>Ličenje metalnih površina:</t>
  </si>
  <si>
    <t>Sve površine koje se liče moraju biti očišćene od rđe i masnoće. Sve čelične konstrukcije i bravarske stavke dolaze na gradilište već zaštićene dvostrukim antikorozivnim premazom, što je uključeno u navedenim radovima, te se u ličilačkim radovima predviđa samo završno ličenje u dva sloja, po potrebi razjeđenom RAZRJEÐIVAČEM .</t>
  </si>
  <si>
    <t>Kod ličenja postojećih konstrukcija treba skinuti rðu i stari nalič  četkanjem, pjeskarenjem ili DESOL premazom, četkati i oprati podlogu, dva puta zaštititi temeljnim premazom RAPIDUR i završno ličiti    2 X LUXALOM ako nije drugačije stavkom predviđeno.</t>
  </si>
  <si>
    <t>Obračun se vrši po Normama za soboslikarske i ličilačke radove, osnovna jedinica je m2.</t>
  </si>
  <si>
    <t>Dodatna napomena:</t>
  </si>
  <si>
    <t>- otvori veličine do 3 m2 ne odbijaju se od izmjerene površine,
- kod većih otvora odbija se razlika veća od 3 m2,
- kao otvori smatraju se: prozori, vrata, ugrađeni ormari i sl.</t>
  </si>
  <si>
    <t>- gipsane plohe (bez ukrasnih elemenata) obračunavaju se po m2 (bez dodataka ili odbitaka)</t>
  </si>
  <si>
    <t>- gipsane plohe (štukature) s glatko izvučenim i profiliranim vijencima i pojasima obračunavaju se po m2 , s time da se izračunatoj površini doda 50%
- gipsane plastike (štukature) s profiliranim vijencima i ukrasnom ornamentikom, obračunava se po m2 , s time da se izračunatoj površini doda 100%</t>
  </si>
  <si>
    <t>Dekorativna obrada ili ukrasno slikanje stropova, svodova i stijena prostorija obračunava se paušalno, po komadu ili jednom poslu.</t>
  </si>
  <si>
    <t>Jedinična cijena sadrži:</t>
  </si>
  <si>
    <t>- sav materijal, dobavu i dopremu alata, mehanizaciju i uskladištenje</t>
  </si>
  <si>
    <t>- H42kutne lajsne i silikon,akril za fuge,kutne spojeve,spojeve oko stolarije</t>
  </si>
  <si>
    <t>- izmjere potrebne za izvedbu i obračun,</t>
  </si>
  <si>
    <t>- troškove radne snage za kompletan rad opisan u troškovniku,</t>
  </si>
  <si>
    <t>- sve horizontalne i vertikalne transporte</t>
  </si>
  <si>
    <t>- svu potrebnu radnu skelu  i poduzimanje potrebnih mjera po Pravilniku ZNR</t>
  </si>
  <si>
    <t>- čišćenje nakon završetka radova,</t>
  </si>
  <si>
    <t>- svu štetu kao i troškove popravka kao posljedica nepažnje u toku izvedbe,</t>
  </si>
  <si>
    <t>-  troškove zaštite na radu,</t>
  </si>
  <si>
    <t>- troškove atesta,</t>
  </si>
  <si>
    <t>- zaštitu okolnih konstrukcija od prljanja.</t>
  </si>
  <si>
    <t>- zaštita gotovih podova, vrata, prozora i sl.</t>
  </si>
  <si>
    <t>0.15.</t>
  </si>
  <si>
    <t>OPĆI UVJETI - PODOPOLAGAČKI RADOVI</t>
  </si>
  <si>
    <t>Prije dostavljanja ponude, ponuđač je dužan provjeriti točne količine svih stavki troškovnika.</t>
  </si>
  <si>
    <t>Prije  počatka radova, izvođač je dužan pregledati  kompletnu dokumentaciju, te sve  nejasnoće ili eventualne  neispravnosti raspraviti  s  nadzornim  inženjerom  i  projektantom.</t>
  </si>
  <si>
    <t>U jediničnu cijenu svake stavke obvezno uključiti sve mjere osiguranja prolaznika, radnika i okolnih građevina za vrijeme trajanja radova, svu potrebnu skelu, sva potrebna premještanja postojećih instalacija i dovođenje istih u prvobitno stanje po završetku radova, sve transporte materijala preostalog od rušenja, deponiranje na gradilišnoj deponiji, utovar i odvoz na gradsku deponiju koju odredi investitor, odnosno sortiranje i deponiranje na mjesto koje odredi investitor za eventualnu ponovnu ugradbu, sve dobave, prijevoze do gradilišta, horizontalne i vertikalne transporte na gradilištu, sav potreban rad, osnovni i pomoćni materijal i  pomoćne  radnje: izradu radioničke dokumentacije,  sva  ispitivanja  i  nabavu  atestne dokumentacije  na  hrvatskom  jeziku, a sve do potpune funkcionalne gotovosti svake pojedine stavke i troškovnika u cjelini - ako opisom stavke nije drugačije određeno.</t>
  </si>
  <si>
    <t>Pri izvedbi podopolagačkih radova izvođač je dužan pridržavati se svih uvjeta i opisa u troškovniku, kao i važećih propisa i to posebno:</t>
  </si>
  <si>
    <t>Pravilnik o tehničkim mjerama i uvjetima za izvedbu zgrada, (Sl. br.: 17/70),</t>
  </si>
  <si>
    <t>Pravilnik o tehničkim normativima za projektiranje i izvođenje radova u građevinarstvu, (Sl. br.: 21/90),</t>
  </si>
  <si>
    <t>Tehnički uvjeti za izvođenje podopolagačkih radova</t>
  </si>
  <si>
    <t>Posebna uputstva proizvođača</t>
  </si>
  <si>
    <t>Zakon o zaštiti na radu (NN 59/69, 94/96, 114/03 i 86/08)</t>
  </si>
  <si>
    <t>Materijali za podopolagačke radove u pogledu kakvoće moraju odgovarati svim važećim standardima i pojedinačnim standardima i normama za svaki ugrađeni materijal koji je sastavni dio podova.</t>
  </si>
  <si>
    <t>Sav pomoćni materijal (ljepila, mase za izravnanje, premazni profili trake za varenje, paste za zavarivanje) koji nije obuhvaćen standardima mora imati ateste od za to ovlaštenih ustanova.</t>
  </si>
  <si>
    <t>Za izradu ponude i izvođenje podova ponuditelj je dužan primjeniti relevantne propise i norme važeće u Republici Hrvatskoj, kao i međunarodno priznate norme za područja koja nisu pokrivena normama u Republici Hrvatskoj ili garantiraju viši nivo kvalitete od HRN.</t>
  </si>
  <si>
    <t>Ukoliko neka od podnih obloga nema standard proizvoditelj je dužan certifikatom potvrditi slijedeće karakteristike: dimenzije, dimenzionalnu stabilnost, postojanost prema svijetlu, zapaljivost, klizavost, provodljivost (električnai sl.), ujednačnost površina.</t>
  </si>
  <si>
    <t>Radovi na polaganju podova mogu se izvoditi nakon što su provjereni svi potrebni uvjeti, kao što su kvaliteta podloge, vlažnost, temperatura u prostorijama, kao i svi ostali uvjeti koje traži izvoditelj pojedinih vrsta radova.</t>
  </si>
  <si>
    <t>Obračun izvršenih radova izvršiti će se prema jedinici mjera u troškovniku, važećim normama, tehničkim uvjetima za pojedine vrste podova i izmjeri na licu mjesta.</t>
  </si>
  <si>
    <t>Jedinična cijena sadrži sav potreban materijal i pribor, sav potreban rad, transport do gradilišta i na gradilištu, kao i sva sredstva zaštite na radu radnika na gradilištu.</t>
  </si>
  <si>
    <t>Prije nabave podnih obloga na gradilište, potrebno je da izvoditelj radova predoči projektantu uzorke zbog odabiranja, te da provjeri sve potrebne količine.</t>
  </si>
  <si>
    <t>Izvoditelj je dužan do primopredaje radova zaštititi postavljene podove od oštećenja i onečišćenja.</t>
  </si>
  <si>
    <t>Izvođač je dužan prije početka radova provjeriti na licu mjesta uvjete za izvođenje: ispravnost mjera podloga i otvora ravninu podloge, kvaliteta podloge te o nepravilnostima izvijestiti Nadzornog inženjera i Investitora. Naknadno pozivanje na kvalitetu podloge neće se uvažavati. Evenatualne neravnine mogu biti najviše 1 cm/m2 za podno oblaganje. Sve podloge za polaganje podnih obloga potrebno je fino izravnati sa masom za izravnanje.</t>
  </si>
  <si>
    <t>Eventualne izmjene materijala, te način izvedbe tokom gradnje moraju se izvršiti isključivo pismenim dogovorom s projektantom i nadzornim inženjerom.</t>
  </si>
  <si>
    <t>Obračun podopolagačkih radova vrši se po metru kvadratnom, uključujući sav materijal, rad, pribor za izvođenje i skelu, ako u opisu stavke nije drugačije navedeno.</t>
  </si>
  <si>
    <t>- sav materijal uključivo doprema na gradilište, uskladištenje, te donos na mjesto ugradbe,
- sav rad, uključivo pomoćni,
- izmjere potrebne za izvedbu i obračun,
- poduzimanje mjera po HTZ i drugim postojećim propisima,
- dovođenje vode, plina i struje od priključka na gradilištu do mjesta potrošnje,
- korištenje mehanizacije i alata,
- davanje uzoraka
- osvjetljavanje, grijanje i čišćenje prostorija za boravak i sanitarije radnika,
- uklanjanje svih otpadaka nakon izvedenih radova,
- zaštita gotovih podova,vrata, prozora i sl,
- isporuka pogonskog materijala,
- sve predradnje, popravljanje malih neravnina, fino čišćenje, kitanje rupica od čavala i sl, izrada probnih premaza itd.
- skidanje i ponovno postavljanje vrata, prozora i sl. radi premazivanja,
- provjetravanje prostorija radi sušenja,
- zatvaranje prostorija i zaštita izvedenih radova do primopredaje,
- uspostavljanje i napuštanje gradilišta.</t>
  </si>
  <si>
    <t>Parketi se polažu u prostorijama gdje je to projektom predviđeno. Izvođenje parketarskih radova mora biti u skladu sa standardima HRN U.F2.016.</t>
  </si>
  <si>
    <t>Sav materijal za izradu parketarskih radova mora zadovoljavati odgovarajuće propise i standarde:</t>
  </si>
  <si>
    <t>parket 
HRN D.D5.020,  043  (hrast),</t>
  </si>
  <si>
    <t>HRN D.D5.041   (bukva),</t>
  </si>
  <si>
    <t>HRN D.D5.042    (jasen)</t>
  </si>
  <si>
    <t>lamelni parket u pločama</t>
  </si>
  <si>
    <t>HRN D.D5.021, 022  (hrast),</t>
  </si>
  <si>
    <t>HRN D.D5.023  (bukva),</t>
  </si>
  <si>
    <t>HRN D.D5.024   (jasen),</t>
  </si>
  <si>
    <t>HRN D.D5.025   (bijeli i crni bor).</t>
  </si>
  <si>
    <t>Sav materijal (ljepila, lakovi, bitumeni za parket i ostalo), koji nisu obuhvaćeni standardima moraju imati ateste od za to ovlaštenih ustanova.</t>
  </si>
  <si>
    <t>Ako koja stavka nije izvođaču jasna, mora prije predaje ponude tražiti objašnjenje od projektanta. Eventualne izmjene materijala, te način izvedbe tokom gradnje moraju se izvršiti isključivo pismenim dogovorom s projektantom i nadzornim inženjerom. Sve više radnje koje neće biti na taj način utvrđene neće se priznati u obračun.</t>
  </si>
  <si>
    <t>Prije polaganja parketa izvođač je dužan ispitati ispravnost podloge na koju se trebaju polagati parketi. Za svaku neispravnost  treba upozoriti odmah pismeno izvođača građevinskih radova i zatražiti popravak. Ako izvođač položi parket na neispravnu podlogu, skidanje i ponovno polaganje parketa ide na račun izvođača parketarskih radova.</t>
  </si>
  <si>
    <t>Ako nije u troškovniku drugačije naznačeno, prijelaz iz prostorije u prostoriju istog nivoa učiniti kontinuirano bez prekida i praga.</t>
  </si>
  <si>
    <t>0.16.</t>
  </si>
  <si>
    <t>OPĆI UVJETI - ALUMINIJSKA BRAVARIJA</t>
  </si>
  <si>
    <t>Izvoditelj se obvezuje izraditi i ugraditi aluminijske elemente do potpune gotovosti, u već provjerenom i certificiranim sustavima - referentni sustavi su Reynaers aluminium ili jednakovrijedno, te se od njega očekuje visoka kvaliteta izvedbe. Prije početka radova, izvoditelj je dužan izvršiti pripremne radnje propisane Zakonom o gradnji (NN br.153/13 i 17/20) i Zakonom zaštite na radu (NN 071/2014). Sva tehnička rješenja koja izvoditelj predlaže i primjenjuje moraju biti usklađena s HRN-ma i propisima te usvojenim EN (kada je zakonom utvrđena njihova obvezna primjena), a u u ostalom dijelu primjenjuju se sljedeće EN:</t>
  </si>
  <si>
    <t>Tehnički propis za prozore i vrata - NN 69/2006.</t>
  </si>
  <si>
    <t>HRN U.J6.151/82 – Akustika u građevinarstvu. Standardne vrijednosti za ocijenu zvučne izolacije.</t>
  </si>
  <si>
    <t>HRN U.J6.201/89 – Akustika u građevinarstvu. Tehnički uvjeti za projektiranje i građenje zgrada.</t>
  </si>
  <si>
    <t>Tehnički propis za staklene konstrukcije (NN 53/2017)</t>
  </si>
  <si>
    <t>Tehnički propis za aluminijske konstrukcije (NN 80/2013)</t>
  </si>
  <si>
    <t>Tehnički propis o racionalnoj uporabi energije i toplinskoj zaštiti u zgradama (NN 128/2015)</t>
  </si>
  <si>
    <t>Zakon o zaštiti od buke (NN 30/2009)</t>
  </si>
  <si>
    <t>Zakon o izmjenama i dopunama Zakona o zaštiti od buke (NN 55/2013)</t>
  </si>
  <si>
    <t>Zakon o izmjenama i dopunama Zakona o zaštiti od buke (NN 153/2013)</t>
  </si>
  <si>
    <t>Zakon o izmjenama i dopunama Zakona o zaštiti od buke (NN 41/2016)</t>
  </si>
  <si>
    <t>HRN EN 14351-1:2006</t>
  </si>
  <si>
    <t>Prozori i vrata -- Norma za proizvod, izvedbene značajke -- 1.dio: Prozori i vanjska pješačka vrata (EN 14351-1:2006+A2:2016)</t>
  </si>
  <si>
    <t>HRN EN 12020-1:2008</t>
  </si>
  <si>
    <t>aluminij i aluminijske legure EN AW6060 (sukladno EN 573-3)</t>
  </si>
  <si>
    <t>HRN EN 15088; 2008</t>
  </si>
  <si>
    <t>proizvodi za izradu konstrukcija u graditeljstvu</t>
  </si>
  <si>
    <t>HRN EN 485-1: 2008
HRN EN 485-2; 2009
HRN EN 485-3: 2008
HRN EN 485-4: 2001</t>
  </si>
  <si>
    <t>aluminij i aluminijske legure - limovi, trake i ploče</t>
  </si>
  <si>
    <t>HRN EN 14024: 2008</t>
  </si>
  <si>
    <t>metalni profili s prekinutim toplinskim mostom</t>
  </si>
  <si>
    <t>HRN EN 14351-1: 2010</t>
  </si>
  <si>
    <t>prozori i vrata, izvedbene značajke</t>
  </si>
  <si>
    <t>HRN EN 1026:2001</t>
  </si>
  <si>
    <t>prozori i vrata, propusnost zraka</t>
  </si>
  <si>
    <t>HRN EN 1027: 2001</t>
  </si>
  <si>
    <t>prozori i vrata, vodonepropusnost</t>
  </si>
  <si>
    <t>HRN EN 1191:2001</t>
  </si>
  <si>
    <t>prozori i vrata, otpornost na uzastopno otvaranje i zatvaranje</t>
  </si>
  <si>
    <t>HRN EN 1192:2001</t>
  </si>
  <si>
    <t>Vrata – Razredba zahtjeva čvrstoće (EN 1192:1999)</t>
  </si>
  <si>
    <t>HRN EN 1529:2001  </t>
  </si>
  <si>
    <t> Vratna krila – Visina, širina, debljina i pravokutnost – Razredba dopuštenih odstupanja  (EN 1529:1999)</t>
  </si>
  <si>
    <t>HRN EN 1530:2001</t>
  </si>
  <si>
    <t>Vratna krila – Opća i lokalna ravnost – Razredba dopuštenih odstupanja (EN 1530:1999)</t>
  </si>
  <si>
    <t>HRN EN 12207:2017</t>
  </si>
  <si>
    <t>Prozori i vrata -- Propusnost zraka -- Razredba (EN 12207:2016)</t>
  </si>
  <si>
    <t>HRN EN 12208:2001</t>
  </si>
  <si>
    <t>Prozori i vrata – Vodonepropusnost – Razredba (EN 12208:1999)</t>
  </si>
  <si>
    <t>HRN EN 12210:2016</t>
  </si>
  <si>
    <t>Prozori i vrata -- Otpornost na opterećenje vjetrom -- Razredba (EN 12210:2016)</t>
  </si>
  <si>
    <t>HRN EN 12217:2015</t>
  </si>
  <si>
    <t>Vrata -- Sile otvaranja i zatvaranja -- Zahtjevi i razredba (EN 12217:2015)</t>
  </si>
  <si>
    <t>HRN EN 12219:2001</t>
  </si>
  <si>
    <t>Vrata – Klimatski utjecaji – Zahtjevi i razredba (EN 12219:1999)</t>
  </si>
  <si>
    <t>HRN EN 12608-1:2016</t>
  </si>
  <si>
    <t>Profili od neomekšanog poli(vinil-klorida) (PVC-U) za izradu prozora i vrata -- Razredba, zahtjevi i metode ispitivanja -- 1. dio: Nezaštićeni PVC-U profili svijetlih površina (EN 12608-1:2016)</t>
  </si>
  <si>
    <t>HRN EN 13115:2008</t>
  </si>
  <si>
    <t>Prozori – Razredba mehaničkih svojstava – Vertikalno opterećenje, torzija i sile otvaranja i zatvaranja (EN 13115:2001)</t>
  </si>
  <si>
    <t>HRN EN 179:2001</t>
  </si>
  <si>
    <t>Građevni okovi -- Naprave izlaza za nuždu s kvakom ili pritisnom pločom za upotrebu na evakuacijskim putovima -- Zahtjevi i ispitne metode (EN 179:2008)</t>
  </si>
  <si>
    <t>HRN EN 1125:2008   </t>
  </si>
  <si>
    <t>Građevni okovi -- Dijelovi izlaza za nuždu s pritisnom šipkom za upotrebu na evakuacijskim putovima -- Zahtjevi i ispitne metode (EN 1125:2008)</t>
  </si>
  <si>
    <t>HRN EN ISO 10077-1:2008</t>
  </si>
  <si>
    <t>Toplinska svojstva prozora, vrata i zaslona -- Proračun koeficijenta prolaska topline -- 1. dio: Općenito (ISO 10077-1:2006; EN ISO 10077-1:2006)</t>
  </si>
  <si>
    <t>HRN EN ISO 10077-1:2008/Ispr.1:2010</t>
  </si>
  <si>
    <t>Toplinska svojstva prozora, vrata i zaslona -- Proračun koeficijenta prolaska topline -- 1. dio: Općenito (ISO 10077-1:2006/Cor 1:2009; EN ISO 10077-1:2006/AC:2009)</t>
  </si>
  <si>
    <t>HRN EN ISO 10077-2:2012</t>
  </si>
  <si>
    <t>Toplinske značajke prozora, vrata i zaslona -- Proračun koeficijenta prolaska topline -- 2. dio: Numerička metoda za okvire (ISO 10077-2:2012; EN ISO 10077-2:2012)</t>
  </si>
  <si>
    <t>HRN EN ISO 10077-2:2012/Ispr.1:2012</t>
  </si>
  <si>
    <t>Toplinske značajke prozora, vrata i zaslona -- Proračun koeficijenta prolaska topline -- 2. dio: Numerička metoda za okvire (ISO 10077-2:2012/Cor 1:2012; EN ISO 10077-2:2012/AC:2012)</t>
  </si>
  <si>
    <t>ZAJEDNIČKE ZNAČAJKE SUSTAVA:</t>
  </si>
  <si>
    <t>Prolaz topline sukladno građevinskoj fizici:</t>
  </si>
  <si>
    <t>Pr1 - prozirne konstrukcije, koeficijent prolaza topline cijelog otvora uključivo okvir najviše Uw ≤ 1,6 W/m²K.</t>
  </si>
  <si>
    <t>Pr2 - prozirne konstrukcije, staklena stijena &gt; 15 m², koeficijent prolaza topline cijelog otvora uključivo okvir najviše Uw ≤ 1,3 W/m²K.</t>
  </si>
  <si>
    <t>Aluminijski profili napravljeni su od legureAlMgSi0.5F22 ( EN-AW6060 I AW 6063 sukladno sEN 573-3 s dodatnim zahtjevima na otpornost od korozije: Zn ≤ 0.15%, Cu ≤ 0.02%, Pb ≤ 0.022%, Si: 0.30 – 0.55%, Fe: 0.10 – 0.30%, Mg: 0.35 – 0.60%, Mn ≤ 0.10%,  Cr ≤ 0.05%, Ti ≤ 0.10%, ostali elementi pojedinačno ≤ 0.05%, zajedno ≤ 0.15%.</t>
  </si>
  <si>
    <t>Mehaničke značajke odgovaraju standardu EN 755-2 s naknadnom obradom T66 ili standardu DIN 1748-1 s F22. Dozvoljena odstupanja temelje se na standardu EN 12020-2 ili DIN 17615-3.</t>
  </si>
  <si>
    <t>Tolerancija oblika profila prema DIN 17 615 i EN 2020-2</t>
  </si>
  <si>
    <t>Izvođač daje 10-godišnje jamstvo na aluminijske profile, brtve i zavšnu obradu (plastifikacija ili eloksaža), 5-godišnje jamstvo na pokretne dijelove (okov).</t>
  </si>
  <si>
    <t>Profili moraju imati jamstvo od 10 godina na završnu obradu koja uključuje ljuštenje boje ili stvaranje mjehura ispod nje, otpornost na UV zrake - blijeđenje boje ili gubitak sjaja. Radi postizanja traženog jamstva profili moraju prije plastifikacije biti predeloksirani u kvaliteti Seaside PA i plastifikacija minimalno 60 µm sukladno Qualicoat i Qualianod smjernicama. U ovisnosti o odabranom načinu završne obrade jamstvo se može i produžiti.</t>
  </si>
  <si>
    <t>Prozori i vrata s prekinutim toplinskim mostom:</t>
  </si>
  <si>
    <t>Sustav aluminijskih profila s dubinom ugradnje doprozornika 68 mm i prozorskog krila 77 mm; krilo preklapa doprozornik za 5 mm. Najmanja vidljiva širina doprozornika u pogledu iznosi 51 mm. Vanjska i unutarnja polovica aluminijskog profila spojene su s višekomornim poliamidnim trakama omega oblika koje su ojačane staklenim vlaknama. Ostakljivanje se vrši uz pomoć višekomornih EPDM brtvi ili neutralnim silikonom. Referentni sustav je Reynaers CS 77 ili jednakovrijedno.</t>
  </si>
  <si>
    <t>Toplinska svojstva profila:Uf=1,2 W/m²K; u ovisnosti od odabrane kombinacije doprozornik/krilo.</t>
  </si>
  <si>
    <t>Zvučna zaštita: Rw(C;Ctr) = 36 (-1;-4) dB / 42 (-2; -4) dB sukladno EN ISO 140-3; EN ISO 717-1 te u ovisnosti od odabrane kombinacije doprozornik/krilo i odabranom staklu.</t>
  </si>
  <si>
    <t>Zrakopropusnost: razred 4 (600 Pa) sukladno EN 1026; EN 12207</t>
  </si>
  <si>
    <t>Vodotijesnost: razred E900 (900 Pa) sukladno EN 1027; EN 12208</t>
  </si>
  <si>
    <t>Otpornost na udare vjetra: razred 5 (2000 Pa) sukladno EN 12211; EN 12210</t>
  </si>
  <si>
    <t>Otpornost na udare vjetra (deformacija doprozornika): razred C (≤1/300) sukladno EN 12211; EN 12210</t>
  </si>
  <si>
    <t>Protuprovalnost (u ovisnosti o zahtjevima): RC 2 ili RC 3 sukladno EN 1627; EN 1628; EN 1630</t>
  </si>
  <si>
    <t>Sustav aluminijskih profila s dubinom ugradnje doprozornika 76 - 99 mm i prozorskog krila je za 72 - 86 mm; krilo preklapa doprozornik za 5 mm. Vidljiva širina doprozornika u pogledu iznosi 33.5 mm. Vanjska i unutarnja polovica aluminijskog profila spojene su s poliamidnim trakama omega oblika koje su ojačane staklenim vlaknama. Ostakljivanje je moguće uz pomoć EPDM brtvi ili neutralnim silikonom. Referentni sustav je Reynaers SL 38 ili jednakovrijedno.</t>
  </si>
  <si>
    <t>Toplinska svojstva profila: Uf=1,7 W/m²K, Uw≤1,4 W/m²K sa staklom Ug=1,1 W/m²K za prozor 1,23x1,48m,</t>
  </si>
  <si>
    <t>Zvučna zaštita:Rw(C;Ctr) = 38 (-1;-4) dB / 45 (-1; -5) dB sukladno EN ISO 140-3; EN ISO 717-1 te u ovisnosti od odabrane kombinacije doprozornik/krilo i odabranom staklu.</t>
  </si>
  <si>
    <t>Vodotijesnost:razred 9A (600 Pa) sukladno EN 1027; EN 12208</t>
  </si>
  <si>
    <t>Otpornost na udare vjetra:  razred 4 (1600 Pa) sukladno EN 12211; EN 12210</t>
  </si>
  <si>
    <t>Otpornost na udare vjetra (deformacija doprozornika):razred C (≤1/300) sukladno EN 12211; EN 12210</t>
  </si>
  <si>
    <t>Protuprovalnost (u ovisnosti o zahtjevima): do RC 2 sukladno EN 1627; EN 1628; EN 1630</t>
  </si>
  <si>
    <t>Vatrootporna i dimoneporpusna vrata s prekinutim toplinskim mostom:</t>
  </si>
  <si>
    <t>Sustav aluminijskih profila s prekinutim toplinskim mostom i dubinom ugradnje 68 mm. Vatrootpornost se postiže ispunama u aluminijskim profilima koje kompenziraju toplinu i samoljepljivim, vodootpornim, bubrećim brtvama koje nije potrebno vulkanizirati nakon ugradnje što smanjuje vrijeme izrade i troškove. Ostakljivanje moguće pomoću EPDM brtvi, moguće je ugraditi staklo debljine 15 do 52 mm. Referentni sustav aluminijskih profila Reynaers Aluminium CS 77-FP.</t>
  </si>
  <si>
    <t>Europski certifikati: EN 1364-1</t>
  </si>
  <si>
    <t>Standard za klasifikaciju: EN 13501-2</t>
  </si>
  <si>
    <t>Razredi vatrootpornosti: CS 77-FP EI30: EW30, E30, EI130, EI230, CS 77-FP EI60: EI45, EW60, E60, EI60</t>
  </si>
  <si>
    <t>Protuprovalnost (u ovisnosti o zahtjevima): do RC 2 sukladno EN 1627</t>
  </si>
  <si>
    <t>Prozori i vrata bez prekinutig toplinskog mosta:</t>
  </si>
  <si>
    <t>Sustav aluminijskih profila sa prekinutim toplinskim mostom s dubinom ugradnje doprozornika 50 mm i prozorskog krila 59 mm; krilo preklapa doprozornik za 5 mm. Vidljiva širina doprozornika u pogledu iznosi 49 mm. Ostakljivanje je moguće uz pomoć EPDM brtvi ili neutralnim silikonom. Referentni sustav je Reynaers CS 59Pa ili jednakovrijedno.</t>
  </si>
  <si>
    <t>Zvučna zaštita:Rw(C;Ctr) = 36 (-1;-3) dB / 44 (-2; -4) dB sukladno EN ISO 140-3; EN ISO 717-1 te u ovisnosti od odabrane kombinacije doprozornik/krilo i odabranom staklu.</t>
  </si>
  <si>
    <t>Zrakopropusnost:razred 4 (600 Pa) sukladno EN 1026; EN 12207</t>
  </si>
  <si>
    <t>Vodotijesnost: razred E750 (750 Pa) sukladno EN 1027; EN 12208</t>
  </si>
  <si>
    <t>Otpornost na udare vjetra (deformacija doprozornika):  razred C (≤1/300) sukladno EN 12211; EN 12210</t>
  </si>
  <si>
    <t>Protuprovalnost (u ovisnosti o zahtjevima): RC 2 sukladno EN 1627; EN 1628; EN 1630</t>
  </si>
  <si>
    <t>Klizne stijene:</t>
  </si>
  <si>
    <t>Sustav aluminijskih profila s dubinom ugradnje doprozornika 120 - 176 mm i kliznog krila 64 mm. Vidljiva širina doprozornika u pogledu iznosi 68 mm, a krila 34 mm. Vanjska i unutarnja polovica aluminijskog profila spojene su s poliamidnim trakama koje su ojačane staklenim vlaknama. Ostakljivanje je moguće uz pomoć EPDM brtvi. Referentni sustav je Reynaers SlimPatio 68 ili jednakovrijedno.</t>
  </si>
  <si>
    <t>Najveća dozvoljena visina kliznog krila: 2.700 mm</t>
  </si>
  <si>
    <t>Najveća dozvoljena masa kliznog krila: 250 kg</t>
  </si>
  <si>
    <t>Dubina utora za staklo: 18 mm</t>
  </si>
  <si>
    <t>Debljina ispune: 24 do 36 mm</t>
  </si>
  <si>
    <t>Toplinska svojstva profila: Uf ≥ 2,4 W/m²K (ovisno o odabranoj kombinaciji profila), Uw ≥ 1,4 W/m²K sa staklom Ug=0,8 W/m²K za element veličine 3.000 x 2.500 mm,</t>
  </si>
  <si>
    <t>Zvučna zaštita: Rw(C;Ctr) = 40 (-2;-4) dB sukladno EN ISO 140-3; EN ISO 717-1 te u ovisnosti od odabrane kombinacije doprozornik/krilo i odabranom staklu.</t>
  </si>
  <si>
    <t>Vodotijesnost: razred 8A (450 Pa) sukladno EN 1027; EN 12208</t>
  </si>
  <si>
    <t>Otpornost na udare vjetra: razred 4 (1600 Pa) sukladno EN 12211; EN 12210</t>
  </si>
  <si>
    <t>Otpornost na udare vjetra (deformacija doprozornika):  razred B5 2.000 Pa (≤1/300) sukladno EN 12211; EN 12210</t>
  </si>
  <si>
    <t>Fasadne stijene:</t>
  </si>
  <si>
    <t>Sustav aluminijskih, horizontalnih i vertikalnih, pravokutnih profila s dubinom ugradnje sukladno statici, a vidljivom širinom 50 mm s vanjske strane (aluminijski ukrasni pokrovni profil) odnosno 50 mm s unutarnje strane (pravokutni aluminijski nosivi profili). U fasadu su ugrađeni prozori, vrata i klizne stijene čije vanjska i unutarnja polovica aluminijskog profila su spojene s poliamidnim trakama omega oblika koje su ojačane staklenim vlaknama. Ostakljivanje se vrši ugradnjom stakala uz korištenje EPDM brtvi i pričvrstnog aluminijskog profila preko kojeg se postavlja ukrasni profil u obliku i završnoj obradi prema izboru naručitelja. Referentni sustav je Reynaers CW 50 ili jednakovrijedno.</t>
  </si>
  <si>
    <t>Toplinska svojstva profila:do Uf=0,56 W/m²K, Ucw≤0,9 - 1,15 W/m²K sa staklom Ug=0,7 W/m²K</t>
  </si>
  <si>
    <t>Debljina ispune polja:od 6 do 61 mm</t>
  </si>
  <si>
    <t>Zvučna zaštita:  Rw(C;Ctr) = 33 (-1;-3) dB / 60 (-2; -6) dB sukladno EN ISO 140-3; EN ISO 717-1, sve u ovisnosti o odabrane kombinacije profila.</t>
  </si>
  <si>
    <t>Zrakopropusnost: razred AE1950 (1950 Pa) sukladno EN 12153, EN 12152</t>
  </si>
  <si>
    <t>Vodotijesnost: razred RE1950 (1950 Pa) sukladno EN 12155, EN 12154</t>
  </si>
  <si>
    <t>Otpornost na opterećenje vjetrom:  2.400 Pa (najveća ispitana vrijednost) sukladno EN 12179, EN 13116</t>
  </si>
  <si>
    <t>Otpornost na udar: I5/E5 sukladno EN 12600, EN 14019</t>
  </si>
  <si>
    <t>Protuprovalnost (u ovisnosti o zahtjevima): do WK3/RC3 sukladno EN 1627 do EN 1630</t>
  </si>
  <si>
    <t>Sve sudare i uglovne spojeve izvoditelj je dužan izvesti standardnim Al plastificiranim ili PVC završnim profilima i zapuniti iste akrilnim kitom čitavom duljinom.  Svi spojevi bandažirani, kitani i brušeni, u svemu spremni za bojanje, izuzev završnog akliriranja oko stolarije, vrata i parketnih lajsni.</t>
  </si>
  <si>
    <t>Ako je opis koje stavke izvođaču nejasan, treba pravovremeno prije predaje ponude tražiti objašnjenje od naručitelja. Eventualne izmjene materijala, te način izvedbe tokom gradnje moraju se izvršiti isključivo pismenim dogovorom s projektantom i nadzornim inženjerom. Sve više radnje koje neće biti na taj način utvrđene neće se priznati u obračun.</t>
  </si>
  <si>
    <t>NAPOMENA:</t>
  </si>
  <si>
    <t>U popisu radova, potrebno je provjeriti da li su sve pozicije potpune, prema pravilima struke i da li su točno predviđene za opisanu namjenu. Eventualne izmjene i dopune pozicija moraju se ovjeriti od strane naručitelja i investitora.</t>
  </si>
  <si>
    <t>Dokumentacija, predviđena za aluminijske konstrukcije na objektu, je obvezna prvenstveno zbog vizualno-arhitektonskog izgleda objekta, kao i razrade obrtničkog detalja, odnosno metodologije pričvršćenja pojedinih elemenata na ab konstrukciju.</t>
  </si>
  <si>
    <t>Proizvođač odnosno dobavitelj profilacije, mora po zahtjevu investitora priložiti ISO-9000 certifikacijsku dokumentaciju.</t>
  </si>
  <si>
    <t>Uglovni spojevi moraju u poprečnom presjeku odgovarati unutarnjim konturama profila. Svi spojevi moraju biti mehanički pričvršćeni i zapunjeni ljepilom. Pri spojevima pod 45°mora biti precizno izvedeno lijepljenje uglovnog spojnika i mjesta pričvršćenja profila. Kod T-spojeva i križnih spojeva mora se spriječiti prodor vode u konstrukciju. Radi spriječavanja korozije, a prije spajanja profila u cjelinu, rezovi profila moraju biti premazani zaštitnim sredstvom protiv korozije (npr. Reynaprotector odnosno Reynastick).</t>
  </si>
  <si>
    <t>Za lijepljenje se mora upotrijebiti dvokomponentno ljepilo za metale. Spojevi moraju ispunjavati zahtjeve o trajnoj čvrstoći i krutosti duž cijelog presjeka profila.</t>
  </si>
  <si>
    <t>Upotrijebiti se moraju originalna sistemska brtvila. Brtve moraju biti lako zamjenjive, uglovni spojevi brtvi moraju biti vulkanizirani.</t>
  </si>
  <si>
    <t>Radi lakšeg održavanja i zamjene okova svi profili moraju imati Euro-žlijeb.</t>
  </si>
  <si>
    <t>Završna obrada okova prema izboru projektanta i naručitelja.</t>
  </si>
  <si>
    <t>GRAĐEVINSKO-FIZIKALNI UVJETI</t>
  </si>
  <si>
    <t>DILATACIJE</t>
  </si>
  <si>
    <t>U području konstrukcijski planiranih fuga, mora se voditi računa o nesmetanim pomacima aluminijske konstrukcije, da pri tome ne bi došlo do stvaranja zvuka.</t>
  </si>
  <si>
    <t>BRTVLJENJE PRIKLJUČKA NA GRAĐEVINSKU KONSTRUKCIJU</t>
  </si>
  <si>
    <t>Ispuna između slijepih okvira i građevinske konstrukcije, kako i između aluminijskih okvira i slijepih okvira, mora ispunjavati građevinsko-fizikalne zahtjeve.</t>
  </si>
  <si>
    <t>Pri odabiru ispune (brtvenog materijal) potrebno je pridržavati se zahtjeva o izolacijskoj zaštiti, zaštiti od vlage, zaštiti od kiše, protupožarnoj zaštiti i dilatacijama. Ukoliko je brtvljenje sa građevinskom konstrukcijom izvedena elastičnim materijalima, moraju biti poštivane sve upute proizvođača. Izvedba brtve mora se obavljati samo pri za to predviđenim vremenskim uvjetima ovisno o odabiru materijala. Pri odabiru širine fuge potrebno je pridržavati se dopuštenih ekstremnih deformacija brtvenog materijala.</t>
  </si>
  <si>
    <t>IZOLACIJSKI MATERIJALI</t>
  </si>
  <si>
    <t>Dozvoljena je upotreba samo negorivih izolacijskih materijala, koji su otporni na vremenske uvjete, temperaturne oscilacije, vlagu i plijesan. Za učinkovitu zaštitu mora biti spriječen prodor vlage u izolaciju.</t>
  </si>
  <si>
    <t>Prostor između slijepih okvira i građevinske konstrukcije mora biti zapunjen izolacijskim materijalima, koji su otporni na habanje.</t>
  </si>
  <si>
    <t>Na spojevima sa ab konstrukcijom, bez obzira na tip montaže, obavezno ugraditi vodonopropusnu foliju (proizvođač WURTH). Izbor vodonepropusne i paronepropusne folije vrši se prema elementima proračuna građevinske fizike, prema uputama proizvođača i vremenskim uvjetima ugradnje. Izbor vodonepropusne i paronepropusne folije vrši se prema elementima proračuna građevinske fizike, prema uputama proizvođača i vremenskim uvjetima ugradnje.</t>
  </si>
  <si>
    <t>S unutarnje strana fasade potrebno je na mjestima  priključaka osigurati paronepropusnost te sa vanjske strane vodonepropusnost. Posebno treba obratiti pažnju na područje u nivou prizemlja na način da Izvoditelj nadzornom inženjeru dostavi potvrdu proizvođača o izdržljivosti folije,a sve prije ugradnje. Na području pragova potrebno je postaviti pocinčanu traku preko folije, koja omogućuje rad,da ne bi došlo do pucanja pri temperaturnim promjenama.</t>
  </si>
  <si>
    <t>Vodonepropusne i paronepropusne folije moraju biti minimalno 100mm zalijepljene na beton, a one koje se polažu iznad glave dodatno mehanički pričvrstiti s aluminijskom trakom da bi se osigurao položaj folije i ujedno funkcija. Treba postići klasu 9A prema EN 12208.</t>
  </si>
  <si>
    <t>Pri oblikovanju cijene mora se poštovati projektiranje i predaja izvedbenih detalja u dvije kopije. Izvoditelj je obvezan predati projektantu uzorke aluminijskih profila na uvid i odobrenje.</t>
  </si>
  <si>
    <t>Ovjere arhitekta (naručitelja) se odnose samo na usklađenost svih elemenata sa predloženim arhitektonskim zahtjevima. Odgovornost za tehničku pravilnost, čvrstoću, brtve itd. pak nakon odobrenja izvedbenih detalja, u cjelosti preuzima izvođač radova.</t>
  </si>
  <si>
    <t>Kod posebnih konstrukcija moguće je odobrenje proizvodnje (ako je zahtijevano) samo nakon što su izvršena propisana testiranja i po priloženom dokazu o kvaliteti materijala.</t>
  </si>
  <si>
    <t>Rezanje aluminijskih profila mora biti izvedeno tako da je zadovljena točnost kutova nakon sastavljanja. Pri strojnoj obradi, moraju se pažljivo pobrusiti rubovi narezanih profila. Profile, kod kojih dođe do deformacija uslijed unutarnjih naprezanja, nije dozvoljeno upotrebljavati pri izradi elemenata.</t>
  </si>
  <si>
    <t>- točnost mjera pri ugradnji i precizno lijepljenje brtvi, uglova brtvi i spojnih brtvi</t>
  </si>
  <si>
    <t>- profili se spajaju u konstruktivne cjeline spojnim sredstvima koja moraju odgovarati važećim standardima, moraju biti pravilno dimenzionirana i ugrađena te dodatnim lijepljenjem dvokomponentnim ljepilom za metal. Spojna sredstva izrađena su do aluminijskih legura, nehrđajućeg čelika i tvrde plastike.</t>
  </si>
  <si>
    <t>- brtvljenje profila, kao i utori predviđeni za postavljanje brtve unutar profila; brtvljenja moraju odgovarati propisima HRN-DIN 4102, dio 9.</t>
  </si>
  <si>
    <t>- upotrijebiti profile kod kojih je unutrašnji i vanjski dio profila spojen brtvama i umecima od sintetičkog materijala, tako da brtve obrazuju, za zrak i vodu, nepropusne izolacijske komore koje prekidaju termički tok kroz profil (profil s prekidom termičkog mosta). U profil moraju biti ugrađene trajno elastične sintetičke brtve koje onemogućavaju prodor vode i zraka na spoju fiksnih i pokretnih djelovakonstrukcije.Na uglovima konstrukcije ove brtve moraju imati vulkanizirane uglove, a ravni dijelovi brtve moraju biti zalijepljeni na kutne brtve.  Brtve istih karakteristika ugrađuju se i na vanjskom i na unutarnjem spoju ostakljenja s osnovnom konstrukcijom profila.</t>
  </si>
  <si>
    <t>- kvalitetni sistemski originalni okovi moraju biti montirani prema uputi proizvođača okova odnosno profilacije. Potrebno je osigurati nesmetan rad okova, čime se omogućava redovito podmazivanje nesmetan rad okova. Radi lakšeg održavanja i zamjene okova profili moraju imati euro-žlijeb.</t>
  </si>
  <si>
    <t>PROFILI</t>
  </si>
  <si>
    <t>Raspored, dimenzije prozora te način otvaranja vidljiv je iz arhitektonskih nacrta i shema.</t>
  </si>
  <si>
    <t>Profili moraju biti ekstrudirani iz primarne aluminijske legure AW 6060 prema EN 573-3, pogodne za eloksažu i plastifikaciju prema EN 755-2, dimenzionirani prema statičkom proračunu, a dimenzionalne tolerancije moraju odgovarati standardima prema EN 12020-2. Svi materijali, okov i pribor moraju biti izvorni i sastavni dio sustava, izrađeni bez štetnih tvari, otporni na atmosfersku koroziju (udio legirnih elemenata Zn ≤ 0.15%, Cu ≤ 0.02%, Pb ≤ 0.022%, Si: 0.30 – 0.55%, Fe: 0.10 – 0.30%, Mg: 0.35 – 0.60%, Mn ≤ 0.10%,  Cr ≤ 0.05%, Ti ≤ 0.10%, drugi elementi pojedinačno ≤ 0.05%, ukupno ≤ 0.15%), te moraju imati karakteristike koje osiguraju mehaničku čvrstoću, stabilnost i funkcionalnost za uvjete korištenja kojem su namijenjeni.</t>
  </si>
  <si>
    <t>Završna obrada profila plastificiranjem prema izboru naručitelja iz RAL-karte.</t>
  </si>
  <si>
    <t>OKOV</t>
  </si>
  <si>
    <t>Okov mora odgovarati važećim propisima i zahtjevima iz opisa stavke, odnosno po mogućnosti iz sistemske palete preoizvođača profila. Okov je jednoručni i ugrađen je u profile tako da su vidljive samo šarke, kvake, ventus mehanizmi otklopnog otvaranja i rozete za pokrivanje brava. U svim slučajevima ugradnje pokušati izbjeći ugradnju ventus mehanizma sa kurblom, bila ona izvedena od aluminija, sistema sajli ili tekstilnih PF niti. Tip kvaka i rozeta prema izboru (nije dopustiv plastični okov) naručitelja. Za prihvat vratnih krila na konstrukciju koriste se minimalno tri petlje za okov po krilu.   Radi lakšeg održavanja i zamjene okova profili moraju imati euro-žlijeb.</t>
  </si>
  <si>
    <t>Okov za otvarajuća ostakljena polja treba postaviti bez mehaničke obrade da bi se omogućilo serviserima brzo podešavanje. Mehanizam za otklopno-zaokretno otvaranje mora izdržati opterećenje od najmanje 130kg, te biti opremljen sigurnosnim sustavom protiv podizanja krila i protiv djelovanja vjetra, kako bi se spriječilo samozatvaranja krila u depresiji. Sustav mora također spriječiti otvaranja krila preko 90º. Panti trebaju biti izrađene od ekstrudiranog aluminija (lijevani nisu dopušteni), osovine i vijci moraju biti od nehrđajućeg čelika, a ležišta od sintetskog materijala ojačanog protiv trenja. Otklopno otvarajuća krila moraju biti opremljena mehanizmom ( škare ) od nehrđajućeg čelika koji omogućuje otvaranja između 20º i 45º stupnjeva, te moraju izdržati težinu do najmanje 180 kg.</t>
  </si>
  <si>
    <t>U svim dijelovima fasade, u kontaktu sa ostakljenim površinama ili drugim vrstama ispune, te na spojevima između vertikalnih i horizontalnih dijelove fasadne konstrukcije, moraju biti postavljene perimetralne brtve od etilen-propilen elastomer (EPDM) sukladno TV 110, s lijepljenim ili vulkaniziranim spojevima na uglovima. Brtve moraju odgovarati standardima prema EN 12635-x.</t>
  </si>
  <si>
    <t>Računski dokazi moraju biti provjereni od strane ovlaštenog inženjera za visoke gradnje ili graditeljstvo.</t>
  </si>
  <si>
    <t>ZAVRŠNO ČIŠĆENJE ELEMENATA</t>
  </si>
  <si>
    <t>Na zahtjev voditelja gradnje svaki izvođač dužan je prije preuzimanja objekta očistiti elemente svojih radova izvana i iznutra. Potrebno je držati se pismenih uputa "Operation, care and maintenance manual", izdanje Reynaers Aluminium.</t>
  </si>
  <si>
    <t>Pravilnik o tehničkim mjerama i uvjetima za završne radove u građevinarstvu</t>
  </si>
  <si>
    <t>Pravilnik o zaštiti na radu u građevinarstvu</t>
  </si>
  <si>
    <t>Tehnički uvjeti za izvođenje staklorezačkih radova</t>
  </si>
  <si>
    <t>HRN  B.E1.011 ravno staklo vučeno</t>
  </si>
  <si>
    <t>HRN B.E3.701 sigurnosno staklo</t>
  </si>
  <si>
    <t>HRN U.F2.025 Tehnički uvjeti za izvođenje staklorezačkih radova</t>
  </si>
  <si>
    <t>DIN 18056 ugrađivanje stakla u fasadne elemente</t>
  </si>
  <si>
    <t>Kompletno staklo koje se ugrađuje u aluminijske ili željezne elemente mora odgovarati važećim standardima, tehničkim propisima i statici.</t>
  </si>
  <si>
    <t>Ostakljenje se provodi zasebno za prozorske, odnosno vratne stavke, staklom:</t>
  </si>
  <si>
    <t>ISPUNE:</t>
  </si>
  <si>
    <t>Staklo sukladno građevinskoj fizici, Tehničkom propisu o racionalnoj uporabi energije i toplinskoj zaštiti u zgradama i Tehničkom propisu za staklene konstrukcije. Statičku stabilnost dokazuje izvođač</t>
  </si>
  <si>
    <t>Toplinski izolirani panel koji se sastoji od dvije ploče aluminijskog lima debljine 2 mm, površinski obrađene prema izboru projektanta, između kojih se nalazi toplinska izolacija.</t>
  </si>
  <si>
    <t>Na sanitarijama stakla su u neprozirnoj izvedbi (satinirano, miliječno, ornament) prema odabiru projektanta.</t>
  </si>
  <si>
    <t>Boja i refleksija stakla prema odabiru naručitelja.</t>
  </si>
  <si>
    <t>Izvoditelj radova dokazuje da debljine i sastav stakla odgovaraju dimenzijama otvora i očekivanom opterećenju.</t>
  </si>
  <si>
    <t>Staklo mora biti postavljeno na plastične podmetače koji moraju osigurati nosivost staklenih ploča i moraju biti njima prikladne, po dimenzijama, udaljenosti i broju komada. Brtvljenja oko staklenih ploča (i iznutra i izvana) moraju biti izvedena s odgovarajućim (EPDM) brtvama.</t>
  </si>
  <si>
    <t>Obračun izvedenih radova vrši se prema važećim HRN normama.</t>
  </si>
  <si>
    <t>OSTALA OPREMA</t>
  </si>
  <si>
    <t>Jediničnim cijenama također obuhvatiti i svu prateću završnu opremu, koja mora biti usklađena sa programom opreme proizvođača profila, ukoliko unutar troškovničkih stavaka nije specificirano drugačije.</t>
  </si>
  <si>
    <t>Pod pojmom dodatne opreme obuhvaćen je protuprovalni okov vanjskih roleti, sjenila za zaštitu od direktnog udara sunčane svjetlosti (screen), termički izolirana kutija za rolete, dodatne vodilice i prostor za komarnik (mrežu protiv ulaska insekata i komaraca), odnosno priprema za elektropogon i daljinsku kontrolu podizanja i spuštanja roleti, kao i zidni i podni stoperi za stavke, na svim mjestima definiranim projektom.</t>
  </si>
  <si>
    <t>Ukoliko je stavkom izričito deklariran tip dodatne opreme ili ukoliko se pojedini od elemenata ne izvodi (primjerice elektro pogon za rolete, daljinsko upravljanje istog, zaštita od sunca i sl.) isto mora biti specificirano unutar opisa same stavke. U protivnom se davanjem ponude izvoditelj obvezuje izvesti sve elemente, kako je definirano općim uvjetima za ovu grupu radova.</t>
  </si>
  <si>
    <t>JEDINIČNA CIJENA ELEMENATA I OPREME</t>
  </si>
  <si>
    <t>Jediničnim cijenom svih aluminijskih stavaka moraju biti obuhvaćeni sljedeći elementi:</t>
  </si>
  <si>
    <t>- sav materijal, sav vanjski i unutrašnji transport do mjesta ugradbe, sav potreban okov (petlje, brave s ključem, zaustavnici, odbojnici, rubne letvice), kao i dobavu, izradu i dopremu alata i mehanizacije, kao i njeno uskladištenje</t>
  </si>
  <si>
    <t>- uzimanje potrebnih izmjera na objektu,</t>
  </si>
  <si>
    <t>- izrada radioničkih nacrta i detalja,</t>
  </si>
  <si>
    <t>- troškove radne snage za kompletan rad opisan u troškovniku i općim uvjetima,</t>
  </si>
  <si>
    <t>- sve horizontalne i vertikalne transporte do mjesta montaže,</t>
  </si>
  <si>
    <t>- potrebnu radnu skelu,</t>
  </si>
  <si>
    <t>- čišćenje nakon završetka radova,uključivo odvoz otpadnog materijala na gradsku deponiju,uključivo i plaćanje svih pratećih naknada i pristojbi</t>
  </si>
  <si>
    <t>- troškove zaštite na radu,</t>
  </si>
  <si>
    <t>- troškove atesta i po potrebi specijalnih ispitivanja na buku i zrakopropusnost, ukoliko se radi o sistemima dvostrukih fasada</t>
  </si>
  <si>
    <t>Izvođač je dužan izraditi radioničku dokumentaciju i istu dostaviti projektantu na ovjeru.</t>
  </si>
  <si>
    <t>U cijenama stavke uračunat je okov, sav rad, materijal, transport.</t>
  </si>
  <si>
    <t>Vanjske reške vanjske bravarije zapuniti trajnoelastičnim kitom otpornim na atmosferilije u boji po izboru investitora. ČE-profili u tonu i boji po izboru investitora.</t>
  </si>
  <si>
    <t>Bravarski radovi moraju se izvesti solidno i stručno prema važećim propisima i pravilima dobrog zanata.</t>
  </si>
  <si>
    <t>Izrada, doprema i ugradnja aluminijske bravarije sukladno općim uvjetima i uvodnim napomenama, plastificirano u boji prema izboru naručitelja iz RAL-karte, sve u skladu sa Tehničkim propisom za prozore i vrata NN 69/06.</t>
  </si>
  <si>
    <t>Zaštita od buke za sve ponuđene stavke bravarije sukladno Zakonu o zaštiti od buke te izmjenama i dopunama Zakona o zaštiti od buke.
Dostava izvješća o ispitivanjima za ponuđene elemente.
Statika elemenata - Otpornost na vjetar i udare kiše u skladu s pravilima struke i vjetrovnim zonama-  dostaviti proračun, sve uključeno u cijenu stolarije.</t>
  </si>
  <si>
    <t>Okov –komplet, zatvornici na sve četiri strane (kao Siegenia, Fapim, Sobinco ili Hautau) – kod ponude naglasiti koji tip okova je uključen.
Otklopno-klizne stijene u skladu s statičkim proračunom i uputama proizvođača profila-obavezna upotreba profila za klizne stijene.</t>
  </si>
  <si>
    <t>Spoj stolarije na parapet sa podštokom – uključeno u cijenu bravarije.</t>
  </si>
  <si>
    <t>STAVKE</t>
  </si>
  <si>
    <t>Uključuju toplinsku i zvučnu izolaciju, metalne potkonstrukcije, plastificirane opšave i materijal za RAL-ugradnju uključivo i potkonstrukcije između aluminijskih stijena i armirano betonske konstrukcije objekta odnosno susjednih stavaka te vanjske i unutarnje prozorske klupčice od plastificiranog aluminijskog lima. Izvođač radova odgovara za pravilno dimenzioniranje potkonstrukcija.</t>
  </si>
  <si>
    <t>Stvarne dimenzije otvora provjerava izvođač radova na objektu i sukladno tome dimenzionira stavke aluminijske bravarije i potkonstrukciju.</t>
  </si>
  <si>
    <t>OBJEKT: SVI APARTMANI</t>
  </si>
  <si>
    <t>Opća napomena: Ova procjena troškova je procjena troškova projektanta interijera na temelju glavnog projekta. Procjena nije obvezujuća. Sve cijene iskazane su bez PDV-a.</t>
  </si>
  <si>
    <t>REKAPITULACIJA SVIH APARTMANA</t>
  </si>
  <si>
    <t>Količina:</t>
  </si>
  <si>
    <t>1.</t>
  </si>
  <si>
    <t>NAMJEŠTAJ I OPREMA</t>
  </si>
  <si>
    <t>Broj stavke</t>
  </si>
  <si>
    <t>Opis</t>
  </si>
  <si>
    <t>Jedinična mjera</t>
  </si>
  <si>
    <t>Količina ukupno</t>
  </si>
  <si>
    <t>Dobava i dostava materijala</t>
  </si>
  <si>
    <t>Ugradnja i rad</t>
  </si>
  <si>
    <t>Jedinična cijena [€]</t>
  </si>
  <si>
    <t>UKUPNO [€]</t>
  </si>
  <si>
    <t>TIP B</t>
  </si>
  <si>
    <t>RB-A-1</t>
  </si>
  <si>
    <t>RB-A-2</t>
  </si>
  <si>
    <t>RB-B-1</t>
  </si>
  <si>
    <t>RB-B-2</t>
  </si>
  <si>
    <t>RB-C</t>
  </si>
  <si>
    <t>RB-D-1</t>
  </si>
  <si>
    <t>RB-D-2</t>
  </si>
  <si>
    <t>RB-E</t>
  </si>
  <si>
    <t>RB-F</t>
  </si>
  <si>
    <t>hodnici / jedinstveno za zgradu</t>
  </si>
  <si>
    <t>ovojnica</t>
  </si>
  <si>
    <t>A</t>
  </si>
  <si>
    <t>OBRTNIČKI RADOVI</t>
  </si>
  <si>
    <t>C4.2</t>
  </si>
  <si>
    <t>ZVUČNA IZOLACIJA - EPS PROTIV TOPOTA</t>
  </si>
  <si>
    <t>Dobava i ugradnja zvučno izolacijske membrane od ekstrudiranog polietliena kao ETHAFOAM 222-E u dva sloja sa ljepljenjem spojeva ukupne debljine do 20mm. Obračun po m2 stvarno izvedene tlocrtne projekcije membrane sve do pune gotovosti i funkcionalnosti.</t>
  </si>
  <si>
    <t>Obračun po m2 do kompletnog završetka.</t>
  </si>
  <si>
    <t>m2</t>
  </si>
  <si>
    <t>C4.3</t>
  </si>
  <si>
    <t>CEMENTNI ESTRIH</t>
  </si>
  <si>
    <t xml:space="preserve">Dobava i ugradnja potrebnog materijala za izvedbu plivajućeg cementnog estriha armiranog PP vlaknima, klase C25/30, vlačne čvrstoće veće od 5 N/mm2. Ukoliko su podne plohe veće od 30 m2, te ovisno o tipu estriha (tekući, armirani, suhomontažni..), a prema uputi proizvođača potrebno je izvesti dilatacije. Napomena: Svi slojevi i karakteristike materijala moraju biti usklađeni sa elaboratom građevinske fizike. Jediničnom cijenom obuhvatiti čišćenje površine, izradu cementnog estriha zaribanog do crnog sjaja sa ravnošću gornje površine od +/- 2 mm/3,00 m, rubnu traku Ethafoam 222-E uz zidove, izradu kompletnih dilatacija, te održavanje cementnog estriha. Cementni estrih izvesti u padu (po potrebi u kuapnicama) i ravno što će se kontrolirati odgovarajućom letvom. Ispitivanjem dokazati potrebnu tlačnu i vlačnu čvrstoću. </t>
  </si>
  <si>
    <t>Estrih debljine 5cm</t>
  </si>
  <si>
    <t>Estrih debljine 6cm</t>
  </si>
  <si>
    <t>Estrih debljine 6,5cm</t>
  </si>
  <si>
    <t>Cementni estrih ukupno za 1 zgradu:</t>
  </si>
  <si>
    <t>REKAPITULACIJA</t>
  </si>
  <si>
    <t>Cementni estrih ukupno za 5 zgrada tipa B:</t>
  </si>
  <si>
    <t>TIP C</t>
  </si>
  <si>
    <t>RC-A-1</t>
  </si>
  <si>
    <t xml:space="preserve">RC-A-2 </t>
  </si>
  <si>
    <t xml:space="preserve">RC-B </t>
  </si>
  <si>
    <t xml:space="preserve">RC-C </t>
  </si>
  <si>
    <t>RC-D</t>
  </si>
  <si>
    <t>Dobava i ugradnja zvučno izolacijske membrane od ekstrudiranog polietliena kao ETHAFOAM 222-E u dva sloja sa ljepljenjem spojeva ukupne debljine do 30mm. Obračun po m2 stvarno izvedene tlocrtne projekcije membrane sve do pune gotovosti i funkcionalnosti.</t>
  </si>
  <si>
    <t>IZOLACIJA PRIZEMLJA - XPS</t>
  </si>
  <si>
    <t>Dobava i ugradnja tvrdih ploča od ekstrudiranog polistirena u prizemlju ukupne debljine do 50mm. Polistiren se postavlja na cijeli dio niže etaže prizemlja te na ostatak prizemlja samo u dijelu uklanjanja kamena. Obračun po m2 stvarno izvedene tlocrtne projekcije membrane sve do pune gotovosti i funkcionalnosti.</t>
  </si>
  <si>
    <t>C4.4</t>
  </si>
  <si>
    <t xml:space="preserve">Dobava i ugradnja potrebnog materijala za izvedbu plivajućeg cementnog estriha armiranog PP vlaknima, klase C25/30, vlačne čvrstoće veće od 5 N/mm2. Ukoliko su podne plohe veće od 30 m2, te ovisno o tipu estriha (tekući, armirani, suhomontažni..), a prema uputi proizvođača potrebno je izvesti dilatacije. Jediničnom cijenom obuhvatiti čišćenje površine, izradu cementnog estriha zaribanog do crnog sjaja sa ravnošću gornje površine od +/- 2 mm/3,00 m, rubnu traku Ethafoam 222-E uz zidove, izradu kompletnih dilatacija, te održavanje cementnog estriha. Cementni estrih izvesti u padu (po potrebi u kuapnicama) i ravno što će se kontrolirati odgovarajućom letvom. Ispitivanjem dokazati potrebnu tlačnu i vlačnu čvrstoću. </t>
  </si>
  <si>
    <t>a) debljina estriha 5 cm (ispod kamena)</t>
  </si>
  <si>
    <t>b) debljina estriha 6 cm (ispod keramičkih pločica)</t>
  </si>
  <si>
    <t>c) debljina estriha 6,5 cm (ispod LVT)</t>
  </si>
  <si>
    <t>Cementni estrih ukupno za 6 zgrada tipa C:</t>
  </si>
  <si>
    <t>SVEUKUPNO B + C:</t>
  </si>
  <si>
    <t>HIDROIZOLACIJE</t>
  </si>
  <si>
    <t>C4.1</t>
  </si>
  <si>
    <t>HIDROIZOLACIJA NA PODU</t>
  </si>
  <si>
    <t>Dobava, dostava i ugradnja elastomerne polimer-bitumenske hidroizolacijske trake, tip kao Sika Shield E53s 4mm. U stavku uključena i dostava i ugradnja temeljnog premaza, tip kao Sika Igolflex P01.
Stavka uključuje ugradnju rubnog brtvila na spojevima pod-zida kao SikaSwell S2. Brtvilo se ugrađuje u pripremljenu rešku. Nakon ugradnje brtvila, reška se zapunjava s dvokomponentim epoksidnim mortom u debljini od min. 20mm kao Sikadur 31 CF Normal.
Ugradnja prema uputi proizvođača.</t>
  </si>
  <si>
    <t>Obračun po m' do kompletnog završetka.</t>
  </si>
  <si>
    <t>m'</t>
  </si>
  <si>
    <t>D</t>
  </si>
  <si>
    <t>Izolaterski radovi</t>
  </si>
  <si>
    <t>D1</t>
  </si>
  <si>
    <t>HIDROIZOLACIJA PODNOŽJA VANJSKIH ZIDOVA</t>
  </si>
  <si>
    <t>Dobava, dostava i montaža hidroizolacijskoh sloja od elastomerne polimer-bitumenske hidroizolacijske trake, tip kao Sika Shield E53s 4mm. U stavku uključena i dostava i ugradnja temeljnog premaza, tip kao Sika Igolflex P01.</t>
  </si>
  <si>
    <t>HI se postavlja na očišćenu i ravnu vertikalnu podlogu te se potreže od temeljne ploče preko zida do visine minimalno 40 cm iznad linije gotovog tla.</t>
  </si>
  <si>
    <t>Hidroizolaciju potrebno potaviti po uputama proizvođača.</t>
  </si>
  <si>
    <t>D2.1</t>
  </si>
  <si>
    <t>HIDROIZOLACIJA PODOVA TERASA</t>
  </si>
  <si>
    <t>Dobava, dostava i ugradnja elastomerne polimer-bitumenske hidroizolacijske trake, tip kao Sika Shield E53s 4mm. U stavku uključena i dostava i ugradnja temeljnog premaza, tip kao Sika Igolflex P01.
Stavkom obuhvačeno i nanošenje Sika Igolflex 310 na mjestima ugradnje staklenih stijena, razvijene širine 36cm.
Ugradnja prema uputi proizvođača.</t>
  </si>
  <si>
    <t>Stavkom obuhvaćeni svi prihvatni i opšavni limovi koji su izvedeni od nearmirane folije i limenih profila s prihvatnim slojem za varenje hidroizolacije.</t>
  </si>
  <si>
    <t>D2.2</t>
  </si>
  <si>
    <t>Dobava, dostava i ugradnja polimercementne hidroizolacije koja se postavlja na prethodno pripremljenu, zaravnatu, glatku i očišćenu podlogu od prašine, krhotina i masnoće.
Izvedbu vršiti polimercementnom izolacijom, tip kao: Sikalastic 152 ili jednakovrijedno. 
Ugradnja prema uputi proizvođača.
Sve prema detaljnom nacrtu.</t>
  </si>
  <si>
    <t>D3</t>
  </si>
  <si>
    <t>HIDROIZOLACIJA MOKRIH ČVOROVA</t>
  </si>
  <si>
    <t>Dobava, doprema i izvedba hidroizolacije podova mokrih prostora polimercementnom hidroizolacijom u dva sloja.
Hidroizolacija postavlja se na prethodno pripremljenu, zaravnatu, glatku, očišćenu podlogu od prašine, krhotina i masnoće.</t>
  </si>
  <si>
    <t>Izvedbu vršiti dvokomponentnim elastičnim polimercementnim hidroizlacijskim premazom (kao Mapelastic 150, proizvod Mapei ili jednako vrijedno).</t>
  </si>
  <si>
    <t>Izvodi se u dva sloja debljine do 2mm s ugradnjom Mapenet mrežice (ili jednakovrijedno) između slojeva. Kompletna izvedba prema uputama proizvođača.</t>
  </si>
  <si>
    <t>Hidroizolaciju uzdignuti min. 20-30 cm na vertikalu (uključeno u cijenu).</t>
  </si>
  <si>
    <t xml:space="preserve">Stavkom je također obuhvaćena i ugradnja i ojačanja u obliku gumiranih poliesterskih traka s alkalno otpornim filcem  Mapeband (ili jednakovrijedno)  po uglovima, kutnim elementima, na mjestima dilatacijskih fuga, spojeva između vodoravnih  i okomitih površina, odvoda te ostalim  kritičnim detaljima. 
</t>
  </si>
  <si>
    <t>D3.1</t>
  </si>
  <si>
    <t>Podovi kupaonica</t>
  </si>
  <si>
    <t>D4</t>
  </si>
  <si>
    <t>Dobava, doprema materijala i izvedba hidroizolacije zidova kupaonice sa dva premaza HI Mapelastic aquadefence (ili jednakovrijedno), prije polaganja keramike u zonama kada i tuševa vertikalno do 240-250 cm visine. Na spojeve zida i zida ugraditi Mapeband PE 120 (ili jednakovrijedno), vodonepropusnu elastičnu brtvenu traku od PVC-a s poliesterskom mrežicom, za brtvljenje spojeva različitih ploha, prodora i dilatacija, u sustavima hidroizolacija na bazi sintetičkih smola. Spojevi poda i zida obuhvaćeni su u prethodnoj stavci podne izolacije (vidi B2.1.). Međusobno spajanje Mapeband traka izvesti kontaktnim ljepilom Adesilex LP. Prije nanošenja potpuno odstraniti sve nevezane dijelove na tretiranim površinama kao i sve dijelove sa slabim mehaničkim karakteristikama. Hidroizolacija se nanosi na pripremljenu podlog sa sintetičkim premazom kao ECOprim Grip. Minimalna potrošnja 0,8-1,0 kg/m2 za dva sloja. U jedininu cijenu uključen primer premaz, ravnanje površine, brtvene trake, hidroizolacija.</t>
  </si>
  <si>
    <t>D4.1</t>
  </si>
  <si>
    <t>Zidovi kupaonica</t>
  </si>
  <si>
    <t>D5</t>
  </si>
  <si>
    <t>HIDROIZOLACIJA NOVIH PRODORA KANALIZACIJE</t>
  </si>
  <si>
    <t>Obrada novih prodora kanalizacije u ploči sa specijalnom samoljepljivom hidroizolacijskom trakom kao SikaShiled W-172 te se prihvat na PVC kanalizacijsku cijev izvodi sa manžetom izvedenom na gradilištu, koristeći istovrsnu hidroizolacijsku traku kao SikaShiled W-172 i dodatno zatezanje sa obujmicom od nehrđajućeg čelika. Radove izvesti prema uputama proizvođača materijala.</t>
  </si>
  <si>
    <t>Obračun po komadu.</t>
  </si>
  <si>
    <t>Prodori kroz ploču</t>
  </si>
  <si>
    <t>kom</t>
  </si>
  <si>
    <t>Hidroizolacija ukupno za 1 zgradu:</t>
  </si>
  <si>
    <t>Hidroizolacija ukupno za 5 zgrada tipa B:</t>
  </si>
  <si>
    <t>Dobava, doprema i izvedba hidroizolacije podova mokrih prostora polimercementnom  hidroizolacijom u dva sloja.
Hidroizolacija postavlja se na prethodno pripremljenu, zaravnatu, glatku, očišćenu podlogu od prašine, krhotina i masnoće.</t>
  </si>
  <si>
    <t>Izvedbu vršiti dvokomponentnim elastičnim polimercementnim hidroizlacijskim premazom (kao Mapelastic 150,proizvod Mapei ili jednako vrijedno).</t>
  </si>
  <si>
    <t>Hidroizolacija ukupno za 6 zgrada tipa C:</t>
  </si>
  <si>
    <t>E</t>
  </si>
  <si>
    <t>GK radovi</t>
  </si>
  <si>
    <t>E1</t>
  </si>
  <si>
    <t>SPUŠTENI STROP (suhi prostori)</t>
  </si>
  <si>
    <t>Dobava, isporuka materijala i montaža spuštenog stropa tipa kao Knauf D112 s jednostrukom oblogom debljine 1×12,5 mm, tipa A13 zajedno s novom potkonstrukcijom CD 60/27.
Potrebno je predvidjeti otvor za ugradnju revizje u stropu.</t>
  </si>
  <si>
    <t>Obračun postavljenog prvog sloja spuštenog stropa po m2 do kompletnog završetka.</t>
  </si>
  <si>
    <t>Visina spuštenog stropa cca 257-390 cm</t>
  </si>
  <si>
    <t>E2</t>
  </si>
  <si>
    <t>SPUŠTENI STROP (mokri prostori)</t>
  </si>
  <si>
    <t>Dobava, isporuka materijala i montaža spuštenog stropa tipa kao Knauf D112 s jednostrukom oblogom debljine 1×12,5 mm,tipa H2 13 zajedno s novom potkonstrukcijom CD 60/27.
Potrebno je predvidjeti otvor za ugradnju revizje u stropu.</t>
  </si>
  <si>
    <t>E2.1</t>
  </si>
  <si>
    <t>Visina spuštenog stropa cca 257 cm</t>
  </si>
  <si>
    <t>E3</t>
  </si>
  <si>
    <t>PREGRADNI ZID (između suhih prostora - PZ1)</t>
  </si>
  <si>
    <t>Dobava i montaža nenosive pregrade tipa Knauf W112 s obostrano dvostrukom oblogom Knauf gipskartonskih ploča (A 13) i ispunom iz kamene vune KI TW, debljine 1×50 mm.
Visina pregrade do 450 cm. Izrada potkonstrukcije iz Knauf tipskih profila CW/UW 75 od pocinčanog lima debljine 0,6 mm. Spoj obodne konstrukcije sa Knauf profilima se izvodi sa brtvenim kitom. Međusobni razmaci okomitih profila 62,5 cm. Izrada prema smjernicama i uputama proizvođača. Kvaliteta završne obrade spojeva i površine prvog sloja prema kvaliteti Q1, a kvaliteta završne obrade drugog sloja prema kvaliteti obrade površine Q2.</t>
  </si>
  <si>
    <t>Obračun po m2 izvedenog zida.</t>
  </si>
  <si>
    <t>E3.1</t>
  </si>
  <si>
    <t>Pregrada debljine 12,5 cm</t>
  </si>
  <si>
    <t>E4</t>
  </si>
  <si>
    <t>PREGRADNI ZID (između suhih i mokrih prostora - PZ2)</t>
  </si>
  <si>
    <t>Dobava i montaža nenosive pregrade tipa Knauf W112 s obostrano dvostrukom oblogom Knauf gipskartonskih ploča (A 13 i H2 13) i ispunom iz kamene vune KI TW, debljine 1×50 mm.
Visina pregrade do 450 cm. Izrada potkonstrukcije iz Knauf tipskih profila CW/UW 75 od pocinčanog lima debljine 0,6 mm. Spoj obodne konstrukcije sa Knauf profilima se izvodi sa brtvenim kitom. Međusobni razmaci okomitih profila 62,5 cm. Izrada prema smjernicama i uputama proizvođača. Kvaliteta završne obrade spojeva i površine prvog sloja prema kvaliteti Q1, a kvaliteta završne obrade drugog sloja prema kvaliteti obrade površine Q2.</t>
  </si>
  <si>
    <t>E4.1</t>
  </si>
  <si>
    <t>E5</t>
  </si>
  <si>
    <t>PREGRADNI ZID (između mokrih prostora - PZ3)</t>
  </si>
  <si>
    <t>Dobava i montaža nenosive pregrade tipa Knauf W113 s obostrano dvostrukom oblogom Knauf gipskartonskih ploča (H2) i ispunom iz kamene vune KI TW, debljine 1×50 mm.
Visina pregrade do 450 cm. Izrada potkonstrukcije iz Knauf tipskih profila CW/UW 75 od pocinčanog lima debljine 0,6 mm. Spoj obodne konstrukcije sa Knauf profilima se izvodi sa brtvenim kitom. Međusobni razmaci okomitih profila 62,5 cm. Izrada prema smjernicama i uputama proizvođača. Kvaliteta završne obrade spojeva i površine prvog sloja prema kvaliteti Q1, a kvaliteta završne obrade drugog sloja prema kvaliteti obrade površine Q2.</t>
  </si>
  <si>
    <t>E5.1</t>
  </si>
  <si>
    <t>E12</t>
  </si>
  <si>
    <t>PREGRADNI ZID (između suhih prostora - PZ4)</t>
  </si>
  <si>
    <t>Dobava i montaža nenosive pregrade tipa Knauf W112 s obostrano dvostrukom oblogom Knauf gipskartonskih ploča (A 13) i ispunom iz kamene vune KI TW, debljine 1×50 mm.
Visina pregrade do 450 cm. Izrada potkonstrukcije iz Knauf tipskih profila CW/UW 50 od pocinčanog lima debljine 0,6 mm. Spoj obodne konstrukcije sa Knauf profilima se izvodi sa brtvenim kitom. Međusobni razmaci okomitih profila 62,5 cm. Izrada prema smjernicama i uputama proizvođača. Kvaliteta završne obrade spojeva i površine prvog sloja prema kvaliteti Q1, a kvaliteta završne obrade drugog sloja prema kvaliteti obrade površine Q2.</t>
  </si>
  <si>
    <t>E12.1</t>
  </si>
  <si>
    <t>Pregrada debljine 10 cm</t>
  </si>
  <si>
    <t>E6</t>
  </si>
  <si>
    <t>ZIDNA OBLOGA ZA INSTALACIJE (ZO3)</t>
  </si>
  <si>
    <t>dobava i montaža zidne obloge mokrih prostora tipa Knauf W623 s jednostrano dvostrukom oblogom iz gips-kartonskih impregniranih ploča tipa H2. Izrada potkonstrukcije iz Knauf tipskih profila CW/UW 50 od pocinčanog lima debljine 0,6 mm. Pri izradi držati se smjernica i uputa proizvođača. Izrada prema smjernicama i uputama proizvođača. Kvaliteta završne obrade spojeva i površine prvog sloja prema kvaliteti Q1, a kvaliteta završne obrade drugog sloja prema kvaliteti obrade površine Q2 za bojanje, a Q1 za pločice.</t>
  </si>
  <si>
    <t>Na mjestima gdje se postavlja umivaonik, konzolna wc školjka i sl.  predvidjeti ojačanje OSB pločama ili drugim propisnim ojačanjem.</t>
  </si>
  <si>
    <t>E7</t>
  </si>
  <si>
    <t>ZIDNA OBLOGA ZIDOVA</t>
  </si>
  <si>
    <t>dobava i montaža zidne obloge zidova tipa Knauf W623 s dvostrukom oblogom iz gips-kartonskih ploča i ispunom iz kamene vune KI TW, debljine 1×30 mm. Izrada potkonstrukcije iz Knauf tipskih profila CD/UV 50 mm od pocinčanog lima debljine 0,6 mm. Pri izradi držati se smjernica i uputa proizvođača. Izrada prema smjernicama i uputama proizvođača. Kvaliteta završne obrade spojeva i površine prvog sloja prema kvaliteti Q1, a kvaliteta završne obrade drugog sloja prema kvaliteti obrade površine Q2 za bojanje, a Q1 za pločice.</t>
  </si>
  <si>
    <t>Na mjestima gdje se postavlja ugradbeni namještaj i sl.  predvidjeti ojačanje OSB pločama ili drugim propisnim ojačanjem.</t>
  </si>
  <si>
    <t>E7.1</t>
  </si>
  <si>
    <t>Ploča tipa A13 (Z01)</t>
  </si>
  <si>
    <t>E7.2</t>
  </si>
  <si>
    <t>Ploča tipa H2 (ZO2)</t>
  </si>
  <si>
    <t>E8</t>
  </si>
  <si>
    <t>DODATNA GK PLOČA ZA POSTOJEĆI GK ZID</t>
  </si>
  <si>
    <t>Dobava i montaža zidne obloge zidova jednostrukom  oblogom iz gips-kartonskih ploča. Pri izradi držati se smjernica i uputa proizvođača. Obrada spojeva impregniranim Uniflott-om. Izrada prema smjernicama i uputama proizvođača. Kvaliteta završne obrade spojeva i površine prvog sloja prema kvaliteti Q1, a kvaliteta završne obrade drugog sloja prema kvaliteti obrade površine Q2 za bojanje, a Q1 za pločice.</t>
  </si>
  <si>
    <t>E8.1</t>
  </si>
  <si>
    <t>Ploča tipa A13</t>
  </si>
  <si>
    <t>E8.2</t>
  </si>
  <si>
    <t>Dvije ploče tipa H2</t>
  </si>
  <si>
    <t>E9</t>
  </si>
  <si>
    <t>OBRUBNE STROPNE LAJSNE</t>
  </si>
  <si>
    <t>Montaža predgotovljenih obrubnih stropnih lajsni.
Izrađen od ekstrudirani polimer otporan na udarce na bazi polistirena visoke gustoće, širine 15,5 cm, visine 3,1 cm.</t>
  </si>
  <si>
    <t>U nacrtima i specifikaciji pod šifrom: R AF 01</t>
  </si>
  <si>
    <t>Obračun po m' do potpunog završetka.</t>
  </si>
  <si>
    <t>E10</t>
  </si>
  <si>
    <t>MASKA ZA ZAVJESE OD GK PLOČA</t>
  </si>
  <si>
    <t>Dobava, dostava materijala i izrada maske za zavjese od GK ploča.
Dvostruko postavljene GK ploče (2×12,5mm) i pričvršćene metalnim L profilom za stropnu ploču. Visina: 10cm
Predvidjeti prostor za ugradnju LED rasvjete na strani gdje se postavljalju vodilice za zavjesu.</t>
  </si>
  <si>
    <t>U nacrtima i specifikaciji pod šifrom: R AF 02</t>
  </si>
  <si>
    <t>E11</t>
  </si>
  <si>
    <t>IZRADA ŠPALETA OD GK PLOČA ZA ULAZNA VRATA</t>
  </si>
  <si>
    <t>Dobava, montaža i izrada špaleta od GK ploča na poziciji ulaznih vrata u apartman. 
Izraka špaleta od novih GK ploča vrši se uslijed nastalog oštećenja prilikom demontaže postojećih ulaznih vrata u sobe. Izrada prema smjernicama i uputama proizvođača. Kvaliteta završne obrade spojeva i površine prvog sloja prema kvaliteti Q1, a kvaliteta završne obrade drugog sloja prema kvaliteti obrade površine Q2.
U stavku uračunati sav ostali potreban materijal i rad za izvršenje stavke.</t>
  </si>
  <si>
    <t>Obračun po komadu (vratima).</t>
  </si>
  <si>
    <t>E-R</t>
  </si>
  <si>
    <t>GK radovi ukupno za 5 zgrada tipa B:</t>
  </si>
  <si>
    <t>E13</t>
  </si>
  <si>
    <t>PREGRADNI ZID (između suhih i mokrih prostora - PZ5)</t>
  </si>
  <si>
    <t>Dobava i montaža nenosive pregrade tipa Knauf W112 s obostrano dvostrukom oblogom Knauf gipskartonskih ploča (A 13 i H2 13) i ispunom iz kamene vune KI TW, debljine 1×50 mm.
Visina pregrade do 450 cm. Izrada potkonstrukcije iz Knauf tipskih profila CW/UW 50 od pocinčanog lima debljine 0,6 mm. Spoj obodne konstrukcije sa Knauf profilima se izvodi sa brtvenim kitom. Međusobni razmaci okomitih profila 62,5 cm. Izrada prema smjernicama i uputama proizvođača. Kvaliteta završne obrade spojeva i površine prvog sloja prema kvaliteti Q1, a kvaliteta završne obrade drugog sloja prema kvaliteti obrade površine Q2.</t>
  </si>
  <si>
    <t>E13.1</t>
  </si>
  <si>
    <t>E14</t>
  </si>
  <si>
    <t>PREGRADNI ZID (između mokrih prostora - PZ6)</t>
  </si>
  <si>
    <t>Dobava i montaža nenosive pregrade tipa Knauf W113 s obostrano dvostrukom oblogom Knauf gipskartonskih ploča (H2) i ispunom iz kamene vune KI TW, debljine 1×50 mm.
Visina pregrade do 450 cm. Izrada potkonstrukcije iz Knauf tipskih profila CW/UW 50 od pocinčanog lima debljine 0,6 mm. Spoj obodne konstrukcije sa Knauf profilima se izvodi sa brtvenim kitom. Međusobni razmaci okomitih profila 62,5 cm. Izrada prema smjernicama i uputama proizvođača. Kvaliteta završne obrade spojeva i površine prvog sloja prema kvaliteti Q1, a kvaliteta završne obrade drugog sloja prema kvaliteti obrade površine Q2.</t>
  </si>
  <si>
    <t>E14.1</t>
  </si>
  <si>
    <t>E15</t>
  </si>
  <si>
    <t>PREGRADNI ZID (između mokrih prostora - PZ7)</t>
  </si>
  <si>
    <t>Dobava i montaža nenosive pregrade tipa Knauf W113 s obostrano jednostrukom oblogom Knauf gipskartonskih ploča (H2) i ispunom iz kamene vune KI TW, debljine 1×50 mm.
Visina pregrade do 450 cm. Izrada potkonstrukcije iz Knauf tipskih profila CW/UW 50 od pocinčanog lima debljine 0,6 mm. Spoj obodne konstrukcije sa Knauf profilima se izvodi sa brtvenim kitom. Međusobni razmaci okomitih profila 62,5 cm. Izrada prema smjernicama i uputama proizvođača. Kvaliteta završne obrade spojeva i površine prvog sloja prema kvaliteti Q1, a kvaliteta završne obrade drugog sloja prema kvaliteti obrade površine Q2.</t>
  </si>
  <si>
    <t>E15.1</t>
  </si>
  <si>
    <t>Pregrada debljine 7,5 cm</t>
  </si>
  <si>
    <t>GK radovi ukupno za 6 zgrada tipa C:</t>
  </si>
  <si>
    <t>A0.2.</t>
  </si>
  <si>
    <t>FASADNA SKELA</t>
  </si>
  <si>
    <t>Doprema, postava, skidanje i otprema cijevne fasadne skele od bešavnih cijevi, uz pročelje apartmana.
Skelu izvesti prema postojećim HTZ propisima i u svemu kako je opisano u općim uvjetima. U jediničnu cijenu uključiti zaštitni zastor od jutenih ili plastičnih traka, koje se postavljaju s vanjske strane skele po cijeloj površini.
Skelu je potrebno osigurati od prevrtanja sidrenjem u objekat, a od udara groma uzemljenjem.
Potrebno je izvesti pomoćne željezne ili drvene ljestve–penjalice u svrhu osiguranja vertikalne komunikacije po skeli. Prije izvedbe skele izvođač je dužan izraditi projekt skele, što je u cijeni stavke.</t>
  </si>
  <si>
    <t>U razini prizemlja izvođač je dužan omogućiti tunelske prolaze za pješake, na svim potrebnim mjestima koje odredi Investitor i nadzorni inženjer. Pokrov prolaza izraditi od mosnica položenim jedne do druge, te preko njih postaviti bitumensku ljepenku s preklopom od min. 10 cm ili alternativno PVC foliju. Cijelu skelu izvesti kako nalažu HTZ propisi.
U razini tla ili pločnika, izvođač je dužan osigurati ograđeni prostor za odlaganje potrebnih materijala.</t>
  </si>
  <si>
    <t>Nakon postavljanja skele Izvođač je dužan izvršiti pregled postojećeg stanja fasade.</t>
  </si>
  <si>
    <t>Obračun po m2 vertikalne projekcije pročelja računajući 1,0 m ispod vijenca/terasa.</t>
  </si>
  <si>
    <t>A1</t>
  </si>
  <si>
    <t>Rušenje i demontaža fasadne obloge</t>
  </si>
  <si>
    <t>A1.1</t>
  </si>
  <si>
    <t>RUŠENJE I UKLANJANJE FASADNE OBLOGE - ŽBUKA</t>
  </si>
  <si>
    <t>A1.1.1</t>
  </si>
  <si>
    <t>Vertikalne plohe fasade</t>
  </si>
  <si>
    <t>Pažljivo rušenje i uklanjanje postojeće fasadne obloge do NK zgrade, uključujući sve slojeve: fasadna žbuka, toplinska izolacija i morta za ljepljenje. Procjenjena debljina slojeva do 3 cm (8cm na mjestima vertikalnih AB serklaža) debljine.</t>
  </si>
  <si>
    <t>Fasada se uklanja u prizemlju na mjestima:
- spoja nadtemeljih zidova i podne ploče
- spoja terase sa zidovima
- novim šlicevima za postavu vertikalne oborinske odvodnje
- oštećenim dijelovima gdje je potrebna zamjena
- uz korvni vijenac
- uz vanjske metalne papučice</t>
  </si>
  <si>
    <t>Stavkom je obuhvaćen sav horizontalni i vertikalni transport, utovar i odvoz šute na gradski deponij.</t>
  </si>
  <si>
    <t>Obračun po m2 kompletno izvedenih radova (40% ukupne površine fasade).</t>
  </si>
  <si>
    <t>A1.1.2</t>
  </si>
  <si>
    <t>Horizontalne plohe fasade (podgled balkona)</t>
  </si>
  <si>
    <t xml:space="preserve">Pažljivo rušenje i uklanjanje postojeće fasadne obloge do NK zgrade. Obloga je rađena od termožbuke debljine cca 3 cm. </t>
  </si>
  <si>
    <t>Obračun po m2 kompletno izvedenih radova.</t>
  </si>
  <si>
    <t>A1-R</t>
  </si>
  <si>
    <t>UKUPNO</t>
  </si>
  <si>
    <t>F1</t>
  </si>
  <si>
    <t>Fasaderski radovi</t>
  </si>
  <si>
    <t>F1.1</t>
  </si>
  <si>
    <t>ETICS FASADNI SUSTAV NA ZIDANIM I AB ZIDOVIMA (KAMENA VUNA + ZAVRŠNI SLOJ)</t>
  </si>
  <si>
    <t>Dobava i ugradnja certificiranog tankoslojnog kontaktnog sustava fasade (ETICS) na osnovi fasadnih ploča kamene vune toplinske provodljivosti ʎ=0,035 W/mK, dimenzija 120x40cm homogene gustoće 100Kg/m3, tlačne čvrstoće pri 10% stišljivosti CS(10)30kPa, čvrstoće na raslojavanje jednake ili veće od TR10kPa, deklarirane na dugotrajnu vodoupojnost WL(P) te deklarirane paropropusnosti MU1, karakteristika kao Knauf Insulation FKD-S THERMAL ili jednako vrijedne, debljine 5 cm određene fizikalnim proračunom. U cijenu je potrebno uračunati dobavu materijala te izradu fasade prema uputama proizvođača. Postupak izvođenja:  Postavljanje perforiranog «sockel-profila» jednake širine kao debljina ploče od kamene vune. Pričvršćenje izvesti nerđajućim pričvrsnicama na razmaku svakih 40 do 60 cm. Nanošenje polimerno-cementnog morta za lijepljenje trakasto po rubovima i točkasto po sredini ploča. Ploče se nakon očvrslog morta za lijepljenje (nakon 3 dana) dodatno mehanički učvršćuju certificiranim pričvrsnicama kao EJOT tip H1 eco ili jednakovrijedne, 6-8kom/m2 sidrenjem u zidani zid 6,5cm kroz očvrsli mort za lijepljenje. Izvođač treba izraditi i dostaviti statički proračun pričvrsnica.</t>
  </si>
  <si>
    <t>Na uglove građevine postavljaju se PVC kutni profili sa staklenom mrežicom kao i oko otvora s tim da je na dijagonalama otvora potrebno kao dodatno ojačanje postaviti staklenu mrežicu dimenzija 20x40 (30x50) cm. Na rubove greda, ploča i sl. postavlja se okapni PVC kutni profil. Na dilatacijama se postavlja dilatacioni V profila.
Sve navedeno uključeno je u jediničnu cijenu. Obračun po m2 stvarno izvedenog fasadnog sustava do pune gotovosti. Kamena vuna je debljine 5 cm.</t>
  </si>
  <si>
    <t xml:space="preserve">Na dijelovima gdje se nalazi AB serklaž umjesto zida se postavljaju se ploče kamene vune debljine 10cm kako bi se nadoknadila razlika u debljini. Površina serklaža na pročelju je cca 10% ukupne površine fasade. </t>
  </si>
  <si>
    <t>Na mjestima dotrajale termožbuke potrebno je ukloniti sve slojeve do zdrave nosive konstrukcije. Nakon čišćenja nanosi se novi sloj za izravnavanje kako bi se postigla čvrsta podloga za postavu nove kamene vune.</t>
  </si>
  <si>
    <t>Zapuniti sljubnice kamene vune do širine 3mm PU nisko-ekspandirajućom pjenom, preko 3mm istovrsnim izrescima od kamene vune. Tkaninu od staklenog vlakna StoGlasfasergewebe 110cm, položiti u masu za armiranje kao StoLevell Uni, premazati po cijeloj površini i zagladiti. Nakon očvršćenja dodatno nanijeti izravnavajući sloj kao StoLevell Uni. Nakon 7 dana na ovako pripremljenu podlogu nanijeti premaz pigmentiranim međupremazom kao StoPutz Grund. Nanijeti gladilicom završni sloj silikonske žbuke kao StoSilco K1,5 u tonu 16018 80 C1.
Stavka obuhvaća izradu uzorka fasade 1x1m.</t>
  </si>
  <si>
    <t>F1.2.1</t>
  </si>
  <si>
    <t>ETICS FASADNI SUSTAV NA ZIDANIM I AB ZIDOVIMA (EKSTRUDIRANI POLISTIREN + ZAVRŠNI SLOJ)</t>
  </si>
  <si>
    <t>Dobava i ugradnja certificiranog tankoslojnog kontaktnog sustava fasade (ETICS) na osnovi fasadnih ploča ekstrudiranog polistirena toplinske provodljivosti ʎ=0,035 W/mK, debljine 3-5cm i visine do 30-50cm iznad gotovog tla.
Na mjestima gdje se ekstrudirani polistiren nastavlja na kamenu vunu+termo žbuku postavlja se u debljini od 5cm dok se na preostalim koristi polistiren debljine 3cm. U cijenu je potrebno uračunati dobavu materijala te izradu fasade prema uputama proizvođača. Postupak izvođenja: Pričvršćenje izvesti nerđajućim pričvrsnicama na razmaku svakih 40 do 60 cm. Nanošenje polimerno-cementnog morta za lijepljenje trakasto po rubovima i točkasto po sredini ploča. Ploče se nakon očvrslog morta za lijepljenje (nakon 3 dana) dodatno mehanički učvršćuju certificiranim pričvrsnicama kao EJOT tip H1 eco ili jednakovrijedne, 6-8kom/m2 sidrenjem u beton 6,5cm kroz očvrsli mort za lijepljenje.Izvođač treba izraditi i dostaviti statički proračun pričvrsnica.</t>
  </si>
  <si>
    <t>Na uglove građevine postavljaju se PVC kutni profili sa staklenom mrežicom kao i oko otvora. Sve navedeno uključeno je u jediničnu cijenu. Obračun po m2 stvarno izvedenog fasadnog sustava do pune gotovosti.</t>
  </si>
  <si>
    <t xml:space="preserve">Na dijelovima gdje se nalazi AB serklaž umjesto zida se postavljaju dodatnih 5cm XPSa kako bi se nadoknadila razlika u debljini. Površina serklaža na pročelju je cca 10% ukupne površine fasade. </t>
  </si>
  <si>
    <t>F1.2.2</t>
  </si>
  <si>
    <t>ZAVRŠNA OBRADA NA DIJELU ETICS SUSTAVA S XPS FASADOM</t>
  </si>
  <si>
    <t>Dostava i ugradnja postojećih kamenih fasadnih ploča u građevinskom ljepilu. Postavljaju se postojeće ploče prema shemi polaganja, do cca 30-50 cm od gotovog tla.</t>
  </si>
  <si>
    <t>F1.3</t>
  </si>
  <si>
    <t>IZOLACIJA PODGLEDA AB PLOČE: ETICS sustav s lamelama od kamene vune CLT C1 Thermal jednostrano završno obrađene</t>
  </si>
  <si>
    <t xml:space="preserve">Izvedba obloge stropa vansjkog prostora kao toplinske, protupožarne i zvučne izolacije na osnovi tvornički jednostrano dekorativno obrađenih lamela kamene vune razreda reakcije na požar A1, okomito orijentiranih vlakana na površinu lijepljenja, stoga okomite čvrstoće na raslojavanje TR, koeficijenta toplinske provodljivosti 0,040 W/mK,  karakteristika kao Knauf Insulation CLT C1 Thermal ili jednako vrijedne, debljine 3 cm prema fizikalnom proračunu. Prije početka radova potrebno izvršiti provjeru kvalitete glede prionjivosti i ravnosti podloge stropa. Izvršiti sve potrebne pripremne radove po potrebi čišćenja i otprašivanja stropa te nanošenje pretpremaza za prionjivost. Cijena stavke uključuje dobavu i postavu komponenti prema uputama proizvođača. Redoslijed izvođenja:- PUNOPLOŠNO nanošenje akrilne emulzije-pretpremaza u omjeru s vodom 1:3, u cilju postizanja propisane prionjivosti, obvezno sušenje 20 sati u normalnim uvjetima - PUNOPLOŠNO nanošenje polimerno-cementnog glet morta na neobrađenu stranu lamele, zupčastim gleterom u debljini do 10 mm te aplikacija posebno dizajniranim gleterom u ravnini nazivne debljine na pripremljenu površinu stropa. Sve radove izvesti prema uputama proizvođača komponenti. </t>
  </si>
  <si>
    <t>Bojanje kompresorom lamela u boju prema izboru projektanta.</t>
  </si>
  <si>
    <t>F1-R</t>
  </si>
  <si>
    <t>Fasaderski radovi ukupno za 5 zgrada tipa B:</t>
  </si>
  <si>
    <t>Fasadna skela</t>
  </si>
  <si>
    <t>paušal</t>
  </si>
  <si>
    <t>A0-R</t>
  </si>
  <si>
    <t>Pripremni radovi</t>
  </si>
  <si>
    <t>Zapuniti sljubnice kamene vune do širine 3mm PU nisko-ekspandirajućom pjenom, preko 3mm istovrsnim izrescima od kamene vune. Tkaninu od staklenog vlakna StoGlasfasergewebe 110cm, položiti u masu za armiranje kao StoLevell Uni, premazati po cijeloj površini i zagladiti. Nakon očvršćenja dodatno nanijeti izravnavajući sloj kao StoLevell Uni. Nakon 7 dana na ovako pripremljenu podlogu nanijeti premaz pigmentiranim međupremazom kao StoPutz Grund. Nanijeti gladilicom završni sloj silikonske žbuke kao StoSilco K1,5 zaribane strukture TON 16004 i TON 16290.</t>
  </si>
  <si>
    <t>Fasaderski radovi ukupno</t>
  </si>
  <si>
    <t>Fasaderski radovi ukupno za 6 zgrada tipa C:</t>
  </si>
  <si>
    <t>G</t>
  </si>
  <si>
    <t>Soboslikarski radovi</t>
  </si>
  <si>
    <t>G1</t>
  </si>
  <si>
    <t>Gletanje i brušenje</t>
  </si>
  <si>
    <t>G1.1</t>
  </si>
  <si>
    <t>GLETANJE I BRUŠENJE GK STROPOVA</t>
  </si>
  <si>
    <t>Dobava, dostava materijala te Gletanje i brušenje GK stropova. Dodatak na izvedbu spojeva GK stropova do kvalitete obrade površina Q3. Potrebno obraditi cijele površine.</t>
  </si>
  <si>
    <t>Obračun po m2 izvedene površine do završetka.</t>
  </si>
  <si>
    <t>G1.1.1</t>
  </si>
  <si>
    <t xml:space="preserve">GK plohe stropa s obradom do razine Q3 </t>
  </si>
  <si>
    <t>G1.1.2</t>
  </si>
  <si>
    <t>b) GK plohe stropa s obradom do razine Q3 (mokri prostori)</t>
  </si>
  <si>
    <t>G1.2</t>
  </si>
  <si>
    <t>GLETANJE I BRUŠENJE GK ZIDOVA</t>
  </si>
  <si>
    <t>Dobava, dostava materijala te Gletanje i brušenje GK zidova. Dodatak na izvedbu spojeva GK zidova do kvalitete obrade površina Q3. Potrebno obraditi cijele površine.</t>
  </si>
  <si>
    <t>G1.2.1</t>
  </si>
  <si>
    <t>G1-R</t>
  </si>
  <si>
    <t>G2</t>
  </si>
  <si>
    <t>Ličenje zidova i stropova</t>
  </si>
  <si>
    <t>G2.1</t>
  </si>
  <si>
    <t xml:space="preserve">LIČENJE ZIDOVA (zidani, AB i GK zidovi - suhi prostori) </t>
  </si>
  <si>
    <t>Dobava, dostava i ugradnja potrebnih materijala za dvostruko bojanje prethodno pripremljenih zidova.
Cijena stavke uključuje dobavu i postavu svih komponenti prema uputama proizvođača. Redosljed izvođenja:
Prema zahtjevima iz projekta prije izvedbe bojanja podloga se gleta i obrađuje u traženu kvalitetu obrade površine što je obračunato u prethodnoj stavci (G1). Gletanu, pobrušenu i očišćenu nosivu površinu je zatim potrebno premazati vodorazrjedivim nepigmentiranim sredstvom za grundiranje na akrilnoj bazi, velike moći prodiranja u podlogu i učvršćivanja, bez otapala, za unutarnje i vanjske radove, posebno za porozne podloge koje jako upijaju. Materijali sukladno specifikaciji materijala.</t>
  </si>
  <si>
    <t>Boja prema odabiru projektanta interijera. Vidi u knjizi specifikacija.</t>
  </si>
  <si>
    <t>U knjizi specifikacija i nacrtu, pod ref.br.: R P&amp;W 01</t>
  </si>
  <si>
    <t>G2.2</t>
  </si>
  <si>
    <t>LIČENJE STROPOVA</t>
  </si>
  <si>
    <t>Dobava, dostava i ugradnja potrebnih materijala za dvostruko bojanje prethodno pripremljenih stropova u suhim prostorima.
Cijena stavke uključuje dobavu i postavu svih komponenti prema uputama proizvođača. Redosljed izvođenja:
Prema zahtjevima iz projekta prije izvedbe bojanja podloga se gleta i obrađuje u traženu kvalitetu obrade površine što je obračunato u prethodnoj stavci (G1). Gletanu, pobrušenu i očišćenu nosivu površinu je zatim potrebno premazati vodorazrjedivim nepigmentiranim sredstvom za grundiranje na akrilnoj bazi, velike moći prodiranja u podlogu i učvršćivanja, bez otapala, za unutarnje i vanjske radove, posebno za porozne podloge koje jako upijaju. Materijali sukladno specifikaciji materijala.</t>
  </si>
  <si>
    <t>U knjizi specifikacija i nacrtu, pod ref.br.: R P&amp;W 04</t>
  </si>
  <si>
    <t>G2.2.1</t>
  </si>
  <si>
    <t>dnevni boravak i spavaća soba</t>
  </si>
  <si>
    <t>U knjizi specifikacija i nacrtu, pod ref.br.: R P&amp;W 06</t>
  </si>
  <si>
    <t>G2.2.2</t>
  </si>
  <si>
    <t>ulazni prostor i kuhinja</t>
  </si>
  <si>
    <t>G2.3</t>
  </si>
  <si>
    <t>LIČENJE STROPOVA (mokri prostori)</t>
  </si>
  <si>
    <t>Dobava, dostava i ugradnja potrebnih materijala za dvostruko bojanje vodootpornom bojom prethodno pripremljenih stropova u mokrim prostorima.
Cijena stavke uključuje dobavu i postavu svih komponenti prema uputama proizvođača. Redosljed izvođenja:
Prema zahtjevima iz projekta prije izvedbe bojanja podloga se gleta i obrađuje u traženu kvalitetu obrade površine što je obračunato u prethodnoj stavci (G1). Gletanu, pobrušenu i očišćenu nosivu površinu je zatim potrebno premazati vodorazrjedivim nepigmentiranim sredstvom za grundiranje na akrilnoj bazi, velike moći prodiranja u podlogu i učvršćivanja, bez otapala, za unutarnje i vanjske radove, posebno za porozne podloge koje jako upijaju. Materijali sukladno specifikaciji materijala.</t>
  </si>
  <si>
    <t>U knjizi specifikacija i nacrtu, pod ref.br.: R P&amp;W 05</t>
  </si>
  <si>
    <t>G2-R</t>
  </si>
  <si>
    <t>G3</t>
  </si>
  <si>
    <t>Postavljanje zidnih tapeta</t>
  </si>
  <si>
    <t>Dobava, isporuka i ugradnja materijala, glatko niveliranje i nanošenje novih tapeta na zid. 
- pozadina u smislu materijala, motiva, uzorka i boje izrađena je prema izboru dizajnera interijera.
- tapete su zalijepljene na određenu debljinu i leže na ravnom, gotovom zidu;
- predvidjeti mogućnost ugradnje izravno na zid bez podkonstrukcije</t>
  </si>
  <si>
    <t>Uključeno u cijenu: proizvodnja tapeta sa svim potrebnim tvorničkim analizama, testiranjem i drugim operacijama; izrada ispitnih uzoraka, mjerenja; sve potrebne podkonstrukcije i ugradnje
Tapeta i boja prema odabiru dizajnera interijera.</t>
  </si>
  <si>
    <t>G3.1</t>
  </si>
  <si>
    <t xml:space="preserve">POSTAVLJANJE TAPETA </t>
  </si>
  <si>
    <t>Boja i uzorak prema odabiru projektanta. Vidi u knjizi specifikacija.</t>
  </si>
  <si>
    <t>U knjizi specifikacija i nacrtima pod šifrom: R P&amp;W 02</t>
  </si>
  <si>
    <t>G3.2</t>
  </si>
  <si>
    <t>U knjizi specifikacija i nacrtima pod šifrom: R P&amp;W 03</t>
  </si>
  <si>
    <t>G3-R</t>
  </si>
  <si>
    <t>G-R</t>
  </si>
  <si>
    <t>Soboslikarski radovi ukupno za 5 zgrada tipa B:</t>
  </si>
  <si>
    <t>Dobava, dostava materijala te gletanje i brušenje GK stropova. Dodatak na izvedbu spojeva GK stropova do kvalitete obrade površina Q3. Potrebno obraditi cijele površine.</t>
  </si>
  <si>
    <t>Dobava, dostava materijala te gletanje i brušenje GK zidova. Dodatak na izvedbu spojeva GK zidova do kvalitete obrade površina Q3. Potrebno obraditi cijele površine.</t>
  </si>
  <si>
    <t>G3.3</t>
  </si>
  <si>
    <t>U knjizi specifikacija i nacrtima pod šifrom: R P&amp;W 07</t>
  </si>
  <si>
    <t>Soboslikarski radovi ukupno za 6 zgrada tipa C:</t>
  </si>
  <si>
    <t>H</t>
  </si>
  <si>
    <t>Keramičarski i kamenarski radovi</t>
  </si>
  <si>
    <t>Dobava, dostava materijala i ugradnja podnih i zidnih keramičkih pločica I. klase, jednake kalibracije ili retificirane, u objektu na čvrstu i ravnu podlogu, primjenom Easytiler sustava (spojnice i klinovi), prema nacrtu polaganja gres porculaniziranih keramičkih pločica u skladu s normom HRN EN 14411, s fugama između pločica širine najmanje 2 mm.
Podne keramičke pločice postavljaju se na postojeći estrih s prehodno izvedenom postavljenom novom hidroizolacijom.
Zidne keramičke pločice postavljaju se na prethodno pripremljene GK i AB zidove.</t>
  </si>
  <si>
    <t xml:space="preserve">Boja i završna obrada prema izboru projektanta interijera.
Koristeći poboljšano, fleksibilno cementno ljepilo razreda C2TE S1, za nanose debljine do 15mm, kao Mapei Keraflex. </t>
  </si>
  <si>
    <t xml:space="preserve">Stavka obuhvaća sve potrebne radove, premaz površine prajmerom, fugiranje poboljšanom cementnom brzovezujućom i brzosušećom fleksibilnom fugirnom masom za fuge širine 2 do 20 mm sa Bio Block i Drop Effect tehnologijom, razreda CG2WA, kao Mapei Ultracolor Plus, te brtvljenje dilatacijskih spojeva i sudara keramičkih pločica u kutovima pomoću silikonske trajno elastične mase za brtvljenje bez otapala na osnovi acetatnog zamreženja, kao Mapei Mapesil AC uz korištenje okrugle spužvaste brtve u slučaju da je fuga preduboka (poštivanje odnosa širine i dubine fuge). Boje masa za fugiranje i brtvljenje odabiru se prema karti boja proizvođača, a po izboru projektanta (Mapei manhatan 2000). </t>
  </si>
  <si>
    <t>Obračun po m2 stvarno izvedenih površina sve do potpune dovršenosti.</t>
  </si>
  <si>
    <t>H1</t>
  </si>
  <si>
    <t>VANJSKA PODNA KERAMIKA</t>
  </si>
  <si>
    <t>Tip i boja ker. Pločice, kao i boja fuge: vidi specifikaciju</t>
  </si>
  <si>
    <t>Referentni broj prema nacru i njizi specifikacija: R T&amp;F 02</t>
  </si>
  <si>
    <t>Protukliznost: R10</t>
  </si>
  <si>
    <t>Dimenzije formata: 60 x 60 cm</t>
  </si>
  <si>
    <t>H1.1</t>
  </si>
  <si>
    <t>H1.2</t>
  </si>
  <si>
    <t>Količina keramike za rastur (škart) prema shemi polaganja iz projekta. Navedena količina je pretpostavljane (10%), izvođač si je dužan provjeriti količinu za rastur prilikom davanja ponude, koja nakon ugovaranja posla postaje fiksna.</t>
  </si>
  <si>
    <t>H1.3</t>
  </si>
  <si>
    <t>Keramika za predaju investitoru - 2%</t>
  </si>
  <si>
    <t>H2</t>
  </si>
  <si>
    <t>VANJSKI KERAMIČKI SOKL</t>
  </si>
  <si>
    <t>Referentni broj prema nacru i knjizi specifikacija: R T&amp;F 02</t>
  </si>
  <si>
    <t>Dimenzije formata:</t>
  </si>
  <si>
    <t>H2.1</t>
  </si>
  <si>
    <t>H2.2</t>
  </si>
  <si>
    <t>H2.3</t>
  </si>
  <si>
    <t>H3</t>
  </si>
  <si>
    <t>VANJSKI KAMENI SOKL</t>
  </si>
  <si>
    <t>Tip i boja kamena, kao i boja fuge: jednako postojeće,</t>
  </si>
  <si>
    <t xml:space="preserve">Referentni broj prema nacru i knjizi specifikacija: </t>
  </si>
  <si>
    <t>H3.1</t>
  </si>
  <si>
    <t>H3.2</t>
  </si>
  <si>
    <t>H3.3</t>
  </si>
  <si>
    <t>H4</t>
  </si>
  <si>
    <t xml:space="preserve">POSTAVLJANJE PODNIH KERAMIČKIH PLOČICA U KUPAONICI
</t>
  </si>
  <si>
    <t>Tip i boja ker. pločice, kao i boja fuge: vidi specifikaciju</t>
  </si>
  <si>
    <t>Referentni broj prema nacrtu i knjizi specikacija: R T&amp;F 05</t>
  </si>
  <si>
    <t>Protukliznost: R11</t>
  </si>
  <si>
    <t>Dimenzije formata:  60×60cm, debljina: 9mm</t>
  </si>
  <si>
    <t>H4.1</t>
  </si>
  <si>
    <t>Obračun po m2 stvarno izvedene površine sve do potpune dovršenosti.</t>
  </si>
  <si>
    <t>H4.2</t>
  </si>
  <si>
    <t>Količina keramike za rastur (škart) prema shemi polaganja iz projekta. Navedena količina je pretpostavljena (10%), izvođač si je dužan provjeriti količinu za rastur prilikom davanja ponude, koja nakon ugovaranja posla postaje fiksna.</t>
  </si>
  <si>
    <t>H4.3</t>
  </si>
  <si>
    <t>H5</t>
  </si>
  <si>
    <t>POSTAVLJANJE ZIDNE KERAMIKE ("feature wall")</t>
  </si>
  <si>
    <t>Tip i boja ker. pločice za zid: vidi specifikaciju</t>
  </si>
  <si>
    <t>Referentni broj prema nacrtu i knjizi specikacija: R T&amp;F 06</t>
  </si>
  <si>
    <t>Dimenzije formata:  120×60cm; R9</t>
  </si>
  <si>
    <t>debljina: 6,5 mm</t>
  </si>
  <si>
    <t>H5.1</t>
  </si>
  <si>
    <t>H5.2</t>
  </si>
  <si>
    <t>H5.3</t>
  </si>
  <si>
    <t>H6</t>
  </si>
  <si>
    <t>POSTAVLJANJE ZIDNE KERAMIKE (ostali zidovi)</t>
  </si>
  <si>
    <t>Referentni broj prema nacrtu i knjizi specikacija: R T&amp;F 07</t>
  </si>
  <si>
    <t>debljina: 9 mm</t>
  </si>
  <si>
    <t>H6.1</t>
  </si>
  <si>
    <t>H6.2</t>
  </si>
  <si>
    <t>H6.3</t>
  </si>
  <si>
    <t>H7</t>
  </si>
  <si>
    <t>POSTAVLJANJE ZIDNE KERAMIKE (backsplash)</t>
  </si>
  <si>
    <t>Referentni broj prema nacrtu i knjizi specikacija: R T&amp;F 08</t>
  </si>
  <si>
    <t>Dimenzije formata: 60x120 cm; R9</t>
  </si>
  <si>
    <t>H7.1</t>
  </si>
  <si>
    <t>H7.2</t>
  </si>
  <si>
    <t>H7.3</t>
  </si>
  <si>
    <t>H8</t>
  </si>
  <si>
    <t>POSTAVLJANJE SOKLA</t>
  </si>
  <si>
    <t>Tip i boja sokla: vidi specifikaciju</t>
  </si>
  <si>
    <t>Referentni broj prema nacrtu i knjizi specikacija: R T&amp;F 09</t>
  </si>
  <si>
    <t>Obračun po m' izvedene površine do završetka.</t>
  </si>
  <si>
    <t>H9</t>
  </si>
  <si>
    <t>POSTAVLJANJE PODNE LAJSNE</t>
  </si>
  <si>
    <t>Tip i boja lajsne: vidi specifikaciju</t>
  </si>
  <si>
    <t>Referentni broj prema nacrtu i knjizi specikacija: R T&amp;F 10</t>
  </si>
  <si>
    <t>H10</t>
  </si>
  <si>
    <t>Referentni broj prema nacrtu i knjizi specikacija: R T&amp;F 11</t>
  </si>
  <si>
    <t>H10.1</t>
  </si>
  <si>
    <t>H10.2</t>
  </si>
  <si>
    <t>H10.3</t>
  </si>
  <si>
    <t>H11</t>
  </si>
  <si>
    <t>POSTAVLJANJE ZIDNE LAJSNE</t>
  </si>
  <si>
    <t>Referentni broj prema nacrtu i knjizi specikacija: R T&amp;F 12</t>
  </si>
  <si>
    <t>H12</t>
  </si>
  <si>
    <t>POSTAVLJANJE NOVIH KAMENIH PLOČA</t>
  </si>
  <si>
    <t>Dobava, doprema i montaža novih kamenih ploča na lokaciji uklonjenog pregradnog zida u apartmanu</t>
  </si>
  <si>
    <t>Boja i tona usklađen s postojećim kamenom.</t>
  </si>
  <si>
    <t>Dimenzije (š×d): 60×30cm</t>
  </si>
  <si>
    <t>H13</t>
  </si>
  <si>
    <t>POSTAVLJANJE PODNE KERAMIKE (prizemlja)</t>
  </si>
  <si>
    <t>Tip i boja ker. pločice za pod: vidi specifikaciju</t>
  </si>
  <si>
    <t>Referentni broj prema nacrtu i knjizi specikacija: M T&amp;F 02</t>
  </si>
  <si>
    <t xml:space="preserve">Dimenzije formata: </t>
  </si>
  <si>
    <t>H13.1</t>
  </si>
  <si>
    <t>H13.2</t>
  </si>
  <si>
    <t>H13.3</t>
  </si>
  <si>
    <t>H14</t>
  </si>
  <si>
    <t>POSTAVLJANJE KAMENOG SOKLA</t>
  </si>
  <si>
    <t xml:space="preserve">Referentni broj prema nacrtu i knjizi specikacija: R T&amp;F </t>
  </si>
  <si>
    <t>H15</t>
  </si>
  <si>
    <t>POSTAVLJANJE NOVIH VANJSKIH KAMENIH KLUPČICA</t>
  </si>
  <si>
    <t>Dobava i ugradnja unutarnjih kamenih klupčica od ploča impregniranog poliranog kamena, širine cca 22-24cm, debljine 2cm ljepljene bijelim fleksibilnim građevinskim ljepilom s okapnicom s donje strane. Stavka uključuje min. prepust od 3cm i poliranje oba čela klupčica.</t>
  </si>
  <si>
    <t>Referentni broj prema nacrtu i knjizi specikacija: R T&amp;F 15</t>
  </si>
  <si>
    <t>H16</t>
  </si>
  <si>
    <t>POSTAVLJANJE NOVIH UNUTARNJIH KAMENIH KLUPČICA</t>
  </si>
  <si>
    <t>Dobava i ugradnja unutarnjih kamenih klupčica od ploča poliranog kamena, širine cca 19-21cm, debljine 2cm ljepljene bijelim fleksibilnim građevinskim ljepilom. Stavka uključuje min. prepust od 3cm i poliranje oba čela klupčica.</t>
  </si>
  <si>
    <t>Referentni broj prema nacrtu i knjizi specikacija: R T&amp;F 14</t>
  </si>
  <si>
    <t>H-R</t>
  </si>
  <si>
    <t>Keramičarski i kamenarski radovi ukupno za 5 zgrada tipa B:</t>
  </si>
  <si>
    <t>Keramičarski i kamenarski radovi ukupno za 6 zgrada tipa C:</t>
  </si>
  <si>
    <t>C3</t>
  </si>
  <si>
    <t>IZRAVNAVANJE I KRPANJE PUKOTINA TE PRIPREMA PODNE PODLOGE</t>
  </si>
  <si>
    <t>Dobava, dostava materijala za izvedbu poravnanja i krpanja pukotina i ostalih oštećenja, nivelir masom u debljini 2-10mm, nastalih prilikom izvedbe radova rušenja i demontaže. Iznimno u debljini do 20mm, ukoliko su oštećenja bila značajna (potrebna potvrda nadzornog inženjera).
Također u stavku uključiti i završno zaglađivanje površine i brušenje kao priprema za apliciranje završne obloge.</t>
  </si>
  <si>
    <t>C3.1</t>
  </si>
  <si>
    <t>Pod - suhi prostori</t>
  </si>
  <si>
    <t>I</t>
  </si>
  <si>
    <t>Podopolagački radovi</t>
  </si>
  <si>
    <t>I1</t>
  </si>
  <si>
    <t>LVT PODOVI (sobe)</t>
  </si>
  <si>
    <t>Tip i boja : vidi specifikaciju</t>
  </si>
  <si>
    <t>Referentni broj prema nacrtu i knjizi specikacija: R T&amp;F 01</t>
  </si>
  <si>
    <t>Dimenzije formata:  24×152 cm</t>
  </si>
  <si>
    <t>debljina: 2,5 mm</t>
  </si>
  <si>
    <t>I1.1</t>
  </si>
  <si>
    <t>I1.2</t>
  </si>
  <si>
    <t>Količina LVT obloge za rastur (škart) prema shemi polaganja iz projekta. Navedena količina je pretpostavljane (10%), izvođač si je dužan provjeriti količinu za rastur prilikom davanja ponude, koja nakon ugovaranja posla postaje fiksna.</t>
  </si>
  <si>
    <t>I1.3</t>
  </si>
  <si>
    <t>LVT obloga za predaju investitoru - 2%</t>
  </si>
  <si>
    <t>I2</t>
  </si>
  <si>
    <t>PODNE POKRIVNE KUTNE LETVICE</t>
  </si>
  <si>
    <t>Dobava, dostava materijala i ugradnja pokrivnih letvica na spoju završne podne obloge i zida u sobama.</t>
  </si>
  <si>
    <t>Podna kutna letvica od profilirane MDF lajsne postaviti ljepljenjem (silikonom), odnosno prema uputama proizvođača.</t>
  </si>
  <si>
    <t>Referentni broj prema nacrtu i knjizi specikacija: R T&amp;F 03</t>
  </si>
  <si>
    <t>Dimenzije formata:  H80mm, deblj.18mm</t>
  </si>
  <si>
    <t>I2.1</t>
  </si>
  <si>
    <t>I2.2</t>
  </si>
  <si>
    <t>Količina letvica za rastur (škart) prema shemi polaganja iz projekta. Navedena količina je pretpostavljane (10%), izvođač si je dužan provjeriti količinu za rastur prilikom davanja ponude, koja nakon ugovaranja posla postaje fiksna.</t>
  </si>
  <si>
    <t>I2.3</t>
  </si>
  <si>
    <t>Letvice za predaju investitoru - 2%</t>
  </si>
  <si>
    <t>I-R</t>
  </si>
  <si>
    <t>Podopolagački radovi ukupno za 5 zgrada tipa B:</t>
  </si>
  <si>
    <t>Podopolagački radovi ukupno za 6 zgrada tipa C:</t>
  </si>
  <si>
    <t>J</t>
  </si>
  <si>
    <t>Bravarski radovi</t>
  </si>
  <si>
    <t xml:space="preserve">Izvođač je dužan izraditi radioničku dokumentaciju i dostaviti je projektantu na ovjeru. Jediničnom cijenom obuhvatiti, podkonstrukciju, eventualno potrebne odbojnike, kao i silikoniranje ili akriliranje na spoju s drugim materijalima. Obračun po komadu stvarno ugrađenih vrata sve do pune gotovosti i funkcionalnosti. Staklo mora zadovoljiti zahtjeve norni HRN EN 12600 i HRN EN 12150-1. </t>
  </si>
  <si>
    <t>J2</t>
  </si>
  <si>
    <t>Bravarske stavke</t>
  </si>
  <si>
    <t>J2.2</t>
  </si>
  <si>
    <t>STAKLENA OGRADA</t>
  </si>
  <si>
    <t>Dobava, dostava i montaža vanjske staklene ograde na AB nadozid.
Ograda je izvedena od stakla debljine 2x12mm i visine stakla 97cm, ukupne visine od poda 110cm. Staklo s dvostrukom ili četverostrukom folijom, jedna ploča kaljena, druga polukaljena. Staklo je pričvršćeno duž donjeg ruba standardnim sluminijskim profilom visine cca 125mm, ustakljeno profilima od EPDM-a.
Aluminijski profili su pričvršćeni bočno u AB nadozid.
Aluminijski profil plastificiran u boju po izboru projektanta.</t>
  </si>
  <si>
    <t>U stavku uključen nosač ograde, staklo i sve pričvrsnice i potrebne brtve za pravilno postavljanje ograde.</t>
  </si>
  <si>
    <t>Ugradnja po uputi proizvođača.</t>
  </si>
  <si>
    <t>J3.1</t>
  </si>
  <si>
    <t>STAKLENA STIJENA TUŠA/TUŠ-KADE</t>
  </si>
  <si>
    <t>Dobava, izrada, prijevoz i ugradnja unutarnjih staklene stijene tuša.</t>
  </si>
  <si>
    <t>Sastoji se od kaljenog stakla, transparentnog (Ultra Clear), debljine 10mm, u presjeku opremljen aluminijskim profilima. 
Profili su eloksirani (u boji prema izboru projektanta), što omogućava trajnu zaštitu od korozije.</t>
  </si>
  <si>
    <t>U stavku uključena i aluminijska šipka koja služi kao ukruta stijene do zida.</t>
  </si>
  <si>
    <t>Prije narudžbe na objektu je potrebno uzeti točne mjere. U stavci uključeno i silikoniranje spojeva. Stavka uključuje pričvrsni, brtveni i spojni materijal potreban za ugradnju.</t>
  </si>
  <si>
    <t>U knjizi specifikacija i nacrtima pod šifrom:</t>
  </si>
  <si>
    <t>Obračun po komadu do završetka.</t>
  </si>
  <si>
    <t>J3.1.2</t>
  </si>
  <si>
    <t>staklena stijena tuša R SJ 20, dim.</t>
  </si>
  <si>
    <t>J3.1.3</t>
  </si>
  <si>
    <t>staklena stijena tuša R SJ 20a, dim.</t>
  </si>
  <si>
    <t>J3.1.4</t>
  </si>
  <si>
    <t xml:space="preserve">staklena stijena tuša R SJ 20b, dim. </t>
  </si>
  <si>
    <t>J2-R</t>
  </si>
  <si>
    <t>Staklarski radovi ukupno za 5 zgrada tipa B:</t>
  </si>
  <si>
    <t>J3</t>
  </si>
  <si>
    <t>Unutarnja ostakljena bravarija</t>
  </si>
  <si>
    <t>J3-R</t>
  </si>
  <si>
    <t>Staklarski radovi ukupno za 6 zgrada tipa C:</t>
  </si>
  <si>
    <t>J2.1</t>
  </si>
  <si>
    <t>MASKA NA ULAZU U ZGRADU</t>
  </si>
  <si>
    <t>Dobava, dostava i montaža vanjske maske na ulazu u zgradu.</t>
  </si>
  <si>
    <t>Stavku napraviti po bravarskoj shemi: B 0</t>
  </si>
  <si>
    <t>Obračun po komadu do kompletnog završetka.</t>
  </si>
  <si>
    <t>J2.1.1</t>
  </si>
  <si>
    <t>Tip B</t>
  </si>
  <si>
    <t>J2.3</t>
  </si>
  <si>
    <t>METALNA OGRADA</t>
  </si>
  <si>
    <t xml:space="preserve">Dobava, dostava i montaža vanjske metalne ograde na betonski nadozid. </t>
  </si>
  <si>
    <t>U stavku uključene i sve pričvrsnice i potrebne brtve za pravilno postavljanje ograde.</t>
  </si>
  <si>
    <t>J2.4</t>
  </si>
  <si>
    <t>ČELIČNI PRIHVATNI PROFIL ZA KLIZNE STIJENE</t>
  </si>
  <si>
    <t>Dobava, dostava i montaža čelične cijevi pravokutnog presjeka 100x80mm i 100x50mm kao prihvat za nove staklene stijene.
Sve prema detalju.</t>
  </si>
  <si>
    <t>J2.5</t>
  </si>
  <si>
    <t>VANJSKA TENDA</t>
  </si>
  <si>
    <t>Izrada, dobava i ugradnja kazetne tende s mogućnosti podešavanja nagiba kao HELLA tip C2 ili jednakovrijedni. Izrađena od ekstrudiranog aluminijskog profila sa završnim kapama od tlačno lijevanog aluminija s zglobnim rukama, završna obrada u RAL prema odabiru projektanta. U cijeni stavke uključena namotajna cijev platna izrađena od čelika Ø78mm, konzolni nosači, i izbačajni profil. U cijeni uključen motorni pogon pomoću cjevastog motora s isključivanjem momenta umetnut u osovinu tkanine. Kontrola uz pomoć daljinskog upravljača. Svi moduli se povezuju u seriju.</t>
  </si>
  <si>
    <t>Bravarski radovi ukupno za 5 zgrada tipa B:</t>
  </si>
  <si>
    <t>J2.1.2</t>
  </si>
  <si>
    <t>Tip C</t>
  </si>
  <si>
    <t>J4</t>
  </si>
  <si>
    <t>Unutarnja protupožarna bravarija</t>
  </si>
  <si>
    <t>J4.1</t>
  </si>
  <si>
    <t>PROTUPOŽARNA VRATA SPREMIŠTA</t>
  </si>
  <si>
    <t>Izrada, prijevoz i ugradnja unutarnjih protupožarnih jednokrilnih neostakljenih (punih) zaokretnih vrata, požarne otpornosti EI2-60-C. Izvedba vrata iz čeličnog lima, pocinčana, završno obojena (plastifikacija), boja po izboru (RAL karta). Okov certificiran za protupožarna vrata po važećoj normi, kvake s rozetom, brava s ključem, hidraulička pumpa za samozatvaranje, panik kvaka. Suha ugradnja u nosive AB zidove. ALU bravarija treba zadovoljiti Rw=36dB.</t>
  </si>
  <si>
    <t>J4-R</t>
  </si>
  <si>
    <t>J-R</t>
  </si>
  <si>
    <t>Bravarski radovi ukupno za 6 zgrada tipa C:</t>
  </si>
  <si>
    <t>13.10.2025.</t>
  </si>
  <si>
    <t>B1</t>
  </si>
  <si>
    <t>B2</t>
  </si>
  <si>
    <t>B3</t>
  </si>
  <si>
    <t>B4</t>
  </si>
  <si>
    <t>B5</t>
  </si>
  <si>
    <t>A6</t>
  </si>
  <si>
    <t>A7</t>
  </si>
  <si>
    <t>A8</t>
  </si>
  <si>
    <t>A9</t>
  </si>
  <si>
    <t>A10</t>
  </si>
  <si>
    <t>B6</t>
  </si>
  <si>
    <t>Radovi demontaže i konstruktivne sanacije</t>
  </si>
  <si>
    <t>Sva drvena građe crnogorice II klase čvrstoće C24, maksimalne vlažnosti drva 16%, tretirana jednoslojnom lazurom za zaštitu drva na bazi vode kao Remmers Adolit BQ 1.</t>
  </si>
  <si>
    <t>A1.</t>
  </si>
  <si>
    <t>Zamjena pojedinačnog roga</t>
  </si>
  <si>
    <t>Stavka se odnosi na demontažu postojećih dotrajalih rogova.
Stavka uključuje pažljivu demontažu postojećeg roga dimenzija 12/14cm duljine 5,8-6,5m'.
Pažljiva demontaža postojećih daski i paropropusne folije u rasponu do susjednog roga koji se ne mijenja, raspon između rogova cca 11cm.
Pažljiva demontaža postojećih letvi i kontraletvi s crijepom površine cca 11m2
Dobava i montaža nove krovne konstrukcije koja se sastoji od novog roga dimenzija istim kao postojeći.
Dobava i postava novih daski (debljine kao i postojeće) i paropropusne folije u zoni zamjene (stavka uključuje rubni preklop i spoj na postojeću foliju) površine cca 11m2.
Dobava i postava letve u dva smjera dimenzija u skladu s postojećom konstrukcijom površine cca 11m2.
Ako su ojačanja na vidljivim dijelovima potrebno je bojati sa Capadur Wetterschutzfarbe NQG u RAL 9010 s prethodnim nanošenjem temeljnog premaza sve prema uputama od proizvođača.
Sve izvoditi prema detaljnim uputama opisanim u Projektu građevinske konstrukcije.</t>
  </si>
  <si>
    <t>komplet</t>
  </si>
  <si>
    <t>A2.</t>
  </si>
  <si>
    <t>Zamjena postojeće podrožnice</t>
  </si>
  <si>
    <t>Stavka se odnosi na demontaža postojeće podrožnice s prethodnim podupiranjem postojeće konstrukcije.
Pažljiva dobava i montaža nove krovne konstrukcije koja se sastoji od podrožnice dimenzija 20/24cm duljine 8-10m'.
Sve izvoditi prema detaljnim uputama opisanim u Projektu građevinske konstrukcije.</t>
  </si>
  <si>
    <t>A3.</t>
  </si>
  <si>
    <t>Zamjena postojećih daski</t>
  </si>
  <si>
    <t>Stavka se odnosi na zamjenu daski uz zabate, na pozicijama dimnjaka te izolirane dotrajale zone.
Pažljiva demontaža postojećih daski i paropropusne folije u zoni dotrajalosti od vlage i prodora vode
Pažljiva demontaža postojećih letvi i kontraletvi s crijepom.
Dobava i postava novih daski (debljine kao i postojeće) i paropropusne folije u zoni zamjene (stavka uključuje rubni preklop i spoj na postojeću foliju).
Dobava i postava letve u dva smjera dimenzija u skladu s postojećom konstrukcijom.
Ako su ojačanja na vidljivim dijelovima potrebno je bojati sa Capadur Wetterschutzfarbe NQG u RAL 9010 s prethodnim nanošenjem temeljnog premaza sve prema uputama od proizvođača.
Sve izvoditi prema detaljnim uputama opisanim u Projektu građevinske konstrukcije.</t>
  </si>
  <si>
    <t>A4.</t>
  </si>
  <si>
    <t>Sanacija neuredno izvedenih prodora</t>
  </si>
  <si>
    <t>Stavka se odnosi na sanaciju točkastih oštećenja uslijed raznih zahvata na AB konstrukciji su nastala tijekom raznih prijašnjih zahvata.
Za reprofilaciju površine AB ploča na mjestima prodora koristiti jednokomponentni polimer-cementni mort sa kompenziranim skupljanjem, u debljini slojeva 6mm do 50mm, tipa kao SikaEmaco S 488.
Sve izvoditi prema detaljnim uputama opisanim u Projektu građevinske konstrukcije.</t>
  </si>
  <si>
    <t>A5.</t>
  </si>
  <si>
    <t>Ojačanje spojeva zabatnih zidova</t>
  </si>
  <si>
    <t xml:space="preserve">Stavka se odnosi na sanaciju zidova s unutarnje strane armiranjem sljubnica.
Pažljiva čišćenje sljubnica do dubine 4 do 5cm. Sljubnice se potom čiste od prašine zrakom pod pritiskom te vodom kako bi se uklonile sve nečistoće.
Spiralno oblikovana sidra izrezuju se na potrebu duljinu, pri čemu treba voditi računa da se postavljaju tako da s obje strane pukotine imaju duljinu od najmanje 50 cm.
Stavka uključuje i stabilizaciju zabatnog zida pričvršćivanjem zida i rubnog roga čeličnim 'L' profilima duljine 100cm. Sidre se sa po tri vijka u drvo odnosno opeku.
Sve izvoditi prema detaljnim uputama opisanim u Projektu građevinske konstrukcije.
</t>
  </si>
  <si>
    <t>Sljubnice</t>
  </si>
  <si>
    <t>Stabilizacija vrha</t>
  </si>
  <si>
    <t>A6.</t>
  </si>
  <si>
    <t>Izvedba novih rubni horizontalnih serklaža</t>
  </si>
  <si>
    <t>Stavka se odnosi na izvedbu stabilizacije bočnih zidova izvedbom novih horizontalnih serklaža.
Pažljivo izvođenje kampada za nove serklaže u širini od 100cm s dodatnih 50cm za preklop armature kako bi se izbjegla potreba za podupiranjem zida.
Kampade dimenzija 15x15cm  
Sve izvoditi prema detaljnim uputama opisanim u Projektu građevinske konstrukcije.</t>
  </si>
  <si>
    <t>A7.</t>
  </si>
  <si>
    <t>Izvedba novih vertikalnih serklaža</t>
  </si>
  <si>
    <t>Stavka se odnosi na izvedbu novih vertikalnih serklaža na sudaru zabatnih zidova ako ih na tim mjestima nema.
Pažljiva izrada utora u uglovima zidova od opeke dubine cca 15-20cm u širini od cca 30cm od unutarnjeg ugla zida za izvođenje novih vertikalnih serklaža.
Stavkom obuhvaćena sva potrebna oplata.
Sve izvoditi prema detaljnim uputama opisanim u Projektu građevinske konstrukcije.</t>
  </si>
  <si>
    <t>A8.</t>
  </si>
  <si>
    <t>Izvedba novih vanjskih stupova i podrožnice</t>
  </si>
  <si>
    <t>Stavka se odnosi na kompletno pročelje radi kombinacije dotrajalih stupova i podrožnica koje u kombinaciji zahtijevaju kompletnu zamjenu.
Pažljivo rušenje postojećih AB stupova promjera 30cm i visine 200-300cm s podupiranjem postojećih rogova.
Pažljiva demontaža postojeće podrožnice.
Izvedba dobava i montaža novih plastificiranih čeličnih stupova dimenzija 120x120x4mm sa sidrenom pločom 140x200x8mm i 'U' papučom 120x140x5mm, S235 za prihvat nove podrožnice.
Stup plastificiran u RAL 9010.
Stup se sidri preko sidrene ploče u novi AB parapetnih zid sa sidrenim vijcima za beton Wuerth W-FAZ PRO/S M10.
Stavkom je uključena izrada radioničke dokumentacije za nove stupove.
Dobava i montaža nove krovne konstrukcije koja se sastoji od podrožnice dimenzija 12/16cm duljine 8-10m'.
Vidljiva drvena građa će se bojati sa Capadur Wetterschutzfarbe NQG u RAL 9010 s prethodnim nanošenjem temeljnog premaza sve prema uputama od proizvođača.
Sve izvoditi prema detaljnim uputama opisanim u Projektu građevinske konstrukcije.</t>
  </si>
  <si>
    <t>Rušenje postojećih AB stupova 11,4m3</t>
  </si>
  <si>
    <t>Novi čelični stupovi:</t>
  </si>
  <si>
    <t>l=2,75m' kom 6</t>
  </si>
  <si>
    <t>l=2,25m' kom 8</t>
  </si>
  <si>
    <t>l=2,05m' kom 6</t>
  </si>
  <si>
    <t>Nove podrožnice:</t>
  </si>
  <si>
    <t>l=6m' kom 2</t>
  </si>
  <si>
    <t>l=8m' kom 1</t>
  </si>
  <si>
    <t>l=7,4m' kom 2</t>
  </si>
  <si>
    <t>Rušenje postojećih AB stupova 7,9m3</t>
  </si>
  <si>
    <t>l=2,15m' kom 13</t>
  </si>
  <si>
    <t>l=6,8m' kom 2</t>
  </si>
  <si>
    <t>l=17m' kom 1</t>
  </si>
  <si>
    <t>A9.</t>
  </si>
  <si>
    <t>Sanacija AB istaka</t>
  </si>
  <si>
    <t>Sanacija oštećenih balkona i raznih dotrajalih AB istaka na konstrukciji građevine.
Stavka uključuje:
- Faza 1
Čišćenje postojećeg betona kako bi se postigla čista površina bez prašine i rastresitog materijala. Oko korodirane armature treba biti očišćeno dovoljno betona kako bi se omogućilo čišćenje armature. 
Uklanjanje dotrajalih, slabih i oštećenih betonskih dijelova, te čišćenje vidljive armature od hrđe, kamenca, morta, betona i drugih labavih i štetnih materijala pjeskarenjem i ispiranje pod visokim pritiskom do Sa 2 (ISO 8501-1).
- Faza 2
Temeljno antikorozivno premazivanje armature uključujući dobavu i dostavu potrebnog premaza
- Faza 3
Reprofilacija AB ploče reparaturnim mortom uz predradnje postavljanja veznog mosta (tip proizvoda kao Sika Emaco S488 ili jednakovrijedno)
Završna obrada reparaturnog morta.
Sve izvoditi prema detaljnim uputama opisanim u Projektu građevinske konstrukcije.</t>
  </si>
  <si>
    <t>A10.</t>
  </si>
  <si>
    <t>Zamjena oštećenih metalnih papuča</t>
  </si>
  <si>
    <t>Nakon uklanjanja dijela fasade (zasebna stavka u glavnog troškovniku) uz metalne papuče obaviti ispitivanje spoja metalne papuče i same konstrukcije objekta .
Prema potrebi stavkom je predviđena zamjena dotrajalih metalnih papuča s novima.
Obračun po stvarnom broju zamijenjenih metalnih papuča i prema odobrenju Nadzora.
Sve izvoditi prema detaljnim uputama opisanim u Projektu građevinske konstrukcije.</t>
  </si>
  <si>
    <t>A11.</t>
  </si>
  <si>
    <t>Sanacija oštećenih rogova</t>
  </si>
  <si>
    <t>Stavka uključuje dobavu, dostavu i montažu svih elemenata potrebnih za sanaciju oštećenih rogova.
Oštećene i ispucale rogove je potrebno sanirati kitom za drvo (tip kao Wuerth Holzkit ili jednakovrijedno).
Nakon kitanja rogova se postavljaju novi drveni elementi, b/h=8/14 cm, bočno i povezuju se vijcima ASSY 4 WH Φ12 x200/100mm. Nova bočna drvena građa je duljine istih kao rogovi.
Ako su ojačanja na vidljivim dijelovima potrebno je bojati sa Capadur Wetterschutzfarbe NQG u RAL 9010 s prethodnim nanošenjem temeljnog premaza sve prema uputama od proizvođača.
Sve izvoditi prema detaljnim uputama opisanim u Projektu građevinske konstrukcije.</t>
  </si>
  <si>
    <t>Obračun po komadu stvarno izvedenih radova</t>
  </si>
  <si>
    <t>A12.</t>
  </si>
  <si>
    <t>Sanacija oštećenih podrožnica</t>
  </si>
  <si>
    <t>Stavka uključuje dobavu, dostavu i montažu svih elemenata potrebnih za sanaciju oštećenih podrožnica.
Oštećene i ispucale podrožnice je potrebno sanirati kitom za drvo (tip kao Wuerth Holzkit ili jednakovrijedno). Nakon kitanja podrožnica se postavljaju novi drveni elementi, b/h=8/24 cm, bočno i povezuju se vijcima ASSY 4 WH Φ12 x200/100mm. Nova bočna drvena građa je duljine istih kao podrožnice.
Ako su ojačanja na vidljivim dijelovima potrebno je bojati sa Capadur Wetterschutzfarbe NQG u RAL 9010 s prethodnim nanošenjem temeljnog premaza sve prema uputama od proizvođača.
Sve izvoditi prema detaljnim uputama opisanim u Projektu građevinske konstrukcije.</t>
  </si>
  <si>
    <t>A13.</t>
  </si>
  <si>
    <t>Sanacija oštećenih nadzidnica</t>
  </si>
  <si>
    <t>Stavka uključuje dobavu, dostavu i montažu svih elemenata potrebnih za sanaciju oštećenih nadzidnica.
Oštećene i ispucale nadzidnice je potrebno sanirati kitom za drvo (tip kao Wuerth Holzkit ili jednakovrijedno). Nakon kitanja rogova se postavljaju novi drveni elementi, b/h=8/20 cm, bočno i povezuju se vijcima ASSY 4 WH Φ12 x200/100mm. Nova bočna drvena građa je duljine istih kao nadzidnice.
Ako su ojačanja na vidljivim dijelovima potrebno je bojati sa Capadur Wetterschutzfarbe NQG u RAL 9010 s prethodnim nanošenjem temeljnog premaza sve prema uputama od proizvođača.
Sve izvoditi prema detaljnim uputama opisanim u Projektu građevinske konstrukcije.</t>
  </si>
  <si>
    <t>A14.</t>
  </si>
  <si>
    <t>Zamjena nadzidnice</t>
  </si>
  <si>
    <t>Stavkom obuhvaćena pažljiva demontaža postojećih rogova u širini nadzidnice dimenzija 12/14cm duljine 5,8-6,5m' radi nanove montaže istih (11 komada).
Pažljiva demontaža postojećih daski i paropropusne folije u rasponu do susjednog roga koji se ne mijenja, površine cca 78m2.
Pažljiva demontaža postojećih letvi i kontraletvi s crijepom površine cca 78m2
Dobava i montaža nove krovne konstrukcije koja se sastoji od nove nadzidnice dimenzija 20/20cm duljine 5,1m'+4,0m'.
Postava postojećih rogova na originalne pozicije (11 komada).
Dobava i postava novih daski (debljine kao i postojeće) i paropropusne folije u zoni zamjene (stavka uključuje rubni preklop i spoj na postojeću foliju).
Dobava i postava letve u dva smjera dimenzija u skladu s postojećom konstrukcijom.
Ako su ojačanja na vidljivim dijelovima potrebno je bojati sa Capadur Wetterschutzfarbe NQG u RAL 9010 s prethodnim nanošenjem temeljnog premaza sve prema uputama od proizvođača.
Sve izvoditi prema detaljnim uputama opisanim u Projektu građevinske konstrukcije.</t>
  </si>
  <si>
    <t>A15.</t>
  </si>
  <si>
    <t>Oštećenja krovnog vijenca</t>
  </si>
  <si>
    <t>Stavka se odnosi na sanaciju krovnog vijenca na mjestima oštećenja odnosno odvanjanja od fasade.
Nakon izvedbe skele za izvođenje nove fasade ustanoviti će se postojanost vijenca sondiranjem.
Radovi sanacije uključuju pažljivu demontažu završne obloge vijenca te rubnog crijepa.
Čišćenje postojeće podloge i priprema za postavu aquapanel outdoor, r.š. cca 60cm.
Završna obrada u stavci Fasaderskih radova.</t>
  </si>
  <si>
    <t>A-R</t>
  </si>
  <si>
    <t>NEPREDVIĐENI RADOVI (VTR 10%)</t>
  </si>
  <si>
    <t>SVEUKUPNO - Radovi demontaže i konstruktivne sanacije</t>
  </si>
  <si>
    <t>F2</t>
  </si>
  <si>
    <t>Krovopokrivački radovi</t>
  </si>
  <si>
    <t>F2.1</t>
  </si>
  <si>
    <t>POPRAVCI POSTOJEĆEG KROVIŠTA NA MJESTIMA UGRADNJE NOVIH PROZORA, ZATVARANJE POSTOJEĆIH I SL.</t>
  </si>
  <si>
    <t>Dobava i montaža drvene krovne konstrukcije kosog krova koja se sastoji od drvenih daski, paropropusne folije (stavka uključuje rubni preklop i spoj na postojeću foliju), letvi u dva smjera dimenzija kao i postojeće. Sve izvedeno prema pravilima struke i dimenzijama sukladnim postojećem stanju. Sva drvena građa crnogorica II. klase, tretirana jednoslojnom lazurom za zaštitu drva na bazi vode kao Remmers Adolit BQ 1.</t>
  </si>
  <si>
    <t>U cijeni stavke obuhvaćen sav vertikalni i horizontalni transport.</t>
  </si>
  <si>
    <t>Svakva uključuje i uklanjanje postojećih dotrajalih elemenata krovišta na mjestima gdje je to potrebnu u suglasnosti s nadzornim inženjerom.</t>
  </si>
  <si>
    <t>Obračun po m2 do kompletnog završetka (20% tlocrtne projekcije ukupnog krovišta).</t>
  </si>
  <si>
    <t>F2.2</t>
  </si>
  <si>
    <t>POKRIVANJE KROVA NOVIM BETONSKIM CRIJEPOM</t>
  </si>
  <si>
    <t>Dobava i pokrivanje krova novim betonskim crijepom u tonu i obliku kao i postojeći.
Stavka uključuje dobavu i postavu novog rubnog crijepa na mjestima uklanjanje radi dotrajalosti vijenca.
Izvođač je dužan prije postave dostaviti uzorak crijepa na odobrenje.</t>
  </si>
  <si>
    <t>Obračun po m2 do kompletnog završetka (30% tlocrtne projekcije ukupnog krovišta).</t>
  </si>
  <si>
    <t>F2.3</t>
  </si>
  <si>
    <t>DOBAVA I POSTAVA KAŠIRANA KAMENA VUNA IZNAD GK STROPA</t>
  </si>
  <si>
    <t>Dobava i ugradnja materijala za toplinsku izolaciju. Slobodno polaganje ploča od kamene vune debljine 15cm, kaširane Alu-folijom između rogova i na gk ploče stuštenog stropa.</t>
  </si>
  <si>
    <t>Obračun po m2 (tlocrtna projekcija) do kompletnog završetka.</t>
  </si>
  <si>
    <t>F2.4</t>
  </si>
  <si>
    <t>ZAVRŠNO ISPITIVANJE NEPROPUSNOSTI CIJELOG KROVA</t>
  </si>
  <si>
    <t>Ispitivanje se vrši nakon završetka svih radova mlazom vode niskoga tlaka prije montaže spuštenog stropa. Ispitivanje vršiti prisustvo nadzornog inženjera u trajanju od najmanje 4h.</t>
  </si>
  <si>
    <t>F2.5</t>
  </si>
  <si>
    <t>BRUŠENJE POSTOJEĆEG PODGLEDA NADSTREŠNICA</t>
  </si>
  <si>
    <t>Brušenje i čišćenje postojećih drvenih daski.
Nakon dobro pripremenjene i očišćene podloge, drvo se štiti jednoslojnim lazurom za zaštitu drva na bazi vode kao Remmers Adolit BQ 1 te se boja s Capadur Wetterschutzfarbe NQG u RAL 9010 s prethodnim nanošenjem temeljnog premaza sve prema uputama od proizvođača.</t>
  </si>
  <si>
    <t>F2.6</t>
  </si>
  <si>
    <t>KITANJE I LIČENJE POSTOJEĆIH VIDLJIVIH ROGOVA</t>
  </si>
  <si>
    <t>Kitanje vanjskih vidljivih rogova dimenzija 12/14cm, duljine 100-200cm na mjestima oštećenja kitom za drvo (tip kao Wuerth Holzkit ili jednakovrijedno) nakon čega se rogovi bojaju sa Capadur Wetterschutzfarbe NQG u RAL 9010 s prethodnim nanošenjem temeljnog premaza sve prema uputama od proizvođača.</t>
  </si>
  <si>
    <t>F2-R</t>
  </si>
  <si>
    <t>Krovopokrivački radovi ukupno za 5 zgrada tipa B:</t>
  </si>
  <si>
    <t>POPRAVCI POSTOJEĆEG KROVIŠTA NA MJESTIMA UGRADNJE NOVIH PROZORA, ZATVARANJE POSTOJOĆIH I SL.</t>
  </si>
  <si>
    <t>Krovopokrivački radovi ukupno</t>
  </si>
  <si>
    <t>Krovopokrivački radovi ukupno za 6 zgrada tipa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</si>
</sst>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2]\ #,##0.00"/>
    <numFmt numFmtId="165" formatCode="#,##0.00_ ;[Red]\-#,##0.00\ "/>
    <numFmt numFmtId="166" formatCode="_-* #,##0.00\ _k_n_-;\-* #,##0.00\ _k_n_-;_-* &quot;-&quot;??\ _k_n_-;_-@_-"/>
    <numFmt numFmtId="167" formatCode="_-* #,##0.00\ _k_n_-;\-* #,##0.00\ _k_n_-;_-* \-??\ _k_n_-;_-@_-"/>
  </numFmts>
  <fonts count="101" x14ac:knownFonts="1">
    <font>
      <sz val="11"/>
      <color theme="1"/>
      <name val="Calibri"/>
      <family val="2"/>
      <charset val="238"/>
      <scheme val="minor"/>
    </font>
    <font>
      <sz val="11"/>
      <color theme="1"/>
      <name val="Calibri"/>
      <family val="2"/>
      <charset val="238"/>
      <scheme val="minor"/>
    </font>
    <font>
      <sz val="10"/>
      <color theme="1"/>
      <name val="Calibri"/>
      <family val="2"/>
      <charset val="238"/>
      <scheme val="minor"/>
    </font>
    <font>
      <sz val="12"/>
      <color theme="1"/>
      <name val="Calibri"/>
      <family val="2"/>
      <charset val="238"/>
      <scheme val="minor"/>
    </font>
    <font>
      <sz val="12"/>
      <color theme="1"/>
      <name val="Arial"/>
      <family val="2"/>
    </font>
    <font>
      <b/>
      <sz val="12"/>
      <color theme="1"/>
      <name val="Arial"/>
      <family val="2"/>
    </font>
    <font>
      <i/>
      <sz val="11"/>
      <name val="Arial"/>
      <family val="2"/>
    </font>
    <font>
      <sz val="11"/>
      <color theme="1"/>
      <name val="Arial"/>
      <family val="2"/>
    </font>
    <font>
      <sz val="10"/>
      <color theme="1"/>
      <name val="Arial"/>
      <family val="2"/>
    </font>
    <font>
      <b/>
      <sz val="11"/>
      <color theme="1"/>
      <name val="Arial"/>
      <family val="2"/>
    </font>
    <font>
      <sz val="9"/>
      <name val="Arial"/>
      <family val="2"/>
    </font>
    <font>
      <b/>
      <sz val="10"/>
      <color theme="1"/>
      <name val="Arial"/>
      <family val="2"/>
    </font>
    <font>
      <b/>
      <i/>
      <sz val="9"/>
      <name val="Arial"/>
      <family val="2"/>
    </font>
    <font>
      <b/>
      <sz val="9"/>
      <name val="Arial"/>
      <family val="2"/>
    </font>
    <font>
      <sz val="16"/>
      <color theme="1"/>
      <name val="Arial"/>
      <family val="2"/>
    </font>
    <font>
      <sz val="11"/>
      <name val="Arial"/>
      <family val="2"/>
    </font>
    <font>
      <sz val="10"/>
      <color rgb="FFFF0000"/>
      <name val="Arial"/>
      <family val="2"/>
    </font>
    <font>
      <sz val="10"/>
      <name val="Arial"/>
      <family val="2"/>
      <charset val="238"/>
    </font>
    <font>
      <i/>
      <sz val="10"/>
      <name val="Arial"/>
      <family val="2"/>
    </font>
    <font>
      <sz val="11"/>
      <color rgb="FF000000"/>
      <name val="Calibri"/>
      <family val="2"/>
      <charset val="1"/>
    </font>
    <font>
      <b/>
      <sz val="11"/>
      <name val="Arial"/>
      <family val="2"/>
    </font>
    <font>
      <sz val="10"/>
      <name val="Arial"/>
      <family val="2"/>
    </font>
    <font>
      <b/>
      <sz val="16"/>
      <color theme="1"/>
      <name val="Arial"/>
      <family val="2"/>
    </font>
    <font>
      <b/>
      <i/>
      <sz val="11"/>
      <name val="Arial"/>
      <family val="2"/>
    </font>
    <font>
      <sz val="11"/>
      <name val="Calibri"/>
      <family val="2"/>
      <charset val="238"/>
      <scheme val="minor"/>
    </font>
    <font>
      <sz val="10"/>
      <name val="Calibri"/>
      <family val="2"/>
      <charset val="238"/>
      <scheme val="minor"/>
    </font>
    <font>
      <sz val="11"/>
      <name val="Arial"/>
      <family val="2"/>
      <charset val="238"/>
    </font>
    <font>
      <b/>
      <sz val="12"/>
      <name val="Arial"/>
      <family val="2"/>
    </font>
    <font>
      <i/>
      <sz val="10"/>
      <name val="Arial"/>
      <family val="2"/>
      <charset val="238"/>
    </font>
    <font>
      <sz val="12"/>
      <name val="Arial"/>
      <family val="2"/>
    </font>
    <font>
      <b/>
      <sz val="10"/>
      <name val="Arial"/>
      <family val="2"/>
      <charset val="238"/>
    </font>
    <font>
      <sz val="11"/>
      <color rgb="FFFF0000"/>
      <name val="Arial"/>
      <family val="2"/>
    </font>
    <font>
      <i/>
      <sz val="9"/>
      <color theme="1"/>
      <name val="Arial"/>
      <family val="2"/>
    </font>
    <font>
      <b/>
      <i/>
      <sz val="9"/>
      <color theme="1"/>
      <name val="Arial"/>
      <family val="2"/>
    </font>
    <font>
      <i/>
      <sz val="11"/>
      <color theme="1"/>
      <name val="Arial"/>
      <family val="2"/>
    </font>
    <font>
      <b/>
      <i/>
      <sz val="10"/>
      <name val="Arial"/>
      <family val="2"/>
    </font>
    <font>
      <b/>
      <i/>
      <sz val="10"/>
      <name val="Arial"/>
      <family val="2"/>
      <charset val="238"/>
    </font>
    <font>
      <i/>
      <u/>
      <sz val="10"/>
      <name val="Arial"/>
      <family val="2"/>
    </font>
    <font>
      <i/>
      <u/>
      <sz val="10"/>
      <name val="Arial"/>
      <family val="2"/>
      <charset val="238"/>
    </font>
    <font>
      <b/>
      <i/>
      <sz val="10"/>
      <name val="Arial"/>
      <family val="2"/>
      <charset val="1"/>
    </font>
    <font>
      <i/>
      <sz val="10"/>
      <name val="Arial"/>
      <family val="2"/>
      <charset val="1"/>
    </font>
    <font>
      <u/>
      <sz val="11"/>
      <color theme="1"/>
      <name val="Arial"/>
      <family val="2"/>
    </font>
    <font>
      <u/>
      <sz val="10"/>
      <color theme="1"/>
      <name val="Calibri"/>
      <family val="2"/>
      <charset val="238"/>
      <scheme val="minor"/>
    </font>
    <font>
      <u/>
      <sz val="11"/>
      <color theme="1"/>
      <name val="Calibri"/>
      <family val="2"/>
      <charset val="238"/>
      <scheme val="minor"/>
    </font>
    <font>
      <sz val="12"/>
      <name val="Calibri"/>
      <family val="2"/>
      <charset val="238"/>
      <scheme val="minor"/>
    </font>
    <font>
      <b/>
      <sz val="12"/>
      <name val="Arial"/>
      <family val="2"/>
      <charset val="238"/>
    </font>
    <font>
      <b/>
      <sz val="11"/>
      <name val="Arial"/>
      <family val="2"/>
      <charset val="238"/>
    </font>
    <font>
      <sz val="11"/>
      <color rgb="FFFF0000"/>
      <name val="Calibri"/>
      <family val="2"/>
      <charset val="238"/>
      <scheme val="minor"/>
    </font>
    <font>
      <sz val="12"/>
      <color rgb="FFFF0000"/>
      <name val="Arial"/>
      <family val="2"/>
    </font>
    <font>
      <sz val="11"/>
      <color rgb="FFFF0000"/>
      <name val="Arial"/>
      <family val="2"/>
      <charset val="238"/>
    </font>
    <font>
      <sz val="10"/>
      <color rgb="FFFF0000"/>
      <name val="Calibri"/>
      <family val="2"/>
      <charset val="238"/>
      <scheme val="minor"/>
    </font>
    <font>
      <sz val="11"/>
      <color rgb="FF9C5700"/>
      <name val="Calibri"/>
      <family val="2"/>
      <charset val="238"/>
      <scheme val="minor"/>
    </font>
    <font>
      <sz val="11"/>
      <color theme="1"/>
      <name val="Calibri"/>
      <family val="2"/>
      <scheme val="minor"/>
    </font>
    <font>
      <sz val="8"/>
      <color indexed="8"/>
      <name val="Arial"/>
      <family val="2"/>
      <charset val="238"/>
    </font>
    <font>
      <sz val="11"/>
      <color rgb="FF9C6500"/>
      <name val="Calibri"/>
      <family val="2"/>
      <charset val="238"/>
      <scheme val="minor"/>
    </font>
    <font>
      <sz val="11"/>
      <color rgb="FF000000"/>
      <name val="Calibri"/>
      <family val="2"/>
      <charset val="238"/>
    </font>
    <font>
      <sz val="10"/>
      <color rgb="FF9C6500"/>
      <name val="Tahoma"/>
      <family val="2"/>
      <charset val="238"/>
    </font>
    <font>
      <sz val="10"/>
      <color indexed="8"/>
      <name val="Tahoma"/>
      <family val="2"/>
      <charset val="238"/>
    </font>
    <font>
      <sz val="11"/>
      <color indexed="8"/>
      <name val="Calibri"/>
      <family val="2"/>
      <charset val="238"/>
    </font>
    <font>
      <i/>
      <sz val="11"/>
      <color indexed="23"/>
      <name val="Calibri"/>
      <family val="2"/>
      <charset val="238"/>
    </font>
    <font>
      <sz val="11"/>
      <color rgb="FFEE0000"/>
      <name val="Arial"/>
      <family val="2"/>
    </font>
    <font>
      <sz val="11"/>
      <color rgb="FFEE0000"/>
      <name val="Calibri"/>
      <family val="2"/>
      <charset val="238"/>
      <scheme val="minor"/>
    </font>
    <font>
      <b/>
      <sz val="10"/>
      <color rgb="FFFF0000"/>
      <name val="Arial"/>
      <family val="2"/>
      <charset val="238"/>
    </font>
    <font>
      <sz val="11"/>
      <color rgb="FF00B050"/>
      <name val="Arial"/>
      <family val="2"/>
    </font>
    <font>
      <sz val="10"/>
      <color rgb="FF00B050"/>
      <name val="Arial"/>
      <family val="2"/>
    </font>
    <font>
      <i/>
      <sz val="10"/>
      <color rgb="FF00B050"/>
      <name val="Arial"/>
      <family val="2"/>
    </font>
    <font>
      <sz val="11"/>
      <color rgb="FF00B050"/>
      <name val="Calibri"/>
      <family val="2"/>
      <charset val="238"/>
      <scheme val="minor"/>
    </font>
    <font>
      <sz val="11"/>
      <color rgb="FF0070C0"/>
      <name val="Arial"/>
      <family val="2"/>
    </font>
    <font>
      <sz val="10"/>
      <color rgb="FF0070C0"/>
      <name val="Arial"/>
      <family val="2"/>
    </font>
    <font>
      <i/>
      <sz val="10"/>
      <color rgb="FF0070C0"/>
      <name val="Arial"/>
      <family val="2"/>
    </font>
    <font>
      <sz val="11"/>
      <color rgb="FF009900"/>
      <name val="Arial"/>
      <family val="2"/>
      <charset val="238"/>
    </font>
    <font>
      <sz val="10"/>
      <color rgb="FF009900"/>
      <name val="Arial"/>
      <family val="2"/>
    </font>
    <font>
      <i/>
      <sz val="10"/>
      <color rgb="FF009900"/>
      <name val="Arial"/>
      <family val="2"/>
    </font>
    <font>
      <sz val="11"/>
      <color rgb="FF009900"/>
      <name val="Arial"/>
      <family val="2"/>
    </font>
    <font>
      <sz val="11"/>
      <color rgb="FF009900"/>
      <name val="Calibri"/>
      <family val="2"/>
      <charset val="238"/>
      <scheme val="minor"/>
    </font>
    <font>
      <sz val="11"/>
      <color rgb="FF7030A0"/>
      <name val="Arial"/>
      <family val="2"/>
    </font>
    <font>
      <sz val="11"/>
      <color rgb="FF7030A0"/>
      <name val="Calibri"/>
      <family val="2"/>
      <charset val="238"/>
      <scheme val="minor"/>
    </font>
    <font>
      <strike/>
      <sz val="11"/>
      <color rgb="FFFF0000"/>
      <name val="Arial"/>
      <family val="2"/>
      <charset val="238"/>
    </font>
    <font>
      <strike/>
      <sz val="11"/>
      <color rgb="FFFF0000"/>
      <name val="Arial"/>
      <family val="2"/>
    </font>
    <font>
      <strike/>
      <sz val="11"/>
      <color rgb="FFFF0000"/>
      <name val="Calibri"/>
      <family val="2"/>
      <charset val="238"/>
      <scheme val="minor"/>
    </font>
    <font>
      <strike/>
      <sz val="10"/>
      <color rgb="FFFF0000"/>
      <name val="Arial"/>
      <family val="2"/>
    </font>
    <font>
      <i/>
      <strike/>
      <sz val="10"/>
      <color rgb="FFFF0000"/>
      <name val="Arial"/>
      <family val="2"/>
    </font>
    <font>
      <sz val="10"/>
      <color rgb="FF009900"/>
      <name val="Calibri"/>
      <family val="2"/>
      <charset val="238"/>
      <scheme val="minor"/>
    </font>
    <font>
      <sz val="10"/>
      <color rgb="FF7030A0"/>
      <name val="Arial"/>
      <family val="2"/>
      <charset val="238"/>
    </font>
    <font>
      <sz val="10"/>
      <color rgb="FF7030A0"/>
      <name val="Arial"/>
      <family val="2"/>
    </font>
    <font>
      <i/>
      <sz val="10"/>
      <color rgb="FF7030A0"/>
      <name val="Arial"/>
      <family val="2"/>
      <charset val="238"/>
    </font>
    <font>
      <sz val="10"/>
      <color rgb="FF7030A0"/>
      <name val="Calibri"/>
      <family val="2"/>
      <charset val="238"/>
      <scheme val="minor"/>
    </font>
    <font>
      <sz val="11"/>
      <color rgb="FF00B050"/>
      <name val="Arial"/>
      <family val="2"/>
      <charset val="238"/>
    </font>
    <font>
      <sz val="11"/>
      <color rgb="FF7030A0"/>
      <name val="Arial"/>
      <family val="2"/>
      <charset val="238"/>
    </font>
    <font>
      <sz val="11"/>
      <color rgb="FF0070C0"/>
      <name val="Calibri"/>
      <family val="2"/>
      <charset val="238"/>
      <scheme val="minor"/>
    </font>
    <font>
      <sz val="10"/>
      <color rgb="FF00B050"/>
      <name val="Calibri"/>
      <family val="2"/>
      <charset val="238"/>
      <scheme val="minor"/>
    </font>
    <font>
      <sz val="11"/>
      <color rgb="FF0070C0"/>
      <name val="Arial"/>
      <family val="2"/>
      <charset val="238"/>
    </font>
    <font>
      <sz val="11"/>
      <color rgb="FF007BB8"/>
      <name val="Arial"/>
      <family val="2"/>
    </font>
    <font>
      <sz val="11"/>
      <color rgb="FF007BB8"/>
      <name val="Calibri"/>
      <family val="2"/>
      <charset val="238"/>
      <scheme val="minor"/>
    </font>
    <font>
      <sz val="10"/>
      <color rgb="FF0070C0"/>
      <name val="Calibri"/>
      <family val="2"/>
      <charset val="238"/>
      <scheme val="minor"/>
    </font>
    <font>
      <sz val="10"/>
      <color theme="4"/>
      <name val="Arial"/>
      <family val="2"/>
    </font>
    <font>
      <sz val="11"/>
      <color theme="4"/>
      <name val="Arial"/>
      <family val="2"/>
    </font>
    <font>
      <i/>
      <sz val="10"/>
      <color theme="4"/>
      <name val="Arial"/>
      <family val="2"/>
    </font>
    <font>
      <sz val="10"/>
      <color rgb="FF0070C0"/>
      <name val="Arial"/>
      <family val="2"/>
      <charset val="238"/>
    </font>
    <font>
      <i/>
      <sz val="10"/>
      <color rgb="FF0070C0"/>
      <name val="Arial"/>
      <family val="2"/>
      <charset val="238"/>
    </font>
    <font>
      <b/>
      <i/>
      <sz val="11"/>
      <name val="Arial"/>
      <family val="2"/>
      <charset val="238"/>
    </font>
  </fonts>
  <fills count="12">
    <fill>
      <patternFill patternType="none"/>
    </fill>
    <fill>
      <patternFill patternType="gray125"/>
    </fill>
    <fill>
      <patternFill patternType="solid">
        <fgColor theme="4" tint="0.59999389629810485"/>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rgb="FFFFFFFF"/>
        <bgColor rgb="FFFFFFCC"/>
      </patternFill>
    </fill>
    <fill>
      <patternFill patternType="solid">
        <fgColor rgb="FFFFEB9C"/>
      </patternFill>
    </fill>
    <fill>
      <patternFill patternType="solid">
        <fgColor rgb="FFFFFFCC"/>
      </patternFill>
    </fill>
    <fill>
      <patternFill patternType="solid">
        <fgColor rgb="FFFFFF00"/>
        <bgColor indexed="64"/>
      </patternFill>
    </fill>
  </fills>
  <borders count="29">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diagonal/>
    </border>
    <border>
      <left/>
      <right style="thin">
        <color auto="1"/>
      </right>
      <top/>
      <bottom/>
      <diagonal/>
    </border>
    <border>
      <left/>
      <right/>
      <top style="thin">
        <color auto="1"/>
      </top>
      <bottom/>
      <diagonal/>
    </border>
    <border>
      <left style="thin">
        <color auto="1"/>
      </left>
      <right style="medium">
        <color indexed="64"/>
      </right>
      <top style="thin">
        <color auto="1"/>
      </top>
      <bottom style="thin">
        <color auto="1"/>
      </bottom>
      <diagonal/>
    </border>
    <border>
      <left style="thin">
        <color auto="1"/>
      </left>
      <right style="medium">
        <color indexed="64"/>
      </right>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bottom/>
      <diagonal/>
    </border>
    <border>
      <left style="thin">
        <color rgb="FFB2B2B2"/>
      </left>
      <right style="thin">
        <color rgb="FFB2B2B2"/>
      </right>
      <top style="thin">
        <color rgb="FFB2B2B2"/>
      </top>
      <bottom style="thin">
        <color rgb="FFB2B2B2"/>
      </bottom>
      <diagonal/>
    </border>
    <border>
      <left style="medium">
        <color indexed="64"/>
      </left>
      <right style="thin">
        <color auto="1"/>
      </right>
      <top style="thin">
        <color auto="1"/>
      </top>
      <bottom style="thin">
        <color auto="1"/>
      </bottom>
      <diagonal/>
    </border>
    <border>
      <left style="medium">
        <color indexed="64"/>
      </left>
      <right/>
      <top/>
      <bottom/>
      <diagonal/>
    </border>
    <border>
      <left style="medium">
        <color indexed="64"/>
      </left>
      <right style="thin">
        <color auto="1"/>
      </right>
      <top/>
      <bottom style="thin">
        <color auto="1"/>
      </bottom>
      <diagonal/>
    </border>
    <border>
      <left style="medium">
        <color indexed="64"/>
      </left>
      <right/>
      <top style="thin">
        <color auto="1"/>
      </top>
      <bottom style="thin">
        <color auto="1"/>
      </bottom>
      <diagonal/>
    </border>
    <border>
      <left style="medium">
        <color indexed="64"/>
      </left>
      <right/>
      <top style="medium">
        <color indexed="64"/>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s>
  <cellStyleXfs count="62">
    <xf numFmtId="0" fontId="0" fillId="0" borderId="0"/>
    <xf numFmtId="166" fontId="1" fillId="0" borderId="0"/>
    <xf numFmtId="0" fontId="17" fillId="0" borderId="0"/>
    <xf numFmtId="0" fontId="17" fillId="0" borderId="0"/>
    <xf numFmtId="0" fontId="19" fillId="0" borderId="0"/>
    <xf numFmtId="0" fontId="52" fillId="0" borderId="0"/>
    <xf numFmtId="0" fontId="1" fillId="0" borderId="0"/>
    <xf numFmtId="0" fontId="17" fillId="0" borderId="0"/>
    <xf numFmtId="0" fontId="17" fillId="0" borderId="0"/>
    <xf numFmtId="0" fontId="1" fillId="0" borderId="0"/>
    <xf numFmtId="0" fontId="17" fillId="0" borderId="0">
      <alignment vertical="top"/>
    </xf>
    <xf numFmtId="0" fontId="21" fillId="0" borderId="0"/>
    <xf numFmtId="166" fontId="17" fillId="0" borderId="0"/>
    <xf numFmtId="0" fontId="17" fillId="0" borderId="0"/>
    <xf numFmtId="0" fontId="52" fillId="0" borderId="0"/>
    <xf numFmtId="0" fontId="17" fillId="0" borderId="0">
      <alignment vertical="top"/>
    </xf>
    <xf numFmtId="0" fontId="17" fillId="0" borderId="0"/>
    <xf numFmtId="0" fontId="17" fillId="0" borderId="0"/>
    <xf numFmtId="0" fontId="55" fillId="0" borderId="0"/>
    <xf numFmtId="0" fontId="17" fillId="0" borderId="0"/>
    <xf numFmtId="0" fontId="51" fillId="9" borderId="0"/>
    <xf numFmtId="0" fontId="56" fillId="9" borderId="0"/>
    <xf numFmtId="0" fontId="57" fillId="0" borderId="0"/>
    <xf numFmtId="0" fontId="54" fillId="9" borderId="0"/>
    <xf numFmtId="0" fontId="17" fillId="0" borderId="0"/>
    <xf numFmtId="0" fontId="17" fillId="0" borderId="0"/>
    <xf numFmtId="0" fontId="17" fillId="0" borderId="0"/>
    <xf numFmtId="0" fontId="58" fillId="0" borderId="0"/>
    <xf numFmtId="0" fontId="1" fillId="0" borderId="0"/>
    <xf numFmtId="0" fontId="1" fillId="0" borderId="0"/>
    <xf numFmtId="0" fontId="53" fillId="0" borderId="0"/>
    <xf numFmtId="0" fontId="1" fillId="0" borderId="0"/>
    <xf numFmtId="166" fontId="52" fillId="0" borderId="0"/>
    <xf numFmtId="0" fontId="52" fillId="10" borderId="21"/>
    <xf numFmtId="43" fontId="52" fillId="0" borderId="0"/>
    <xf numFmtId="0" fontId="1" fillId="0" borderId="0"/>
    <xf numFmtId="0" fontId="1" fillId="0" borderId="0"/>
    <xf numFmtId="0" fontId="1" fillId="0" borderId="0"/>
    <xf numFmtId="0" fontId="1" fillId="0" borderId="0"/>
    <xf numFmtId="0" fontId="52" fillId="0" borderId="0"/>
    <xf numFmtId="0" fontId="1" fillId="0" borderId="0"/>
    <xf numFmtId="0" fontId="59" fillId="0" borderId="0"/>
    <xf numFmtId="0" fontId="17" fillId="0" borderId="0"/>
    <xf numFmtId="43" fontId="52" fillId="0" borderId="0"/>
    <xf numFmtId="0" fontId="17" fillId="0" borderId="0"/>
    <xf numFmtId="0" fontId="17" fillId="0" borderId="0"/>
    <xf numFmtId="166" fontId="17" fillId="0" borderId="0"/>
    <xf numFmtId="0" fontId="17" fillId="0" borderId="0"/>
    <xf numFmtId="166" fontId="17" fillId="0" borderId="0"/>
    <xf numFmtId="0" fontId="17" fillId="0" borderId="0"/>
    <xf numFmtId="4" fontId="17" fillId="0" borderId="0">
      <alignment vertical="justify"/>
    </xf>
    <xf numFmtId="0" fontId="17" fillId="0" borderId="0"/>
    <xf numFmtId="0" fontId="17" fillId="0" borderId="0"/>
    <xf numFmtId="0" fontId="1" fillId="0" borderId="0"/>
    <xf numFmtId="167" fontId="17" fillId="0" borderId="0"/>
    <xf numFmtId="0" fontId="17" fillId="0" borderId="0"/>
    <xf numFmtId="0" fontId="1" fillId="0" borderId="0"/>
    <xf numFmtId="0" fontId="17" fillId="0" borderId="0"/>
    <xf numFmtId="0" fontId="17" fillId="0" borderId="0"/>
    <xf numFmtId="0" fontId="1" fillId="0" borderId="0"/>
    <xf numFmtId="0" fontId="17" fillId="0" borderId="0"/>
    <xf numFmtId="0" fontId="52" fillId="0" borderId="0"/>
  </cellStyleXfs>
  <cellXfs count="447">
    <xf numFmtId="0" fontId="0" fillId="0" borderId="0" xfId="0"/>
    <xf numFmtId="0" fontId="2" fillId="0" borderId="0" xfId="0" applyFont="1"/>
    <xf numFmtId="0" fontId="3" fillId="0" borderId="0" xfId="0" applyFont="1"/>
    <xf numFmtId="0" fontId="4" fillId="0" borderId="0" xfId="0" applyFont="1"/>
    <xf numFmtId="0" fontId="7" fillId="0" borderId="0" xfId="0" applyFont="1"/>
    <xf numFmtId="0" fontId="8" fillId="0" borderId="0" xfId="0" applyFont="1"/>
    <xf numFmtId="0" fontId="8" fillId="0" borderId="0" xfId="0" applyFont="1" applyAlignment="1">
      <alignment horizontal="left" vertical="top"/>
    </xf>
    <xf numFmtId="0" fontId="13" fillId="3" borderId="2" xfId="0" applyFont="1" applyFill="1" applyBorder="1" applyAlignment="1">
      <alignment vertical="top"/>
    </xf>
    <xf numFmtId="0" fontId="8" fillId="0" borderId="0" xfId="0" applyFont="1" applyAlignment="1">
      <alignment horizontal="right"/>
    </xf>
    <xf numFmtId="164" fontId="6" fillId="3" borderId="2" xfId="1" quotePrefix="1" applyNumberFormat="1" applyFont="1" applyFill="1" applyBorder="1" applyAlignment="1">
      <alignment horizontal="right"/>
    </xf>
    <xf numFmtId="0" fontId="14" fillId="0" borderId="0" xfId="0" applyFont="1"/>
    <xf numFmtId="0" fontId="16" fillId="0" borderId="0" xfId="0" applyFont="1" applyAlignment="1">
      <alignment horizontal="right" vertical="top"/>
    </xf>
    <xf numFmtId="0" fontId="7" fillId="0" borderId="0" xfId="0" applyFont="1" applyAlignment="1">
      <alignment vertical="center"/>
    </xf>
    <xf numFmtId="0" fontId="7" fillId="0" borderId="0" xfId="0" applyFont="1" applyAlignment="1">
      <alignment horizontal="right" vertical="center"/>
    </xf>
    <xf numFmtId="0" fontId="7" fillId="0" borderId="0" xfId="0" applyFont="1" applyAlignment="1">
      <alignment horizontal="left" vertical="center"/>
    </xf>
    <xf numFmtId="0" fontId="11" fillId="0" borderId="0" xfId="0" applyFont="1" applyAlignment="1">
      <alignment horizontal="right" vertical="top"/>
    </xf>
    <xf numFmtId="0" fontId="8" fillId="0" borderId="0" xfId="0" applyFont="1" applyAlignment="1">
      <alignment horizontal="right" vertical="top"/>
    </xf>
    <xf numFmtId="0" fontId="8" fillId="0" borderId="0" xfId="0" applyFont="1" applyAlignment="1">
      <alignment vertical="center"/>
    </xf>
    <xf numFmtId="0" fontId="8" fillId="0" borderId="0" xfId="0" applyFont="1" applyAlignment="1">
      <alignment horizontal="right" vertical="top" wrapText="1"/>
    </xf>
    <xf numFmtId="0" fontId="9" fillId="0" borderId="0" xfId="0" applyFont="1" applyAlignment="1">
      <alignment horizontal="right" vertical="top"/>
    </xf>
    <xf numFmtId="0" fontId="8" fillId="0" borderId="0" xfId="0" applyFont="1" applyAlignment="1">
      <alignment horizontal="left" vertical="center"/>
    </xf>
    <xf numFmtId="0" fontId="7" fillId="0" borderId="0" xfId="0" applyFont="1" applyAlignment="1">
      <alignment vertical="top"/>
    </xf>
    <xf numFmtId="2" fontId="18" fillId="0" borderId="0" xfId="1" applyNumberFormat="1" applyFont="1" applyAlignment="1">
      <alignment horizontal="right"/>
    </xf>
    <xf numFmtId="2" fontId="18" fillId="0" borderId="5" xfId="1" applyNumberFormat="1" applyFont="1" applyBorder="1" applyAlignment="1">
      <alignment horizontal="center"/>
    </xf>
    <xf numFmtId="0" fontId="21" fillId="0" borderId="0" xfId="0" applyFont="1" applyAlignment="1">
      <alignment horizontal="left" vertical="top" wrapText="1"/>
    </xf>
    <xf numFmtId="0" fontId="21" fillId="0" borderId="0" xfId="0" applyFont="1" applyAlignment="1">
      <alignment horizontal="center"/>
    </xf>
    <xf numFmtId="2" fontId="21" fillId="0" borderId="0" xfId="0" applyNumberFormat="1" applyFont="1" applyAlignment="1">
      <alignment horizontal="center"/>
    </xf>
    <xf numFmtId="0" fontId="21" fillId="0" borderId="5" xfId="0" applyFont="1" applyBorder="1" applyAlignment="1">
      <alignment horizontal="left" vertical="top" wrapText="1"/>
    </xf>
    <xf numFmtId="0" fontId="21" fillId="0" borderId="5" xfId="0" applyFont="1" applyBorder="1"/>
    <xf numFmtId="2" fontId="21" fillId="0" borderId="5" xfId="0" applyNumberFormat="1" applyFont="1" applyBorder="1" applyAlignment="1">
      <alignment horizontal="center"/>
    </xf>
    <xf numFmtId="0" fontId="21" fillId="0" borderId="0" xfId="0" applyFont="1" applyAlignment="1">
      <alignment vertical="top" wrapText="1"/>
    </xf>
    <xf numFmtId="0" fontId="21" fillId="0" borderId="0" xfId="0" applyFont="1"/>
    <xf numFmtId="0" fontId="25" fillId="0" borderId="0" xfId="0" applyFont="1"/>
    <xf numFmtId="0" fontId="15" fillId="3" borderId="7" xfId="0" applyFont="1" applyFill="1" applyBorder="1" applyAlignment="1">
      <alignment horizontal="right" vertical="center"/>
    </xf>
    <xf numFmtId="2" fontId="15" fillId="3" borderId="2" xfId="0" applyNumberFormat="1" applyFont="1" applyFill="1" applyBorder="1" applyAlignment="1">
      <alignment horizontal="center"/>
    </xf>
    <xf numFmtId="2" fontId="28" fillId="0" borderId="0" xfId="1" applyNumberFormat="1" applyFont="1" applyAlignment="1">
      <alignment horizontal="right"/>
    </xf>
    <xf numFmtId="2" fontId="21" fillId="0" borderId="2" xfId="0" applyNumberFormat="1" applyFont="1" applyBorder="1" applyAlignment="1">
      <alignment horizontal="center"/>
    </xf>
    <xf numFmtId="0" fontId="16" fillId="0" borderId="0" xfId="0" applyFont="1"/>
    <xf numFmtId="2" fontId="18" fillId="0" borderId="0" xfId="1" applyNumberFormat="1" applyFont="1" applyAlignment="1">
      <alignment horizontal="center"/>
    </xf>
    <xf numFmtId="0" fontId="27" fillId="4" borderId="5" xfId="0" applyFont="1" applyFill="1" applyBorder="1"/>
    <xf numFmtId="0" fontId="29" fillId="4" borderId="5" xfId="0" applyFont="1" applyFill="1" applyBorder="1"/>
    <xf numFmtId="0" fontId="29" fillId="4" borderId="7" xfId="0" applyFont="1" applyFill="1" applyBorder="1"/>
    <xf numFmtId="0" fontId="24" fillId="0" borderId="0" xfId="0" applyFont="1"/>
    <xf numFmtId="0" fontId="20" fillId="3" borderId="5" xfId="0" applyFont="1" applyFill="1" applyBorder="1" applyAlignment="1">
      <alignment horizontal="left" vertical="center"/>
    </xf>
    <xf numFmtId="0" fontId="15" fillId="0" borderId="0" xfId="0" applyFont="1"/>
    <xf numFmtId="0" fontId="15" fillId="0" borderId="2" xfId="0" applyFont="1" applyBorder="1"/>
    <xf numFmtId="0" fontId="30" fillId="5" borderId="9" xfId="0" applyFont="1" applyFill="1" applyBorder="1" applyAlignment="1">
      <alignment horizontal="center" vertical="center" textRotation="90"/>
    </xf>
    <xf numFmtId="0" fontId="31" fillId="0" borderId="0" xfId="0" applyFont="1"/>
    <xf numFmtId="0" fontId="21" fillId="0" borderId="0" xfId="0" applyFont="1" applyAlignment="1">
      <alignment wrapText="1"/>
    </xf>
    <xf numFmtId="0" fontId="29" fillId="7" borderId="5" xfId="0" applyFont="1" applyFill="1" applyBorder="1"/>
    <xf numFmtId="164" fontId="23" fillId="6" borderId="2" xfId="1" quotePrefix="1" applyNumberFormat="1" applyFont="1" applyFill="1" applyBorder="1" applyAlignment="1">
      <alignment horizontal="right"/>
    </xf>
    <xf numFmtId="2" fontId="18" fillId="0" borderId="2" xfId="1" applyNumberFormat="1" applyFont="1" applyBorder="1" applyAlignment="1">
      <alignment horizontal="right"/>
    </xf>
    <xf numFmtId="0" fontId="7" fillId="0" borderId="0" xfId="0" applyFont="1" applyAlignment="1">
      <alignment horizontal="center" vertical="center"/>
    </xf>
    <xf numFmtId="0" fontId="15" fillId="0" borderId="13" xfId="0" applyFont="1" applyBorder="1"/>
    <xf numFmtId="2" fontId="21" fillId="0" borderId="16" xfId="0" applyNumberFormat="1" applyFont="1" applyBorder="1" applyAlignment="1">
      <alignment horizontal="center"/>
    </xf>
    <xf numFmtId="2" fontId="21" fillId="0" borderId="7" xfId="0" applyNumberFormat="1" applyFont="1" applyBorder="1" applyAlignment="1">
      <alignment horizontal="center"/>
    </xf>
    <xf numFmtId="2" fontId="21" fillId="0" borderId="6" xfId="0" applyNumberFormat="1" applyFont="1" applyBorder="1" applyAlignment="1">
      <alignment horizontal="center"/>
    </xf>
    <xf numFmtId="0" fontId="15" fillId="0" borderId="6" xfId="0" applyFont="1" applyBorder="1"/>
    <xf numFmtId="2" fontId="21" fillId="0" borderId="20" xfId="0" applyNumberFormat="1" applyFont="1" applyBorder="1" applyAlignment="1">
      <alignment horizontal="center"/>
    </xf>
    <xf numFmtId="0" fontId="29" fillId="4" borderId="19" xfId="0" applyFont="1" applyFill="1" applyBorder="1"/>
    <xf numFmtId="2" fontId="21" fillId="0" borderId="19" xfId="0" applyNumberFormat="1" applyFont="1" applyBorder="1" applyAlignment="1">
      <alignment horizontal="center"/>
    </xf>
    <xf numFmtId="0" fontId="21" fillId="0" borderId="5" xfId="0" applyFont="1" applyBorder="1" applyAlignment="1">
      <alignment horizontal="left" vertical="center" wrapText="1"/>
    </xf>
    <xf numFmtId="2" fontId="21" fillId="0" borderId="1" xfId="0" applyNumberFormat="1" applyFont="1" applyBorder="1" applyAlignment="1">
      <alignment horizontal="center"/>
    </xf>
    <xf numFmtId="0" fontId="14" fillId="0" borderId="0" xfId="0" applyFont="1" applyAlignment="1">
      <alignment horizontal="center" vertical="center"/>
    </xf>
    <xf numFmtId="0" fontId="7" fillId="0" borderId="0" xfId="0" applyFont="1" applyAlignment="1">
      <alignment horizontal="left" vertical="top"/>
    </xf>
    <xf numFmtId="0" fontId="21" fillId="0" borderId="0" xfId="0" applyFont="1" applyAlignment="1">
      <alignment horizontal="right" vertical="top"/>
    </xf>
    <xf numFmtId="0" fontId="32" fillId="0" borderId="0" xfId="0" applyFont="1"/>
    <xf numFmtId="0" fontId="34" fillId="0" borderId="0" xfId="0" applyFont="1" applyAlignment="1">
      <alignment wrapText="1"/>
    </xf>
    <xf numFmtId="0" fontId="5" fillId="2" borderId="6"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0" xfId="0" applyFont="1" applyAlignment="1">
      <alignment horizontal="center" vertical="center"/>
    </xf>
    <xf numFmtId="0" fontId="18" fillId="0" borderId="6" xfId="3" applyFont="1" applyBorder="1" applyAlignment="1">
      <alignment horizontal="left" vertical="top" wrapText="1"/>
    </xf>
    <xf numFmtId="0" fontId="18" fillId="0" borderId="5" xfId="3" applyFont="1" applyBorder="1" applyAlignment="1">
      <alignment horizontal="left" vertical="top" wrapText="1"/>
    </xf>
    <xf numFmtId="0" fontId="18" fillId="0" borderId="7" xfId="3" applyFont="1" applyBorder="1" applyAlignment="1">
      <alignment horizontal="left" vertical="top" wrapText="1"/>
    </xf>
    <xf numFmtId="0" fontId="28" fillId="0" borderId="6" xfId="4" applyFont="1" applyBorder="1" applyAlignment="1" applyProtection="1">
      <alignment horizontal="left" vertical="top" wrapText="1"/>
      <protection hidden="1"/>
    </xf>
    <xf numFmtId="0" fontId="28" fillId="0" borderId="5" xfId="4" applyFont="1" applyBorder="1" applyAlignment="1" applyProtection="1">
      <alignment horizontal="left" vertical="top" wrapText="1"/>
      <protection hidden="1"/>
    </xf>
    <xf numFmtId="0" fontId="28" fillId="0" borderId="7" xfId="4" applyFont="1" applyBorder="1" applyAlignment="1" applyProtection="1">
      <alignment horizontal="left" vertical="top" wrapText="1"/>
      <protection hidden="1"/>
    </xf>
    <xf numFmtId="0" fontId="28" fillId="0" borderId="15" xfId="4" applyFont="1" applyBorder="1" applyAlignment="1" applyProtection="1">
      <alignment horizontal="left" vertical="top" wrapText="1"/>
      <protection hidden="1"/>
    </xf>
    <xf numFmtId="0" fontId="28" fillId="0" borderId="4" xfId="4" applyFont="1" applyBorder="1" applyAlignment="1" applyProtection="1">
      <alignment horizontal="left" vertical="top" wrapText="1"/>
      <protection hidden="1"/>
    </xf>
    <xf numFmtId="0" fontId="35" fillId="0" borderId="6" xfId="4" applyFont="1" applyBorder="1" applyAlignment="1" applyProtection="1">
      <alignment horizontal="left" vertical="top" wrapText="1"/>
      <protection hidden="1"/>
    </xf>
    <xf numFmtId="0" fontId="36" fillId="0" borderId="6" xfId="4" applyFont="1" applyBorder="1" applyAlignment="1" applyProtection="1">
      <alignment horizontal="left" vertical="top" wrapText="1"/>
      <protection hidden="1"/>
    </xf>
    <xf numFmtId="0" fontId="36" fillId="0" borderId="5" xfId="4" applyFont="1" applyBorder="1" applyAlignment="1" applyProtection="1">
      <alignment horizontal="left" vertical="top" wrapText="1"/>
      <protection hidden="1"/>
    </xf>
    <xf numFmtId="0" fontId="36" fillId="0" borderId="7" xfId="4" applyFont="1" applyBorder="1" applyAlignment="1" applyProtection="1">
      <alignment horizontal="left" vertical="top" wrapText="1"/>
      <protection hidden="1"/>
    </xf>
    <xf numFmtId="49" fontId="36" fillId="0" borderId="15" xfId="4" applyNumberFormat="1" applyFont="1" applyBorder="1" applyAlignment="1" applyProtection="1">
      <alignment horizontal="left" vertical="top" wrapText="1"/>
      <protection hidden="1"/>
    </xf>
    <xf numFmtId="49" fontId="36" fillId="0" borderId="4" xfId="4" applyNumberFormat="1" applyFont="1" applyBorder="1" applyAlignment="1" applyProtection="1">
      <alignment horizontal="left" vertical="top" wrapText="1"/>
      <protection hidden="1"/>
    </xf>
    <xf numFmtId="0" fontId="7" fillId="0" borderId="0" xfId="0" applyFont="1" applyAlignment="1">
      <alignment horizontal="center" vertical="center" wrapText="1"/>
    </xf>
    <xf numFmtId="0" fontId="2" fillId="0" borderId="0" xfId="0" applyFont="1" applyAlignment="1">
      <alignment wrapText="1"/>
    </xf>
    <xf numFmtId="0" fontId="0" fillId="0" borderId="0" xfId="0" applyAlignment="1">
      <alignment wrapText="1"/>
    </xf>
    <xf numFmtId="0" fontId="2" fillId="0" borderId="0" xfId="0" applyFont="1" applyAlignment="1">
      <alignment horizontal="left" vertical="top"/>
    </xf>
    <xf numFmtId="0" fontId="0" fillId="0" borderId="0" xfId="0" applyAlignment="1">
      <alignment horizontal="left" vertical="top"/>
    </xf>
    <xf numFmtId="0" fontId="7" fillId="0" borderId="0" xfId="0" applyFont="1" applyAlignment="1">
      <alignment horizontal="left" vertical="top" wrapText="1"/>
    </xf>
    <xf numFmtId="0" fontId="2" fillId="0" borderId="0" xfId="0" applyFont="1" applyAlignment="1">
      <alignment horizontal="left" vertical="top" wrapText="1"/>
    </xf>
    <xf numFmtId="0" fontId="0" fillId="0" borderId="0" xfId="0" applyAlignment="1">
      <alignment horizontal="left" vertical="top" wrapText="1"/>
    </xf>
    <xf numFmtId="49" fontId="28" fillId="0" borderId="15" xfId="4" applyNumberFormat="1" applyFont="1" applyBorder="1" applyAlignment="1" applyProtection="1">
      <alignment horizontal="left" vertical="top" wrapText="1"/>
      <protection hidden="1"/>
    </xf>
    <xf numFmtId="0" fontId="28" fillId="0" borderId="6" xfId="4" applyFont="1" applyBorder="1" applyAlignment="1" applyProtection="1">
      <alignment horizontal="justify" vertical="top" wrapText="1"/>
      <protection hidden="1"/>
    </xf>
    <xf numFmtId="0" fontId="28" fillId="0" borderId="5" xfId="4" applyFont="1" applyBorder="1" applyAlignment="1" applyProtection="1">
      <alignment horizontal="justify" vertical="top" wrapText="1"/>
      <protection hidden="1"/>
    </xf>
    <xf numFmtId="0" fontId="28" fillId="0" borderId="7" xfId="4" applyFont="1" applyBorder="1" applyAlignment="1" applyProtection="1">
      <alignment horizontal="justify" vertical="top" wrapText="1"/>
      <protection hidden="1"/>
    </xf>
    <xf numFmtId="0" fontId="41" fillId="0" borderId="0" xfId="0" applyFont="1" applyAlignment="1">
      <alignment horizontal="center" vertical="center"/>
    </xf>
    <xf numFmtId="0" fontId="42" fillId="0" borderId="0" xfId="0" applyFont="1"/>
    <xf numFmtId="0" fontId="43" fillId="0" borderId="0" xfId="0" applyFont="1"/>
    <xf numFmtId="0" fontId="28" fillId="0" borderId="6" xfId="4" applyFont="1" applyBorder="1" applyAlignment="1" applyProtection="1">
      <alignment horizontal="justify" vertical="top"/>
      <protection hidden="1"/>
    </xf>
    <xf numFmtId="0" fontId="28" fillId="0" borderId="5" xfId="4" applyFont="1" applyBorder="1" applyAlignment="1" applyProtection="1">
      <alignment horizontal="justify" vertical="top"/>
      <protection hidden="1"/>
    </xf>
    <xf numFmtId="0" fontId="28" fillId="0" borderId="7" xfId="4" applyFont="1" applyBorder="1" applyAlignment="1" applyProtection="1">
      <alignment horizontal="justify" vertical="top"/>
      <protection hidden="1"/>
    </xf>
    <xf numFmtId="10" fontId="28" fillId="0" borderId="6" xfId="4" applyNumberFormat="1" applyFont="1" applyBorder="1" applyAlignment="1" applyProtection="1">
      <alignment horizontal="justify" vertical="top"/>
      <protection hidden="1"/>
    </xf>
    <xf numFmtId="10" fontId="28" fillId="0" borderId="5" xfId="4" applyNumberFormat="1" applyFont="1" applyBorder="1" applyAlignment="1" applyProtection="1">
      <alignment horizontal="justify" vertical="top"/>
      <protection hidden="1"/>
    </xf>
    <xf numFmtId="10" fontId="28" fillId="0" borderId="7" xfId="4" applyNumberFormat="1" applyFont="1" applyBorder="1" applyAlignment="1" applyProtection="1">
      <alignment horizontal="justify" vertical="top"/>
      <protection hidden="1"/>
    </xf>
    <xf numFmtId="0" fontId="28" fillId="0" borderId="6" xfId="4" applyFont="1" applyBorder="1" applyProtection="1">
      <protection hidden="1"/>
    </xf>
    <xf numFmtId="0" fontId="28" fillId="0" borderId="5" xfId="4" applyFont="1" applyBorder="1" applyProtection="1">
      <protection hidden="1"/>
    </xf>
    <xf numFmtId="0" fontId="28" fillId="0" borderId="7" xfId="4" applyFont="1" applyBorder="1" applyProtection="1">
      <protection hidden="1"/>
    </xf>
    <xf numFmtId="2" fontId="28" fillId="0" borderId="6" xfId="4" applyNumberFormat="1" applyFont="1" applyBorder="1" applyAlignment="1" applyProtection="1">
      <alignment horizontal="justify" vertical="top"/>
      <protection hidden="1"/>
    </xf>
    <xf numFmtId="2" fontId="28" fillId="0" borderId="5" xfId="4" applyNumberFormat="1" applyFont="1" applyBorder="1" applyAlignment="1" applyProtection="1">
      <alignment horizontal="justify" vertical="top"/>
      <protection hidden="1"/>
    </xf>
    <xf numFmtId="2" fontId="28" fillId="0" borderId="7" xfId="4" applyNumberFormat="1" applyFont="1" applyBorder="1" applyAlignment="1" applyProtection="1">
      <alignment horizontal="justify" vertical="top"/>
      <protection hidden="1"/>
    </xf>
    <xf numFmtId="0" fontId="20" fillId="0" borderId="0" xfId="0" applyFont="1"/>
    <xf numFmtId="0" fontId="15" fillId="0" borderId="18" xfId="0" applyFont="1" applyBorder="1"/>
    <xf numFmtId="0" fontId="15" fillId="0" borderId="5" xfId="0" applyFont="1" applyBorder="1"/>
    <xf numFmtId="0" fontId="15" fillId="0" borderId="7" xfId="0" applyFont="1" applyBorder="1"/>
    <xf numFmtId="0" fontId="15" fillId="0" borderId="19" xfId="0" applyFont="1" applyBorder="1"/>
    <xf numFmtId="0" fontId="44" fillId="0" borderId="0" xfId="0" applyFont="1"/>
    <xf numFmtId="0" fontId="15" fillId="0" borderId="20" xfId="0" applyFont="1" applyBorder="1"/>
    <xf numFmtId="0" fontId="30" fillId="5" borderId="1" xfId="0" applyFont="1" applyFill="1" applyBorder="1" applyAlignment="1">
      <alignment horizontal="center" vertical="center"/>
    </xf>
    <xf numFmtId="0" fontId="30" fillId="5" borderId="12" xfId="0" applyFont="1" applyFill="1" applyBorder="1" applyAlignment="1">
      <alignment horizontal="center" vertical="center" wrapText="1"/>
    </xf>
    <xf numFmtId="0" fontId="30" fillId="5" borderId="1" xfId="0" applyFont="1" applyFill="1" applyBorder="1" applyAlignment="1">
      <alignment horizontal="center" vertical="center" wrapText="1"/>
    </xf>
    <xf numFmtId="0" fontId="30" fillId="5" borderId="10" xfId="0" applyFont="1" applyFill="1" applyBorder="1" applyAlignment="1">
      <alignment horizontal="center" vertical="center" wrapText="1"/>
    </xf>
    <xf numFmtId="0" fontId="30" fillId="5" borderId="0" xfId="0" applyFont="1" applyFill="1" applyAlignment="1">
      <alignment horizontal="center" vertical="center"/>
    </xf>
    <xf numFmtId="0" fontId="30" fillId="5" borderId="0" xfId="0" applyFont="1" applyFill="1" applyAlignment="1">
      <alignment horizontal="center" vertical="center" wrapText="1"/>
    </xf>
    <xf numFmtId="0" fontId="30" fillId="5" borderId="20" xfId="0" applyFont="1" applyFill="1" applyBorder="1" applyAlignment="1">
      <alignment horizontal="center" vertical="center" textRotation="90"/>
    </xf>
    <xf numFmtId="0" fontId="30" fillId="5" borderId="17" xfId="0" applyFont="1" applyFill="1" applyBorder="1" applyAlignment="1">
      <alignment horizontal="center" vertical="center" textRotation="90"/>
    </xf>
    <xf numFmtId="0" fontId="30" fillId="5" borderId="8" xfId="0" applyFont="1" applyFill="1" applyBorder="1" applyAlignment="1">
      <alignment horizontal="center" vertical="center" textRotation="90"/>
    </xf>
    <xf numFmtId="0" fontId="24" fillId="0" borderId="20" xfId="0" applyFont="1" applyBorder="1"/>
    <xf numFmtId="0" fontId="24" fillId="3" borderId="0" xfId="0" applyFont="1" applyFill="1"/>
    <xf numFmtId="0" fontId="27" fillId="7" borderId="5" xfId="0" applyFont="1" applyFill="1" applyBorder="1"/>
    <xf numFmtId="0" fontId="29" fillId="7" borderId="19" xfId="0" applyFont="1" applyFill="1" applyBorder="1"/>
    <xf numFmtId="0" fontId="44" fillId="7" borderId="0" xfId="0" applyFont="1" applyFill="1"/>
    <xf numFmtId="0" fontId="10" fillId="0" borderId="2" xfId="0" applyFont="1" applyBorder="1" applyAlignment="1">
      <alignment horizontal="right" vertical="top"/>
    </xf>
    <xf numFmtId="14" fontId="10" fillId="0" borderId="2" xfId="0" applyNumberFormat="1" applyFont="1" applyBorder="1" applyAlignment="1">
      <alignment horizontal="right" vertical="top"/>
    </xf>
    <xf numFmtId="0" fontId="21" fillId="0" borderId="5" xfId="0" applyFont="1" applyBorder="1" applyAlignment="1">
      <alignment horizontal="center"/>
    </xf>
    <xf numFmtId="2" fontId="28" fillId="0" borderId="5" xfId="1" applyNumberFormat="1" applyFont="1" applyBorder="1" applyAlignment="1">
      <alignment horizontal="right"/>
    </xf>
    <xf numFmtId="0" fontId="21" fillId="0" borderId="5" xfId="0" applyFont="1" applyBorder="1" applyAlignment="1">
      <alignment vertical="top" wrapText="1"/>
    </xf>
    <xf numFmtId="0" fontId="8" fillId="0" borderId="0" xfId="0" applyFont="1" applyAlignment="1">
      <alignment wrapText="1"/>
    </xf>
    <xf numFmtId="0" fontId="8" fillId="0" borderId="0" xfId="0" applyFont="1" applyAlignment="1">
      <alignment horizontal="center"/>
    </xf>
    <xf numFmtId="0" fontId="2" fillId="0" borderId="20" xfId="0" applyFont="1" applyBorder="1"/>
    <xf numFmtId="0" fontId="8" fillId="0" borderId="0" xfId="0" applyFont="1" applyAlignment="1">
      <alignment vertical="top" wrapText="1"/>
    </xf>
    <xf numFmtId="0" fontId="0" fillId="0" borderId="20" xfId="0" applyBorder="1"/>
    <xf numFmtId="0" fontId="46" fillId="0" borderId="0" xfId="0" applyFont="1" applyAlignment="1">
      <alignment vertical="top" wrapText="1"/>
    </xf>
    <xf numFmtId="0" fontId="8" fillId="0" borderId="5" xfId="0" applyFont="1" applyBorder="1"/>
    <xf numFmtId="0" fontId="8" fillId="0" borderId="0" xfId="0" applyFont="1" applyAlignment="1">
      <alignment horizontal="left" vertical="top" wrapText="1"/>
    </xf>
    <xf numFmtId="0" fontId="8" fillId="0" borderId="5" xfId="0" applyFont="1" applyBorder="1" applyAlignment="1">
      <alignment horizontal="left" vertical="center" wrapText="1"/>
    </xf>
    <xf numFmtId="0" fontId="8" fillId="0" borderId="5" xfId="0" applyFont="1" applyBorder="1" applyAlignment="1">
      <alignment horizontal="left" vertical="top" wrapText="1"/>
    </xf>
    <xf numFmtId="0" fontId="8" fillId="0" borderId="5" xfId="0" applyFont="1" applyBorder="1" applyAlignment="1">
      <alignment vertical="top" wrapText="1"/>
    </xf>
    <xf numFmtId="0" fontId="48" fillId="0" borderId="0" xfId="0" applyFont="1"/>
    <xf numFmtId="0" fontId="49" fillId="3" borderId="0" xfId="0" applyFont="1" applyFill="1"/>
    <xf numFmtId="0" fontId="48" fillId="7" borderId="0" xfId="0" applyFont="1" applyFill="1"/>
    <xf numFmtId="0" fontId="47" fillId="0" borderId="0" xfId="0" applyFont="1"/>
    <xf numFmtId="0" fontId="50" fillId="0" borderId="0" xfId="0" applyFont="1"/>
    <xf numFmtId="0" fontId="30" fillId="5" borderId="9" xfId="0" applyFont="1" applyFill="1" applyBorder="1" applyAlignment="1">
      <alignment horizontal="center" vertical="center" textRotation="90" wrapText="1"/>
    </xf>
    <xf numFmtId="0" fontId="60" fillId="0" borderId="0" xfId="0" applyFont="1"/>
    <xf numFmtId="0" fontId="61" fillId="0" borderId="0" xfId="0" applyFont="1"/>
    <xf numFmtId="0" fontId="26" fillId="0" borderId="0" xfId="0" applyFont="1" applyAlignment="1">
      <alignment horizontal="center" vertical="top"/>
    </xf>
    <xf numFmtId="0" fontId="45" fillId="0" borderId="2" xfId="0" applyFont="1" applyBorder="1" applyAlignment="1">
      <alignment horizontal="center" vertical="top"/>
    </xf>
    <xf numFmtId="0" fontId="17" fillId="0" borderId="0" xfId="0" applyFont="1" applyAlignment="1">
      <alignment horizontal="center" vertical="top"/>
    </xf>
    <xf numFmtId="0" fontId="45" fillId="0" borderId="2" xfId="0" applyFont="1" applyBorder="1" applyAlignment="1">
      <alignment horizontal="center" vertical="center"/>
    </xf>
    <xf numFmtId="0" fontId="46" fillId="0" borderId="6" xfId="0" applyFont="1" applyBorder="1" applyAlignment="1">
      <alignment horizontal="center" vertical="top"/>
    </xf>
    <xf numFmtId="0" fontId="8" fillId="0" borderId="5" xfId="0" applyFont="1" applyBorder="1" applyAlignment="1">
      <alignment horizontal="center" vertical="center"/>
    </xf>
    <xf numFmtId="0" fontId="8" fillId="0" borderId="0" xfId="0" applyFont="1" applyAlignment="1">
      <alignment horizontal="center" vertical="center"/>
    </xf>
    <xf numFmtId="0" fontId="8" fillId="0" borderId="4" xfId="0" applyFont="1" applyBorder="1" applyAlignment="1">
      <alignment horizontal="center" vertical="center"/>
    </xf>
    <xf numFmtId="0" fontId="26" fillId="0" borderId="2" xfId="0" applyFont="1" applyBorder="1" applyAlignment="1">
      <alignment horizontal="center" vertical="top"/>
    </xf>
    <xf numFmtId="0" fontId="26" fillId="0" borderId="5" xfId="0" applyFont="1" applyBorder="1" applyAlignment="1">
      <alignment horizontal="center" vertical="center"/>
    </xf>
    <xf numFmtId="0" fontId="26" fillId="0" borderId="0" xfId="0" applyFont="1" applyAlignment="1">
      <alignment horizontal="center" vertical="center"/>
    </xf>
    <xf numFmtId="0" fontId="15" fillId="0" borderId="5" xfId="0" applyFont="1" applyBorder="1" applyAlignment="1">
      <alignment horizontal="center" vertical="center"/>
    </xf>
    <xf numFmtId="0" fontId="15" fillId="0" borderId="0" xfId="0" applyFont="1" applyAlignment="1">
      <alignment horizontal="center" vertical="center"/>
    </xf>
    <xf numFmtId="0" fontId="62" fillId="5" borderId="10" xfId="0" applyFont="1" applyFill="1" applyBorder="1" applyAlignment="1">
      <alignment horizontal="center" vertical="center" wrapText="1"/>
    </xf>
    <xf numFmtId="0" fontId="62" fillId="5" borderId="1" xfId="0" applyFont="1" applyFill="1" applyBorder="1" applyAlignment="1">
      <alignment horizontal="center" vertical="center" wrapText="1"/>
    </xf>
    <xf numFmtId="0" fontId="15" fillId="0" borderId="23" xfId="0" applyFont="1" applyBorder="1"/>
    <xf numFmtId="0" fontId="30" fillId="5" borderId="24" xfId="0" applyFont="1" applyFill="1" applyBorder="1" applyAlignment="1">
      <alignment horizontal="center" vertical="center" textRotation="90"/>
    </xf>
    <xf numFmtId="0" fontId="21" fillId="0" borderId="23" xfId="0" applyFont="1" applyBorder="1" applyAlignment="1">
      <alignment horizontal="center"/>
    </xf>
    <xf numFmtId="0" fontId="29" fillId="4" borderId="25" xfId="0" applyFont="1" applyFill="1" applyBorder="1"/>
    <xf numFmtId="0" fontId="21" fillId="0" borderId="25" xfId="0" applyFont="1" applyBorder="1" applyAlignment="1">
      <alignment horizontal="center"/>
    </xf>
    <xf numFmtId="2" fontId="21" fillId="0" borderId="22" xfId="0" applyNumberFormat="1" applyFont="1" applyBorder="1" applyAlignment="1">
      <alignment horizontal="center"/>
    </xf>
    <xf numFmtId="2" fontId="21" fillId="0" borderId="23" xfId="0" applyNumberFormat="1" applyFont="1" applyBorder="1" applyAlignment="1">
      <alignment horizontal="center"/>
    </xf>
    <xf numFmtId="0" fontId="24" fillId="0" borderId="23" xfId="0" applyFont="1" applyBorder="1"/>
    <xf numFmtId="0" fontId="29" fillId="7" borderId="25" xfId="0" applyFont="1" applyFill="1" applyBorder="1"/>
    <xf numFmtId="0" fontId="21" fillId="0" borderId="25" xfId="0" applyFont="1" applyBorder="1"/>
    <xf numFmtId="0" fontId="21" fillId="0" borderId="23" xfId="0" applyFont="1" applyBorder="1"/>
    <xf numFmtId="0" fontId="29" fillId="0" borderId="2" xfId="0" applyFont="1" applyBorder="1" applyAlignment="1">
      <alignment horizontal="center" vertical="center"/>
    </xf>
    <xf numFmtId="0" fontId="48" fillId="3" borderId="0" xfId="0" applyFont="1" applyFill="1"/>
    <xf numFmtId="0" fontId="44" fillId="3" borderId="0" xfId="0" applyFont="1" applyFill="1"/>
    <xf numFmtId="0" fontId="26" fillId="3" borderId="5" xfId="0" applyFont="1" applyFill="1" applyBorder="1" applyAlignment="1">
      <alignment horizontal="left" wrapText="1"/>
    </xf>
    <xf numFmtId="0" fontId="63" fillId="0" borderId="5" xfId="0" applyFont="1" applyBorder="1" applyAlignment="1">
      <alignment horizontal="center" vertical="center"/>
    </xf>
    <xf numFmtId="0" fontId="64" fillId="0" borderId="5" xfId="0" applyFont="1" applyBorder="1" applyAlignment="1">
      <alignment vertical="top" wrapText="1"/>
    </xf>
    <xf numFmtId="0" fontId="64" fillId="0" borderId="5" xfId="0" applyFont="1" applyBorder="1" applyAlignment="1">
      <alignment horizontal="center"/>
    </xf>
    <xf numFmtId="2" fontId="64" fillId="0" borderId="7" xfId="0" applyNumberFormat="1" applyFont="1" applyBorder="1" applyAlignment="1">
      <alignment horizontal="center"/>
    </xf>
    <xf numFmtId="2" fontId="64" fillId="0" borderId="2" xfId="0" applyNumberFormat="1" applyFont="1" applyBorder="1" applyAlignment="1">
      <alignment horizontal="center"/>
    </xf>
    <xf numFmtId="2" fontId="64" fillId="0" borderId="6" xfId="0" applyNumberFormat="1" applyFont="1" applyBorder="1" applyAlignment="1">
      <alignment horizontal="center"/>
    </xf>
    <xf numFmtId="2" fontId="64" fillId="0" borderId="1" xfId="0" applyNumberFormat="1" applyFont="1" applyBorder="1" applyAlignment="1">
      <alignment horizontal="center"/>
    </xf>
    <xf numFmtId="2" fontId="64" fillId="0" borderId="0" xfId="0" applyNumberFormat="1" applyFont="1" applyAlignment="1">
      <alignment horizontal="center"/>
    </xf>
    <xf numFmtId="2" fontId="65" fillId="0" borderId="0" xfId="1" applyNumberFormat="1" applyFont="1" applyAlignment="1">
      <alignment horizontal="right"/>
    </xf>
    <xf numFmtId="0" fontId="64" fillId="0" borderId="5" xfId="0" applyFont="1" applyBorder="1"/>
    <xf numFmtId="2" fontId="64" fillId="0" borderId="19" xfId="0" applyNumberFormat="1" applyFont="1" applyBorder="1" applyAlignment="1">
      <alignment horizontal="center"/>
    </xf>
    <xf numFmtId="2" fontId="64" fillId="0" borderId="5" xfId="0" applyNumberFormat="1" applyFont="1" applyBorder="1" applyAlignment="1">
      <alignment horizontal="center"/>
    </xf>
    <xf numFmtId="2" fontId="65" fillId="0" borderId="5" xfId="1" applyNumberFormat="1" applyFont="1" applyBorder="1" applyAlignment="1">
      <alignment horizontal="center"/>
    </xf>
    <xf numFmtId="0" fontId="66" fillId="0" borderId="0" xfId="0" applyFont="1"/>
    <xf numFmtId="0" fontId="67" fillId="0" borderId="0" xfId="0" applyFont="1" applyAlignment="1">
      <alignment horizontal="center" vertical="center"/>
    </xf>
    <xf numFmtId="0" fontId="64" fillId="0" borderId="0" xfId="0" applyFont="1" applyAlignment="1">
      <alignment vertical="top" wrapText="1"/>
    </xf>
    <xf numFmtId="0" fontId="68" fillId="0" borderId="0" xfId="0" applyFont="1" applyAlignment="1">
      <alignment horizontal="center"/>
    </xf>
    <xf numFmtId="0" fontId="68" fillId="0" borderId="0" xfId="0" applyFont="1"/>
    <xf numFmtId="2" fontId="68" fillId="0" borderId="20" xfId="0" applyNumberFormat="1" applyFont="1" applyBorder="1" applyAlignment="1">
      <alignment horizontal="center"/>
    </xf>
    <xf numFmtId="2" fontId="68" fillId="0" borderId="0" xfId="0" applyNumberFormat="1" applyFont="1" applyAlignment="1">
      <alignment horizontal="center"/>
    </xf>
    <xf numFmtId="2" fontId="69" fillId="0" borderId="0" xfId="1" applyNumberFormat="1" applyFont="1" applyAlignment="1">
      <alignment horizontal="center"/>
    </xf>
    <xf numFmtId="0" fontId="63" fillId="0" borderId="0" xfId="0" applyFont="1"/>
    <xf numFmtId="0" fontId="70" fillId="0" borderId="5" xfId="0" applyFont="1" applyBorder="1" applyAlignment="1">
      <alignment horizontal="center" vertical="center"/>
    </xf>
    <xf numFmtId="0" fontId="71" fillId="0" borderId="5" xfId="0" applyFont="1" applyBorder="1" applyAlignment="1">
      <alignment vertical="top" wrapText="1"/>
    </xf>
    <xf numFmtId="0" fontId="71" fillId="0" borderId="5" xfId="0" applyFont="1" applyBorder="1" applyAlignment="1">
      <alignment horizontal="center"/>
    </xf>
    <xf numFmtId="2" fontId="71" fillId="0" borderId="7" xfId="0" applyNumberFormat="1" applyFont="1" applyBorder="1" applyAlignment="1">
      <alignment horizontal="center"/>
    </xf>
    <xf numFmtId="2" fontId="71" fillId="0" borderId="2" xfId="0" applyNumberFormat="1" applyFont="1" applyBorder="1" applyAlignment="1">
      <alignment horizontal="center"/>
    </xf>
    <xf numFmtId="2" fontId="71" fillId="0" borderId="6" xfId="0" applyNumberFormat="1" applyFont="1" applyBorder="1" applyAlignment="1">
      <alignment horizontal="center"/>
    </xf>
    <xf numFmtId="2" fontId="71" fillId="0" borderId="1" xfId="0" applyNumberFormat="1" applyFont="1" applyBorder="1" applyAlignment="1">
      <alignment horizontal="center"/>
    </xf>
    <xf numFmtId="2" fontId="71" fillId="0" borderId="0" xfId="0" applyNumberFormat="1" applyFont="1" applyAlignment="1">
      <alignment horizontal="center"/>
    </xf>
    <xf numFmtId="2" fontId="72" fillId="0" borderId="0" xfId="1" applyNumberFormat="1" applyFont="1" applyAlignment="1">
      <alignment horizontal="right"/>
    </xf>
    <xf numFmtId="0" fontId="73" fillId="0" borderId="0" xfId="0" applyFont="1"/>
    <xf numFmtId="0" fontId="74" fillId="0" borderId="0" xfId="0" applyFont="1"/>
    <xf numFmtId="0" fontId="71" fillId="0" borderId="5" xfId="0" applyFont="1" applyBorder="1" applyAlignment="1">
      <alignment horizontal="left" vertical="top" wrapText="1"/>
    </xf>
    <xf numFmtId="0" fontId="71" fillId="0" borderId="5" xfId="0" applyFont="1" applyBorder="1"/>
    <xf numFmtId="2" fontId="71" fillId="0" borderId="19" xfId="0" applyNumberFormat="1" applyFont="1" applyBorder="1" applyAlignment="1">
      <alignment horizontal="center"/>
    </xf>
    <xf numFmtId="2" fontId="71" fillId="0" borderId="5" xfId="0" applyNumberFormat="1" applyFont="1" applyBorder="1" applyAlignment="1">
      <alignment horizontal="center"/>
    </xf>
    <xf numFmtId="2" fontId="72" fillId="0" borderId="5" xfId="1" applyNumberFormat="1" applyFont="1" applyBorder="1" applyAlignment="1">
      <alignment horizontal="center"/>
    </xf>
    <xf numFmtId="0" fontId="67" fillId="0" borderId="5" xfId="0" applyFont="1" applyBorder="1" applyAlignment="1">
      <alignment horizontal="center" vertical="center"/>
    </xf>
    <xf numFmtId="0" fontId="68" fillId="0" borderId="5" xfId="0" applyFont="1" applyBorder="1" applyAlignment="1">
      <alignment horizontal="left" vertical="top" wrapText="1"/>
    </xf>
    <xf numFmtId="0" fontId="68" fillId="0" borderId="5" xfId="0" applyFont="1" applyBorder="1"/>
    <xf numFmtId="2" fontId="68" fillId="0" borderId="19" xfId="0" applyNumberFormat="1" applyFont="1" applyBorder="1" applyAlignment="1">
      <alignment horizontal="center"/>
    </xf>
    <xf numFmtId="2" fontId="68" fillId="0" borderId="5" xfId="0" applyNumberFormat="1" applyFont="1" applyBorder="1" applyAlignment="1">
      <alignment horizontal="center"/>
    </xf>
    <xf numFmtId="2" fontId="69" fillId="0" borderId="5" xfId="1" applyNumberFormat="1" applyFont="1" applyBorder="1" applyAlignment="1">
      <alignment horizontal="center"/>
    </xf>
    <xf numFmtId="0" fontId="68" fillId="0" borderId="0" xfId="0" applyFont="1" applyAlignment="1">
      <alignment horizontal="left" vertical="top" wrapText="1"/>
    </xf>
    <xf numFmtId="0" fontId="68" fillId="0" borderId="5" xfId="0" applyFont="1" applyBorder="1" applyAlignment="1">
      <alignment vertical="top" wrapText="1"/>
    </xf>
    <xf numFmtId="0" fontId="68" fillId="0" borderId="5" xfId="0" applyFont="1" applyBorder="1" applyAlignment="1">
      <alignment horizontal="center"/>
    </xf>
    <xf numFmtId="2" fontId="68" fillId="0" borderId="7" xfId="0" applyNumberFormat="1" applyFont="1" applyBorder="1" applyAlignment="1">
      <alignment horizontal="center"/>
    </xf>
    <xf numFmtId="2" fontId="68" fillId="0" borderId="2" xfId="0" applyNumberFormat="1" applyFont="1" applyBorder="1" applyAlignment="1">
      <alignment horizontal="center"/>
    </xf>
    <xf numFmtId="2" fontId="68" fillId="0" borderId="6" xfId="0" applyNumberFormat="1" applyFont="1" applyBorder="1" applyAlignment="1">
      <alignment horizontal="center"/>
    </xf>
    <xf numFmtId="2" fontId="68" fillId="0" borderId="1" xfId="0" applyNumberFormat="1" applyFont="1" applyBorder="1" applyAlignment="1">
      <alignment horizontal="center"/>
    </xf>
    <xf numFmtId="2" fontId="69" fillId="0" borderId="0" xfId="1" applyNumberFormat="1" applyFont="1" applyAlignment="1">
      <alignment horizontal="right"/>
    </xf>
    <xf numFmtId="0" fontId="75" fillId="0" borderId="0" xfId="0" applyFont="1"/>
    <xf numFmtId="0" fontId="76" fillId="0" borderId="0" xfId="0" applyFont="1"/>
    <xf numFmtId="0" fontId="71" fillId="0" borderId="0" xfId="0" applyFont="1" applyAlignment="1">
      <alignment horizontal="left" vertical="top" wrapText="1"/>
    </xf>
    <xf numFmtId="0" fontId="73" fillId="0" borderId="5" xfId="0" applyFont="1" applyBorder="1" applyAlignment="1">
      <alignment horizontal="center" vertical="center"/>
    </xf>
    <xf numFmtId="0" fontId="77" fillId="0" borderId="0" xfId="0" applyFont="1" applyAlignment="1">
      <alignment horizontal="center" vertical="top"/>
    </xf>
    <xf numFmtId="0" fontId="78" fillId="0" borderId="0" xfId="0" applyFont="1"/>
    <xf numFmtId="0" fontId="78" fillId="0" borderId="20" xfId="0" applyFont="1" applyBorder="1"/>
    <xf numFmtId="0" fontId="79" fillId="0" borderId="0" xfId="0" applyFont="1"/>
    <xf numFmtId="0" fontId="77" fillId="0" borderId="5" xfId="0" applyFont="1" applyBorder="1" applyAlignment="1">
      <alignment horizontal="center" vertical="center"/>
    </xf>
    <xf numFmtId="0" fontId="80" fillId="0" borderId="5" xfId="0" applyFont="1" applyBorder="1" applyAlignment="1">
      <alignment horizontal="left" vertical="top" wrapText="1"/>
    </xf>
    <xf numFmtId="0" fontId="80" fillId="0" borderId="5" xfId="0" applyFont="1" applyBorder="1"/>
    <xf numFmtId="2" fontId="80" fillId="0" borderId="19" xfId="0" applyNumberFormat="1" applyFont="1" applyBorder="1" applyAlignment="1">
      <alignment horizontal="center"/>
    </xf>
    <xf numFmtId="2" fontId="80" fillId="0" borderId="5" xfId="0" applyNumberFormat="1" applyFont="1" applyBorder="1" applyAlignment="1">
      <alignment horizontal="center"/>
    </xf>
    <xf numFmtId="2" fontId="81" fillId="0" borderId="5" xfId="1" applyNumberFormat="1" applyFont="1" applyBorder="1" applyAlignment="1">
      <alignment horizontal="center"/>
    </xf>
    <xf numFmtId="0" fontId="77" fillId="0" borderId="0" xfId="0" applyFont="1" applyAlignment="1">
      <alignment horizontal="center" vertical="center"/>
    </xf>
    <xf numFmtId="0" fontId="80" fillId="0" borderId="0" xfId="0" applyFont="1" applyAlignment="1">
      <alignment horizontal="left" vertical="top" wrapText="1"/>
    </xf>
    <xf numFmtId="0" fontId="80" fillId="0" borderId="0" xfId="0" applyFont="1"/>
    <xf numFmtId="2" fontId="80" fillId="0" borderId="20" xfId="0" applyNumberFormat="1" applyFont="1" applyBorder="1" applyAlignment="1">
      <alignment horizontal="center"/>
    </xf>
    <xf numFmtId="2" fontId="80" fillId="0" borderId="0" xfId="0" applyNumberFormat="1" applyFont="1" applyAlignment="1">
      <alignment horizontal="center"/>
    </xf>
    <xf numFmtId="2" fontId="81" fillId="0" borderId="0" xfId="1" applyNumberFormat="1" applyFont="1" applyAlignment="1">
      <alignment horizontal="center"/>
    </xf>
    <xf numFmtId="0" fontId="80" fillId="0" borderId="5" xfId="0" applyFont="1" applyBorder="1" applyAlignment="1">
      <alignment vertical="top" wrapText="1"/>
    </xf>
    <xf numFmtId="0" fontId="80" fillId="0" borderId="5" xfId="0" applyFont="1" applyBorder="1" applyAlignment="1">
      <alignment horizontal="center"/>
    </xf>
    <xf numFmtId="2" fontId="80" fillId="0" borderId="7" xfId="0" applyNumberFormat="1" applyFont="1" applyBorder="1" applyAlignment="1">
      <alignment horizontal="center"/>
    </xf>
    <xf numFmtId="2" fontId="80" fillId="0" borderId="2" xfId="0" applyNumberFormat="1" applyFont="1" applyBorder="1" applyAlignment="1">
      <alignment horizontal="center"/>
    </xf>
    <xf numFmtId="2" fontId="80" fillId="0" borderId="6" xfId="0" applyNumberFormat="1" applyFont="1" applyBorder="1" applyAlignment="1">
      <alignment horizontal="center"/>
    </xf>
    <xf numFmtId="2" fontId="80" fillId="0" borderId="1" xfId="0" applyNumberFormat="1" applyFont="1" applyBorder="1" applyAlignment="1">
      <alignment horizontal="center"/>
    </xf>
    <xf numFmtId="2" fontId="81" fillId="0" borderId="0" xfId="1" applyNumberFormat="1" applyFont="1" applyAlignment="1">
      <alignment horizontal="right"/>
    </xf>
    <xf numFmtId="0" fontId="71" fillId="0" borderId="0" xfId="0" applyFont="1" applyAlignment="1">
      <alignment vertical="top" wrapText="1"/>
    </xf>
    <xf numFmtId="0" fontId="71" fillId="0" borderId="0" xfId="0" applyFont="1"/>
    <xf numFmtId="0" fontId="82" fillId="0" borderId="0" xfId="0" applyFont="1"/>
    <xf numFmtId="0" fontId="16" fillId="11" borderId="0" xfId="0" applyFont="1" applyFill="1"/>
    <xf numFmtId="0" fontId="25" fillId="11" borderId="0" xfId="0" applyFont="1" applyFill="1"/>
    <xf numFmtId="0" fontId="83" fillId="0" borderId="0" xfId="0" applyFont="1" applyAlignment="1">
      <alignment horizontal="center" vertical="top"/>
    </xf>
    <xf numFmtId="0" fontId="84" fillId="0" borderId="0" xfId="0" applyFont="1" applyAlignment="1">
      <alignment horizontal="center"/>
    </xf>
    <xf numFmtId="2" fontId="84" fillId="0" borderId="20" xfId="0" applyNumberFormat="1" applyFont="1" applyBorder="1" applyAlignment="1">
      <alignment horizontal="center"/>
    </xf>
    <xf numFmtId="2" fontId="84" fillId="0" borderId="0" xfId="0" applyNumberFormat="1" applyFont="1" applyAlignment="1">
      <alignment horizontal="center"/>
    </xf>
    <xf numFmtId="2" fontId="85" fillId="0" borderId="0" xfId="1" applyNumberFormat="1" applyFont="1" applyAlignment="1">
      <alignment horizontal="right"/>
    </xf>
    <xf numFmtId="0" fontId="84" fillId="11" borderId="0" xfId="0" applyFont="1" applyFill="1"/>
    <xf numFmtId="0" fontId="86" fillId="11" borderId="0" xfId="0" applyFont="1" applyFill="1"/>
    <xf numFmtId="0" fontId="71" fillId="11" borderId="0" xfId="0" applyFont="1" applyFill="1"/>
    <xf numFmtId="0" fontId="82" fillId="11" borderId="0" xfId="0" applyFont="1" applyFill="1"/>
    <xf numFmtId="0" fontId="68" fillId="0" borderId="0" xfId="0" applyFont="1" applyAlignment="1">
      <alignment horizontal="center" vertical="top"/>
    </xf>
    <xf numFmtId="0" fontId="68" fillId="0" borderId="0" xfId="0" applyFont="1" applyAlignment="1">
      <alignment vertical="top" wrapText="1"/>
    </xf>
    <xf numFmtId="0" fontId="87" fillId="0" borderId="5" xfId="0" applyFont="1" applyBorder="1" applyAlignment="1">
      <alignment horizontal="center" vertical="center"/>
    </xf>
    <xf numFmtId="0" fontId="88" fillId="0" borderId="0" xfId="0" applyFont="1" applyAlignment="1">
      <alignment horizontal="center" vertical="top"/>
    </xf>
    <xf numFmtId="0" fontId="75" fillId="0" borderId="20" xfId="0" applyFont="1" applyBorder="1"/>
    <xf numFmtId="0" fontId="67" fillId="0" borderId="0" xfId="0" applyFont="1"/>
    <xf numFmtId="0" fontId="89" fillId="0" borderId="0" xfId="0" applyFont="1"/>
    <xf numFmtId="0" fontId="64" fillId="0" borderId="0" xfId="0" applyFont="1"/>
    <xf numFmtId="0" fontId="90" fillId="0" borderId="0" xfId="0" applyFont="1"/>
    <xf numFmtId="0" fontId="91" fillId="0" borderId="5" xfId="0" applyFont="1" applyBorder="1" applyAlignment="1">
      <alignment horizontal="center" vertical="center"/>
    </xf>
    <xf numFmtId="0" fontId="26" fillId="0" borderId="2" xfId="0" applyFont="1" applyBorder="1" applyAlignment="1">
      <alignment horizontal="center" vertical="center"/>
    </xf>
    <xf numFmtId="0" fontId="21" fillId="0" borderId="0" xfId="0" applyFont="1" applyAlignment="1">
      <alignment horizontal="left" vertical="center" wrapText="1"/>
    </xf>
    <xf numFmtId="0" fontId="64" fillId="0" borderId="5" xfId="0" applyFont="1" applyBorder="1" applyAlignment="1">
      <alignment horizontal="left" vertical="top" wrapText="1"/>
    </xf>
    <xf numFmtId="2" fontId="64" fillId="0" borderId="22" xfId="0" applyNumberFormat="1" applyFont="1" applyBorder="1" applyAlignment="1">
      <alignment horizontal="center"/>
    </xf>
    <xf numFmtId="2" fontId="65" fillId="0" borderId="2" xfId="1" applyNumberFormat="1" applyFont="1" applyBorder="1" applyAlignment="1">
      <alignment horizontal="right"/>
    </xf>
    <xf numFmtId="2" fontId="68" fillId="0" borderId="25" xfId="0" applyNumberFormat="1" applyFont="1" applyBorder="1" applyAlignment="1">
      <alignment horizontal="center"/>
    </xf>
    <xf numFmtId="0" fontId="68" fillId="0" borderId="25" xfId="0" applyFont="1" applyBorder="1"/>
    <xf numFmtId="2" fontId="68" fillId="0" borderId="22" xfId="0" applyNumberFormat="1" applyFont="1" applyBorder="1" applyAlignment="1">
      <alignment horizontal="center"/>
    </xf>
    <xf numFmtId="0" fontId="92" fillId="0" borderId="0" xfId="0" applyFont="1"/>
    <xf numFmtId="0" fontId="93" fillId="0" borderId="0" xfId="0" applyFont="1"/>
    <xf numFmtId="0" fontId="94" fillId="0" borderId="0" xfId="0" applyFont="1"/>
    <xf numFmtId="0" fontId="96" fillId="0" borderId="5" xfId="0" applyFont="1" applyBorder="1" applyAlignment="1">
      <alignment horizontal="center" vertical="center"/>
    </xf>
    <xf numFmtId="0" fontId="95" fillId="0" borderId="5" xfId="0" applyFont="1" applyBorder="1" applyAlignment="1">
      <alignment horizontal="left" vertical="top" wrapText="1"/>
    </xf>
    <xf numFmtId="0" fontId="95" fillId="0" borderId="5" xfId="0" applyFont="1" applyBorder="1"/>
    <xf numFmtId="0" fontId="95" fillId="0" borderId="25" xfId="0" applyFont="1" applyBorder="1"/>
    <xf numFmtId="2" fontId="95" fillId="0" borderId="19" xfId="0" applyNumberFormat="1" applyFont="1" applyBorder="1" applyAlignment="1">
      <alignment horizontal="center"/>
    </xf>
    <xf numFmtId="2" fontId="95" fillId="0" borderId="5" xfId="0" applyNumberFormat="1" applyFont="1" applyBorder="1" applyAlignment="1">
      <alignment horizontal="center"/>
    </xf>
    <xf numFmtId="2" fontId="97" fillId="0" borderId="5" xfId="1" applyNumberFormat="1" applyFont="1" applyBorder="1" applyAlignment="1">
      <alignment horizontal="center"/>
    </xf>
    <xf numFmtId="0" fontId="96" fillId="0" borderId="0" xfId="0" applyFont="1" applyAlignment="1">
      <alignment horizontal="center" vertical="center"/>
    </xf>
    <xf numFmtId="0" fontId="95" fillId="0" borderId="0" xfId="0" applyFont="1" applyAlignment="1">
      <alignment horizontal="left" vertical="top" wrapText="1"/>
    </xf>
    <xf numFmtId="0" fontId="95" fillId="0" borderId="0" xfId="0" applyFont="1"/>
    <xf numFmtId="0" fontId="95" fillId="0" borderId="23" xfId="0" applyFont="1" applyBorder="1"/>
    <xf numFmtId="2" fontId="95" fillId="0" borderId="20" xfId="0" applyNumberFormat="1" applyFont="1" applyBorder="1" applyAlignment="1">
      <alignment horizontal="center"/>
    </xf>
    <xf numFmtId="2" fontId="95" fillId="0" borderId="0" xfId="0" applyNumberFormat="1" applyFont="1" applyAlignment="1">
      <alignment horizontal="center"/>
    </xf>
    <xf numFmtId="2" fontId="97" fillId="0" borderId="0" xfId="1" applyNumberFormat="1" applyFont="1" applyAlignment="1">
      <alignment horizontal="center"/>
    </xf>
    <xf numFmtId="0" fontId="95" fillId="0" borderId="5" xfId="0" applyFont="1" applyBorder="1" applyAlignment="1">
      <alignment vertical="top" wrapText="1"/>
    </xf>
    <xf numFmtId="0" fontId="95" fillId="0" borderId="5" xfId="0" applyFont="1" applyBorder="1" applyAlignment="1">
      <alignment horizontal="center"/>
    </xf>
    <xf numFmtId="2" fontId="95" fillId="0" borderId="22" xfId="0" applyNumberFormat="1" applyFont="1" applyBorder="1" applyAlignment="1">
      <alignment horizontal="center"/>
    </xf>
    <xf numFmtId="2" fontId="95" fillId="0" borderId="2" xfId="0" applyNumberFormat="1" applyFont="1" applyBorder="1" applyAlignment="1">
      <alignment horizontal="center"/>
    </xf>
    <xf numFmtId="2" fontId="95" fillId="0" borderId="6" xfId="0" applyNumberFormat="1" applyFont="1" applyBorder="1" applyAlignment="1">
      <alignment horizontal="center"/>
    </xf>
    <xf numFmtId="2" fontId="95" fillId="0" borderId="1" xfId="0" applyNumberFormat="1" applyFont="1" applyBorder="1" applyAlignment="1">
      <alignment horizontal="center"/>
    </xf>
    <xf numFmtId="2" fontId="97" fillId="0" borderId="0" xfId="1" applyNumberFormat="1" applyFont="1" applyAlignment="1">
      <alignment horizontal="right"/>
    </xf>
    <xf numFmtId="0" fontId="96" fillId="0" borderId="0" xfId="0" applyFont="1" applyAlignment="1">
      <alignment horizontal="center" vertical="top"/>
    </xf>
    <xf numFmtId="0" fontId="96" fillId="0" borderId="0" xfId="0" applyFont="1"/>
    <xf numFmtId="0" fontId="96" fillId="0" borderId="23" xfId="0" applyFont="1" applyBorder="1"/>
    <xf numFmtId="0" fontId="96" fillId="0" borderId="20" xfId="0" applyFont="1" applyBorder="1"/>
    <xf numFmtId="0" fontId="78" fillId="0" borderId="23" xfId="0" applyFont="1" applyBorder="1"/>
    <xf numFmtId="0" fontId="26" fillId="0" borderId="5" xfId="0" applyFont="1" applyBorder="1" applyAlignment="1">
      <alignment horizontal="center" vertical="top"/>
    </xf>
    <xf numFmtId="2" fontId="15" fillId="3" borderId="5" xfId="0" applyNumberFormat="1" applyFont="1" applyFill="1" applyBorder="1" applyAlignment="1">
      <alignment horizontal="center"/>
    </xf>
    <xf numFmtId="164" fontId="6" fillId="3" borderId="5" xfId="1" quotePrefix="1" applyNumberFormat="1" applyFont="1" applyFill="1" applyBorder="1" applyAlignment="1">
      <alignment horizontal="right"/>
    </xf>
    <xf numFmtId="2" fontId="71" fillId="0" borderId="22" xfId="0" applyNumberFormat="1" applyFont="1" applyBorder="1" applyAlignment="1">
      <alignment horizontal="center"/>
    </xf>
    <xf numFmtId="0" fontId="47" fillId="11" borderId="0" xfId="0" applyFont="1" applyFill="1"/>
    <xf numFmtId="0" fontId="24" fillId="11" borderId="0" xfId="0" applyFont="1" applyFill="1"/>
    <xf numFmtId="0" fontId="21" fillId="0" borderId="0" xfId="0" applyFont="1" applyAlignment="1">
      <alignment horizontal="center" vertical="top"/>
    </xf>
    <xf numFmtId="0" fontId="64" fillId="11" borderId="0" xfId="0" applyFont="1" applyFill="1"/>
    <xf numFmtId="0" fontId="90" fillId="11" borderId="0" xfId="0" applyFont="1" applyFill="1"/>
    <xf numFmtId="0" fontId="21" fillId="0" borderId="0" xfId="0" applyFont="1" applyAlignment="1">
      <alignment vertical="center"/>
    </xf>
    <xf numFmtId="0" fontId="15" fillId="0" borderId="0" xfId="0" applyFont="1" applyAlignment="1">
      <alignment horizontal="center" vertical="top"/>
    </xf>
    <xf numFmtId="0" fontId="68" fillId="0" borderId="23" xfId="0" applyFont="1" applyBorder="1"/>
    <xf numFmtId="0" fontId="91" fillId="0" borderId="0" xfId="0" applyFont="1" applyAlignment="1">
      <alignment horizontal="center" vertical="center"/>
    </xf>
    <xf numFmtId="0" fontId="98" fillId="0" borderId="0" xfId="0" applyFont="1" applyAlignment="1">
      <alignment horizontal="center" vertical="top"/>
    </xf>
    <xf numFmtId="2" fontId="99" fillId="0" borderId="0" xfId="1" applyNumberFormat="1" applyFont="1" applyAlignment="1">
      <alignment horizontal="right"/>
    </xf>
    <xf numFmtId="0" fontId="15" fillId="0" borderId="26" xfId="0" applyFont="1" applyBorder="1"/>
    <xf numFmtId="0" fontId="45" fillId="0" borderId="0" xfId="0" applyFont="1" applyAlignment="1">
      <alignment horizontal="center" vertical="center"/>
    </xf>
    <xf numFmtId="0" fontId="11" fillId="0" borderId="0" xfId="0" quotePrefix="1" applyFont="1" applyAlignment="1">
      <alignment vertical="top" wrapText="1"/>
    </xf>
    <xf numFmtId="0" fontId="29" fillId="0" borderId="0" xfId="0" applyFont="1"/>
    <xf numFmtId="0" fontId="29" fillId="0" borderId="23" xfId="0" applyFont="1" applyBorder="1"/>
    <xf numFmtId="0" fontId="29" fillId="0" borderId="20" xfId="0" applyFont="1" applyBorder="1"/>
    <xf numFmtId="0" fontId="21" fillId="0" borderId="27" xfId="0" applyFont="1" applyBorder="1" applyAlignment="1">
      <alignment horizontal="center"/>
    </xf>
    <xf numFmtId="0" fontId="21" fillId="0" borderId="0" xfId="0" quotePrefix="1" applyFont="1" applyAlignment="1">
      <alignment vertical="top" wrapText="1"/>
    </xf>
    <xf numFmtId="0" fontId="21" fillId="0" borderId="15" xfId="0" applyFont="1" applyBorder="1" applyAlignment="1">
      <alignment horizontal="center"/>
    </xf>
    <xf numFmtId="2" fontId="21" fillId="0" borderId="14" xfId="0" applyNumberFormat="1" applyFont="1" applyBorder="1" applyAlignment="1">
      <alignment horizontal="center"/>
    </xf>
    <xf numFmtId="2" fontId="21" fillId="0" borderId="18" xfId="0" applyNumberFormat="1" applyFont="1" applyBorder="1" applyAlignment="1">
      <alignment horizontal="center"/>
    </xf>
    <xf numFmtId="2" fontId="18" fillId="0" borderId="14" xfId="1" applyNumberFormat="1" applyFont="1" applyBorder="1" applyAlignment="1">
      <alignment horizontal="right"/>
    </xf>
    <xf numFmtId="0" fontId="21" fillId="0" borderId="0" xfId="0" quotePrefix="1" applyFont="1" applyAlignment="1">
      <alignment wrapText="1"/>
    </xf>
    <xf numFmtId="2" fontId="21" fillId="0" borderId="28" xfId="0" applyNumberFormat="1" applyFont="1" applyBorder="1" applyAlignment="1">
      <alignment horizontal="center"/>
    </xf>
    <xf numFmtId="0" fontId="21" fillId="0" borderId="0" xfId="0" quotePrefix="1" applyFont="1" applyAlignment="1">
      <alignment horizontal="left" vertical="top" wrapText="1"/>
    </xf>
    <xf numFmtId="0" fontId="26" fillId="0" borderId="0" xfId="0" applyFont="1" applyAlignment="1">
      <alignment horizontal="left" wrapText="1"/>
    </xf>
    <xf numFmtId="2" fontId="15" fillId="0" borderId="0" xfId="0" applyNumberFormat="1" applyFont="1" applyAlignment="1">
      <alignment horizontal="center"/>
    </xf>
    <xf numFmtId="164" fontId="6" fillId="0" borderId="0" xfId="1" quotePrefix="1" applyNumberFormat="1" applyFont="1" applyAlignment="1">
      <alignment horizontal="right"/>
    </xf>
    <xf numFmtId="0" fontId="25" fillId="0" borderId="23" xfId="0" applyFont="1" applyBorder="1"/>
    <xf numFmtId="0" fontId="25" fillId="0" borderId="20" xfId="0" applyFont="1" applyBorder="1"/>
    <xf numFmtId="164" fontId="100" fillId="3" borderId="2" xfId="1" quotePrefix="1" applyNumberFormat="1" applyFont="1" applyFill="1" applyBorder="1" applyAlignment="1">
      <alignment horizontal="right"/>
    </xf>
    <xf numFmtId="2" fontId="25" fillId="0" borderId="20" xfId="0" applyNumberFormat="1" applyFont="1" applyBorder="1"/>
    <xf numFmtId="0" fontId="11" fillId="0" borderId="0" xfId="0" applyFont="1" applyAlignment="1">
      <alignment horizontal="right" vertical="top"/>
    </xf>
    <xf numFmtId="0" fontId="0" fillId="0" borderId="0" xfId="0"/>
    <xf numFmtId="0" fontId="8" fillId="0" borderId="0" xfId="0" applyFont="1" applyAlignment="1">
      <alignment horizontal="right" vertical="top" wrapText="1"/>
    </xf>
    <xf numFmtId="0" fontId="8" fillId="0" borderId="0" xfId="0" applyFont="1" applyAlignment="1">
      <alignment horizontal="right" vertical="top"/>
    </xf>
    <xf numFmtId="0" fontId="8" fillId="0" borderId="0" xfId="0" applyFont="1" applyAlignment="1">
      <alignment horizontal="left" vertical="top"/>
    </xf>
    <xf numFmtId="0" fontId="7" fillId="0" borderId="0" xfId="0" applyFont="1" applyAlignment="1">
      <alignment horizontal="left" vertical="center"/>
    </xf>
    <xf numFmtId="0" fontId="22" fillId="0" borderId="0" xfId="0" applyFont="1" applyAlignment="1">
      <alignment horizontal="center"/>
    </xf>
    <xf numFmtId="0" fontId="7" fillId="0" borderId="0" xfId="0" applyFont="1" applyAlignment="1">
      <alignment horizontal="center" vertical="top" wrapText="1"/>
    </xf>
    <xf numFmtId="17" fontId="8" fillId="0" borderId="0" xfId="0" applyNumberFormat="1" applyFont="1" applyAlignment="1">
      <alignment horizontal="right" vertical="top"/>
    </xf>
    <xf numFmtId="0" fontId="11" fillId="0" borderId="0" xfId="0" applyFont="1" applyAlignment="1">
      <alignment horizontal="center" vertical="center"/>
    </xf>
    <xf numFmtId="0" fontId="28" fillId="0" borderId="2" xfId="4" applyFont="1" applyBorder="1" applyAlignment="1" applyProtection="1">
      <alignment horizontal="left" vertical="top" wrapText="1"/>
      <protection hidden="1"/>
    </xf>
    <xf numFmtId="0" fontId="0" fillId="0" borderId="5" xfId="0" applyBorder="1" applyProtection="1">
      <protection hidden="1"/>
    </xf>
    <xf numFmtId="0" fontId="0" fillId="0" borderId="7" xfId="0" applyBorder="1" applyProtection="1">
      <protection hidden="1"/>
    </xf>
    <xf numFmtId="10" fontId="28" fillId="0" borderId="2" xfId="4" quotePrefix="1" applyNumberFormat="1" applyFont="1" applyBorder="1" applyAlignment="1" applyProtection="1">
      <alignment horizontal="left" vertical="top" wrapText="1"/>
      <protection hidden="1"/>
    </xf>
    <xf numFmtId="10" fontId="28" fillId="0" borderId="2" xfId="4" applyNumberFormat="1" applyFont="1" applyBorder="1" applyAlignment="1" applyProtection="1">
      <alignment horizontal="left" vertical="top" wrapText="1"/>
      <protection hidden="1"/>
    </xf>
    <xf numFmtId="165" fontId="28" fillId="0" borderId="2" xfId="4" applyNumberFormat="1" applyFont="1" applyBorder="1" applyAlignment="1" applyProtection="1">
      <alignment horizontal="left" vertical="top" wrapText="1"/>
      <protection hidden="1"/>
    </xf>
    <xf numFmtId="0" fontId="28" fillId="0" borderId="2" xfId="4" applyFont="1" applyBorder="1" applyAlignment="1" applyProtection="1">
      <alignment horizontal="center" vertical="top" wrapText="1"/>
      <protection hidden="1"/>
    </xf>
    <xf numFmtId="0" fontId="38" fillId="0" borderId="2" xfId="4" applyFont="1" applyBorder="1" applyAlignment="1" applyProtection="1">
      <alignment horizontal="left" vertical="top" wrapText="1"/>
      <protection hidden="1"/>
    </xf>
    <xf numFmtId="0" fontId="36" fillId="0" borderId="2" xfId="4" applyFont="1" applyBorder="1" applyAlignment="1" applyProtection="1">
      <alignment horizontal="left" vertical="top" wrapText="1"/>
      <protection hidden="1"/>
    </xf>
    <xf numFmtId="0" fontId="28" fillId="0" borderId="2" xfId="4" quotePrefix="1" applyFont="1" applyBorder="1" applyAlignment="1" applyProtection="1">
      <alignment horizontal="left" vertical="top" wrapText="1"/>
      <protection hidden="1"/>
    </xf>
    <xf numFmtId="49" fontId="28" fillId="0" borderId="2" xfId="4" applyNumberFormat="1" applyFont="1" applyBorder="1" applyAlignment="1" applyProtection="1">
      <alignment horizontal="left" vertical="top" wrapText="1"/>
      <protection hidden="1"/>
    </xf>
    <xf numFmtId="0" fontId="18" fillId="0" borderId="2" xfId="4" applyFont="1" applyBorder="1" applyAlignment="1" applyProtection="1">
      <alignment horizontal="left" vertical="top" wrapText="1"/>
      <protection hidden="1"/>
    </xf>
    <xf numFmtId="0" fontId="9" fillId="6" borderId="2" xfId="0" applyFont="1" applyFill="1" applyBorder="1" applyAlignment="1">
      <alignment horizontal="left"/>
    </xf>
    <xf numFmtId="0" fontId="0" fillId="0" borderId="5" xfId="0" applyBorder="1"/>
    <xf numFmtId="0" fontId="0" fillId="0" borderId="7" xfId="0" applyBorder="1"/>
    <xf numFmtId="0" fontId="28" fillId="0" borderId="5" xfId="4" applyFont="1" applyBorder="1" applyAlignment="1" applyProtection="1">
      <alignment horizontal="center" vertical="top" wrapText="1"/>
      <protection hidden="1"/>
    </xf>
    <xf numFmtId="0" fontId="17" fillId="0" borderId="2" xfId="4" applyFont="1" applyBorder="1" applyAlignment="1" applyProtection="1">
      <alignment horizontal="left" vertical="top" wrapText="1"/>
      <protection hidden="1"/>
    </xf>
    <xf numFmtId="0" fontId="28" fillId="0" borderId="2" xfId="4" applyFont="1" applyBorder="1" applyAlignment="1" applyProtection="1">
      <alignment horizontal="left" vertical="top"/>
      <protection hidden="1"/>
    </xf>
    <xf numFmtId="0" fontId="18" fillId="0" borderId="9" xfId="2" applyFont="1" applyBorder="1" applyAlignment="1">
      <alignment horizontal="left" vertical="top" wrapText="1"/>
    </xf>
    <xf numFmtId="0" fontId="0" fillId="0" borderId="4" xfId="0" applyBorder="1"/>
    <xf numFmtId="0" fontId="0" fillId="0" borderId="8" xfId="0" applyBorder="1"/>
    <xf numFmtId="0" fontId="18" fillId="0" borderId="5" xfId="2" applyFont="1" applyBorder="1" applyAlignment="1">
      <alignment horizontal="left" vertical="top" wrapText="1"/>
    </xf>
    <xf numFmtId="0" fontId="28" fillId="0" borderId="0" xfId="4" applyFont="1" applyAlignment="1" applyProtection="1">
      <alignment horizontal="left" vertical="top" wrapText="1"/>
      <protection hidden="1"/>
    </xf>
    <xf numFmtId="0" fontId="0" fillId="0" borderId="0" xfId="0" applyProtection="1">
      <protection hidden="1"/>
    </xf>
    <xf numFmtId="0" fontId="28" fillId="0" borderId="0" xfId="4" applyFont="1" applyAlignment="1" applyProtection="1">
      <alignment horizontal="center" vertical="top" wrapText="1"/>
      <protection hidden="1"/>
    </xf>
    <xf numFmtId="0" fontId="28" fillId="0" borderId="9" xfId="4" applyFont="1" applyBorder="1" applyAlignment="1" applyProtection="1">
      <alignment horizontal="left" vertical="top" wrapText="1"/>
      <protection hidden="1"/>
    </xf>
    <xf numFmtId="0" fontId="0" fillId="0" borderId="4" xfId="0" applyBorder="1" applyProtection="1">
      <protection hidden="1"/>
    </xf>
    <xf numFmtId="0" fontId="0" fillId="0" borderId="8" xfId="0" applyBorder="1" applyProtection="1">
      <protection hidden="1"/>
    </xf>
    <xf numFmtId="0" fontId="37" fillId="0" borderId="2" xfId="4" applyFont="1" applyBorder="1" applyAlignment="1" applyProtection="1">
      <alignment horizontal="left" vertical="top" wrapText="1"/>
      <protection hidden="1"/>
    </xf>
    <xf numFmtId="2" fontId="28" fillId="0" borderId="2" xfId="4" applyNumberFormat="1" applyFont="1" applyBorder="1" applyAlignment="1" applyProtection="1">
      <alignment horizontal="left" vertical="top" wrapText="1"/>
      <protection hidden="1"/>
    </xf>
    <xf numFmtId="0" fontId="18" fillId="0" borderId="2" xfId="2" applyFont="1" applyBorder="1" applyAlignment="1">
      <alignment horizontal="left" vertical="top" wrapText="1"/>
    </xf>
    <xf numFmtId="10" fontId="28" fillId="0" borderId="2" xfId="4" applyNumberFormat="1" applyFont="1" applyBorder="1" applyAlignment="1" applyProtection="1">
      <alignment horizontal="left" vertical="top"/>
      <protection hidden="1"/>
    </xf>
    <xf numFmtId="2" fontId="28" fillId="0" borderId="2" xfId="4" applyNumberFormat="1" applyFont="1" applyBorder="1" applyAlignment="1" applyProtection="1">
      <alignment horizontal="left" vertical="top"/>
      <protection hidden="1"/>
    </xf>
    <xf numFmtId="0" fontId="39" fillId="0" borderId="2" xfId="4" applyFont="1" applyBorder="1" applyAlignment="1" applyProtection="1">
      <alignment horizontal="left" vertical="top" wrapText="1"/>
      <protection hidden="1"/>
    </xf>
    <xf numFmtId="0" fontId="28" fillId="0" borderId="15" xfId="4" applyFont="1" applyBorder="1" applyAlignment="1" applyProtection="1">
      <alignment horizontal="left" vertical="top" wrapText="1"/>
      <protection hidden="1"/>
    </xf>
    <xf numFmtId="0" fontId="0" fillId="0" borderId="15" xfId="0" applyBorder="1" applyProtection="1">
      <protection hidden="1"/>
    </xf>
    <xf numFmtId="0" fontId="20" fillId="6" borderId="2" xfId="4" applyFont="1" applyFill="1" applyBorder="1" applyAlignment="1" applyProtection="1">
      <alignment horizontal="left" vertical="top" wrapText="1"/>
      <protection hidden="1"/>
    </xf>
    <xf numFmtId="0" fontId="28" fillId="0" borderId="2" xfId="4" applyFont="1" applyBorder="1" applyAlignment="1" applyProtection="1">
      <alignment horizontal="left" wrapText="1"/>
      <protection hidden="1"/>
    </xf>
    <xf numFmtId="0" fontId="28" fillId="0" borderId="2" xfId="4" applyFont="1" applyBorder="1" applyAlignment="1" applyProtection="1">
      <alignment horizontal="left" vertical="center" wrapText="1"/>
      <protection hidden="1"/>
    </xf>
    <xf numFmtId="0" fontId="28" fillId="8" borderId="2" xfId="4" applyFont="1" applyFill="1" applyBorder="1" applyAlignment="1" applyProtection="1">
      <alignment horizontal="left" vertical="top" wrapText="1"/>
      <protection hidden="1"/>
    </xf>
    <xf numFmtId="0" fontId="35" fillId="0" borderId="2" xfId="4" applyFont="1" applyBorder="1" applyAlignment="1" applyProtection="1">
      <alignment horizontal="left" vertical="top" wrapText="1"/>
      <protection hidden="1"/>
    </xf>
    <xf numFmtId="0" fontId="18" fillId="0" borderId="2" xfId="4" quotePrefix="1" applyFont="1" applyBorder="1" applyAlignment="1" applyProtection="1">
      <alignment horizontal="left" vertical="top" wrapText="1"/>
      <protection hidden="1"/>
    </xf>
    <xf numFmtId="0" fontId="28" fillId="0" borderId="2" xfId="4" applyFont="1" applyBorder="1" applyAlignment="1" applyProtection="1">
      <alignment horizontal="left"/>
      <protection hidden="1"/>
    </xf>
    <xf numFmtId="0" fontId="28" fillId="0" borderId="4" xfId="4" applyFont="1" applyBorder="1" applyAlignment="1" applyProtection="1">
      <alignment horizontal="center" vertical="top" wrapText="1"/>
      <protection hidden="1"/>
    </xf>
    <xf numFmtId="0" fontId="33" fillId="0" borderId="0" xfId="0" applyFont="1" applyAlignment="1">
      <alignment horizontal="left" vertical="top" wrapText="1"/>
    </xf>
    <xf numFmtId="0" fontId="7" fillId="0" borderId="0" xfId="0" applyFont="1" applyAlignment="1">
      <alignment horizontal="left" vertical="top"/>
    </xf>
    <xf numFmtId="0" fontId="28" fillId="0" borderId="4" xfId="4" applyFont="1" applyBorder="1" applyAlignment="1" applyProtection="1">
      <alignment horizontal="left" vertical="top" wrapText="1"/>
      <protection hidden="1"/>
    </xf>
    <xf numFmtId="49" fontId="36" fillId="0" borderId="2" xfId="4" applyNumberFormat="1" applyFont="1" applyBorder="1" applyAlignment="1" applyProtection="1">
      <alignment horizontal="left" vertical="top" wrapText="1"/>
      <protection hidden="1"/>
    </xf>
    <xf numFmtId="0" fontId="18" fillId="0" borderId="2" xfId="3" applyFont="1" applyBorder="1" applyAlignment="1">
      <alignment horizontal="left" vertical="top" wrapText="1"/>
    </xf>
    <xf numFmtId="0" fontId="40" fillId="0" borderId="2" xfId="4" applyFont="1" applyBorder="1" applyAlignment="1" applyProtection="1">
      <alignment horizontal="left" vertical="top" wrapText="1"/>
      <protection hidden="1"/>
    </xf>
    <xf numFmtId="165" fontId="37" fillId="0" borderId="2" xfId="4" applyNumberFormat="1" applyFont="1" applyBorder="1" applyAlignment="1" applyProtection="1">
      <alignment horizontal="left" vertical="top" wrapText="1"/>
      <protection hidden="1"/>
    </xf>
    <xf numFmtId="10" fontId="28" fillId="0" borderId="2" xfId="4" applyNumberFormat="1" applyFont="1" applyBorder="1" applyAlignment="1" applyProtection="1">
      <alignment vertical="top" wrapText="1"/>
      <protection hidden="1"/>
    </xf>
    <xf numFmtId="0" fontId="39" fillId="0" borderId="4" xfId="4" applyFont="1" applyBorder="1" applyAlignment="1" applyProtection="1">
      <alignment horizontal="left" vertical="top" wrapText="1"/>
      <protection hidden="1"/>
    </xf>
    <xf numFmtId="165" fontId="28" fillId="0" borderId="2" xfId="4" quotePrefix="1" applyNumberFormat="1" applyFont="1" applyBorder="1" applyAlignment="1" applyProtection="1">
      <alignment horizontal="left" vertical="top" wrapText="1"/>
      <protection hidden="1"/>
    </xf>
    <xf numFmtId="0" fontId="35" fillId="0" borderId="2" xfId="2" applyFont="1" applyBorder="1" applyAlignment="1">
      <alignment horizontal="left" vertical="top" wrapText="1"/>
    </xf>
    <xf numFmtId="0" fontId="5" fillId="2" borderId="7" xfId="0" applyFont="1" applyFill="1" applyBorder="1" applyAlignment="1">
      <alignment horizontal="left" vertical="top" wrapText="1"/>
    </xf>
    <xf numFmtId="0" fontId="30" fillId="5" borderId="11" xfId="0" applyFont="1" applyFill="1" applyBorder="1" applyAlignment="1">
      <alignment horizontal="center" vertical="center"/>
    </xf>
    <xf numFmtId="0" fontId="0" fillId="0" borderId="11" xfId="0" applyBorder="1"/>
    <xf numFmtId="0" fontId="30" fillId="11" borderId="1" xfId="0" applyFont="1" applyFill="1" applyBorder="1" applyAlignment="1">
      <alignment horizontal="center" vertical="center"/>
    </xf>
    <xf numFmtId="0" fontId="0" fillId="0" borderId="10" xfId="0" applyBorder="1"/>
    <xf numFmtId="0" fontId="27" fillId="2" borderId="2" xfId="0" applyFont="1" applyFill="1" applyBorder="1" applyAlignment="1">
      <alignment horizontal="left" vertical="top" wrapText="1"/>
    </xf>
    <xf numFmtId="0" fontId="27" fillId="6" borderId="2" xfId="0" applyFont="1" applyFill="1" applyBorder="1" applyAlignment="1">
      <alignment horizontal="right" vertical="top"/>
    </xf>
    <xf numFmtId="0" fontId="12" fillId="3" borderId="9" xfId="0" applyFont="1" applyFill="1" applyBorder="1" applyAlignment="1">
      <alignment horizontal="left" vertical="top" wrapText="1"/>
    </xf>
    <xf numFmtId="0" fontId="24" fillId="0" borderId="0" xfId="0" applyFont="1"/>
    <xf numFmtId="0" fontId="0" fillId="0" borderId="14" xfId="0" applyBorder="1"/>
    <xf numFmtId="0" fontId="0" fillId="0" borderId="3" xfId="0" applyBorder="1"/>
    <xf numFmtId="0" fontId="26" fillId="3" borderId="2" xfId="0" applyFont="1" applyFill="1" applyBorder="1" applyAlignment="1">
      <alignment horizontal="left" wrapText="1"/>
    </xf>
    <xf numFmtId="0" fontId="20" fillId="3" borderId="5" xfId="0" applyFont="1" applyFill="1" applyBorder="1" applyAlignment="1">
      <alignment horizontal="left" vertical="center"/>
    </xf>
    <xf numFmtId="0" fontId="26" fillId="3" borderId="6" xfId="0" applyFont="1" applyFill="1" applyBorder="1" applyAlignment="1">
      <alignment horizontal="left" wrapText="1"/>
    </xf>
    <xf numFmtId="0" fontId="30" fillId="5" borderId="1" xfId="0" applyFont="1" applyFill="1" applyBorder="1" applyAlignment="1">
      <alignment horizontal="center" vertical="center"/>
    </xf>
    <xf numFmtId="0" fontId="24" fillId="0" borderId="23" xfId="0" applyFont="1" applyBorder="1"/>
    <xf numFmtId="0" fontId="24" fillId="0" borderId="20" xfId="0" applyFont="1" applyBorder="1"/>
    <xf numFmtId="0" fontId="30" fillId="5" borderId="12" xfId="0" applyFont="1" applyFill="1" applyBorder="1" applyAlignment="1">
      <alignment horizontal="center" vertical="center"/>
    </xf>
  </cellXfs>
  <cellStyles count="62">
    <cellStyle name="Comma 10" xfId="1" xr:uid="{00000000-0005-0000-0000-000001000000}"/>
    <cellStyle name="Comma 2" xfId="12" xr:uid="{00000000-0005-0000-0000-00000C000000}"/>
    <cellStyle name="Comma 2 2" xfId="54" xr:uid="{00000000-0005-0000-0000-000036000000}"/>
    <cellStyle name="Comma 3" xfId="34" xr:uid="{00000000-0005-0000-0000-000022000000}"/>
    <cellStyle name="Comma 3 2" xfId="48" xr:uid="{00000000-0005-0000-0000-000030000000}"/>
    <cellStyle name="Comma 4" xfId="43" xr:uid="{00000000-0005-0000-0000-00002B000000}"/>
    <cellStyle name="Comma 5" xfId="32" xr:uid="{00000000-0005-0000-0000-000020000000}"/>
    <cellStyle name="Explanatory Text 2" xfId="41" xr:uid="{00000000-0005-0000-0000-000029000000}"/>
    <cellStyle name="Neutral 2" xfId="20" xr:uid="{00000000-0005-0000-0000-000014000000}"/>
    <cellStyle name="Neutral 2 2" xfId="23" xr:uid="{00000000-0005-0000-0000-000017000000}"/>
    <cellStyle name="Neutral 2 3" xfId="21" xr:uid="{00000000-0005-0000-0000-000015000000}"/>
    <cellStyle name="Normal" xfId="0" builtinId="0"/>
    <cellStyle name="Normal 10" xfId="7" xr:uid="{00000000-0005-0000-0000-000007000000}"/>
    <cellStyle name="Normal 10 2" xfId="19" xr:uid="{00000000-0005-0000-0000-000013000000}"/>
    <cellStyle name="Normal 10 2 2" xfId="25" xr:uid="{00000000-0005-0000-0000-000019000000}"/>
    <cellStyle name="Normal 10 2 2 3" xfId="57" xr:uid="{00000000-0005-0000-0000-000039000000}"/>
    <cellStyle name="Normal 10 2 2 3 2" xfId="60" xr:uid="{00000000-0005-0000-0000-00003C000000}"/>
    <cellStyle name="Normal 13" xfId="14" xr:uid="{00000000-0005-0000-0000-00000E000000}"/>
    <cellStyle name="Normal 19" xfId="6" xr:uid="{00000000-0005-0000-0000-000006000000}"/>
    <cellStyle name="Normal 19 2" xfId="9" xr:uid="{00000000-0005-0000-0000-000009000000}"/>
    <cellStyle name="Normal 19 2 2" xfId="11" xr:uid="{00000000-0005-0000-0000-00000B000000}"/>
    <cellStyle name="Normal 19 2 3" xfId="28" xr:uid="{00000000-0005-0000-0000-00001C000000}"/>
    <cellStyle name="Normal 19 3" xfId="31" xr:uid="{00000000-0005-0000-0000-00001F000000}"/>
    <cellStyle name="Normal 2" xfId="8" xr:uid="{00000000-0005-0000-0000-000008000000}"/>
    <cellStyle name="Normal 2 2" xfId="39" xr:uid="{00000000-0005-0000-0000-000027000000}"/>
    <cellStyle name="Normal 2 2 2" xfId="13" xr:uid="{00000000-0005-0000-0000-00000D000000}"/>
    <cellStyle name="Normal 2 2 2 2" xfId="51" xr:uid="{00000000-0005-0000-0000-000033000000}"/>
    <cellStyle name="Normal 2 2 5" xfId="49" xr:uid="{00000000-0005-0000-0000-000031000000}"/>
    <cellStyle name="Normal 2 54" xfId="42" xr:uid="{00000000-0005-0000-0000-00002A000000}"/>
    <cellStyle name="Normal 2 6" xfId="24" xr:uid="{00000000-0005-0000-0000-000018000000}"/>
    <cellStyle name="Normal 26" xfId="2" xr:uid="{00000000-0005-0000-0000-000002000000}"/>
    <cellStyle name="Normal 28" xfId="3" xr:uid="{00000000-0005-0000-0000-000003000000}"/>
    <cellStyle name="Normal 3" xfId="10" xr:uid="{00000000-0005-0000-0000-00000A000000}"/>
    <cellStyle name="Normal 3 2" xfId="37" xr:uid="{00000000-0005-0000-0000-000025000000}"/>
    <cellStyle name="Normal 3 2 3" xfId="58" xr:uid="{00000000-0005-0000-0000-00003A000000}"/>
    <cellStyle name="Normal 3 24" xfId="38" xr:uid="{00000000-0005-0000-0000-000026000000}"/>
    <cellStyle name="Normal 3 3" xfId="44" xr:uid="{00000000-0005-0000-0000-00002C000000}"/>
    <cellStyle name="Normal 31" xfId="18" xr:uid="{00000000-0005-0000-0000-000012000000}"/>
    <cellStyle name="Normal 39" xfId="59" xr:uid="{00000000-0005-0000-0000-00003B000000}"/>
    <cellStyle name="Normal 4" xfId="27" xr:uid="{00000000-0005-0000-0000-00001B000000}"/>
    <cellStyle name="Normal 4 10" xfId="26" xr:uid="{00000000-0005-0000-0000-00001A000000}"/>
    <cellStyle name="Normal 4 2" xfId="53" xr:uid="{00000000-0005-0000-0000-000035000000}"/>
    <cellStyle name="Normal 4 5" xfId="22" xr:uid="{00000000-0005-0000-0000-000016000000}"/>
    <cellStyle name="Normal 5" xfId="29" xr:uid="{00000000-0005-0000-0000-00001D000000}"/>
    <cellStyle name="Normal 5 2" xfId="30" xr:uid="{00000000-0005-0000-0000-00001E000000}"/>
    <cellStyle name="Normal 5 2 2" xfId="52" xr:uid="{00000000-0005-0000-0000-000034000000}"/>
    <cellStyle name="Normal 5 21" xfId="36" xr:uid="{00000000-0005-0000-0000-000024000000}"/>
    <cellStyle name="Normal 5 3" xfId="35" xr:uid="{00000000-0005-0000-0000-000023000000}"/>
    <cellStyle name="Normal 5 4" xfId="55" xr:uid="{00000000-0005-0000-0000-000037000000}"/>
    <cellStyle name="Normal 6" xfId="15" xr:uid="{00000000-0005-0000-0000-00000F000000}"/>
    <cellStyle name="Normal 6 2" xfId="61" xr:uid="{00000000-0005-0000-0000-00003D000000}"/>
    <cellStyle name="Normal 7" xfId="5" xr:uid="{00000000-0005-0000-0000-000005000000}"/>
    <cellStyle name="Normal1" xfId="50" xr:uid="{00000000-0005-0000-0000-000032000000}"/>
    <cellStyle name="Normalno 2" xfId="40" xr:uid="{00000000-0005-0000-0000-000028000000}"/>
    <cellStyle name="Normalno 2 2" xfId="47" xr:uid="{00000000-0005-0000-0000-00002F000000}"/>
    <cellStyle name="Normalno 3" xfId="56" xr:uid="{00000000-0005-0000-0000-000038000000}"/>
    <cellStyle name="Normalno 4" xfId="4" xr:uid="{00000000-0005-0000-0000-000004000000}"/>
    <cellStyle name="Normalno 5" xfId="45" xr:uid="{00000000-0005-0000-0000-00002D000000}"/>
    <cellStyle name="Note 2" xfId="33" xr:uid="{00000000-0005-0000-0000-000021000000}"/>
    <cellStyle name="Obično 2" xfId="16" xr:uid="{00000000-0005-0000-0000-000010000000}"/>
    <cellStyle name="Obično_FEKALNA" xfId="17" xr:uid="{00000000-0005-0000-0000-000011000000}"/>
    <cellStyle name="Zarez 2" xfId="46" xr:uid="{00000000-0005-0000-0000-00002E000000}"/>
  </cellStyles>
  <dxfs count="109">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1"/>
  <sheetViews>
    <sheetView view="pageBreakPreview" topLeftCell="A33" zoomScaleNormal="100" zoomScaleSheetLayoutView="100" workbookViewId="0">
      <selection activeCell="B49" sqref="B49"/>
    </sheetView>
  </sheetViews>
  <sheetFormatPr defaultRowHeight="15" x14ac:dyDescent="0.25"/>
  <cols>
    <col min="1" max="1" width="12.7109375" customWidth="1"/>
    <col min="2" max="2" width="50.7109375" customWidth="1"/>
    <col min="3" max="5" width="10.7109375" customWidth="1"/>
    <col min="6" max="8" width="12.7109375" customWidth="1"/>
    <col min="10" max="10" width="9.140625" customWidth="1"/>
    <col min="11" max="11" width="56.5703125" customWidth="1"/>
  </cols>
  <sheetData>
    <row r="1" spans="1:9" x14ac:dyDescent="0.25">
      <c r="A1" s="4"/>
      <c r="B1" s="4"/>
      <c r="C1" s="4"/>
      <c r="D1" s="4"/>
      <c r="E1" s="4"/>
      <c r="F1" s="4"/>
      <c r="G1" s="4"/>
      <c r="H1" s="4"/>
      <c r="I1" s="4"/>
    </row>
    <row r="2" spans="1:9" ht="20.25" customHeight="1" x14ac:dyDescent="0.3">
      <c r="A2" s="370" t="s">
        <v>0</v>
      </c>
      <c r="B2" s="365"/>
      <c r="C2" s="365"/>
      <c r="D2" s="365"/>
      <c r="E2" s="365"/>
      <c r="F2" s="365"/>
      <c r="G2" s="365"/>
      <c r="H2" s="365"/>
      <c r="I2" s="10"/>
    </row>
    <row r="3" spans="1:9" x14ac:dyDescent="0.25">
      <c r="A3" s="4"/>
      <c r="B3" s="4"/>
      <c r="C3" s="4"/>
      <c r="D3" s="4"/>
      <c r="E3" s="4"/>
      <c r="F3" s="4"/>
      <c r="G3" s="4"/>
      <c r="H3" s="4"/>
      <c r="I3" s="4"/>
    </row>
    <row r="4" spans="1:9" x14ac:dyDescent="0.25">
      <c r="A4" s="4"/>
      <c r="B4" s="371" t="s">
        <v>1</v>
      </c>
      <c r="C4" s="365"/>
      <c r="D4" s="365"/>
      <c r="E4" s="365"/>
      <c r="F4" s="365"/>
      <c r="G4" s="365"/>
      <c r="H4" s="4"/>
      <c r="I4" s="4"/>
    </row>
    <row r="5" spans="1:9" x14ac:dyDescent="0.25">
      <c r="A5" s="4"/>
      <c r="B5" s="4"/>
      <c r="C5" s="4"/>
      <c r="D5" s="4"/>
      <c r="E5" s="4"/>
      <c r="F5" s="4"/>
      <c r="G5" s="4"/>
      <c r="H5" s="4"/>
      <c r="I5" s="4"/>
    </row>
    <row r="6" spans="1:9" x14ac:dyDescent="0.25">
      <c r="A6" s="4"/>
      <c r="B6" s="4"/>
      <c r="C6" s="4"/>
      <c r="D6" s="4"/>
      <c r="E6" s="4"/>
      <c r="F6" s="4"/>
      <c r="G6" s="4"/>
      <c r="H6" s="4"/>
      <c r="I6" s="4"/>
    </row>
    <row r="7" spans="1:9" x14ac:dyDescent="0.25">
      <c r="A7" s="4"/>
      <c r="B7" s="4"/>
      <c r="C7" s="4"/>
      <c r="D7" s="4"/>
      <c r="E7" s="4"/>
      <c r="F7" s="4"/>
      <c r="G7" s="4"/>
      <c r="H7" s="4"/>
      <c r="I7" s="4"/>
    </row>
    <row r="8" spans="1:9" x14ac:dyDescent="0.25">
      <c r="A8" s="4"/>
      <c r="B8" s="4"/>
      <c r="C8" s="4"/>
      <c r="D8" s="4"/>
      <c r="E8" s="4"/>
      <c r="F8" s="4"/>
      <c r="G8" s="4"/>
      <c r="H8" s="4"/>
      <c r="I8" s="4"/>
    </row>
    <row r="9" spans="1:9" x14ac:dyDescent="0.25">
      <c r="A9" s="4"/>
      <c r="B9" s="4"/>
      <c r="C9" s="4"/>
      <c r="D9" s="4"/>
      <c r="E9" s="4"/>
      <c r="F9" s="4"/>
      <c r="G9" s="4"/>
      <c r="H9" s="4"/>
      <c r="I9" s="4"/>
    </row>
    <row r="10" spans="1:9" x14ac:dyDescent="0.25">
      <c r="A10" s="4"/>
      <c r="B10" s="4"/>
      <c r="C10" s="4"/>
      <c r="D10" s="4"/>
      <c r="E10" s="4"/>
      <c r="F10" s="4"/>
      <c r="G10" s="4"/>
      <c r="H10" s="4"/>
      <c r="I10" s="4"/>
    </row>
    <row r="11" spans="1:9" x14ac:dyDescent="0.25">
      <c r="A11" s="4"/>
      <c r="B11" s="4"/>
      <c r="C11" s="4"/>
      <c r="D11" s="4"/>
      <c r="E11" s="4"/>
      <c r="F11" s="4"/>
      <c r="G11" s="4"/>
      <c r="H11" s="4"/>
      <c r="I11" s="4"/>
    </row>
    <row r="12" spans="1:9" x14ac:dyDescent="0.25">
      <c r="A12" s="4"/>
      <c r="B12" s="4"/>
      <c r="C12" s="4"/>
      <c r="D12" s="4"/>
      <c r="E12" s="4"/>
      <c r="F12" s="4"/>
      <c r="G12" s="4"/>
      <c r="H12" s="4"/>
      <c r="I12" s="4"/>
    </row>
    <row r="13" spans="1:9" x14ac:dyDescent="0.25">
      <c r="A13" s="4"/>
      <c r="B13" s="4"/>
      <c r="C13" s="4"/>
      <c r="D13" s="4"/>
      <c r="E13" s="4"/>
      <c r="F13" s="4"/>
      <c r="G13" s="4"/>
      <c r="H13" s="4"/>
      <c r="I13" s="4"/>
    </row>
    <row r="14" spans="1:9" x14ac:dyDescent="0.25">
      <c r="A14" s="4"/>
      <c r="B14" s="4"/>
      <c r="C14" s="4"/>
      <c r="D14" s="4"/>
      <c r="E14" s="4"/>
      <c r="F14" s="4"/>
      <c r="G14" s="4"/>
      <c r="H14" s="4"/>
      <c r="I14" s="4"/>
    </row>
    <row r="15" spans="1:9" x14ac:dyDescent="0.25">
      <c r="A15" s="4"/>
      <c r="B15" s="4"/>
      <c r="C15" s="4"/>
      <c r="D15" s="4"/>
      <c r="E15" s="4"/>
      <c r="F15" s="4"/>
      <c r="G15" s="4"/>
      <c r="H15" s="4"/>
      <c r="I15" s="4"/>
    </row>
    <row r="16" spans="1:9" x14ac:dyDescent="0.25">
      <c r="A16" s="4"/>
      <c r="B16" s="4"/>
      <c r="C16" s="4"/>
      <c r="D16" s="4"/>
      <c r="E16" s="4"/>
      <c r="F16" s="4"/>
      <c r="G16" s="4"/>
      <c r="H16" s="4"/>
      <c r="I16" s="4"/>
    </row>
    <row r="17" spans="1:9" x14ac:dyDescent="0.25">
      <c r="A17" s="4"/>
      <c r="B17" s="4"/>
      <c r="C17" s="4"/>
      <c r="D17" s="4"/>
      <c r="E17" s="4"/>
      <c r="F17" s="4"/>
      <c r="G17" s="4"/>
      <c r="H17" s="4"/>
      <c r="I17" s="4"/>
    </row>
    <row r="18" spans="1:9" x14ac:dyDescent="0.25">
      <c r="A18" s="4"/>
      <c r="B18" s="4"/>
      <c r="C18" s="4"/>
      <c r="D18" s="4"/>
      <c r="E18" s="4"/>
      <c r="F18" s="4"/>
      <c r="G18" s="4"/>
      <c r="H18" s="4"/>
      <c r="I18" s="4"/>
    </row>
    <row r="19" spans="1:9" x14ac:dyDescent="0.25">
      <c r="A19" s="4"/>
      <c r="B19" s="4"/>
      <c r="C19" s="4"/>
      <c r="D19" s="4"/>
      <c r="E19" s="4"/>
      <c r="F19" s="4"/>
      <c r="G19" s="4"/>
      <c r="H19" s="4"/>
      <c r="I19" s="4"/>
    </row>
    <row r="20" spans="1:9" x14ac:dyDescent="0.25">
      <c r="A20" s="4"/>
      <c r="B20" s="4"/>
      <c r="C20" s="4"/>
      <c r="D20" s="4"/>
      <c r="E20" s="4"/>
      <c r="F20" s="4"/>
      <c r="G20" s="4"/>
      <c r="H20" s="4"/>
      <c r="I20" s="4"/>
    </row>
    <row r="21" spans="1:9" x14ac:dyDescent="0.25">
      <c r="A21" s="4"/>
      <c r="B21" s="4"/>
      <c r="C21" s="4"/>
      <c r="D21" s="4"/>
      <c r="E21" s="4"/>
      <c r="F21" s="4"/>
      <c r="G21" s="4"/>
      <c r="H21" s="4"/>
      <c r="I21" s="4"/>
    </row>
    <row r="22" spans="1:9" x14ac:dyDescent="0.25">
      <c r="A22" s="4"/>
      <c r="B22" s="4"/>
      <c r="C22" s="4"/>
      <c r="D22" s="4"/>
      <c r="E22" s="4"/>
      <c r="F22" s="4"/>
      <c r="G22" s="4"/>
      <c r="H22" s="4"/>
      <c r="I22" s="4"/>
    </row>
    <row r="23" spans="1:9" x14ac:dyDescent="0.25">
      <c r="A23" s="4"/>
      <c r="B23" s="4"/>
      <c r="C23" s="4"/>
      <c r="D23" s="4"/>
      <c r="E23" s="4"/>
      <c r="F23" s="4"/>
      <c r="G23" s="4"/>
      <c r="H23" s="4"/>
      <c r="I23" s="4"/>
    </row>
    <row r="24" spans="1:9" x14ac:dyDescent="0.25">
      <c r="A24" s="4"/>
      <c r="B24" s="4"/>
      <c r="C24" s="4"/>
      <c r="D24" s="4"/>
      <c r="E24" s="4"/>
      <c r="F24" s="4"/>
      <c r="G24" s="4"/>
      <c r="H24" s="4"/>
      <c r="I24" s="4"/>
    </row>
    <row r="25" spans="1:9" x14ac:dyDescent="0.25">
      <c r="A25" s="4"/>
      <c r="B25" s="4"/>
      <c r="C25" s="4"/>
      <c r="D25" s="4"/>
      <c r="E25" s="4"/>
      <c r="F25" s="4"/>
      <c r="G25" s="4"/>
      <c r="H25" s="4"/>
      <c r="I25" s="4"/>
    </row>
    <row r="26" spans="1:9" x14ac:dyDescent="0.25">
      <c r="A26" s="4"/>
      <c r="B26" s="4"/>
      <c r="C26" s="4"/>
      <c r="D26" s="4"/>
      <c r="E26" s="4"/>
      <c r="F26" s="4"/>
      <c r="G26" s="4"/>
      <c r="H26" s="4"/>
      <c r="I26" s="4"/>
    </row>
    <row r="27" spans="1:9" x14ac:dyDescent="0.25">
      <c r="A27" s="4"/>
      <c r="B27" s="4"/>
      <c r="C27" s="4"/>
      <c r="D27" s="4"/>
      <c r="E27" s="4"/>
      <c r="F27" s="4"/>
      <c r="G27" s="4"/>
      <c r="H27" s="4"/>
      <c r="I27" s="4"/>
    </row>
    <row r="28" spans="1:9" x14ac:dyDescent="0.25">
      <c r="A28" s="4"/>
      <c r="B28" s="4"/>
      <c r="C28" s="4"/>
      <c r="D28" s="4"/>
      <c r="E28" s="4"/>
      <c r="F28" s="4"/>
      <c r="G28" s="4"/>
      <c r="H28" s="4"/>
      <c r="I28" s="4"/>
    </row>
    <row r="29" spans="1:9" x14ac:dyDescent="0.25">
      <c r="A29" s="4"/>
      <c r="B29" s="4"/>
      <c r="C29" s="4"/>
      <c r="D29" s="4"/>
      <c r="E29" s="4"/>
      <c r="F29" s="4"/>
      <c r="G29" s="4"/>
      <c r="H29" s="4"/>
      <c r="I29" s="4"/>
    </row>
    <row r="30" spans="1:9" x14ac:dyDescent="0.25">
      <c r="A30" s="12"/>
      <c r="B30" s="13"/>
      <c r="C30" s="12"/>
      <c r="D30" s="373" t="s">
        <v>2</v>
      </c>
      <c r="E30" s="365"/>
      <c r="F30" s="12"/>
      <c r="G30" s="12"/>
      <c r="H30" s="12"/>
      <c r="I30" s="12"/>
    </row>
    <row r="31" spans="1:9" x14ac:dyDescent="0.25">
      <c r="A31" s="12"/>
      <c r="B31" s="13"/>
      <c r="C31" s="12"/>
      <c r="D31" s="12"/>
      <c r="E31" s="369"/>
      <c r="F31" s="365"/>
      <c r="G31" s="369"/>
      <c r="H31" s="365"/>
      <c r="I31" s="12"/>
    </row>
    <row r="32" spans="1:9" x14ac:dyDescent="0.25">
      <c r="A32" s="12"/>
      <c r="B32" s="13"/>
      <c r="C32" s="12"/>
      <c r="D32" s="364" t="s">
        <v>3</v>
      </c>
      <c r="E32" s="365"/>
      <c r="F32" s="368" t="s">
        <v>4</v>
      </c>
      <c r="G32" s="365"/>
      <c r="H32" s="17"/>
      <c r="I32" s="12"/>
    </row>
    <row r="33" spans="1:9" ht="54.75" customHeight="1" x14ac:dyDescent="0.25">
      <c r="A33" s="12"/>
      <c r="B33" s="13"/>
      <c r="C33" s="12"/>
      <c r="D33" s="364" t="s">
        <v>5</v>
      </c>
      <c r="E33" s="365"/>
      <c r="F33" s="366" t="s">
        <v>6</v>
      </c>
      <c r="G33" s="365"/>
      <c r="H33" s="17"/>
      <c r="I33" s="12"/>
    </row>
    <row r="34" spans="1:9" ht="28.5" customHeight="1" x14ac:dyDescent="0.25">
      <c r="A34" s="4"/>
      <c r="B34" s="8"/>
      <c r="C34" s="5"/>
      <c r="D34" s="364" t="s">
        <v>7</v>
      </c>
      <c r="E34" s="365"/>
      <c r="F34" s="366" t="s">
        <v>8</v>
      </c>
      <c r="G34" s="365"/>
      <c r="H34" s="17"/>
      <c r="I34" s="12"/>
    </row>
    <row r="35" spans="1:9" ht="15" customHeight="1" x14ac:dyDescent="0.25">
      <c r="A35" s="4"/>
      <c r="B35" s="4"/>
      <c r="C35" s="4"/>
      <c r="D35" s="364" t="s">
        <v>9</v>
      </c>
      <c r="E35" s="365"/>
      <c r="F35" s="366" t="s">
        <v>10</v>
      </c>
      <c r="G35" s="365"/>
      <c r="H35" s="17"/>
      <c r="I35" s="14"/>
    </row>
    <row r="36" spans="1:9" ht="15" customHeight="1" x14ac:dyDescent="0.25">
      <c r="A36" s="4"/>
      <c r="B36" s="4"/>
      <c r="C36" s="4"/>
      <c r="D36" s="15"/>
      <c r="E36" s="15"/>
      <c r="F36" s="366" t="s">
        <v>11</v>
      </c>
      <c r="G36" s="365"/>
      <c r="H36" s="17"/>
      <c r="I36" s="14"/>
    </row>
    <row r="37" spans="1:9" ht="15" customHeight="1" x14ac:dyDescent="0.25">
      <c r="A37" s="4"/>
      <c r="B37" s="4"/>
      <c r="C37" s="4"/>
      <c r="D37" s="15"/>
      <c r="E37" s="15"/>
      <c r="F37" s="366" t="s">
        <v>12</v>
      </c>
      <c r="G37" s="365"/>
      <c r="H37" s="17"/>
      <c r="I37" s="14"/>
    </row>
    <row r="38" spans="1:9" ht="15" customHeight="1" x14ac:dyDescent="0.25">
      <c r="A38" s="4"/>
      <c r="B38" s="4"/>
      <c r="C38" s="4"/>
      <c r="D38" s="15"/>
      <c r="E38" s="15"/>
      <c r="F38" s="366" t="s">
        <v>13</v>
      </c>
      <c r="G38" s="365"/>
      <c r="H38" s="17"/>
      <c r="I38" s="14"/>
    </row>
    <row r="39" spans="1:9" ht="15" customHeight="1" x14ac:dyDescent="0.25">
      <c r="A39" s="4"/>
      <c r="B39" s="4"/>
      <c r="C39" s="4"/>
      <c r="D39" s="15"/>
      <c r="E39" s="15"/>
      <c r="F39" s="18"/>
      <c r="G39" s="18"/>
      <c r="H39" s="17"/>
      <c r="I39" s="14"/>
    </row>
    <row r="40" spans="1:9" x14ac:dyDescent="0.25">
      <c r="A40" s="4"/>
      <c r="B40" s="4"/>
      <c r="C40" s="4"/>
      <c r="D40" s="19"/>
      <c r="E40" s="15"/>
      <c r="F40" s="6"/>
      <c r="G40" s="6"/>
      <c r="H40" s="20"/>
      <c r="I40" s="14"/>
    </row>
    <row r="41" spans="1:9" x14ac:dyDescent="0.25">
      <c r="A41" s="4"/>
      <c r="B41" s="4"/>
      <c r="C41" s="4"/>
      <c r="D41" s="364" t="s">
        <v>14</v>
      </c>
      <c r="E41" s="365"/>
      <c r="F41" s="367" t="s">
        <v>15</v>
      </c>
      <c r="G41" s="365"/>
      <c r="H41" s="17"/>
      <c r="I41" s="14"/>
    </row>
    <row r="42" spans="1:9" x14ac:dyDescent="0.25">
      <c r="A42" s="4"/>
      <c r="B42" s="4"/>
      <c r="C42" s="4"/>
      <c r="D42" s="15"/>
      <c r="E42" s="15"/>
      <c r="F42" s="367" t="s">
        <v>16</v>
      </c>
      <c r="G42" s="365"/>
      <c r="H42" s="17"/>
      <c r="I42" s="14"/>
    </row>
    <row r="43" spans="1:9" x14ac:dyDescent="0.25">
      <c r="A43" s="4"/>
      <c r="B43" s="4"/>
      <c r="C43" s="4"/>
      <c r="D43" s="15"/>
      <c r="E43" s="15"/>
      <c r="F43" s="367" t="s">
        <v>12</v>
      </c>
      <c r="G43" s="365"/>
      <c r="H43" s="17"/>
      <c r="I43" s="14"/>
    </row>
    <row r="44" spans="1:9" x14ac:dyDescent="0.25">
      <c r="A44" s="4"/>
      <c r="B44" s="4"/>
      <c r="C44" s="4"/>
      <c r="D44" s="15"/>
      <c r="E44" s="15"/>
      <c r="F44" s="367" t="s">
        <v>13</v>
      </c>
      <c r="G44" s="365"/>
      <c r="H44" s="17"/>
      <c r="I44" s="14"/>
    </row>
    <row r="45" spans="1:9" x14ac:dyDescent="0.25">
      <c r="A45" s="4"/>
      <c r="B45" s="4"/>
      <c r="C45" s="4"/>
      <c r="D45" s="15"/>
      <c r="E45" s="15"/>
      <c r="F45" s="16"/>
      <c r="G45" s="16"/>
      <c r="H45" s="17"/>
      <c r="I45" s="14"/>
    </row>
    <row r="46" spans="1:9" x14ac:dyDescent="0.25">
      <c r="A46" s="4"/>
      <c r="B46" s="4"/>
      <c r="C46" s="4"/>
      <c r="D46" s="364" t="s">
        <v>17</v>
      </c>
      <c r="E46" s="365"/>
      <c r="F46" s="372">
        <v>45813</v>
      </c>
      <c r="G46" s="365"/>
      <c r="H46" s="17"/>
      <c r="I46" s="12"/>
    </row>
    <row r="47" spans="1:9" x14ac:dyDescent="0.25">
      <c r="A47" s="4"/>
      <c r="B47" s="4"/>
      <c r="C47" s="4"/>
      <c r="D47" s="364" t="s">
        <v>18</v>
      </c>
      <c r="E47" s="365"/>
      <c r="F47" s="366" t="s">
        <v>19</v>
      </c>
      <c r="G47" s="365"/>
      <c r="H47" s="17"/>
      <c r="I47" s="12"/>
    </row>
    <row r="48" spans="1:9" x14ac:dyDescent="0.25">
      <c r="A48" s="4"/>
      <c r="B48" s="4"/>
      <c r="C48" s="4"/>
      <c r="D48" s="16"/>
      <c r="E48" s="16"/>
      <c r="F48" s="16"/>
      <c r="G48" s="16"/>
      <c r="H48" s="17"/>
      <c r="I48" s="12"/>
    </row>
    <row r="49" spans="1:9" x14ac:dyDescent="0.25">
      <c r="A49" s="4"/>
      <c r="B49" s="4"/>
      <c r="C49" s="4"/>
      <c r="D49" s="364" t="s">
        <v>20</v>
      </c>
      <c r="E49" s="365"/>
      <c r="F49" s="11"/>
      <c r="G49" s="65">
        <v>0</v>
      </c>
      <c r="H49" s="17"/>
      <c r="I49" s="12"/>
    </row>
    <row r="50" spans="1:9" x14ac:dyDescent="0.25">
      <c r="A50" s="4"/>
      <c r="B50" s="4"/>
      <c r="C50" s="4"/>
      <c r="D50" s="364" t="s">
        <v>21</v>
      </c>
      <c r="E50" s="365"/>
      <c r="F50" s="16"/>
      <c r="G50" s="65" t="s">
        <v>22</v>
      </c>
      <c r="H50" s="17"/>
      <c r="I50" s="12"/>
    </row>
    <row r="51" spans="1:9" x14ac:dyDescent="0.25">
      <c r="A51" s="4"/>
      <c r="B51" s="4"/>
      <c r="C51" s="4"/>
      <c r="D51" s="21"/>
      <c r="E51" s="21"/>
      <c r="F51" s="21"/>
      <c r="G51" s="21"/>
      <c r="H51" s="4"/>
      <c r="I51" s="4"/>
    </row>
    <row r="52" spans="1:9" x14ac:dyDescent="0.25">
      <c r="A52" s="4"/>
      <c r="B52" s="4"/>
      <c r="C52" s="4"/>
      <c r="D52" s="4"/>
      <c r="E52" s="4"/>
      <c r="F52" s="4"/>
      <c r="G52" s="4"/>
      <c r="H52" s="4"/>
      <c r="I52" s="4"/>
    </row>
    <row r="53" spans="1:9" x14ac:dyDescent="0.25">
      <c r="A53" s="4"/>
      <c r="B53" s="4"/>
      <c r="C53" s="4"/>
      <c r="D53" s="4"/>
      <c r="E53" s="4"/>
      <c r="F53" s="4"/>
      <c r="G53" s="4"/>
      <c r="H53" s="4"/>
      <c r="I53" s="4"/>
    </row>
    <row r="54" spans="1:9" x14ac:dyDescent="0.25">
      <c r="A54" s="4"/>
      <c r="B54" s="4"/>
      <c r="C54" s="4"/>
      <c r="D54" s="4"/>
      <c r="E54" s="4"/>
      <c r="F54" s="4"/>
      <c r="G54" s="4"/>
      <c r="H54" s="4"/>
      <c r="I54" s="4"/>
    </row>
    <row r="55" spans="1:9" x14ac:dyDescent="0.25">
      <c r="A55" s="4"/>
      <c r="B55" s="4"/>
      <c r="C55" s="4"/>
      <c r="D55" s="4"/>
      <c r="E55" s="4"/>
      <c r="F55" s="4"/>
      <c r="G55" s="4"/>
      <c r="H55" s="4"/>
      <c r="I55" s="4"/>
    </row>
    <row r="56" spans="1:9" x14ac:dyDescent="0.25">
      <c r="A56" s="4"/>
      <c r="B56" s="4"/>
      <c r="C56" s="4"/>
      <c r="D56" s="4"/>
      <c r="E56" s="4"/>
      <c r="F56" s="4"/>
      <c r="G56" s="4"/>
      <c r="H56" s="4"/>
      <c r="I56" s="4"/>
    </row>
    <row r="57" spans="1:9" x14ac:dyDescent="0.25">
      <c r="A57" s="4"/>
      <c r="B57" s="4"/>
      <c r="C57" s="4"/>
      <c r="D57" s="4"/>
      <c r="E57" s="4"/>
      <c r="F57" s="4"/>
      <c r="G57" s="4"/>
      <c r="H57" s="4"/>
      <c r="I57" s="4"/>
    </row>
    <row r="58" spans="1:9" x14ac:dyDescent="0.25">
      <c r="A58" s="4"/>
      <c r="B58" s="4"/>
      <c r="C58" s="4"/>
      <c r="D58" s="4"/>
      <c r="E58" s="4"/>
      <c r="F58" s="4"/>
      <c r="G58" s="4"/>
      <c r="H58" s="4"/>
      <c r="I58" s="4"/>
    </row>
    <row r="59" spans="1:9" x14ac:dyDescent="0.25">
      <c r="A59" s="4"/>
      <c r="B59" s="4"/>
      <c r="C59" s="4"/>
      <c r="D59" s="4"/>
      <c r="E59" s="4"/>
      <c r="F59" s="4"/>
      <c r="G59" s="4"/>
      <c r="H59" s="4"/>
      <c r="I59" s="4"/>
    </row>
    <row r="60" spans="1:9" x14ac:dyDescent="0.25">
      <c r="A60" s="4"/>
      <c r="B60" s="4"/>
      <c r="C60" s="4"/>
      <c r="D60" s="4"/>
      <c r="E60" s="4"/>
      <c r="F60" s="4"/>
      <c r="G60" s="4"/>
      <c r="H60" s="4"/>
      <c r="I60" s="4"/>
    </row>
    <row r="61" spans="1:9" x14ac:dyDescent="0.25">
      <c r="A61" s="4"/>
      <c r="B61" s="4"/>
      <c r="C61" s="4"/>
      <c r="D61" s="4"/>
      <c r="E61" s="4"/>
      <c r="F61" s="4"/>
      <c r="G61" s="4"/>
      <c r="H61" s="4"/>
      <c r="I61" s="4"/>
    </row>
    <row r="62" spans="1:9" x14ac:dyDescent="0.25">
      <c r="A62" s="4"/>
      <c r="B62" s="4"/>
      <c r="C62" s="4"/>
      <c r="D62" s="4"/>
      <c r="E62" s="4"/>
      <c r="F62" s="4"/>
      <c r="G62" s="4"/>
      <c r="H62" s="4"/>
      <c r="I62" s="4"/>
    </row>
    <row r="63" spans="1:9" x14ac:dyDescent="0.25">
      <c r="A63" s="4"/>
      <c r="B63" s="4"/>
      <c r="C63" s="4"/>
      <c r="D63" s="4"/>
      <c r="E63" s="4"/>
      <c r="F63" s="4"/>
      <c r="G63" s="4"/>
      <c r="H63" s="4"/>
      <c r="I63" s="4"/>
    </row>
    <row r="64" spans="1:9" x14ac:dyDescent="0.25">
      <c r="A64" s="4"/>
      <c r="B64" s="4"/>
      <c r="C64" s="4"/>
      <c r="D64" s="4"/>
      <c r="E64" s="4"/>
      <c r="F64" s="4"/>
      <c r="G64" s="4"/>
      <c r="H64" s="4"/>
      <c r="I64" s="4"/>
    </row>
    <row r="65" spans="1:9" x14ac:dyDescent="0.25">
      <c r="A65" s="4"/>
      <c r="B65" s="4"/>
      <c r="C65" s="4"/>
      <c r="D65" s="4"/>
      <c r="E65" s="4"/>
      <c r="F65" s="4"/>
      <c r="G65" s="4"/>
      <c r="H65" s="4"/>
      <c r="I65" s="4"/>
    </row>
    <row r="66" spans="1:9" x14ac:dyDescent="0.25">
      <c r="A66" s="4"/>
      <c r="B66" s="4"/>
      <c r="C66" s="4"/>
      <c r="D66" s="4"/>
      <c r="E66" s="4"/>
      <c r="F66" s="4"/>
      <c r="G66" s="4"/>
      <c r="H66" s="4"/>
      <c r="I66" s="4"/>
    </row>
    <row r="67" spans="1:9" x14ac:dyDescent="0.25">
      <c r="A67" s="4"/>
      <c r="B67" s="4"/>
      <c r="C67" s="4"/>
      <c r="D67" s="4"/>
      <c r="E67" s="4"/>
      <c r="F67" s="4"/>
      <c r="G67" s="4"/>
      <c r="H67" s="4"/>
      <c r="I67" s="4"/>
    </row>
    <row r="68" spans="1:9" x14ac:dyDescent="0.25">
      <c r="A68" s="4"/>
      <c r="B68" s="4"/>
      <c r="C68" s="4"/>
      <c r="D68" s="4"/>
      <c r="E68" s="4"/>
      <c r="F68" s="4"/>
      <c r="G68" s="4"/>
      <c r="H68" s="4"/>
      <c r="I68" s="4"/>
    </row>
    <row r="69" spans="1:9" x14ac:dyDescent="0.25">
      <c r="A69" s="4"/>
      <c r="B69" s="4"/>
      <c r="C69" s="4"/>
      <c r="D69" s="4"/>
      <c r="E69" s="4"/>
      <c r="F69" s="4"/>
      <c r="G69" s="4"/>
      <c r="H69" s="4"/>
      <c r="I69" s="4"/>
    </row>
    <row r="70" spans="1:9" x14ac:dyDescent="0.25">
      <c r="A70" s="4"/>
      <c r="B70" s="4"/>
      <c r="C70" s="4"/>
      <c r="D70" s="4"/>
      <c r="E70" s="4"/>
      <c r="F70" s="4"/>
      <c r="G70" s="4"/>
      <c r="H70" s="4"/>
      <c r="I70" s="4"/>
    </row>
    <row r="71" spans="1:9" x14ac:dyDescent="0.25">
      <c r="A71" s="4"/>
      <c r="B71" s="4"/>
      <c r="C71" s="4"/>
      <c r="D71" s="4"/>
      <c r="E71" s="4"/>
      <c r="F71" s="4"/>
      <c r="G71" s="4"/>
      <c r="H71" s="4"/>
      <c r="I71" s="4"/>
    </row>
    <row r="72" spans="1:9" x14ac:dyDescent="0.25">
      <c r="A72" s="4"/>
      <c r="B72" s="4"/>
      <c r="C72" s="4"/>
      <c r="D72" s="4"/>
      <c r="E72" s="4"/>
      <c r="F72" s="4"/>
      <c r="G72" s="4"/>
      <c r="H72" s="4"/>
      <c r="I72" s="4"/>
    </row>
    <row r="73" spans="1:9" x14ac:dyDescent="0.25">
      <c r="A73" s="4"/>
      <c r="B73" s="4"/>
      <c r="C73" s="4"/>
      <c r="D73" s="4"/>
      <c r="E73" s="4"/>
      <c r="F73" s="4"/>
      <c r="G73" s="4"/>
      <c r="H73" s="4"/>
      <c r="I73" s="4"/>
    </row>
    <row r="74" spans="1:9" x14ac:dyDescent="0.25">
      <c r="A74" s="4"/>
      <c r="B74" s="4"/>
      <c r="C74" s="4"/>
      <c r="D74" s="4"/>
      <c r="E74" s="4"/>
      <c r="F74" s="4"/>
      <c r="G74" s="4"/>
      <c r="H74" s="4"/>
      <c r="I74" s="4"/>
    </row>
    <row r="75" spans="1:9" x14ac:dyDescent="0.25">
      <c r="A75" s="4"/>
      <c r="B75" s="4"/>
      <c r="C75" s="4"/>
      <c r="D75" s="4"/>
      <c r="E75" s="4"/>
      <c r="F75" s="4"/>
      <c r="G75" s="4"/>
      <c r="H75" s="4"/>
      <c r="I75" s="4"/>
    </row>
    <row r="76" spans="1:9" x14ac:dyDescent="0.25">
      <c r="A76" s="4"/>
      <c r="B76" s="4"/>
      <c r="C76" s="4"/>
      <c r="D76" s="4"/>
      <c r="E76" s="4"/>
      <c r="F76" s="4"/>
      <c r="G76" s="4"/>
      <c r="H76" s="4"/>
      <c r="I76" s="4"/>
    </row>
    <row r="77" spans="1:9" x14ac:dyDescent="0.25">
      <c r="A77" s="4"/>
      <c r="B77" s="4"/>
      <c r="C77" s="4"/>
      <c r="D77" s="4"/>
      <c r="E77" s="4"/>
      <c r="F77" s="4"/>
      <c r="G77" s="4"/>
      <c r="H77" s="4"/>
      <c r="I77" s="4"/>
    </row>
    <row r="78" spans="1:9" x14ac:dyDescent="0.25">
      <c r="A78" s="4"/>
      <c r="B78" s="4"/>
      <c r="C78" s="4"/>
      <c r="D78" s="4"/>
      <c r="E78" s="4"/>
      <c r="F78" s="4"/>
      <c r="G78" s="4"/>
      <c r="H78" s="4"/>
      <c r="I78" s="4"/>
    </row>
    <row r="79" spans="1:9" x14ac:dyDescent="0.25">
      <c r="A79" s="4"/>
      <c r="B79" s="4"/>
      <c r="C79" s="4"/>
      <c r="D79" s="4"/>
      <c r="E79" s="4"/>
      <c r="F79" s="4"/>
      <c r="G79" s="4"/>
      <c r="H79" s="4"/>
      <c r="I79" s="4"/>
    </row>
    <row r="80" spans="1:9" x14ac:dyDescent="0.25">
      <c r="A80" s="4"/>
      <c r="B80" s="4"/>
      <c r="C80" s="4"/>
      <c r="D80" s="4"/>
      <c r="E80" s="4"/>
      <c r="F80" s="4"/>
      <c r="G80" s="4"/>
      <c r="H80" s="4"/>
      <c r="I80" s="4"/>
    </row>
    <row r="81" spans="1:9" x14ac:dyDescent="0.25">
      <c r="A81" s="4"/>
      <c r="B81" s="4"/>
      <c r="C81" s="4"/>
      <c r="D81" s="4"/>
      <c r="E81" s="4"/>
      <c r="F81" s="4"/>
      <c r="G81" s="4"/>
      <c r="H81" s="4"/>
      <c r="I81" s="4"/>
    </row>
    <row r="82" spans="1:9" x14ac:dyDescent="0.25">
      <c r="A82" s="4"/>
      <c r="B82" s="4"/>
      <c r="C82" s="4"/>
      <c r="D82" s="4"/>
      <c r="E82" s="4"/>
      <c r="F82" s="4"/>
      <c r="G82" s="4"/>
      <c r="H82" s="4"/>
      <c r="I82" s="4"/>
    </row>
    <row r="83" spans="1:9" x14ac:dyDescent="0.25">
      <c r="A83" s="4"/>
      <c r="B83" s="4"/>
      <c r="C83" s="4"/>
      <c r="D83" s="4"/>
      <c r="E83" s="4"/>
      <c r="F83" s="4"/>
      <c r="G83" s="4"/>
      <c r="H83" s="4"/>
      <c r="I83" s="4"/>
    </row>
    <row r="84" spans="1:9" x14ac:dyDescent="0.25">
      <c r="A84" s="4"/>
      <c r="B84" s="4"/>
      <c r="C84" s="4"/>
      <c r="D84" s="4"/>
      <c r="E84" s="4"/>
      <c r="F84" s="4"/>
      <c r="G84" s="4"/>
      <c r="H84" s="4"/>
      <c r="I84" s="4"/>
    </row>
    <row r="85" spans="1:9" x14ac:dyDescent="0.25">
      <c r="A85" s="4"/>
      <c r="B85" s="4"/>
      <c r="C85" s="4"/>
      <c r="D85" s="4"/>
      <c r="E85" s="4"/>
      <c r="F85" s="4"/>
      <c r="G85" s="4"/>
      <c r="H85" s="4"/>
      <c r="I85" s="4"/>
    </row>
    <row r="86" spans="1:9" x14ac:dyDescent="0.25">
      <c r="A86" s="4"/>
      <c r="B86" s="4"/>
      <c r="C86" s="4"/>
      <c r="D86" s="4"/>
      <c r="E86" s="4"/>
      <c r="F86" s="4"/>
      <c r="G86" s="4"/>
      <c r="H86" s="4"/>
      <c r="I86" s="4"/>
    </row>
    <row r="87" spans="1:9" x14ac:dyDescent="0.25">
      <c r="A87" s="4"/>
      <c r="B87" s="4"/>
      <c r="C87" s="4"/>
      <c r="D87" s="4"/>
      <c r="E87" s="4"/>
      <c r="F87" s="4"/>
      <c r="G87" s="4"/>
      <c r="H87" s="4"/>
      <c r="I87" s="4"/>
    </row>
    <row r="88" spans="1:9" x14ac:dyDescent="0.25">
      <c r="A88" s="4"/>
      <c r="B88" s="4"/>
      <c r="C88" s="4"/>
      <c r="D88" s="4"/>
      <c r="E88" s="4"/>
      <c r="F88" s="4"/>
      <c r="G88" s="4"/>
      <c r="H88" s="4"/>
      <c r="I88" s="4"/>
    </row>
    <row r="89" spans="1:9" x14ac:dyDescent="0.25">
      <c r="A89" s="4"/>
      <c r="B89" s="4"/>
      <c r="C89" s="4"/>
      <c r="D89" s="4"/>
      <c r="E89" s="4"/>
      <c r="F89" s="4"/>
      <c r="G89" s="4"/>
      <c r="H89" s="4"/>
      <c r="I89" s="4"/>
    </row>
    <row r="90" spans="1:9" x14ac:dyDescent="0.25">
      <c r="A90" s="4"/>
      <c r="B90" s="4"/>
      <c r="C90" s="4"/>
      <c r="D90" s="4"/>
      <c r="E90" s="4"/>
      <c r="F90" s="4"/>
      <c r="G90" s="4"/>
      <c r="H90" s="4"/>
      <c r="I90" s="4"/>
    </row>
    <row r="91" spans="1:9" x14ac:dyDescent="0.25">
      <c r="A91" s="4"/>
      <c r="B91" s="4"/>
      <c r="C91" s="4"/>
      <c r="D91" s="4"/>
      <c r="E91" s="4"/>
      <c r="F91" s="4"/>
      <c r="G91" s="4"/>
      <c r="H91" s="4"/>
      <c r="I91" s="4"/>
    </row>
  </sheetData>
  <mergeCells count="27">
    <mergeCell ref="D50:E50"/>
    <mergeCell ref="F44:G44"/>
    <mergeCell ref="A2:H2"/>
    <mergeCell ref="B4:G4"/>
    <mergeCell ref="F46:G46"/>
    <mergeCell ref="F43:G43"/>
    <mergeCell ref="F37:G37"/>
    <mergeCell ref="D30:E30"/>
    <mergeCell ref="D33:E33"/>
    <mergeCell ref="G31:H31"/>
    <mergeCell ref="E31:F31"/>
    <mergeCell ref="F35:G35"/>
    <mergeCell ref="D47:E47"/>
    <mergeCell ref="F47:G47"/>
    <mergeCell ref="F38:G38"/>
    <mergeCell ref="F33:G33"/>
    <mergeCell ref="D32:E32"/>
    <mergeCell ref="F42:G42"/>
    <mergeCell ref="F36:G36"/>
    <mergeCell ref="F32:G32"/>
    <mergeCell ref="D41:E41"/>
    <mergeCell ref="F41:G41"/>
    <mergeCell ref="D34:E34"/>
    <mergeCell ref="F34:G34"/>
    <mergeCell ref="D46:E46"/>
    <mergeCell ref="D35:E35"/>
    <mergeCell ref="D49:E49"/>
  </mergeCells>
  <pageMargins left="0.70866141732283472" right="0.70866141732283472" top="0.74803149606299213" bottom="0.74803149606299213" header="0.31496062992125978" footer="0.31496062992125978"/>
  <pageSetup paperSize="9" scale="65" orientation="portrait" r:id="rId1"/>
  <headerFooter>
    <oddFooter>&amp;R&amp;9 &amp;N</oddFooter>
  </headerFooter>
  <colBreaks count="1" manualBreakCount="1">
    <brk id="8" max="74"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56"/>
  <sheetViews>
    <sheetView view="pageBreakPreview" topLeftCell="A367" zoomScaleNormal="100" zoomScaleSheetLayoutView="100" workbookViewId="0">
      <selection activeCell="I14" sqref="I14"/>
    </sheetView>
  </sheetViews>
  <sheetFormatPr defaultRowHeight="15" x14ac:dyDescent="0.25"/>
  <cols>
    <col min="1" max="1" width="12.7109375" style="52" customWidth="1"/>
    <col min="2" max="2" width="50.7109375" customWidth="1"/>
    <col min="3" max="7" width="10.7109375" customWidth="1"/>
    <col min="8" max="8" width="15.7109375" customWidth="1"/>
    <col min="11" max="11" width="56.5703125" customWidth="1"/>
  </cols>
  <sheetData>
    <row r="1" spans="1:9" x14ac:dyDescent="0.25">
      <c r="B1" s="4"/>
      <c r="C1" s="4"/>
      <c r="D1" s="4"/>
      <c r="E1" s="4"/>
      <c r="F1" s="4"/>
      <c r="G1" s="4"/>
      <c r="H1" s="4"/>
      <c r="I1" s="4"/>
    </row>
    <row r="2" spans="1:9" ht="20.25" customHeight="1" x14ac:dyDescent="0.3">
      <c r="A2" s="63"/>
      <c r="B2" s="4" t="s">
        <v>23</v>
      </c>
      <c r="C2" s="10"/>
      <c r="D2" s="10"/>
      <c r="E2" s="10"/>
      <c r="F2" s="10"/>
      <c r="G2" s="10"/>
      <c r="H2" s="10"/>
      <c r="I2" s="10"/>
    </row>
    <row r="3" spans="1:9" x14ac:dyDescent="0.25">
      <c r="B3" s="419" t="s">
        <v>24</v>
      </c>
      <c r="C3" s="365"/>
      <c r="D3" s="365"/>
      <c r="E3" s="4"/>
      <c r="F3" s="44" t="s">
        <v>25</v>
      </c>
      <c r="G3" s="65">
        <v>0</v>
      </c>
      <c r="H3" s="4"/>
      <c r="I3" s="4"/>
    </row>
    <row r="4" spans="1:9" x14ac:dyDescent="0.25">
      <c r="B4" s="4" t="s">
        <v>26</v>
      </c>
      <c r="C4" s="4"/>
      <c r="D4" s="4"/>
      <c r="E4" s="4"/>
      <c r="F4" s="44" t="s">
        <v>27</v>
      </c>
      <c r="G4" s="65" t="s">
        <v>22</v>
      </c>
      <c r="H4" s="4"/>
      <c r="I4" s="4"/>
    </row>
    <row r="5" spans="1:9" x14ac:dyDescent="0.25">
      <c r="B5" s="66" t="s">
        <v>28</v>
      </c>
      <c r="C5" s="4"/>
      <c r="D5" s="4"/>
      <c r="E5" s="4"/>
      <c r="F5" s="47"/>
      <c r="G5" s="47"/>
      <c r="H5" s="4"/>
      <c r="I5" s="4"/>
    </row>
    <row r="6" spans="1:9" x14ac:dyDescent="0.25">
      <c r="B6" s="4"/>
      <c r="C6" s="4"/>
      <c r="D6" s="4"/>
      <c r="E6" s="4"/>
      <c r="F6" s="4"/>
      <c r="G6" s="4"/>
      <c r="H6" s="4"/>
      <c r="I6" s="4"/>
    </row>
    <row r="7" spans="1:9" ht="38.1" customHeight="1" x14ac:dyDescent="0.25">
      <c r="B7" s="418" t="s">
        <v>29</v>
      </c>
      <c r="C7" s="365"/>
      <c r="D7" s="365"/>
      <c r="E7" s="365"/>
      <c r="F7" s="365"/>
      <c r="G7" s="365"/>
      <c r="H7" s="4"/>
      <c r="I7" s="4"/>
    </row>
    <row r="8" spans="1:9" x14ac:dyDescent="0.25">
      <c r="B8" s="67"/>
      <c r="C8" s="4"/>
      <c r="D8" s="4"/>
      <c r="E8" s="4"/>
      <c r="F8" s="4"/>
      <c r="G8" s="4"/>
      <c r="H8" s="4"/>
      <c r="I8" s="4"/>
    </row>
    <row r="9" spans="1:9" s="2" customFormat="1" ht="15" customHeight="1" x14ac:dyDescent="0.25">
      <c r="A9" s="68" t="s">
        <v>30</v>
      </c>
      <c r="B9" s="429" t="s">
        <v>31</v>
      </c>
      <c r="C9" s="387"/>
      <c r="D9" s="387"/>
      <c r="E9" s="387"/>
      <c r="F9" s="387"/>
      <c r="G9" s="387"/>
      <c r="H9" s="388"/>
      <c r="I9" s="3"/>
    </row>
    <row r="10" spans="1:9" x14ac:dyDescent="0.25">
      <c r="B10" s="4"/>
      <c r="C10" s="4"/>
      <c r="D10" s="4"/>
      <c r="E10" s="4"/>
      <c r="F10" s="4"/>
      <c r="G10" s="4"/>
      <c r="H10" s="4"/>
      <c r="I10" s="4"/>
    </row>
    <row r="11" spans="1:9" x14ac:dyDescent="0.25">
      <c r="B11" s="4"/>
      <c r="C11" s="4"/>
      <c r="D11" s="4"/>
      <c r="E11" s="4"/>
      <c r="F11" s="4"/>
      <c r="G11" s="4"/>
      <c r="H11" s="4"/>
      <c r="I11" s="4"/>
    </row>
    <row r="12" spans="1:9" x14ac:dyDescent="0.25">
      <c r="A12" s="69" t="s">
        <v>32</v>
      </c>
      <c r="B12" s="386" t="s">
        <v>33</v>
      </c>
      <c r="C12" s="387"/>
      <c r="D12" s="387"/>
      <c r="E12" s="387"/>
      <c r="F12" s="387"/>
      <c r="G12" s="388"/>
      <c r="H12" s="4"/>
      <c r="I12" s="4"/>
    </row>
    <row r="13" spans="1:9" ht="15" customHeight="1" x14ac:dyDescent="0.25">
      <c r="B13" s="395"/>
      <c r="C13" s="387"/>
      <c r="D13" s="387"/>
      <c r="E13" s="387"/>
      <c r="F13" s="387"/>
      <c r="G13" s="387"/>
      <c r="H13" s="1"/>
    </row>
    <row r="14" spans="1:9" ht="155.25" customHeight="1" x14ac:dyDescent="0.25">
      <c r="B14" s="392" t="s">
        <v>34</v>
      </c>
      <c r="C14" s="393"/>
      <c r="D14" s="393"/>
      <c r="E14" s="393"/>
      <c r="F14" s="393"/>
      <c r="G14" s="394"/>
      <c r="H14" s="1"/>
    </row>
    <row r="15" spans="1:9" ht="101.25" customHeight="1" x14ac:dyDescent="0.25">
      <c r="B15" s="404" t="s">
        <v>35</v>
      </c>
      <c r="C15" s="387"/>
      <c r="D15" s="387"/>
      <c r="E15" s="387"/>
      <c r="F15" s="387"/>
      <c r="G15" s="388"/>
      <c r="H15" s="1"/>
    </row>
    <row r="16" spans="1:9" ht="50.25" customHeight="1" x14ac:dyDescent="0.25">
      <c r="B16" s="404" t="s">
        <v>36</v>
      </c>
      <c r="C16" s="387"/>
      <c r="D16" s="387"/>
      <c r="E16" s="387"/>
      <c r="F16" s="387"/>
      <c r="G16" s="388"/>
      <c r="H16" s="1"/>
    </row>
    <row r="17" spans="1:8" ht="15" customHeight="1" x14ac:dyDescent="0.25">
      <c r="B17" s="404"/>
      <c r="C17" s="387"/>
      <c r="D17" s="387"/>
      <c r="E17" s="387"/>
      <c r="F17" s="387"/>
      <c r="G17" s="388"/>
      <c r="H17" s="1"/>
    </row>
    <row r="18" spans="1:8" ht="15" customHeight="1" x14ac:dyDescent="0.25">
      <c r="A18" s="70"/>
      <c r="B18" s="428" t="s">
        <v>37</v>
      </c>
      <c r="C18" s="387"/>
      <c r="D18" s="387"/>
      <c r="E18" s="387"/>
      <c r="F18" s="387"/>
      <c r="G18" s="388"/>
      <c r="H18" s="1"/>
    </row>
    <row r="19" spans="1:8" ht="15" customHeight="1" x14ac:dyDescent="0.25">
      <c r="A19" s="70"/>
      <c r="B19" s="428" t="s">
        <v>38</v>
      </c>
      <c r="C19" s="387"/>
      <c r="D19" s="387"/>
      <c r="E19" s="387"/>
      <c r="F19" s="387"/>
      <c r="G19" s="388"/>
      <c r="H19" s="1"/>
    </row>
    <row r="20" spans="1:8" ht="15" customHeight="1" x14ac:dyDescent="0.25">
      <c r="A20" s="70"/>
      <c r="B20" s="428" t="s">
        <v>39</v>
      </c>
      <c r="C20" s="387"/>
      <c r="D20" s="387"/>
      <c r="E20" s="387"/>
      <c r="F20" s="387"/>
      <c r="G20" s="388"/>
      <c r="H20" s="1"/>
    </row>
    <row r="21" spans="1:8" ht="15" customHeight="1" x14ac:dyDescent="0.25">
      <c r="B21" s="422"/>
      <c r="C21" s="387"/>
      <c r="D21" s="387"/>
      <c r="E21" s="387"/>
      <c r="F21" s="387"/>
      <c r="G21" s="388"/>
      <c r="H21" s="1"/>
    </row>
    <row r="22" spans="1:8" ht="39" customHeight="1" x14ac:dyDescent="0.25">
      <c r="B22" s="422" t="s">
        <v>40</v>
      </c>
      <c r="C22" s="387"/>
      <c r="D22" s="387"/>
      <c r="E22" s="387"/>
      <c r="F22" s="387"/>
      <c r="G22" s="388"/>
      <c r="H22" s="1"/>
    </row>
    <row r="23" spans="1:8" ht="15" customHeight="1" x14ac:dyDescent="0.25">
      <c r="B23" s="71"/>
      <c r="C23" s="72"/>
      <c r="D23" s="72"/>
      <c r="E23" s="72"/>
      <c r="F23" s="72"/>
      <c r="G23" s="73"/>
      <c r="H23" s="1"/>
    </row>
    <row r="24" spans="1:8" ht="27" customHeight="1" x14ac:dyDescent="0.25">
      <c r="B24" s="374" t="s">
        <v>41</v>
      </c>
      <c r="C24" s="375"/>
      <c r="D24" s="375"/>
      <c r="E24" s="375"/>
      <c r="F24" s="375"/>
      <c r="G24" s="376"/>
      <c r="H24" s="1"/>
    </row>
    <row r="25" spans="1:8" ht="39.75" customHeight="1" x14ac:dyDescent="0.25">
      <c r="B25" s="374" t="s">
        <v>42</v>
      </c>
      <c r="C25" s="375"/>
      <c r="D25" s="375"/>
      <c r="E25" s="375"/>
      <c r="F25" s="375"/>
      <c r="G25" s="376"/>
      <c r="H25" s="1"/>
    </row>
    <row r="26" spans="1:8" ht="15" customHeight="1" x14ac:dyDescent="0.25">
      <c r="B26" s="74"/>
      <c r="C26" s="75"/>
      <c r="D26" s="75"/>
      <c r="E26" s="75"/>
      <c r="F26" s="75"/>
      <c r="G26" s="76"/>
      <c r="H26" s="1"/>
    </row>
    <row r="27" spans="1:8" ht="15" customHeight="1" x14ac:dyDescent="0.25">
      <c r="B27" s="374" t="s">
        <v>43</v>
      </c>
      <c r="C27" s="375"/>
      <c r="D27" s="375"/>
      <c r="E27" s="375"/>
      <c r="F27" s="375"/>
      <c r="G27" s="376"/>
      <c r="H27" s="1"/>
    </row>
    <row r="28" spans="1:8" ht="15" customHeight="1" x14ac:dyDescent="0.25">
      <c r="B28" s="374" t="s">
        <v>44</v>
      </c>
      <c r="C28" s="375"/>
      <c r="D28" s="375"/>
      <c r="E28" s="375"/>
      <c r="F28" s="375"/>
      <c r="G28" s="376"/>
      <c r="H28" s="1"/>
    </row>
    <row r="29" spans="1:8" ht="15" customHeight="1" x14ac:dyDescent="0.25">
      <c r="B29" s="374" t="s">
        <v>45</v>
      </c>
      <c r="C29" s="375"/>
      <c r="D29" s="375"/>
      <c r="E29" s="375"/>
      <c r="F29" s="375"/>
      <c r="G29" s="376"/>
      <c r="H29" s="1"/>
    </row>
    <row r="30" spans="1:8" ht="15" customHeight="1" x14ac:dyDescent="0.25">
      <c r="B30" s="374" t="s">
        <v>46</v>
      </c>
      <c r="C30" s="375"/>
      <c r="D30" s="375"/>
      <c r="E30" s="375"/>
      <c r="F30" s="375"/>
      <c r="G30" s="376"/>
      <c r="H30" s="1"/>
    </row>
    <row r="31" spans="1:8" ht="28.5" customHeight="1" x14ac:dyDescent="0.25">
      <c r="B31" s="374" t="s">
        <v>47</v>
      </c>
      <c r="C31" s="375"/>
      <c r="D31" s="375"/>
      <c r="E31" s="375"/>
      <c r="F31" s="375"/>
      <c r="G31" s="376"/>
      <c r="H31" s="1"/>
    </row>
    <row r="32" spans="1:8" ht="27" customHeight="1" x14ac:dyDescent="0.25">
      <c r="B32" s="374" t="s">
        <v>48</v>
      </c>
      <c r="C32" s="375"/>
      <c r="D32" s="375"/>
      <c r="E32" s="375"/>
      <c r="F32" s="375"/>
      <c r="G32" s="376"/>
      <c r="H32" s="1"/>
    </row>
    <row r="33" spans="2:8" ht="15" customHeight="1" x14ac:dyDescent="0.25">
      <c r="B33" s="374" t="s">
        <v>49</v>
      </c>
      <c r="C33" s="375"/>
      <c r="D33" s="375"/>
      <c r="E33" s="375"/>
      <c r="F33" s="375"/>
      <c r="G33" s="376"/>
      <c r="H33" s="1"/>
    </row>
    <row r="34" spans="2:8" ht="15" customHeight="1" x14ac:dyDescent="0.25">
      <c r="B34" s="374" t="s">
        <v>50</v>
      </c>
      <c r="C34" s="375"/>
      <c r="D34" s="375"/>
      <c r="E34" s="375"/>
      <c r="F34" s="375"/>
      <c r="G34" s="376"/>
      <c r="H34" s="1"/>
    </row>
    <row r="35" spans="2:8" ht="15" customHeight="1" x14ac:dyDescent="0.25">
      <c r="B35" s="374" t="s">
        <v>51</v>
      </c>
      <c r="C35" s="375"/>
      <c r="D35" s="375"/>
      <c r="E35" s="375"/>
      <c r="F35" s="375"/>
      <c r="G35" s="376"/>
      <c r="H35" s="1"/>
    </row>
    <row r="36" spans="2:8" ht="15" customHeight="1" x14ac:dyDescent="0.25">
      <c r="B36" s="74"/>
      <c r="C36" s="75"/>
      <c r="D36" s="75"/>
      <c r="E36" s="75"/>
      <c r="F36" s="75"/>
      <c r="G36" s="76"/>
      <c r="H36" s="1"/>
    </row>
    <row r="37" spans="2:8" ht="65.25" customHeight="1" x14ac:dyDescent="0.25">
      <c r="B37" s="374" t="s">
        <v>52</v>
      </c>
      <c r="C37" s="375"/>
      <c r="D37" s="375"/>
      <c r="E37" s="375"/>
      <c r="F37" s="375"/>
      <c r="G37" s="376"/>
      <c r="H37" s="1"/>
    </row>
    <row r="38" spans="2:8" ht="28.5" customHeight="1" x14ac:dyDescent="0.25">
      <c r="B38" s="374" t="s">
        <v>53</v>
      </c>
      <c r="C38" s="375"/>
      <c r="D38" s="375"/>
      <c r="E38" s="375"/>
      <c r="F38" s="375"/>
      <c r="G38" s="376"/>
      <c r="H38" s="1"/>
    </row>
    <row r="39" spans="2:8" ht="28.5" customHeight="1" x14ac:dyDescent="0.25">
      <c r="B39" s="374" t="s">
        <v>54</v>
      </c>
      <c r="C39" s="375"/>
      <c r="D39" s="375"/>
      <c r="E39" s="375"/>
      <c r="F39" s="375"/>
      <c r="G39" s="376"/>
      <c r="H39" s="1"/>
    </row>
    <row r="40" spans="2:8" ht="27.75" customHeight="1" x14ac:dyDescent="0.25">
      <c r="B40" s="374" t="s">
        <v>55</v>
      </c>
      <c r="C40" s="375"/>
      <c r="D40" s="375"/>
      <c r="E40" s="375"/>
      <c r="F40" s="375"/>
      <c r="G40" s="376"/>
      <c r="H40" s="1"/>
    </row>
    <row r="41" spans="2:8" ht="15" customHeight="1" x14ac:dyDescent="0.25">
      <c r="B41" s="374"/>
      <c r="C41" s="375"/>
      <c r="D41" s="375"/>
      <c r="E41" s="375"/>
      <c r="F41" s="375"/>
      <c r="G41" s="376"/>
      <c r="H41" s="1"/>
    </row>
    <row r="42" spans="2:8" x14ac:dyDescent="0.25">
      <c r="B42" s="385" t="s">
        <v>56</v>
      </c>
      <c r="C42" s="375"/>
      <c r="D42" s="375"/>
      <c r="E42" s="375"/>
      <c r="F42" s="375"/>
      <c r="G42" s="376"/>
      <c r="H42" s="1"/>
    </row>
    <row r="43" spans="2:8" ht="51" customHeight="1" x14ac:dyDescent="0.25">
      <c r="B43" s="385" t="s">
        <v>57</v>
      </c>
      <c r="C43" s="375"/>
      <c r="D43" s="375"/>
      <c r="E43" s="375"/>
      <c r="F43" s="375"/>
      <c r="G43" s="376"/>
      <c r="H43" s="1"/>
    </row>
    <row r="44" spans="2:8" ht="15" customHeight="1" x14ac:dyDescent="0.25">
      <c r="B44" s="408"/>
      <c r="C44" s="409"/>
      <c r="D44" s="409"/>
      <c r="E44" s="409"/>
      <c r="F44" s="409"/>
      <c r="G44" s="409"/>
      <c r="H44" s="1"/>
    </row>
    <row r="45" spans="2:8" ht="15" customHeight="1" x14ac:dyDescent="0.25">
      <c r="B45" s="78"/>
      <c r="C45" s="78"/>
      <c r="D45" s="78"/>
      <c r="E45" s="78"/>
      <c r="F45" s="78"/>
      <c r="G45" s="78"/>
      <c r="H45" s="1"/>
    </row>
    <row r="46" spans="2:8" ht="15" customHeight="1" x14ac:dyDescent="0.25">
      <c r="B46" s="79" t="s">
        <v>58</v>
      </c>
      <c r="C46" s="75"/>
      <c r="D46" s="75"/>
      <c r="E46" s="75"/>
      <c r="F46" s="75"/>
      <c r="G46" s="76"/>
      <c r="H46" s="1"/>
    </row>
    <row r="47" spans="2:8" ht="50.25" customHeight="1" x14ac:dyDescent="0.25">
      <c r="B47" s="374" t="s">
        <v>59</v>
      </c>
      <c r="C47" s="375"/>
      <c r="D47" s="375"/>
      <c r="E47" s="375"/>
      <c r="F47" s="375"/>
      <c r="G47" s="376"/>
      <c r="H47" s="1"/>
    </row>
    <row r="48" spans="2:8" ht="39" customHeight="1" x14ac:dyDescent="0.25">
      <c r="B48" s="374" t="s">
        <v>60</v>
      </c>
      <c r="C48" s="375"/>
      <c r="D48" s="375"/>
      <c r="E48" s="375"/>
      <c r="F48" s="375"/>
      <c r="G48" s="376"/>
      <c r="H48" s="1"/>
    </row>
    <row r="49" spans="2:8" ht="50.25" customHeight="1" x14ac:dyDescent="0.25">
      <c r="B49" s="374" t="s">
        <v>61</v>
      </c>
      <c r="C49" s="375"/>
      <c r="D49" s="375"/>
      <c r="E49" s="375"/>
      <c r="F49" s="375"/>
      <c r="G49" s="376"/>
      <c r="H49" s="1"/>
    </row>
    <row r="50" spans="2:8" ht="41.25" customHeight="1" x14ac:dyDescent="0.25">
      <c r="B50" s="374" t="s">
        <v>62</v>
      </c>
      <c r="C50" s="375"/>
      <c r="D50" s="375"/>
      <c r="E50" s="375"/>
      <c r="F50" s="375"/>
      <c r="G50" s="376"/>
      <c r="H50" s="1"/>
    </row>
    <row r="51" spans="2:8" ht="41.25" customHeight="1" x14ac:dyDescent="0.25">
      <c r="B51" s="374" t="s">
        <v>63</v>
      </c>
      <c r="C51" s="375"/>
      <c r="D51" s="375"/>
      <c r="E51" s="375"/>
      <c r="F51" s="375"/>
      <c r="G51" s="376"/>
      <c r="H51" s="1"/>
    </row>
    <row r="52" spans="2:8" ht="51.75" customHeight="1" x14ac:dyDescent="0.25">
      <c r="B52" s="374" t="s">
        <v>64</v>
      </c>
      <c r="C52" s="375"/>
      <c r="D52" s="375"/>
      <c r="E52" s="375"/>
      <c r="F52" s="375"/>
      <c r="G52" s="376"/>
      <c r="H52" s="1"/>
    </row>
    <row r="53" spans="2:8" ht="27" customHeight="1" x14ac:dyDescent="0.25">
      <c r="B53" s="374" t="s">
        <v>65</v>
      </c>
      <c r="C53" s="375"/>
      <c r="D53" s="375"/>
      <c r="E53" s="375"/>
      <c r="F53" s="375"/>
      <c r="G53" s="376"/>
      <c r="H53" s="1"/>
    </row>
    <row r="54" spans="2:8" ht="29.25" customHeight="1" x14ac:dyDescent="0.25">
      <c r="B54" s="374" t="s">
        <v>66</v>
      </c>
      <c r="C54" s="375"/>
      <c r="D54" s="375"/>
      <c r="E54" s="375"/>
      <c r="F54" s="375"/>
      <c r="G54" s="376"/>
      <c r="H54" s="1"/>
    </row>
    <row r="55" spans="2:8" ht="26.25" customHeight="1" x14ac:dyDescent="0.25">
      <c r="B55" s="374" t="s">
        <v>67</v>
      </c>
      <c r="C55" s="375"/>
      <c r="D55" s="375"/>
      <c r="E55" s="375"/>
      <c r="F55" s="375"/>
      <c r="G55" s="376"/>
      <c r="H55" s="1"/>
    </row>
    <row r="56" spans="2:8" ht="27.95" customHeight="1" x14ac:dyDescent="0.25">
      <c r="B56" s="414" t="s">
        <v>68</v>
      </c>
      <c r="C56" s="375"/>
      <c r="D56" s="375"/>
      <c r="E56" s="375"/>
      <c r="F56" s="375"/>
      <c r="G56" s="376"/>
      <c r="H56" s="1"/>
    </row>
    <row r="57" spans="2:8" ht="51" customHeight="1" x14ac:dyDescent="0.25">
      <c r="B57" s="374" t="s">
        <v>69</v>
      </c>
      <c r="C57" s="375"/>
      <c r="D57" s="375"/>
      <c r="E57" s="375"/>
      <c r="F57" s="375"/>
      <c r="G57" s="376"/>
      <c r="H57" s="1"/>
    </row>
    <row r="58" spans="2:8" ht="66" customHeight="1" x14ac:dyDescent="0.25">
      <c r="B58" s="374" t="s">
        <v>70</v>
      </c>
      <c r="C58" s="375"/>
      <c r="D58" s="375"/>
      <c r="E58" s="375"/>
      <c r="F58" s="375"/>
      <c r="G58" s="376"/>
      <c r="H58" s="1"/>
    </row>
    <row r="59" spans="2:8" ht="15" customHeight="1" x14ac:dyDescent="0.25">
      <c r="B59" s="382" t="s">
        <v>71</v>
      </c>
      <c r="C59" s="375"/>
      <c r="D59" s="375"/>
      <c r="E59" s="375"/>
      <c r="F59" s="375"/>
      <c r="G59" s="376"/>
      <c r="H59" s="1"/>
    </row>
    <row r="60" spans="2:8" ht="29.25" customHeight="1" x14ac:dyDescent="0.25">
      <c r="B60" s="374" t="s">
        <v>72</v>
      </c>
      <c r="C60" s="375"/>
      <c r="D60" s="375"/>
      <c r="E60" s="375"/>
      <c r="F60" s="375"/>
      <c r="G60" s="376"/>
      <c r="H60" s="1"/>
    </row>
    <row r="61" spans="2:8" ht="15" customHeight="1" x14ac:dyDescent="0.25">
      <c r="B61" s="384" t="s">
        <v>73</v>
      </c>
      <c r="C61" s="375"/>
      <c r="D61" s="375"/>
      <c r="E61" s="375"/>
      <c r="F61" s="375"/>
      <c r="G61" s="376"/>
      <c r="H61" s="1"/>
    </row>
    <row r="62" spans="2:8" ht="39.75" customHeight="1" x14ac:dyDescent="0.25">
      <c r="B62" s="384" t="s">
        <v>74</v>
      </c>
      <c r="C62" s="375"/>
      <c r="D62" s="375"/>
      <c r="E62" s="375"/>
      <c r="F62" s="375"/>
      <c r="G62" s="376"/>
      <c r="H62" s="1"/>
    </row>
    <row r="63" spans="2:8" ht="27" customHeight="1" x14ac:dyDescent="0.25">
      <c r="B63" s="384" t="s">
        <v>75</v>
      </c>
      <c r="C63" s="375"/>
      <c r="D63" s="375"/>
      <c r="E63" s="375"/>
      <c r="F63" s="375"/>
      <c r="G63" s="376"/>
      <c r="H63" s="1"/>
    </row>
    <row r="64" spans="2:8" ht="39" customHeight="1" x14ac:dyDescent="0.25">
      <c r="B64" s="384" t="s">
        <v>76</v>
      </c>
      <c r="C64" s="375"/>
      <c r="D64" s="375"/>
      <c r="E64" s="375"/>
      <c r="F64" s="375"/>
      <c r="G64" s="376"/>
      <c r="H64" s="1"/>
    </row>
    <row r="65" spans="2:8" ht="16.5" customHeight="1" x14ac:dyDescent="0.25">
      <c r="B65" s="384" t="s">
        <v>77</v>
      </c>
      <c r="C65" s="375"/>
      <c r="D65" s="375"/>
      <c r="E65" s="375"/>
      <c r="F65" s="375"/>
      <c r="G65" s="376"/>
      <c r="H65" s="1"/>
    </row>
    <row r="66" spans="2:8" ht="15" customHeight="1" x14ac:dyDescent="0.25">
      <c r="B66" s="384" t="s">
        <v>78</v>
      </c>
      <c r="C66" s="375"/>
      <c r="D66" s="375"/>
      <c r="E66" s="375"/>
      <c r="F66" s="375"/>
      <c r="G66" s="376"/>
      <c r="H66" s="1"/>
    </row>
    <row r="67" spans="2:8" ht="15" customHeight="1" x14ac:dyDescent="0.25">
      <c r="B67" s="384" t="s">
        <v>79</v>
      </c>
      <c r="C67" s="375"/>
      <c r="D67" s="375"/>
      <c r="E67" s="375"/>
      <c r="F67" s="375"/>
      <c r="G67" s="376"/>
      <c r="H67" s="1"/>
    </row>
    <row r="68" spans="2:8" ht="28.5" customHeight="1" x14ac:dyDescent="0.25">
      <c r="B68" s="384" t="s">
        <v>80</v>
      </c>
      <c r="C68" s="375"/>
      <c r="D68" s="375"/>
      <c r="E68" s="375"/>
      <c r="F68" s="375"/>
      <c r="G68" s="376"/>
      <c r="H68" s="1"/>
    </row>
    <row r="69" spans="2:8" ht="15" customHeight="1" x14ac:dyDescent="0.25">
      <c r="B69" s="384" t="s">
        <v>81</v>
      </c>
      <c r="C69" s="375"/>
      <c r="D69" s="375"/>
      <c r="E69" s="375"/>
      <c r="F69" s="375"/>
      <c r="G69" s="376"/>
      <c r="H69" s="1"/>
    </row>
    <row r="70" spans="2:8" ht="15" customHeight="1" x14ac:dyDescent="0.25">
      <c r="B70" s="384" t="s">
        <v>82</v>
      </c>
      <c r="C70" s="375"/>
      <c r="D70" s="375"/>
      <c r="E70" s="375"/>
      <c r="F70" s="375"/>
      <c r="G70" s="376"/>
      <c r="H70" s="1"/>
    </row>
    <row r="71" spans="2:8" ht="38.25" customHeight="1" x14ac:dyDescent="0.25">
      <c r="B71" s="384" t="s">
        <v>83</v>
      </c>
      <c r="C71" s="375"/>
      <c r="D71" s="375"/>
      <c r="E71" s="375"/>
      <c r="F71" s="375"/>
      <c r="G71" s="376"/>
      <c r="H71" s="1"/>
    </row>
    <row r="72" spans="2:8" ht="27" customHeight="1" x14ac:dyDescent="0.25">
      <c r="B72" s="384" t="s">
        <v>84</v>
      </c>
      <c r="C72" s="375"/>
      <c r="D72" s="375"/>
      <c r="E72" s="375"/>
      <c r="F72" s="375"/>
      <c r="G72" s="376"/>
      <c r="H72" s="1"/>
    </row>
    <row r="73" spans="2:8" ht="29.25" customHeight="1" x14ac:dyDescent="0.25">
      <c r="B73" s="384" t="s">
        <v>85</v>
      </c>
      <c r="C73" s="375"/>
      <c r="D73" s="375"/>
      <c r="E73" s="375"/>
      <c r="F73" s="375"/>
      <c r="G73" s="376"/>
      <c r="H73" s="1"/>
    </row>
    <row r="74" spans="2:8" ht="15" customHeight="1" x14ac:dyDescent="0.25">
      <c r="B74" s="384" t="s">
        <v>86</v>
      </c>
      <c r="C74" s="375"/>
      <c r="D74" s="375"/>
      <c r="E74" s="375"/>
      <c r="F74" s="375"/>
      <c r="G74" s="376"/>
      <c r="H74" s="1"/>
    </row>
    <row r="75" spans="2:8" ht="15" customHeight="1" x14ac:dyDescent="0.25">
      <c r="B75" s="384" t="s">
        <v>87</v>
      </c>
      <c r="C75" s="375"/>
      <c r="D75" s="375"/>
      <c r="E75" s="375"/>
      <c r="F75" s="375"/>
      <c r="G75" s="376"/>
      <c r="H75" s="1"/>
    </row>
    <row r="76" spans="2:8" ht="15" customHeight="1" x14ac:dyDescent="0.25">
      <c r="B76" s="421" t="s">
        <v>88</v>
      </c>
      <c r="C76" s="375"/>
      <c r="D76" s="375"/>
      <c r="E76" s="375"/>
      <c r="F76" s="375"/>
      <c r="G76" s="376"/>
      <c r="H76" s="1"/>
    </row>
    <row r="77" spans="2:8" ht="56.25" customHeight="1" x14ac:dyDescent="0.25">
      <c r="B77" s="384" t="s">
        <v>89</v>
      </c>
      <c r="C77" s="375"/>
      <c r="D77" s="375"/>
      <c r="E77" s="375"/>
      <c r="F77" s="375"/>
      <c r="G77" s="376"/>
      <c r="H77" s="1"/>
    </row>
    <row r="78" spans="2:8" ht="64.5" customHeight="1" x14ac:dyDescent="0.25">
      <c r="B78" s="384" t="s">
        <v>90</v>
      </c>
      <c r="C78" s="375"/>
      <c r="D78" s="375"/>
      <c r="E78" s="375"/>
      <c r="F78" s="375"/>
      <c r="G78" s="376"/>
      <c r="H78" s="1"/>
    </row>
    <row r="79" spans="2:8" ht="53.25" customHeight="1" x14ac:dyDescent="0.25">
      <c r="B79" s="384" t="s">
        <v>91</v>
      </c>
      <c r="C79" s="375"/>
      <c r="D79" s="375"/>
      <c r="E79" s="375"/>
      <c r="F79" s="375"/>
      <c r="G79" s="376"/>
      <c r="H79" s="1"/>
    </row>
    <row r="80" spans="2:8" ht="27" customHeight="1" x14ac:dyDescent="0.25">
      <c r="B80" s="384" t="s">
        <v>92</v>
      </c>
      <c r="C80" s="375"/>
      <c r="D80" s="375"/>
      <c r="E80" s="375"/>
      <c r="F80" s="375"/>
      <c r="G80" s="376"/>
      <c r="H80" s="1"/>
    </row>
    <row r="81" spans="2:8" ht="15" customHeight="1" x14ac:dyDescent="0.25">
      <c r="B81" s="83"/>
      <c r="C81" s="83"/>
      <c r="D81" s="83"/>
      <c r="E81" s="83"/>
      <c r="F81" s="83"/>
      <c r="G81" s="83"/>
      <c r="H81" s="1"/>
    </row>
    <row r="82" spans="2:8" ht="15" customHeight="1" x14ac:dyDescent="0.25">
      <c r="B82" s="84"/>
      <c r="C82" s="84"/>
      <c r="D82" s="84"/>
      <c r="E82" s="84"/>
      <c r="F82" s="84"/>
      <c r="G82" s="84"/>
      <c r="H82" s="1"/>
    </row>
    <row r="83" spans="2:8" ht="15" customHeight="1" x14ac:dyDescent="0.25">
      <c r="B83" s="382" t="s">
        <v>93</v>
      </c>
      <c r="C83" s="375"/>
      <c r="D83" s="375"/>
      <c r="E83" s="375"/>
      <c r="F83" s="375"/>
      <c r="G83" s="376"/>
      <c r="H83" s="1"/>
    </row>
    <row r="84" spans="2:8" ht="156.75" customHeight="1" x14ac:dyDescent="0.25">
      <c r="B84" s="374" t="s">
        <v>94</v>
      </c>
      <c r="C84" s="375"/>
      <c r="D84" s="375"/>
      <c r="E84" s="375"/>
      <c r="F84" s="375"/>
      <c r="G84" s="376"/>
      <c r="H84" s="1"/>
    </row>
    <row r="85" spans="2:8" ht="15" customHeight="1" x14ac:dyDescent="0.25">
      <c r="B85" s="382" t="s">
        <v>95</v>
      </c>
      <c r="C85" s="375"/>
      <c r="D85" s="375"/>
      <c r="E85" s="375"/>
      <c r="F85" s="375"/>
      <c r="G85" s="376"/>
      <c r="H85" s="1"/>
    </row>
    <row r="86" spans="2:8" ht="27.75" customHeight="1" x14ac:dyDescent="0.25">
      <c r="B86" s="374" t="s">
        <v>96</v>
      </c>
      <c r="C86" s="375"/>
      <c r="D86" s="375"/>
      <c r="E86" s="375"/>
      <c r="F86" s="375"/>
      <c r="G86" s="376"/>
      <c r="H86" s="1"/>
    </row>
    <row r="87" spans="2:8" ht="15" customHeight="1" x14ac:dyDescent="0.25">
      <c r="B87" s="382" t="s">
        <v>97</v>
      </c>
      <c r="C87" s="375"/>
      <c r="D87" s="375"/>
      <c r="E87" s="375"/>
      <c r="F87" s="375"/>
      <c r="G87" s="376"/>
      <c r="H87" s="1"/>
    </row>
    <row r="88" spans="2:8" ht="66.75" customHeight="1" x14ac:dyDescent="0.25">
      <c r="B88" s="374" t="s">
        <v>98</v>
      </c>
      <c r="C88" s="375"/>
      <c r="D88" s="375"/>
      <c r="E88" s="375"/>
      <c r="F88" s="375"/>
      <c r="G88" s="376"/>
      <c r="H88" s="1"/>
    </row>
    <row r="89" spans="2:8" ht="15" customHeight="1" x14ac:dyDescent="0.25">
      <c r="B89" s="382" t="s">
        <v>99</v>
      </c>
      <c r="C89" s="375"/>
      <c r="D89" s="375"/>
      <c r="E89" s="375"/>
      <c r="F89" s="375"/>
      <c r="G89" s="376"/>
      <c r="H89" s="1"/>
    </row>
    <row r="90" spans="2:8" ht="15" customHeight="1" x14ac:dyDescent="0.25">
      <c r="B90" s="374" t="s">
        <v>100</v>
      </c>
      <c r="C90" s="375"/>
      <c r="D90" s="375"/>
      <c r="E90" s="375"/>
      <c r="F90" s="375"/>
      <c r="G90" s="376"/>
      <c r="H90" s="1"/>
    </row>
    <row r="91" spans="2:8" ht="15" customHeight="1" x14ac:dyDescent="0.25">
      <c r="B91" s="382" t="s">
        <v>101</v>
      </c>
      <c r="C91" s="375"/>
      <c r="D91" s="375"/>
      <c r="E91" s="375"/>
      <c r="F91" s="375"/>
      <c r="G91" s="376"/>
      <c r="H91" s="1"/>
    </row>
    <row r="92" spans="2:8" ht="89.25" customHeight="1" x14ac:dyDescent="0.25">
      <c r="B92" s="374" t="s">
        <v>102</v>
      </c>
      <c r="C92" s="375"/>
      <c r="D92" s="375"/>
      <c r="E92" s="375"/>
      <c r="F92" s="375"/>
      <c r="G92" s="376"/>
      <c r="H92" s="1"/>
    </row>
    <row r="93" spans="2:8" ht="15" customHeight="1" x14ac:dyDescent="0.25">
      <c r="B93" s="382" t="s">
        <v>103</v>
      </c>
      <c r="C93" s="375"/>
      <c r="D93" s="375"/>
      <c r="E93" s="375"/>
      <c r="F93" s="375"/>
      <c r="G93" s="376"/>
      <c r="H93" s="1"/>
    </row>
    <row r="94" spans="2:8" ht="15" customHeight="1" x14ac:dyDescent="0.25">
      <c r="B94" s="413" t="s">
        <v>104</v>
      </c>
      <c r="C94" s="375"/>
      <c r="D94" s="375"/>
      <c r="E94" s="375"/>
      <c r="F94" s="375"/>
      <c r="G94" s="376"/>
      <c r="H94" s="1"/>
    </row>
    <row r="95" spans="2:8" ht="15" customHeight="1" x14ac:dyDescent="0.25">
      <c r="B95" s="374" t="s">
        <v>105</v>
      </c>
      <c r="C95" s="375"/>
      <c r="D95" s="375"/>
      <c r="E95" s="375"/>
      <c r="F95" s="375"/>
      <c r="G95" s="376"/>
      <c r="H95" s="1"/>
    </row>
    <row r="96" spans="2:8" ht="15" customHeight="1" x14ac:dyDescent="0.25">
      <c r="B96" s="374" t="s">
        <v>106</v>
      </c>
      <c r="C96" s="375"/>
      <c r="D96" s="375"/>
      <c r="E96" s="375"/>
      <c r="F96" s="375"/>
      <c r="G96" s="376"/>
      <c r="H96" s="1"/>
    </row>
    <row r="97" spans="1:8" ht="15" customHeight="1" x14ac:dyDescent="0.25">
      <c r="B97" s="374" t="s">
        <v>107</v>
      </c>
      <c r="C97" s="375"/>
      <c r="D97" s="375"/>
      <c r="E97" s="375"/>
      <c r="F97" s="375"/>
      <c r="G97" s="376"/>
      <c r="H97" s="1"/>
    </row>
    <row r="98" spans="1:8" ht="15" customHeight="1" x14ac:dyDescent="0.25">
      <c r="B98" s="374" t="s">
        <v>108</v>
      </c>
      <c r="C98" s="375"/>
      <c r="D98" s="375"/>
      <c r="E98" s="375"/>
      <c r="F98" s="375"/>
      <c r="G98" s="376"/>
      <c r="H98" s="1"/>
    </row>
    <row r="99" spans="1:8" ht="15" customHeight="1" x14ac:dyDescent="0.25">
      <c r="B99" s="374" t="s">
        <v>109</v>
      </c>
      <c r="C99" s="375"/>
      <c r="D99" s="375"/>
      <c r="E99" s="375"/>
      <c r="F99" s="375"/>
      <c r="G99" s="376"/>
      <c r="H99" s="1"/>
    </row>
    <row r="100" spans="1:8" ht="28.5" customHeight="1" x14ac:dyDescent="0.25">
      <c r="B100" s="374" t="s">
        <v>110</v>
      </c>
      <c r="C100" s="375"/>
      <c r="D100" s="375"/>
      <c r="E100" s="375"/>
      <c r="F100" s="375"/>
      <c r="G100" s="376"/>
      <c r="H100" s="1"/>
    </row>
    <row r="101" spans="1:8" ht="15" customHeight="1" x14ac:dyDescent="0.25">
      <c r="B101" s="374" t="s">
        <v>111</v>
      </c>
      <c r="C101" s="375"/>
      <c r="D101" s="375"/>
      <c r="E101" s="375"/>
      <c r="F101" s="375"/>
      <c r="G101" s="376"/>
      <c r="H101" s="1"/>
    </row>
    <row r="102" spans="1:8" ht="15" customHeight="1" x14ac:dyDescent="0.25">
      <c r="B102" s="382" t="s">
        <v>112</v>
      </c>
      <c r="C102" s="375"/>
      <c r="D102" s="375"/>
      <c r="E102" s="375"/>
      <c r="F102" s="375"/>
      <c r="G102" s="376"/>
      <c r="H102" s="1"/>
    </row>
    <row r="103" spans="1:8" ht="40.5" customHeight="1" x14ac:dyDescent="0.25">
      <c r="B103" s="374" t="s">
        <v>113</v>
      </c>
      <c r="C103" s="375"/>
      <c r="D103" s="375"/>
      <c r="E103" s="375"/>
      <c r="F103" s="375"/>
      <c r="G103" s="376"/>
      <c r="H103" s="1"/>
    </row>
    <row r="104" spans="1:8" ht="15" customHeight="1" x14ac:dyDescent="0.25">
      <c r="B104" s="382" t="s">
        <v>114</v>
      </c>
      <c r="C104" s="375"/>
      <c r="D104" s="375"/>
      <c r="E104" s="375"/>
      <c r="F104" s="375"/>
      <c r="G104" s="376"/>
      <c r="H104" s="1"/>
    </row>
    <row r="105" spans="1:8" ht="77.25" customHeight="1" x14ac:dyDescent="0.25">
      <c r="B105" s="374" t="s">
        <v>115</v>
      </c>
      <c r="C105" s="375"/>
      <c r="D105" s="375"/>
      <c r="E105" s="375"/>
      <c r="F105" s="375"/>
      <c r="G105" s="376"/>
      <c r="H105" s="1"/>
    </row>
    <row r="106" spans="1:8" ht="16.5" customHeight="1" x14ac:dyDescent="0.25">
      <c r="B106" s="374" t="s">
        <v>116</v>
      </c>
      <c r="C106" s="375"/>
      <c r="D106" s="375"/>
      <c r="E106" s="375"/>
      <c r="F106" s="375"/>
      <c r="G106" s="376"/>
      <c r="H106" s="1"/>
    </row>
    <row r="107" spans="1:8" ht="39.75" customHeight="1" x14ac:dyDescent="0.25">
      <c r="B107" s="374" t="s">
        <v>117</v>
      </c>
      <c r="C107" s="375"/>
      <c r="D107" s="375"/>
      <c r="E107" s="375"/>
      <c r="F107" s="375"/>
      <c r="G107" s="376"/>
      <c r="H107" s="1"/>
    </row>
    <row r="108" spans="1:8" ht="15" customHeight="1" x14ac:dyDescent="0.25">
      <c r="B108" s="382" t="s">
        <v>118</v>
      </c>
      <c r="C108" s="375"/>
      <c r="D108" s="375"/>
      <c r="E108" s="375"/>
      <c r="F108" s="375"/>
      <c r="G108" s="376"/>
      <c r="H108" s="1"/>
    </row>
    <row r="109" spans="1:8" ht="50.25" customHeight="1" x14ac:dyDescent="0.25">
      <c r="B109" s="374" t="s">
        <v>119</v>
      </c>
      <c r="C109" s="375"/>
      <c r="D109" s="375"/>
      <c r="E109" s="375"/>
      <c r="F109" s="375"/>
      <c r="G109" s="376"/>
      <c r="H109" s="1"/>
    </row>
    <row r="110" spans="1:8" ht="63.75" customHeight="1" x14ac:dyDescent="0.25">
      <c r="B110" s="374" t="s">
        <v>120</v>
      </c>
      <c r="C110" s="375"/>
      <c r="D110" s="375"/>
      <c r="E110" s="375"/>
      <c r="F110" s="375"/>
      <c r="G110" s="376"/>
      <c r="H110" s="1"/>
    </row>
    <row r="111" spans="1:8" ht="52.5" customHeight="1" x14ac:dyDescent="0.25">
      <c r="B111" s="374" t="s">
        <v>121</v>
      </c>
      <c r="C111" s="375"/>
      <c r="D111" s="375"/>
      <c r="E111" s="375"/>
      <c r="F111" s="375"/>
      <c r="G111" s="376"/>
      <c r="H111" s="1"/>
    </row>
    <row r="112" spans="1:8" s="87" customFormat="1" ht="27.75" customHeight="1" x14ac:dyDescent="0.25">
      <c r="A112" s="85"/>
      <c r="B112" s="374" t="s">
        <v>122</v>
      </c>
      <c r="C112" s="375"/>
      <c r="D112" s="375"/>
      <c r="E112" s="375"/>
      <c r="F112" s="375"/>
      <c r="G112" s="376"/>
      <c r="H112" s="86"/>
    </row>
    <row r="113" spans="2:8" ht="117.75" customHeight="1" x14ac:dyDescent="0.25">
      <c r="B113" s="374" t="s">
        <v>123</v>
      </c>
      <c r="C113" s="375"/>
      <c r="D113" s="375"/>
      <c r="E113" s="375"/>
      <c r="F113" s="375"/>
      <c r="G113" s="376"/>
      <c r="H113" s="1"/>
    </row>
    <row r="114" spans="2:8" ht="27" customHeight="1" x14ac:dyDescent="0.25">
      <c r="B114" s="374" t="s">
        <v>124</v>
      </c>
      <c r="C114" s="375"/>
      <c r="D114" s="375"/>
      <c r="E114" s="375"/>
      <c r="F114" s="375"/>
      <c r="G114" s="376"/>
      <c r="H114" s="1"/>
    </row>
    <row r="115" spans="2:8" ht="27" customHeight="1" x14ac:dyDescent="0.25">
      <c r="B115" s="374" t="s">
        <v>125</v>
      </c>
      <c r="C115" s="375"/>
      <c r="D115" s="375"/>
      <c r="E115" s="375"/>
      <c r="F115" s="375"/>
      <c r="G115" s="376"/>
      <c r="H115" s="1"/>
    </row>
    <row r="116" spans="2:8" ht="180.75" customHeight="1" x14ac:dyDescent="0.25">
      <c r="B116" s="374" t="s">
        <v>126</v>
      </c>
      <c r="C116" s="375"/>
      <c r="D116" s="375"/>
      <c r="E116" s="375"/>
      <c r="F116" s="375"/>
      <c r="G116" s="376"/>
      <c r="H116" s="1"/>
    </row>
    <row r="117" spans="2:8" ht="112.5" customHeight="1" x14ac:dyDescent="0.25">
      <c r="B117" s="374" t="s">
        <v>127</v>
      </c>
      <c r="C117" s="375"/>
      <c r="D117" s="375"/>
      <c r="E117" s="375"/>
      <c r="F117" s="375"/>
      <c r="G117" s="376"/>
      <c r="H117" s="1"/>
    </row>
    <row r="118" spans="2:8" ht="27" customHeight="1" x14ac:dyDescent="0.25">
      <c r="B118" s="374" t="s">
        <v>128</v>
      </c>
      <c r="C118" s="375"/>
      <c r="D118" s="375"/>
      <c r="E118" s="375"/>
      <c r="F118" s="375"/>
      <c r="G118" s="376"/>
      <c r="H118" s="1"/>
    </row>
    <row r="119" spans="2:8" ht="27.75" customHeight="1" x14ac:dyDescent="0.25">
      <c r="B119" s="374" t="s">
        <v>129</v>
      </c>
      <c r="C119" s="375"/>
      <c r="D119" s="375"/>
      <c r="E119" s="375"/>
      <c r="F119" s="375"/>
      <c r="G119" s="376"/>
      <c r="H119" s="1"/>
    </row>
    <row r="120" spans="2:8" ht="41.25" customHeight="1" x14ac:dyDescent="0.25">
      <c r="B120" s="374" t="s">
        <v>130</v>
      </c>
      <c r="C120" s="375"/>
      <c r="D120" s="375"/>
      <c r="E120" s="375"/>
      <c r="F120" s="375"/>
      <c r="G120" s="376"/>
      <c r="H120" s="1"/>
    </row>
    <row r="121" spans="2:8" ht="28.5" customHeight="1" x14ac:dyDescent="0.25">
      <c r="B121" s="374" t="s">
        <v>131</v>
      </c>
      <c r="C121" s="375"/>
      <c r="D121" s="375"/>
      <c r="E121" s="375"/>
      <c r="F121" s="375"/>
      <c r="G121" s="376"/>
      <c r="H121" s="1"/>
    </row>
    <row r="122" spans="2:8" ht="15" customHeight="1" x14ac:dyDescent="0.25">
      <c r="B122" s="374" t="s">
        <v>132</v>
      </c>
      <c r="C122" s="375"/>
      <c r="D122" s="375"/>
      <c r="E122" s="375"/>
      <c r="F122" s="375"/>
      <c r="G122" s="376"/>
      <c r="H122" s="1"/>
    </row>
    <row r="123" spans="2:8" ht="27" customHeight="1" x14ac:dyDescent="0.25">
      <c r="B123" s="374" t="s">
        <v>133</v>
      </c>
      <c r="C123" s="375"/>
      <c r="D123" s="375"/>
      <c r="E123" s="375"/>
      <c r="F123" s="375"/>
      <c r="G123" s="376"/>
      <c r="H123" s="1"/>
    </row>
    <row r="124" spans="2:8" ht="28.5" customHeight="1" x14ac:dyDescent="0.25">
      <c r="B124" s="374" t="s">
        <v>134</v>
      </c>
      <c r="C124" s="375"/>
      <c r="D124" s="375"/>
      <c r="E124" s="375"/>
      <c r="F124" s="375"/>
      <c r="G124" s="376"/>
      <c r="H124" s="1"/>
    </row>
    <row r="125" spans="2:8" ht="27.75" customHeight="1" x14ac:dyDescent="0.25">
      <c r="B125" s="385" t="s">
        <v>135</v>
      </c>
      <c r="C125" s="375"/>
      <c r="D125" s="375"/>
      <c r="E125" s="375"/>
      <c r="F125" s="375"/>
      <c r="G125" s="376"/>
      <c r="H125" s="1"/>
    </row>
    <row r="126" spans="2:8" x14ac:dyDescent="0.25">
      <c r="B126" s="385" t="s">
        <v>136</v>
      </c>
      <c r="C126" s="375"/>
      <c r="D126" s="375"/>
      <c r="E126" s="375"/>
      <c r="F126" s="375"/>
      <c r="G126" s="376"/>
      <c r="H126" s="1"/>
    </row>
    <row r="127" spans="2:8" ht="53.25" customHeight="1" x14ac:dyDescent="0.25">
      <c r="B127" s="385" t="s">
        <v>57</v>
      </c>
      <c r="C127" s="375"/>
      <c r="D127" s="375"/>
      <c r="E127" s="375"/>
      <c r="F127" s="375"/>
      <c r="G127" s="376"/>
      <c r="H127" s="1"/>
    </row>
    <row r="128" spans="2:8" ht="15" customHeight="1" x14ac:dyDescent="0.25">
      <c r="B128" s="408"/>
      <c r="C128" s="409"/>
      <c r="D128" s="409"/>
      <c r="E128" s="409"/>
      <c r="F128" s="409"/>
      <c r="G128" s="409"/>
      <c r="H128" s="1"/>
    </row>
    <row r="129" spans="1:8" ht="15" customHeight="1" x14ac:dyDescent="0.25">
      <c r="B129" s="78"/>
      <c r="C129" s="78"/>
      <c r="D129" s="78"/>
      <c r="E129" s="78"/>
      <c r="F129" s="78"/>
      <c r="G129" s="78"/>
      <c r="H129" s="1"/>
    </row>
    <row r="130" spans="1:8" ht="15" customHeight="1" x14ac:dyDescent="0.25">
      <c r="A130" s="69" t="s">
        <v>137</v>
      </c>
      <c r="B130" s="410" t="s">
        <v>138</v>
      </c>
      <c r="C130" s="375"/>
      <c r="D130" s="375"/>
      <c r="E130" s="375"/>
      <c r="F130" s="375"/>
      <c r="G130" s="376"/>
    </row>
    <row r="131" spans="1:8" ht="65.25" customHeight="1" x14ac:dyDescent="0.25">
      <c r="B131" s="399" t="s">
        <v>139</v>
      </c>
      <c r="C131" s="400"/>
      <c r="D131" s="400"/>
      <c r="E131" s="400"/>
      <c r="F131" s="400"/>
      <c r="G131" s="401"/>
      <c r="H131" s="1"/>
    </row>
    <row r="132" spans="1:8" ht="39.75" customHeight="1" x14ac:dyDescent="0.25">
      <c r="B132" s="374" t="s">
        <v>140</v>
      </c>
      <c r="C132" s="375"/>
      <c r="D132" s="375"/>
      <c r="E132" s="375"/>
      <c r="F132" s="375"/>
      <c r="G132" s="376"/>
      <c r="H132" s="1"/>
    </row>
    <row r="133" spans="1:8" ht="141.75" customHeight="1" x14ac:dyDescent="0.25">
      <c r="B133" s="374" t="s">
        <v>141</v>
      </c>
      <c r="C133" s="375"/>
      <c r="D133" s="375"/>
      <c r="E133" s="375"/>
      <c r="F133" s="375"/>
      <c r="G133" s="376"/>
      <c r="H133" s="1"/>
    </row>
    <row r="134" spans="1:8" ht="63.75" customHeight="1" x14ac:dyDescent="0.25">
      <c r="B134" s="385" t="s">
        <v>142</v>
      </c>
      <c r="C134" s="375"/>
      <c r="D134" s="375"/>
      <c r="E134" s="375"/>
      <c r="F134" s="375"/>
      <c r="G134" s="376"/>
      <c r="H134" s="1"/>
    </row>
    <row r="135" spans="1:8" ht="50.25" customHeight="1" x14ac:dyDescent="0.25">
      <c r="B135" s="385" t="s">
        <v>143</v>
      </c>
      <c r="C135" s="375"/>
      <c r="D135" s="375"/>
      <c r="E135" s="375"/>
      <c r="F135" s="375"/>
      <c r="G135" s="376"/>
      <c r="H135" s="1"/>
    </row>
    <row r="136" spans="1:8" ht="27" customHeight="1" x14ac:dyDescent="0.25">
      <c r="B136" s="385" t="s">
        <v>144</v>
      </c>
      <c r="C136" s="375"/>
      <c r="D136" s="375"/>
      <c r="E136" s="375"/>
      <c r="F136" s="375"/>
      <c r="G136" s="376"/>
      <c r="H136" s="1"/>
    </row>
    <row r="137" spans="1:8" ht="51.75" customHeight="1" x14ac:dyDescent="0.25">
      <c r="B137" s="385" t="s">
        <v>145</v>
      </c>
      <c r="C137" s="375"/>
      <c r="D137" s="375"/>
      <c r="E137" s="375"/>
      <c r="F137" s="375"/>
      <c r="G137" s="376"/>
      <c r="H137" s="1"/>
    </row>
    <row r="138" spans="1:8" ht="75.75" customHeight="1" x14ac:dyDescent="0.25">
      <c r="B138" s="385" t="s">
        <v>146</v>
      </c>
      <c r="C138" s="375"/>
      <c r="D138" s="375"/>
      <c r="E138" s="375"/>
      <c r="F138" s="375"/>
      <c r="G138" s="376"/>
      <c r="H138" s="1"/>
    </row>
    <row r="139" spans="1:8" ht="66.75" customHeight="1" x14ac:dyDescent="0.25">
      <c r="B139" s="385" t="s">
        <v>147</v>
      </c>
      <c r="C139" s="375"/>
      <c r="D139" s="375"/>
      <c r="E139" s="375"/>
      <c r="F139" s="375"/>
      <c r="G139" s="376"/>
      <c r="H139" s="1"/>
    </row>
    <row r="140" spans="1:8" ht="51" customHeight="1" x14ac:dyDescent="0.25">
      <c r="B140" s="385" t="s">
        <v>148</v>
      </c>
      <c r="C140" s="375"/>
      <c r="D140" s="375"/>
      <c r="E140" s="375"/>
      <c r="F140" s="375"/>
      <c r="G140" s="376"/>
      <c r="H140" s="1"/>
    </row>
    <row r="141" spans="1:8" ht="27" customHeight="1" x14ac:dyDescent="0.25">
      <c r="B141" s="385" t="s">
        <v>149</v>
      </c>
      <c r="C141" s="375"/>
      <c r="D141" s="375"/>
      <c r="E141" s="375"/>
      <c r="F141" s="375"/>
      <c r="G141" s="376"/>
      <c r="H141" s="1"/>
    </row>
    <row r="142" spans="1:8" ht="28.5" customHeight="1" x14ac:dyDescent="0.25">
      <c r="B142" s="385" t="s">
        <v>150</v>
      </c>
      <c r="C142" s="375"/>
      <c r="D142" s="375"/>
      <c r="E142" s="375"/>
      <c r="F142" s="375"/>
      <c r="G142" s="376"/>
      <c r="H142" s="1"/>
    </row>
    <row r="143" spans="1:8" ht="42.75" customHeight="1" x14ac:dyDescent="0.25">
      <c r="B143" s="385" t="s">
        <v>151</v>
      </c>
      <c r="C143" s="375"/>
      <c r="D143" s="375"/>
      <c r="E143" s="375"/>
      <c r="F143" s="375"/>
      <c r="G143" s="376"/>
      <c r="H143" s="1"/>
    </row>
    <row r="144" spans="1:8" ht="63.75" customHeight="1" x14ac:dyDescent="0.25">
      <c r="B144" s="385" t="s">
        <v>152</v>
      </c>
      <c r="C144" s="375"/>
      <c r="D144" s="375"/>
      <c r="E144" s="375"/>
      <c r="F144" s="375"/>
      <c r="G144" s="376"/>
      <c r="H144" s="1"/>
    </row>
    <row r="145" spans="1:8" s="89" customFormat="1" ht="54.75" customHeight="1" x14ac:dyDescent="0.25">
      <c r="A145" s="64"/>
      <c r="B145" s="385" t="s">
        <v>153</v>
      </c>
      <c r="C145" s="375"/>
      <c r="D145" s="375"/>
      <c r="E145" s="375"/>
      <c r="F145" s="375"/>
      <c r="G145" s="376"/>
      <c r="H145" s="88"/>
    </row>
    <row r="146" spans="1:8" ht="15" customHeight="1" x14ac:dyDescent="0.25">
      <c r="B146" s="381" t="s">
        <v>154</v>
      </c>
      <c r="C146" s="375"/>
      <c r="D146" s="375"/>
      <c r="E146" s="375"/>
      <c r="F146" s="375"/>
      <c r="G146" s="376"/>
      <c r="H146" s="1"/>
    </row>
    <row r="147" spans="1:8" ht="15" customHeight="1" x14ac:dyDescent="0.25">
      <c r="B147" s="381" t="s">
        <v>155</v>
      </c>
      <c r="C147" s="375"/>
      <c r="D147" s="375"/>
      <c r="E147" s="375"/>
      <c r="F147" s="375"/>
      <c r="G147" s="376"/>
      <c r="H147" s="1"/>
    </row>
    <row r="148" spans="1:8" ht="26.25" customHeight="1" x14ac:dyDescent="0.25">
      <c r="B148" s="374" t="s">
        <v>156</v>
      </c>
      <c r="C148" s="375"/>
      <c r="D148" s="375"/>
      <c r="E148" s="375"/>
      <c r="F148" s="375"/>
      <c r="G148" s="376"/>
      <c r="H148" s="1"/>
    </row>
    <row r="149" spans="1:8" ht="15" customHeight="1" x14ac:dyDescent="0.25">
      <c r="B149" s="381" t="s">
        <v>157</v>
      </c>
      <c r="C149" s="375"/>
      <c r="D149" s="375"/>
      <c r="E149" s="375"/>
      <c r="F149" s="375"/>
      <c r="G149" s="376"/>
      <c r="H149" s="1"/>
    </row>
    <row r="150" spans="1:8" ht="27" customHeight="1" x14ac:dyDescent="0.25">
      <c r="B150" s="374" t="s">
        <v>158</v>
      </c>
      <c r="C150" s="375"/>
      <c r="D150" s="375"/>
      <c r="E150" s="375"/>
      <c r="F150" s="375"/>
      <c r="G150" s="376"/>
      <c r="H150" s="1"/>
    </row>
    <row r="151" spans="1:8" ht="15" customHeight="1" x14ac:dyDescent="0.25">
      <c r="B151" s="402" t="s">
        <v>159</v>
      </c>
      <c r="C151" s="375"/>
      <c r="D151" s="375"/>
      <c r="E151" s="375"/>
      <c r="F151" s="375"/>
      <c r="G151" s="376"/>
      <c r="H151" s="1"/>
    </row>
    <row r="152" spans="1:8" ht="51.75" customHeight="1" x14ac:dyDescent="0.25">
      <c r="B152" s="374" t="s">
        <v>160</v>
      </c>
      <c r="C152" s="375"/>
      <c r="D152" s="375"/>
      <c r="E152" s="375"/>
      <c r="F152" s="375"/>
      <c r="G152" s="376"/>
      <c r="H152" s="1"/>
    </row>
    <row r="153" spans="1:8" ht="15" customHeight="1" x14ac:dyDescent="0.25">
      <c r="B153" s="374" t="s">
        <v>161</v>
      </c>
      <c r="C153" s="375"/>
      <c r="D153" s="375"/>
      <c r="E153" s="375"/>
      <c r="F153" s="375"/>
      <c r="G153" s="376"/>
      <c r="H153" s="1"/>
    </row>
    <row r="154" spans="1:8" ht="15" customHeight="1" x14ac:dyDescent="0.25">
      <c r="B154" s="381" t="s">
        <v>162</v>
      </c>
      <c r="C154" s="375"/>
      <c r="D154" s="375"/>
      <c r="E154" s="375"/>
      <c r="F154" s="375"/>
      <c r="G154" s="376"/>
      <c r="H154" s="1"/>
    </row>
    <row r="155" spans="1:8" ht="105" customHeight="1" x14ac:dyDescent="0.25">
      <c r="B155" s="374" t="s">
        <v>163</v>
      </c>
      <c r="C155" s="375"/>
      <c r="D155" s="375"/>
      <c r="E155" s="375"/>
      <c r="F155" s="375"/>
      <c r="G155" s="376"/>
      <c r="H155" s="1"/>
    </row>
    <row r="156" spans="1:8" ht="51" customHeight="1" x14ac:dyDescent="0.25">
      <c r="B156" s="374" t="s">
        <v>164</v>
      </c>
      <c r="C156" s="375"/>
      <c r="D156" s="375"/>
      <c r="E156" s="375"/>
      <c r="F156" s="375"/>
      <c r="G156" s="376"/>
      <c r="H156" s="1"/>
    </row>
    <row r="157" spans="1:8" ht="66" customHeight="1" x14ac:dyDescent="0.25">
      <c r="B157" s="374" t="s">
        <v>165</v>
      </c>
      <c r="C157" s="375"/>
      <c r="D157" s="375"/>
      <c r="E157" s="375"/>
      <c r="F157" s="375"/>
      <c r="G157" s="376"/>
      <c r="H157" s="1"/>
    </row>
    <row r="158" spans="1:8" ht="15" customHeight="1" x14ac:dyDescent="0.25">
      <c r="B158" s="381" t="s">
        <v>166</v>
      </c>
      <c r="C158" s="375"/>
      <c r="D158" s="375"/>
      <c r="E158" s="375"/>
      <c r="F158" s="375"/>
      <c r="G158" s="376"/>
      <c r="H158" s="1"/>
    </row>
    <row r="159" spans="1:8" ht="26.25" customHeight="1" x14ac:dyDescent="0.25">
      <c r="B159" s="374" t="s">
        <v>167</v>
      </c>
      <c r="C159" s="375"/>
      <c r="D159" s="375"/>
      <c r="E159" s="375"/>
      <c r="F159" s="375"/>
      <c r="G159" s="376"/>
      <c r="H159" s="1"/>
    </row>
    <row r="160" spans="1:8" ht="15" customHeight="1" x14ac:dyDescent="0.25">
      <c r="B160" s="408"/>
      <c r="C160" s="409"/>
      <c r="D160" s="409"/>
      <c r="E160" s="409"/>
      <c r="F160" s="409"/>
      <c r="G160" s="409"/>
      <c r="H160" s="1"/>
    </row>
    <row r="161" spans="1:8" ht="15" customHeight="1" x14ac:dyDescent="0.25">
      <c r="B161" s="78"/>
      <c r="C161" s="78"/>
      <c r="D161" s="78"/>
      <c r="E161" s="78"/>
      <c r="F161" s="78"/>
      <c r="G161" s="78"/>
      <c r="H161" s="1"/>
    </row>
    <row r="162" spans="1:8" ht="15" customHeight="1" x14ac:dyDescent="0.25">
      <c r="A162" s="69" t="s">
        <v>168</v>
      </c>
      <c r="B162" s="410" t="s">
        <v>169</v>
      </c>
      <c r="C162" s="375"/>
      <c r="D162" s="375"/>
      <c r="E162" s="375"/>
      <c r="F162" s="375"/>
      <c r="G162" s="376"/>
      <c r="H162" s="1"/>
    </row>
    <row r="163" spans="1:8" ht="90.75" customHeight="1" x14ac:dyDescent="0.25">
      <c r="B163" s="374" t="s">
        <v>170</v>
      </c>
      <c r="C163" s="375"/>
      <c r="D163" s="375"/>
      <c r="E163" s="375"/>
      <c r="F163" s="375"/>
      <c r="G163" s="376"/>
      <c r="H163" s="1"/>
    </row>
    <row r="164" spans="1:8" ht="142.5" customHeight="1" x14ac:dyDescent="0.25">
      <c r="B164" s="374" t="s">
        <v>171</v>
      </c>
      <c r="C164" s="375"/>
      <c r="D164" s="375"/>
      <c r="E164" s="375"/>
      <c r="F164" s="375"/>
      <c r="G164" s="376"/>
      <c r="H164" s="1"/>
    </row>
    <row r="165" spans="1:8" ht="116.25" customHeight="1" x14ac:dyDescent="0.25">
      <c r="B165" s="374" t="s">
        <v>172</v>
      </c>
      <c r="C165" s="375"/>
      <c r="D165" s="375"/>
      <c r="E165" s="375"/>
      <c r="F165" s="375"/>
      <c r="G165" s="376"/>
      <c r="H165" s="1"/>
    </row>
    <row r="166" spans="1:8" ht="101.25" customHeight="1" x14ac:dyDescent="0.25">
      <c r="B166" s="374" t="s">
        <v>173</v>
      </c>
      <c r="C166" s="375"/>
      <c r="D166" s="375"/>
      <c r="E166" s="375"/>
      <c r="F166" s="375"/>
      <c r="G166" s="376"/>
      <c r="H166" s="1"/>
    </row>
    <row r="167" spans="1:8" ht="142.5" customHeight="1" x14ac:dyDescent="0.25">
      <c r="B167" s="385" t="s">
        <v>174</v>
      </c>
      <c r="C167" s="375"/>
      <c r="D167" s="375"/>
      <c r="E167" s="375"/>
      <c r="F167" s="375"/>
      <c r="G167" s="376"/>
      <c r="H167" s="1"/>
    </row>
    <row r="168" spans="1:8" ht="232.5" customHeight="1" x14ac:dyDescent="0.25">
      <c r="B168" s="385" t="s">
        <v>175</v>
      </c>
      <c r="C168" s="375"/>
      <c r="D168" s="375"/>
      <c r="E168" s="375"/>
      <c r="F168" s="375"/>
      <c r="G168" s="376"/>
      <c r="H168" s="1"/>
    </row>
    <row r="169" spans="1:8" x14ac:dyDescent="0.25">
      <c r="B169" s="402" t="s">
        <v>176</v>
      </c>
      <c r="C169" s="375"/>
      <c r="D169" s="375"/>
      <c r="E169" s="375"/>
      <c r="F169" s="375"/>
      <c r="G169" s="376"/>
      <c r="H169" s="1"/>
    </row>
    <row r="170" spans="1:8" ht="39.75" customHeight="1" x14ac:dyDescent="0.25">
      <c r="B170" s="374" t="s">
        <v>177</v>
      </c>
      <c r="C170" s="375"/>
      <c r="D170" s="375"/>
      <c r="E170" s="375"/>
      <c r="F170" s="375"/>
      <c r="G170" s="376"/>
      <c r="H170" s="1"/>
    </row>
    <row r="171" spans="1:8" ht="39.75" customHeight="1" x14ac:dyDescent="0.25">
      <c r="B171" s="385" t="s">
        <v>178</v>
      </c>
      <c r="C171" s="375"/>
      <c r="D171" s="375"/>
      <c r="E171" s="375"/>
      <c r="F171" s="375"/>
      <c r="G171" s="376"/>
      <c r="H171" s="1"/>
    </row>
    <row r="172" spans="1:8" ht="39" customHeight="1" x14ac:dyDescent="0.25">
      <c r="B172" s="374" t="s">
        <v>179</v>
      </c>
      <c r="C172" s="375"/>
      <c r="D172" s="375"/>
      <c r="E172" s="375"/>
      <c r="F172" s="375"/>
      <c r="G172" s="376"/>
      <c r="H172" s="1"/>
    </row>
    <row r="173" spans="1:8" ht="15" customHeight="1" x14ac:dyDescent="0.25">
      <c r="B173" s="408"/>
      <c r="C173" s="409"/>
      <c r="D173" s="409"/>
      <c r="E173" s="409"/>
      <c r="F173" s="409"/>
      <c r="G173" s="409"/>
      <c r="H173" s="1"/>
    </row>
    <row r="174" spans="1:8" ht="15" customHeight="1" x14ac:dyDescent="0.25">
      <c r="B174" s="78"/>
      <c r="C174" s="78"/>
      <c r="D174" s="78"/>
      <c r="E174" s="78"/>
      <c r="F174" s="78"/>
      <c r="G174" s="78"/>
      <c r="H174" s="1"/>
    </row>
    <row r="175" spans="1:8" ht="15" customHeight="1" x14ac:dyDescent="0.25">
      <c r="A175" s="69" t="s">
        <v>180</v>
      </c>
      <c r="B175" s="410" t="s">
        <v>181</v>
      </c>
      <c r="C175" s="375"/>
      <c r="D175" s="375"/>
      <c r="E175" s="375"/>
      <c r="F175" s="375"/>
      <c r="G175" s="376"/>
      <c r="H175" s="1"/>
    </row>
    <row r="176" spans="1:8" s="89" customFormat="1" ht="39" customHeight="1" x14ac:dyDescent="0.25">
      <c r="A176" s="64"/>
      <c r="B176" s="374" t="s">
        <v>182</v>
      </c>
      <c r="C176" s="375"/>
      <c r="D176" s="375"/>
      <c r="E176" s="375"/>
      <c r="F176" s="375"/>
      <c r="G176" s="376"/>
      <c r="H176" s="88"/>
    </row>
    <row r="177" spans="2:8" ht="39" customHeight="1" x14ac:dyDescent="0.25">
      <c r="B177" s="374" t="s">
        <v>183</v>
      </c>
      <c r="C177" s="375"/>
      <c r="D177" s="375"/>
      <c r="E177" s="375"/>
      <c r="F177" s="375"/>
      <c r="G177" s="376"/>
      <c r="H177" s="1"/>
    </row>
    <row r="178" spans="2:8" ht="27.75" customHeight="1" x14ac:dyDescent="0.25">
      <c r="B178" s="374" t="s">
        <v>184</v>
      </c>
      <c r="C178" s="375"/>
      <c r="D178" s="375"/>
      <c r="E178" s="375"/>
      <c r="F178" s="375"/>
      <c r="G178" s="376"/>
      <c r="H178" s="1"/>
    </row>
    <row r="179" spans="2:8" ht="38.25" customHeight="1" x14ac:dyDescent="0.25">
      <c r="B179" s="374" t="s">
        <v>185</v>
      </c>
      <c r="C179" s="375"/>
      <c r="D179" s="375"/>
      <c r="E179" s="375"/>
      <c r="F179" s="375"/>
      <c r="G179" s="376"/>
      <c r="H179" s="1"/>
    </row>
    <row r="180" spans="2:8" ht="28.5" customHeight="1" x14ac:dyDescent="0.25">
      <c r="B180" s="374" t="s">
        <v>186</v>
      </c>
      <c r="C180" s="375"/>
      <c r="D180" s="375"/>
      <c r="E180" s="375"/>
      <c r="F180" s="375"/>
      <c r="G180" s="376"/>
      <c r="H180" s="1"/>
    </row>
    <row r="181" spans="2:8" ht="51.75" customHeight="1" x14ac:dyDescent="0.25">
      <c r="B181" s="374" t="s">
        <v>187</v>
      </c>
      <c r="C181" s="375"/>
      <c r="D181" s="375"/>
      <c r="E181" s="375"/>
      <c r="F181" s="375"/>
      <c r="G181" s="376"/>
      <c r="H181" s="1"/>
    </row>
    <row r="182" spans="2:8" ht="40.5" customHeight="1" x14ac:dyDescent="0.25">
      <c r="B182" s="374" t="s">
        <v>188</v>
      </c>
      <c r="C182" s="375"/>
      <c r="D182" s="375"/>
      <c r="E182" s="375"/>
      <c r="F182" s="375"/>
      <c r="G182" s="376"/>
      <c r="H182" s="1"/>
    </row>
    <row r="183" spans="2:8" ht="27.75" customHeight="1" x14ac:dyDescent="0.25">
      <c r="B183" s="374" t="s">
        <v>189</v>
      </c>
      <c r="C183" s="375"/>
      <c r="D183" s="375"/>
      <c r="E183" s="375"/>
      <c r="F183" s="375"/>
      <c r="G183" s="376"/>
      <c r="H183" s="1"/>
    </row>
    <row r="184" spans="2:8" ht="39" customHeight="1" x14ac:dyDescent="0.25">
      <c r="B184" s="374" t="s">
        <v>190</v>
      </c>
      <c r="C184" s="375"/>
      <c r="D184" s="375"/>
      <c r="E184" s="375"/>
      <c r="F184" s="375"/>
      <c r="G184" s="376"/>
      <c r="H184" s="1"/>
    </row>
    <row r="185" spans="2:8" ht="15" customHeight="1" x14ac:dyDescent="0.25">
      <c r="B185" s="374" t="s">
        <v>191</v>
      </c>
      <c r="C185" s="375"/>
      <c r="D185" s="375"/>
      <c r="E185" s="375"/>
      <c r="F185" s="375"/>
      <c r="G185" s="376"/>
      <c r="H185" s="1"/>
    </row>
    <row r="186" spans="2:8" ht="26.25" customHeight="1" x14ac:dyDescent="0.25">
      <c r="B186" s="374" t="s">
        <v>192</v>
      </c>
      <c r="C186" s="375"/>
      <c r="D186" s="375"/>
      <c r="E186" s="375"/>
      <c r="F186" s="375"/>
      <c r="G186" s="376"/>
      <c r="H186" s="1"/>
    </row>
    <row r="187" spans="2:8" ht="27" customHeight="1" x14ac:dyDescent="0.25">
      <c r="B187" s="374" t="s">
        <v>193</v>
      </c>
      <c r="C187" s="375"/>
      <c r="D187" s="375"/>
      <c r="E187" s="375"/>
      <c r="F187" s="375"/>
      <c r="G187" s="376"/>
      <c r="H187" s="1"/>
    </row>
    <row r="188" spans="2:8" ht="27" customHeight="1" x14ac:dyDescent="0.25">
      <c r="B188" s="374" t="s">
        <v>194</v>
      </c>
      <c r="C188" s="375"/>
      <c r="D188" s="375"/>
      <c r="E188" s="375"/>
      <c r="F188" s="375"/>
      <c r="G188" s="376"/>
      <c r="H188" s="1"/>
    </row>
    <row r="189" spans="2:8" ht="15" customHeight="1" x14ac:dyDescent="0.25">
      <c r="B189" s="374" t="s">
        <v>195</v>
      </c>
      <c r="C189" s="375"/>
      <c r="D189" s="375"/>
      <c r="E189" s="375"/>
      <c r="F189" s="375"/>
      <c r="G189" s="376"/>
      <c r="H189" s="1"/>
    </row>
    <row r="190" spans="2:8" ht="15" customHeight="1" x14ac:dyDescent="0.25">
      <c r="B190" s="374" t="s">
        <v>196</v>
      </c>
      <c r="C190" s="375"/>
      <c r="D190" s="375"/>
      <c r="E190" s="375"/>
      <c r="F190" s="375"/>
      <c r="G190" s="376"/>
      <c r="H190" s="1"/>
    </row>
    <row r="191" spans="2:8" ht="15" customHeight="1" x14ac:dyDescent="0.25">
      <c r="B191" s="374" t="s">
        <v>197</v>
      </c>
      <c r="C191" s="375"/>
      <c r="D191" s="375"/>
      <c r="E191" s="375"/>
      <c r="F191" s="375"/>
      <c r="G191" s="376"/>
      <c r="H191" s="1"/>
    </row>
    <row r="192" spans="2:8" ht="15" customHeight="1" x14ac:dyDescent="0.25">
      <c r="B192" s="374" t="s">
        <v>198</v>
      </c>
      <c r="C192" s="375"/>
      <c r="D192" s="375"/>
      <c r="E192" s="375"/>
      <c r="F192" s="375"/>
      <c r="G192" s="376"/>
      <c r="H192" s="1"/>
    </row>
    <row r="193" spans="1:8" ht="15" customHeight="1" x14ac:dyDescent="0.25">
      <c r="B193" s="374" t="s">
        <v>199</v>
      </c>
      <c r="C193" s="375"/>
      <c r="D193" s="375"/>
      <c r="E193" s="375"/>
      <c r="F193" s="375"/>
      <c r="G193" s="376"/>
      <c r="H193" s="1"/>
    </row>
    <row r="194" spans="1:8" ht="15" customHeight="1" x14ac:dyDescent="0.25">
      <c r="B194" s="374" t="s">
        <v>200</v>
      </c>
      <c r="C194" s="375"/>
      <c r="D194" s="375"/>
      <c r="E194" s="375"/>
      <c r="F194" s="375"/>
      <c r="G194" s="376"/>
      <c r="H194" s="1"/>
    </row>
    <row r="195" spans="1:8" ht="15" customHeight="1" x14ac:dyDescent="0.25">
      <c r="B195" s="374" t="s">
        <v>201</v>
      </c>
      <c r="C195" s="375"/>
      <c r="D195" s="375"/>
      <c r="E195" s="375"/>
      <c r="F195" s="375"/>
      <c r="G195" s="376"/>
      <c r="H195" s="1"/>
    </row>
    <row r="196" spans="1:8" ht="15" customHeight="1" x14ac:dyDescent="0.25">
      <c r="B196" s="374"/>
      <c r="C196" s="375"/>
      <c r="D196" s="375"/>
      <c r="E196" s="375"/>
      <c r="F196" s="375"/>
      <c r="G196" s="376"/>
      <c r="H196" s="1"/>
    </row>
    <row r="197" spans="1:8" ht="15" customHeight="1" x14ac:dyDescent="0.25">
      <c r="B197" s="402" t="s">
        <v>202</v>
      </c>
      <c r="C197" s="375"/>
      <c r="D197" s="375"/>
      <c r="E197" s="375"/>
      <c r="F197" s="375"/>
      <c r="G197" s="376"/>
      <c r="H197" s="1"/>
    </row>
    <row r="198" spans="1:8" ht="26.25" customHeight="1" x14ac:dyDescent="0.25">
      <c r="B198" s="374" t="s">
        <v>203</v>
      </c>
      <c r="C198" s="375"/>
      <c r="D198" s="375"/>
      <c r="E198" s="375"/>
      <c r="F198" s="375"/>
      <c r="G198" s="376"/>
      <c r="H198" s="1"/>
    </row>
    <row r="199" spans="1:8" ht="26.25" customHeight="1" x14ac:dyDescent="0.25">
      <c r="B199" s="374" t="s">
        <v>204</v>
      </c>
      <c r="C199" s="375"/>
      <c r="D199" s="375"/>
      <c r="E199" s="375"/>
      <c r="F199" s="375"/>
      <c r="G199" s="376"/>
      <c r="H199" s="1"/>
    </row>
    <row r="200" spans="1:8" ht="15" customHeight="1" x14ac:dyDescent="0.25">
      <c r="B200" s="374" t="s">
        <v>205</v>
      </c>
      <c r="C200" s="375"/>
      <c r="D200" s="375"/>
      <c r="E200" s="375"/>
      <c r="F200" s="375"/>
      <c r="G200" s="376"/>
      <c r="H200" s="1"/>
    </row>
    <row r="201" spans="1:8" ht="40.5" customHeight="1" x14ac:dyDescent="0.25">
      <c r="B201" s="374" t="s">
        <v>206</v>
      </c>
      <c r="C201" s="375"/>
      <c r="D201" s="375"/>
      <c r="E201" s="375"/>
      <c r="F201" s="375"/>
      <c r="G201" s="376"/>
      <c r="H201" s="1"/>
    </row>
    <row r="202" spans="1:8" ht="39" customHeight="1" x14ac:dyDescent="0.25">
      <c r="B202" s="374" t="s">
        <v>207</v>
      </c>
      <c r="C202" s="375"/>
      <c r="D202" s="375"/>
      <c r="E202" s="375"/>
      <c r="F202" s="375"/>
      <c r="G202" s="376"/>
      <c r="H202" s="1"/>
    </row>
    <row r="203" spans="1:8" ht="15" customHeight="1" x14ac:dyDescent="0.25">
      <c r="B203" s="408"/>
      <c r="C203" s="409"/>
      <c r="D203" s="409"/>
      <c r="E203" s="409"/>
      <c r="F203" s="409"/>
      <c r="G203" s="409"/>
      <c r="H203" s="1"/>
    </row>
    <row r="204" spans="1:8" ht="15" customHeight="1" x14ac:dyDescent="0.25">
      <c r="B204" s="78"/>
      <c r="C204" s="78"/>
      <c r="D204" s="78"/>
      <c r="E204" s="78"/>
      <c r="F204" s="78"/>
      <c r="G204" s="78"/>
      <c r="H204" s="1"/>
    </row>
    <row r="205" spans="1:8" ht="15" customHeight="1" x14ac:dyDescent="0.25">
      <c r="A205" s="69" t="s">
        <v>208</v>
      </c>
      <c r="B205" s="410" t="s">
        <v>209</v>
      </c>
      <c r="C205" s="375"/>
      <c r="D205" s="375"/>
      <c r="E205" s="375"/>
      <c r="F205" s="375"/>
      <c r="G205" s="376"/>
      <c r="H205" s="1"/>
    </row>
    <row r="206" spans="1:8" ht="42" customHeight="1" x14ac:dyDescent="0.25">
      <c r="B206" s="374" t="s">
        <v>210</v>
      </c>
      <c r="C206" s="375"/>
      <c r="D206" s="375"/>
      <c r="E206" s="375"/>
      <c r="F206" s="375"/>
      <c r="G206" s="376"/>
      <c r="H206" s="1"/>
    </row>
    <row r="207" spans="1:8" ht="39" customHeight="1" x14ac:dyDescent="0.25">
      <c r="B207" s="385" t="s">
        <v>211</v>
      </c>
      <c r="C207" s="375"/>
      <c r="D207" s="375"/>
      <c r="E207" s="375"/>
      <c r="F207" s="375"/>
      <c r="G207" s="376"/>
      <c r="H207" s="1"/>
    </row>
    <row r="208" spans="1:8" ht="27" customHeight="1" x14ac:dyDescent="0.25">
      <c r="B208" s="374" t="s">
        <v>212</v>
      </c>
      <c r="C208" s="375"/>
      <c r="D208" s="375"/>
      <c r="E208" s="375"/>
      <c r="F208" s="375"/>
      <c r="G208" s="376"/>
      <c r="H208" s="1"/>
    </row>
    <row r="209" spans="2:8" ht="15" customHeight="1" x14ac:dyDescent="0.25">
      <c r="B209" s="374" t="s">
        <v>213</v>
      </c>
      <c r="C209" s="375"/>
      <c r="D209" s="375"/>
      <c r="E209" s="375"/>
      <c r="F209" s="375"/>
      <c r="G209" s="376"/>
      <c r="H209" s="1"/>
    </row>
    <row r="210" spans="2:8" ht="15" customHeight="1" x14ac:dyDescent="0.25">
      <c r="B210" s="374" t="s">
        <v>214</v>
      </c>
      <c r="C210" s="375"/>
      <c r="D210" s="375"/>
      <c r="E210" s="375"/>
      <c r="F210" s="375"/>
      <c r="G210" s="376"/>
      <c r="H210" s="1"/>
    </row>
    <row r="211" spans="2:8" ht="26.25" customHeight="1" x14ac:dyDescent="0.25">
      <c r="B211" s="374" t="s">
        <v>215</v>
      </c>
      <c r="C211" s="375"/>
      <c r="D211" s="375"/>
      <c r="E211" s="375"/>
      <c r="F211" s="375"/>
      <c r="G211" s="376"/>
      <c r="H211" s="1"/>
    </row>
    <row r="212" spans="2:8" ht="39.75" customHeight="1" x14ac:dyDescent="0.25">
      <c r="B212" s="374" t="s">
        <v>216</v>
      </c>
      <c r="C212" s="375"/>
      <c r="D212" s="375"/>
      <c r="E212" s="375"/>
      <c r="F212" s="375"/>
      <c r="G212" s="376"/>
      <c r="H212" s="1"/>
    </row>
    <row r="213" spans="2:8" ht="25.5" customHeight="1" x14ac:dyDescent="0.25">
      <c r="B213" s="385" t="s">
        <v>217</v>
      </c>
      <c r="C213" s="375"/>
      <c r="D213" s="375"/>
      <c r="E213" s="375"/>
      <c r="F213" s="375"/>
      <c r="G213" s="376"/>
      <c r="H213" s="1"/>
    </row>
    <row r="214" spans="2:8" ht="15" customHeight="1" x14ac:dyDescent="0.25">
      <c r="B214" s="374" t="s">
        <v>218</v>
      </c>
      <c r="C214" s="375"/>
      <c r="D214" s="375"/>
      <c r="E214" s="375"/>
      <c r="F214" s="375"/>
      <c r="G214" s="376"/>
      <c r="H214" s="1"/>
    </row>
    <row r="215" spans="2:8" ht="15" customHeight="1" x14ac:dyDescent="0.25">
      <c r="B215" s="374" t="s">
        <v>219</v>
      </c>
      <c r="C215" s="375"/>
      <c r="D215" s="375"/>
      <c r="E215" s="375"/>
      <c r="F215" s="375"/>
      <c r="G215" s="376"/>
      <c r="H215" s="1"/>
    </row>
    <row r="216" spans="2:8" ht="15" customHeight="1" x14ac:dyDescent="0.25">
      <c r="B216" s="374" t="s">
        <v>220</v>
      </c>
      <c r="C216" s="375"/>
      <c r="D216" s="375"/>
      <c r="E216" s="375"/>
      <c r="F216" s="375"/>
      <c r="G216" s="376"/>
      <c r="H216" s="1"/>
    </row>
    <row r="217" spans="2:8" ht="15" customHeight="1" x14ac:dyDescent="0.25">
      <c r="B217" s="374" t="s">
        <v>221</v>
      </c>
      <c r="C217" s="375"/>
      <c r="D217" s="375"/>
      <c r="E217" s="375"/>
      <c r="F217" s="375"/>
      <c r="G217" s="376"/>
      <c r="H217" s="1"/>
    </row>
    <row r="218" spans="2:8" ht="15" customHeight="1" x14ac:dyDescent="0.25">
      <c r="B218" s="374" t="s">
        <v>222</v>
      </c>
      <c r="C218" s="375"/>
      <c r="D218" s="375"/>
      <c r="E218" s="375"/>
      <c r="F218" s="375"/>
      <c r="G218" s="376"/>
      <c r="H218" s="1"/>
    </row>
    <row r="219" spans="2:8" ht="15" customHeight="1" x14ac:dyDescent="0.25">
      <c r="B219" s="374" t="s">
        <v>223</v>
      </c>
      <c r="C219" s="375"/>
      <c r="D219" s="375"/>
      <c r="E219" s="375"/>
      <c r="F219" s="375"/>
      <c r="G219" s="376"/>
      <c r="H219" s="1"/>
    </row>
    <row r="220" spans="2:8" ht="15" customHeight="1" x14ac:dyDescent="0.25">
      <c r="B220" s="374" t="s">
        <v>224</v>
      </c>
      <c r="C220" s="375"/>
      <c r="D220" s="375"/>
      <c r="E220" s="375"/>
      <c r="F220" s="375"/>
      <c r="G220" s="376"/>
      <c r="H220" s="1"/>
    </row>
    <row r="221" spans="2:8" ht="15" customHeight="1" x14ac:dyDescent="0.25">
      <c r="B221" s="374" t="s">
        <v>225</v>
      </c>
      <c r="C221" s="375"/>
      <c r="D221" s="375"/>
      <c r="E221" s="375"/>
      <c r="F221" s="375"/>
      <c r="G221" s="376"/>
      <c r="H221" s="1"/>
    </row>
    <row r="222" spans="2:8" ht="15" customHeight="1" x14ac:dyDescent="0.25">
      <c r="B222" s="374" t="s">
        <v>226</v>
      </c>
      <c r="C222" s="375"/>
      <c r="D222" s="375"/>
      <c r="E222" s="375"/>
      <c r="F222" s="375"/>
      <c r="G222" s="376"/>
      <c r="H222" s="1"/>
    </row>
    <row r="223" spans="2:8" ht="15" customHeight="1" x14ac:dyDescent="0.25">
      <c r="B223" s="381" t="s">
        <v>227</v>
      </c>
      <c r="C223" s="375"/>
      <c r="D223" s="375"/>
      <c r="E223" s="375"/>
      <c r="F223" s="375"/>
      <c r="G223" s="376"/>
      <c r="H223" s="1"/>
    </row>
    <row r="224" spans="2:8" ht="50.25" customHeight="1" x14ac:dyDescent="0.25">
      <c r="B224" s="374" t="s">
        <v>228</v>
      </c>
      <c r="C224" s="375"/>
      <c r="D224" s="375"/>
      <c r="E224" s="375"/>
      <c r="F224" s="375"/>
      <c r="G224" s="376"/>
      <c r="H224" s="1"/>
    </row>
    <row r="225" spans="2:8" ht="15" customHeight="1" x14ac:dyDescent="0.25">
      <c r="B225" s="381" t="s">
        <v>229</v>
      </c>
      <c r="C225" s="375"/>
      <c r="D225" s="375"/>
      <c r="E225" s="375"/>
      <c r="F225" s="375"/>
      <c r="G225" s="376"/>
      <c r="H225" s="1"/>
    </row>
    <row r="226" spans="2:8" ht="38.25" customHeight="1" x14ac:dyDescent="0.25">
      <c r="B226" s="374" t="s">
        <v>230</v>
      </c>
      <c r="C226" s="375"/>
      <c r="D226" s="375"/>
      <c r="E226" s="375"/>
      <c r="F226" s="375"/>
      <c r="G226" s="376"/>
      <c r="H226" s="1"/>
    </row>
    <row r="227" spans="2:8" ht="27.75" customHeight="1" x14ac:dyDescent="0.25">
      <c r="B227" s="374" t="s">
        <v>231</v>
      </c>
      <c r="C227" s="375"/>
      <c r="D227" s="375"/>
      <c r="E227" s="375"/>
      <c r="F227" s="375"/>
      <c r="G227" s="376"/>
      <c r="H227" s="1"/>
    </row>
    <row r="228" spans="2:8" ht="26.25" customHeight="1" x14ac:dyDescent="0.25">
      <c r="B228" s="374" t="s">
        <v>232</v>
      </c>
      <c r="C228" s="375"/>
      <c r="D228" s="375"/>
      <c r="E228" s="375"/>
      <c r="F228" s="375"/>
      <c r="G228" s="376"/>
      <c r="H228" s="1"/>
    </row>
    <row r="229" spans="2:8" ht="26.25" customHeight="1" x14ac:dyDescent="0.25">
      <c r="B229" s="374" t="s">
        <v>233</v>
      </c>
      <c r="C229" s="375"/>
      <c r="D229" s="375"/>
      <c r="E229" s="375"/>
      <c r="F229" s="375"/>
      <c r="G229" s="376"/>
      <c r="H229" s="1"/>
    </row>
    <row r="230" spans="2:8" ht="25.5" customHeight="1" x14ac:dyDescent="0.25">
      <c r="B230" s="374" t="s">
        <v>234</v>
      </c>
      <c r="C230" s="375"/>
      <c r="D230" s="375"/>
      <c r="E230" s="375"/>
      <c r="F230" s="375"/>
      <c r="G230" s="376"/>
      <c r="H230" s="1"/>
    </row>
    <row r="231" spans="2:8" ht="40.5" customHeight="1" x14ac:dyDescent="0.25">
      <c r="B231" s="374" t="s">
        <v>235</v>
      </c>
      <c r="C231" s="375"/>
      <c r="D231" s="375"/>
      <c r="E231" s="375"/>
      <c r="F231" s="375"/>
      <c r="G231" s="376"/>
      <c r="H231" s="1"/>
    </row>
    <row r="232" spans="2:8" ht="15" customHeight="1" x14ac:dyDescent="0.25">
      <c r="B232" s="402" t="s">
        <v>236</v>
      </c>
      <c r="C232" s="375"/>
      <c r="D232" s="375"/>
      <c r="E232" s="375"/>
      <c r="F232" s="375"/>
      <c r="G232" s="376"/>
      <c r="H232" s="1"/>
    </row>
    <row r="233" spans="2:8" ht="26.25" customHeight="1" x14ac:dyDescent="0.25">
      <c r="B233" s="374" t="s">
        <v>237</v>
      </c>
      <c r="C233" s="375"/>
      <c r="D233" s="375"/>
      <c r="E233" s="375"/>
      <c r="F233" s="375"/>
      <c r="G233" s="376"/>
      <c r="H233" s="1"/>
    </row>
    <row r="234" spans="2:8" ht="15" customHeight="1" x14ac:dyDescent="0.25">
      <c r="B234" s="381" t="s">
        <v>238</v>
      </c>
      <c r="C234" s="375"/>
      <c r="D234" s="375"/>
      <c r="E234" s="375"/>
      <c r="F234" s="375"/>
      <c r="G234" s="376"/>
      <c r="H234" s="1"/>
    </row>
    <row r="235" spans="2:8" ht="15" customHeight="1" x14ac:dyDescent="0.25">
      <c r="B235" s="374" t="s">
        <v>239</v>
      </c>
      <c r="C235" s="375"/>
      <c r="D235" s="375"/>
      <c r="E235" s="375"/>
      <c r="F235" s="375"/>
      <c r="G235" s="376"/>
      <c r="H235" s="1"/>
    </row>
    <row r="236" spans="2:8" ht="15" customHeight="1" x14ac:dyDescent="0.25">
      <c r="B236" s="374" t="s">
        <v>240</v>
      </c>
      <c r="C236" s="375"/>
      <c r="D236" s="375"/>
      <c r="E236" s="375"/>
      <c r="F236" s="375"/>
      <c r="G236" s="376"/>
      <c r="H236" s="1"/>
    </row>
    <row r="237" spans="2:8" ht="28.5" customHeight="1" x14ac:dyDescent="0.25">
      <c r="B237" s="374" t="s">
        <v>241</v>
      </c>
      <c r="C237" s="375"/>
      <c r="D237" s="375"/>
      <c r="E237" s="375"/>
      <c r="F237" s="375"/>
      <c r="G237" s="376"/>
      <c r="H237" s="1"/>
    </row>
    <row r="238" spans="2:8" ht="15" customHeight="1" x14ac:dyDescent="0.25">
      <c r="B238" s="374" t="s">
        <v>242</v>
      </c>
      <c r="C238" s="375"/>
      <c r="D238" s="375"/>
      <c r="E238" s="375"/>
      <c r="F238" s="375"/>
      <c r="G238" s="376"/>
      <c r="H238" s="1"/>
    </row>
    <row r="239" spans="2:8" ht="182.25" customHeight="1" x14ac:dyDescent="0.25">
      <c r="B239" s="374" t="s">
        <v>243</v>
      </c>
      <c r="C239" s="375"/>
      <c r="D239" s="375"/>
      <c r="E239" s="375"/>
      <c r="F239" s="375"/>
      <c r="G239" s="376"/>
      <c r="H239" s="1"/>
    </row>
    <row r="240" spans="2:8" ht="15" customHeight="1" x14ac:dyDescent="0.25">
      <c r="B240" s="408"/>
      <c r="C240" s="409"/>
      <c r="D240" s="409"/>
      <c r="E240" s="409"/>
      <c r="F240" s="409"/>
      <c r="G240" s="409"/>
      <c r="H240" s="1"/>
    </row>
    <row r="241" spans="1:8" ht="15" customHeight="1" x14ac:dyDescent="0.25">
      <c r="B241" s="396"/>
      <c r="C241" s="397"/>
      <c r="D241" s="397"/>
      <c r="E241" s="397"/>
      <c r="F241" s="397"/>
      <c r="G241" s="397"/>
      <c r="H241" s="1"/>
    </row>
    <row r="242" spans="1:8" ht="15" customHeight="1" x14ac:dyDescent="0.25">
      <c r="B242" s="396"/>
      <c r="C242" s="397"/>
      <c r="D242" s="397"/>
      <c r="E242" s="397"/>
      <c r="F242" s="397"/>
      <c r="G242" s="397"/>
      <c r="H242" s="1"/>
    </row>
    <row r="243" spans="1:8" ht="15" customHeight="1" x14ac:dyDescent="0.25">
      <c r="B243" s="396"/>
      <c r="C243" s="397"/>
      <c r="D243" s="397"/>
      <c r="E243" s="397"/>
      <c r="F243" s="397"/>
      <c r="G243" s="397"/>
      <c r="H243" s="1"/>
    </row>
    <row r="244" spans="1:8" ht="15" customHeight="1" x14ac:dyDescent="0.25">
      <c r="B244" s="420"/>
      <c r="C244" s="400"/>
      <c r="D244" s="400"/>
      <c r="E244" s="400"/>
      <c r="F244" s="400"/>
      <c r="G244" s="400"/>
      <c r="H244" s="1"/>
    </row>
    <row r="245" spans="1:8" ht="15" customHeight="1" x14ac:dyDescent="0.25">
      <c r="A245" s="69" t="s">
        <v>244</v>
      </c>
      <c r="B245" s="410" t="s">
        <v>245</v>
      </c>
      <c r="C245" s="375"/>
      <c r="D245" s="375"/>
      <c r="E245" s="375"/>
      <c r="F245" s="375"/>
      <c r="G245" s="376"/>
      <c r="H245" s="1"/>
    </row>
    <row r="246" spans="1:8" ht="15" customHeight="1" x14ac:dyDescent="0.25">
      <c r="B246" s="407" t="s">
        <v>246</v>
      </c>
      <c r="C246" s="375"/>
      <c r="D246" s="375"/>
      <c r="E246" s="375"/>
      <c r="F246" s="375"/>
      <c r="G246" s="376"/>
      <c r="H246" s="1"/>
    </row>
    <row r="247" spans="1:8" ht="27" customHeight="1" x14ac:dyDescent="0.25">
      <c r="B247" s="374" t="s">
        <v>247</v>
      </c>
      <c r="C247" s="375"/>
      <c r="D247" s="375"/>
      <c r="E247" s="375"/>
      <c r="F247" s="375"/>
      <c r="G247" s="376"/>
      <c r="H247" s="1"/>
    </row>
    <row r="248" spans="1:8" ht="15" customHeight="1" x14ac:dyDescent="0.25">
      <c r="B248" s="374" t="s">
        <v>248</v>
      </c>
      <c r="C248" s="375"/>
      <c r="D248" s="375"/>
      <c r="E248" s="375"/>
      <c r="F248" s="375"/>
      <c r="G248" s="376"/>
      <c r="H248" s="1"/>
    </row>
    <row r="249" spans="1:8" ht="155.25" customHeight="1" x14ac:dyDescent="0.25">
      <c r="B249" s="374" t="s">
        <v>249</v>
      </c>
      <c r="C249" s="375"/>
      <c r="D249" s="375"/>
      <c r="E249" s="375"/>
      <c r="F249" s="375"/>
      <c r="G249" s="376"/>
      <c r="H249" s="1"/>
    </row>
    <row r="250" spans="1:8" ht="15" customHeight="1" x14ac:dyDescent="0.25">
      <c r="B250" s="374" t="s">
        <v>250</v>
      </c>
      <c r="C250" s="375"/>
      <c r="D250" s="375"/>
      <c r="E250" s="375"/>
      <c r="F250" s="375"/>
      <c r="G250" s="376"/>
      <c r="H250" s="1"/>
    </row>
    <row r="251" spans="1:8" ht="15" customHeight="1" x14ac:dyDescent="0.25">
      <c r="B251" s="374" t="s">
        <v>251</v>
      </c>
      <c r="C251" s="375"/>
      <c r="D251" s="375"/>
      <c r="E251" s="375"/>
      <c r="F251" s="375"/>
      <c r="G251" s="376"/>
      <c r="H251" s="1"/>
    </row>
    <row r="252" spans="1:8" ht="53.25" customHeight="1" x14ac:dyDescent="0.25">
      <c r="B252" s="374" t="s">
        <v>252</v>
      </c>
      <c r="C252" s="375"/>
      <c r="D252" s="375"/>
      <c r="E252" s="375"/>
      <c r="F252" s="375"/>
      <c r="G252" s="376"/>
      <c r="H252" s="1"/>
    </row>
    <row r="253" spans="1:8" ht="41.25" customHeight="1" x14ac:dyDescent="0.25">
      <c r="B253" s="374" t="s">
        <v>253</v>
      </c>
      <c r="C253" s="375"/>
      <c r="D253" s="375"/>
      <c r="E253" s="375"/>
      <c r="F253" s="375"/>
      <c r="G253" s="376"/>
      <c r="H253" s="1"/>
    </row>
    <row r="254" spans="1:8" ht="15" customHeight="1" x14ac:dyDescent="0.25">
      <c r="B254" s="374" t="s">
        <v>254</v>
      </c>
      <c r="C254" s="375"/>
      <c r="D254" s="375"/>
      <c r="E254" s="375"/>
      <c r="F254" s="375"/>
      <c r="G254" s="376"/>
      <c r="H254" s="1"/>
    </row>
    <row r="255" spans="1:8" ht="15" customHeight="1" x14ac:dyDescent="0.25">
      <c r="B255" s="382" t="s">
        <v>255</v>
      </c>
      <c r="C255" s="375"/>
      <c r="D255" s="375"/>
      <c r="E255" s="375"/>
      <c r="F255" s="375"/>
      <c r="G255" s="376"/>
      <c r="H255" s="1"/>
    </row>
    <row r="256" spans="1:8" ht="28.5" customHeight="1" x14ac:dyDescent="0.25">
      <c r="B256" s="374" t="s">
        <v>256</v>
      </c>
      <c r="C256" s="375"/>
      <c r="D256" s="375"/>
      <c r="E256" s="375"/>
      <c r="F256" s="375"/>
      <c r="G256" s="376"/>
      <c r="H256" s="1"/>
    </row>
    <row r="257" spans="2:8" ht="15" customHeight="1" x14ac:dyDescent="0.25">
      <c r="B257" s="374" t="s">
        <v>257</v>
      </c>
      <c r="C257" s="375"/>
      <c r="D257" s="375"/>
      <c r="E257" s="375"/>
      <c r="F257" s="375"/>
      <c r="G257" s="376"/>
      <c r="H257" s="1"/>
    </row>
    <row r="258" spans="2:8" ht="41.25" customHeight="1" x14ac:dyDescent="0.25">
      <c r="B258" s="374" t="s">
        <v>258</v>
      </c>
      <c r="C258" s="375"/>
      <c r="D258" s="375"/>
      <c r="E258" s="375"/>
      <c r="F258" s="375"/>
      <c r="G258" s="376"/>
      <c r="H258" s="1"/>
    </row>
    <row r="259" spans="2:8" ht="27" customHeight="1" x14ac:dyDescent="0.25">
      <c r="B259" s="374" t="s">
        <v>259</v>
      </c>
      <c r="C259" s="375"/>
      <c r="D259" s="375"/>
      <c r="E259" s="375"/>
      <c r="F259" s="375"/>
      <c r="G259" s="376"/>
      <c r="H259" s="1"/>
    </row>
    <row r="260" spans="2:8" ht="64.5" customHeight="1" x14ac:dyDescent="0.25">
      <c r="B260" s="374" t="s">
        <v>260</v>
      </c>
      <c r="C260" s="375"/>
      <c r="D260" s="375"/>
      <c r="E260" s="375"/>
      <c r="F260" s="375"/>
      <c r="G260" s="376"/>
      <c r="H260" s="1"/>
    </row>
    <row r="261" spans="2:8" ht="105" customHeight="1" x14ac:dyDescent="0.25">
      <c r="B261" s="374" t="s">
        <v>261</v>
      </c>
      <c r="C261" s="375"/>
      <c r="D261" s="375"/>
      <c r="E261" s="375"/>
      <c r="F261" s="375"/>
      <c r="G261" s="376"/>
      <c r="H261" s="1"/>
    </row>
    <row r="262" spans="2:8" ht="15.75" customHeight="1" x14ac:dyDescent="0.25">
      <c r="B262" s="374" t="s">
        <v>262</v>
      </c>
      <c r="C262" s="375"/>
      <c r="D262" s="375"/>
      <c r="E262" s="375"/>
      <c r="F262" s="375"/>
      <c r="G262" s="376"/>
      <c r="H262" s="1"/>
    </row>
    <row r="263" spans="2:8" ht="15" customHeight="1" x14ac:dyDescent="0.25">
      <c r="B263" s="374" t="s">
        <v>263</v>
      </c>
      <c r="C263" s="375"/>
      <c r="D263" s="375"/>
      <c r="E263" s="375"/>
      <c r="F263" s="375"/>
      <c r="G263" s="376"/>
      <c r="H263" s="1"/>
    </row>
    <row r="264" spans="2:8" ht="15" customHeight="1" x14ac:dyDescent="0.25">
      <c r="B264" s="374" t="s">
        <v>264</v>
      </c>
      <c r="C264" s="375"/>
      <c r="D264" s="375"/>
      <c r="E264" s="375"/>
      <c r="F264" s="375"/>
      <c r="G264" s="376"/>
      <c r="H264" s="1"/>
    </row>
    <row r="265" spans="2:8" ht="15" customHeight="1" x14ac:dyDescent="0.25">
      <c r="B265" s="374" t="s">
        <v>265</v>
      </c>
      <c r="C265" s="375"/>
      <c r="D265" s="375"/>
      <c r="E265" s="375"/>
      <c r="F265" s="375"/>
      <c r="G265" s="376"/>
      <c r="H265" s="1"/>
    </row>
    <row r="266" spans="2:8" ht="15" customHeight="1" x14ac:dyDescent="0.25">
      <c r="B266" s="374" t="s">
        <v>266</v>
      </c>
      <c r="C266" s="375"/>
      <c r="D266" s="375"/>
      <c r="E266" s="375"/>
      <c r="F266" s="375"/>
      <c r="G266" s="376"/>
      <c r="H266" s="1"/>
    </row>
    <row r="267" spans="2:8" ht="15" customHeight="1" x14ac:dyDescent="0.25">
      <c r="B267" s="374" t="s">
        <v>267</v>
      </c>
      <c r="C267" s="375"/>
      <c r="D267" s="375"/>
      <c r="E267" s="375"/>
      <c r="F267" s="375"/>
      <c r="G267" s="376"/>
      <c r="H267" s="1"/>
    </row>
    <row r="268" spans="2:8" ht="15" customHeight="1" x14ac:dyDescent="0.25">
      <c r="B268" s="374" t="s">
        <v>268</v>
      </c>
      <c r="C268" s="375"/>
      <c r="D268" s="375"/>
      <c r="E268" s="375"/>
      <c r="F268" s="375"/>
      <c r="G268" s="376"/>
      <c r="H268" s="1"/>
    </row>
    <row r="269" spans="2:8" ht="15" customHeight="1" x14ac:dyDescent="0.25">
      <c r="B269" s="374" t="s">
        <v>269</v>
      </c>
      <c r="C269" s="375"/>
      <c r="D269" s="375"/>
      <c r="E269" s="375"/>
      <c r="F269" s="375"/>
      <c r="G269" s="376"/>
      <c r="H269" s="1"/>
    </row>
    <row r="270" spans="2:8" ht="15" customHeight="1" x14ac:dyDescent="0.25">
      <c r="B270" s="374" t="s">
        <v>270</v>
      </c>
      <c r="C270" s="375"/>
      <c r="D270" s="375"/>
      <c r="E270" s="375"/>
      <c r="F270" s="375"/>
      <c r="G270" s="376"/>
      <c r="H270" s="1"/>
    </row>
    <row r="271" spans="2:8" ht="15" customHeight="1" x14ac:dyDescent="0.25">
      <c r="B271" s="374" t="s">
        <v>271</v>
      </c>
      <c r="C271" s="375"/>
      <c r="D271" s="375"/>
      <c r="E271" s="375"/>
      <c r="F271" s="375"/>
      <c r="G271" s="376"/>
      <c r="H271" s="1"/>
    </row>
    <row r="272" spans="2:8" ht="15" customHeight="1" x14ac:dyDescent="0.25">
      <c r="B272" s="374" t="s">
        <v>272</v>
      </c>
      <c r="C272" s="375"/>
      <c r="D272" s="375"/>
      <c r="E272" s="375"/>
      <c r="F272" s="375"/>
      <c r="G272" s="376"/>
      <c r="H272" s="1"/>
    </row>
    <row r="273" spans="2:8" ht="15" customHeight="1" x14ac:dyDescent="0.25">
      <c r="B273" s="374" t="s">
        <v>273</v>
      </c>
      <c r="C273" s="375"/>
      <c r="D273" s="375"/>
      <c r="E273" s="375"/>
      <c r="F273" s="375"/>
      <c r="G273" s="376"/>
      <c r="H273" s="1"/>
    </row>
    <row r="274" spans="2:8" ht="15" customHeight="1" x14ac:dyDescent="0.25">
      <c r="B274" s="374" t="s">
        <v>274</v>
      </c>
      <c r="C274" s="375"/>
      <c r="D274" s="375"/>
      <c r="E274" s="375"/>
      <c r="F274" s="375"/>
      <c r="G274" s="376"/>
      <c r="H274" s="1"/>
    </row>
    <row r="275" spans="2:8" ht="15" customHeight="1" x14ac:dyDescent="0.25">
      <c r="B275" s="374" t="s">
        <v>275</v>
      </c>
      <c r="C275" s="375"/>
      <c r="D275" s="375"/>
      <c r="E275" s="375"/>
      <c r="F275" s="375"/>
      <c r="G275" s="376"/>
      <c r="H275" s="1"/>
    </row>
    <row r="276" spans="2:8" ht="15" customHeight="1" x14ac:dyDescent="0.25">
      <c r="B276" s="374" t="s">
        <v>276</v>
      </c>
      <c r="C276" s="375"/>
      <c r="D276" s="375"/>
      <c r="E276" s="375"/>
      <c r="F276" s="375"/>
      <c r="G276" s="376"/>
      <c r="H276" s="1"/>
    </row>
    <row r="277" spans="2:8" ht="15" customHeight="1" x14ac:dyDescent="0.25">
      <c r="B277" s="374" t="s">
        <v>277</v>
      </c>
      <c r="C277" s="375"/>
      <c r="D277" s="375"/>
      <c r="E277" s="375"/>
      <c r="F277" s="375"/>
      <c r="G277" s="376"/>
      <c r="H277" s="1"/>
    </row>
    <row r="278" spans="2:8" ht="15" customHeight="1" x14ac:dyDescent="0.25">
      <c r="B278" s="374" t="s">
        <v>278</v>
      </c>
      <c r="C278" s="375"/>
      <c r="D278" s="375"/>
      <c r="E278" s="375"/>
      <c r="F278" s="375"/>
      <c r="G278" s="376"/>
      <c r="H278" s="1"/>
    </row>
    <row r="279" spans="2:8" ht="15" customHeight="1" x14ac:dyDescent="0.25">
      <c r="B279" s="374" t="s">
        <v>279</v>
      </c>
      <c r="C279" s="375"/>
      <c r="D279" s="375"/>
      <c r="E279" s="375"/>
      <c r="F279" s="375"/>
      <c r="G279" s="376"/>
      <c r="H279" s="1"/>
    </row>
    <row r="280" spans="2:8" ht="15" customHeight="1" x14ac:dyDescent="0.25">
      <c r="B280" s="374" t="s">
        <v>280</v>
      </c>
      <c r="C280" s="375"/>
      <c r="D280" s="375"/>
      <c r="E280" s="375"/>
      <c r="F280" s="375"/>
      <c r="G280" s="376"/>
      <c r="H280" s="1"/>
    </row>
    <row r="281" spans="2:8" ht="15" customHeight="1" x14ac:dyDescent="0.25">
      <c r="B281" s="374" t="s">
        <v>281</v>
      </c>
      <c r="C281" s="375"/>
      <c r="D281" s="375"/>
      <c r="E281" s="375"/>
      <c r="F281" s="375"/>
      <c r="G281" s="376"/>
      <c r="H281" s="1"/>
    </row>
    <row r="282" spans="2:8" ht="15" customHeight="1" x14ac:dyDescent="0.25">
      <c r="B282" s="374" t="s">
        <v>282</v>
      </c>
      <c r="C282" s="375"/>
      <c r="D282" s="375"/>
      <c r="E282" s="375"/>
      <c r="F282" s="375"/>
      <c r="G282" s="376"/>
      <c r="H282" s="1"/>
    </row>
    <row r="283" spans="2:8" ht="15" customHeight="1" x14ac:dyDescent="0.25">
      <c r="B283" s="374" t="s">
        <v>283</v>
      </c>
      <c r="C283" s="375"/>
      <c r="D283" s="375"/>
      <c r="E283" s="375"/>
      <c r="F283" s="375"/>
      <c r="G283" s="376"/>
      <c r="H283" s="1"/>
    </row>
    <row r="284" spans="2:8" ht="15" customHeight="1" x14ac:dyDescent="0.25">
      <c r="B284" s="374" t="s">
        <v>284</v>
      </c>
      <c r="C284" s="375"/>
      <c r="D284" s="375"/>
      <c r="E284" s="375"/>
      <c r="F284" s="375"/>
      <c r="G284" s="376"/>
      <c r="H284" s="1"/>
    </row>
    <row r="285" spans="2:8" ht="15" customHeight="1" x14ac:dyDescent="0.25">
      <c r="B285" s="374" t="s">
        <v>285</v>
      </c>
      <c r="C285" s="375"/>
      <c r="D285" s="375"/>
      <c r="E285" s="375"/>
      <c r="F285" s="375"/>
      <c r="G285" s="376"/>
      <c r="H285" s="1"/>
    </row>
    <row r="286" spans="2:8" ht="15" customHeight="1" x14ac:dyDescent="0.25">
      <c r="B286" s="374" t="s">
        <v>286</v>
      </c>
      <c r="C286" s="375"/>
      <c r="D286" s="375"/>
      <c r="E286" s="375"/>
      <c r="F286" s="375"/>
      <c r="G286" s="376"/>
      <c r="H286" s="1"/>
    </row>
    <row r="287" spans="2:8" ht="15" customHeight="1" x14ac:dyDescent="0.25">
      <c r="B287" s="374" t="s">
        <v>287</v>
      </c>
      <c r="C287" s="375"/>
      <c r="D287" s="375"/>
      <c r="E287" s="375"/>
      <c r="F287" s="375"/>
      <c r="G287" s="376"/>
      <c r="H287" s="1"/>
    </row>
    <row r="288" spans="2:8" ht="15" customHeight="1" x14ac:dyDescent="0.25">
      <c r="B288" s="374" t="s">
        <v>288</v>
      </c>
      <c r="C288" s="375"/>
      <c r="D288" s="375"/>
      <c r="E288" s="375"/>
      <c r="F288" s="375"/>
      <c r="G288" s="376"/>
      <c r="H288" s="1"/>
    </row>
    <row r="289" spans="2:8" ht="15" customHeight="1" x14ac:dyDescent="0.25">
      <c r="B289" s="374" t="s">
        <v>289</v>
      </c>
      <c r="C289" s="375"/>
      <c r="D289" s="375"/>
      <c r="E289" s="375"/>
      <c r="F289" s="375"/>
      <c r="G289" s="376"/>
      <c r="H289" s="1"/>
    </row>
    <row r="290" spans="2:8" ht="15" customHeight="1" x14ac:dyDescent="0.25">
      <c r="B290" s="74"/>
      <c r="C290" s="75"/>
      <c r="D290" s="75"/>
      <c r="E290" s="75"/>
      <c r="F290" s="75"/>
      <c r="G290" s="76"/>
      <c r="H290" s="1"/>
    </row>
    <row r="291" spans="2:8" ht="218.25" customHeight="1" x14ac:dyDescent="0.25">
      <c r="B291" s="374" t="s">
        <v>290</v>
      </c>
      <c r="C291" s="375"/>
      <c r="D291" s="375"/>
      <c r="E291" s="375"/>
      <c r="F291" s="375"/>
      <c r="G291" s="376"/>
      <c r="H291" s="1"/>
    </row>
    <row r="292" spans="2:8" ht="39.75" customHeight="1" x14ac:dyDescent="0.25">
      <c r="B292" s="374" t="s">
        <v>291</v>
      </c>
      <c r="C292" s="375"/>
      <c r="D292" s="375"/>
      <c r="E292" s="375"/>
      <c r="F292" s="375"/>
      <c r="G292" s="376"/>
      <c r="H292" s="1"/>
    </row>
    <row r="293" spans="2:8" ht="15.75" customHeight="1" x14ac:dyDescent="0.25">
      <c r="B293" s="374" t="s">
        <v>292</v>
      </c>
      <c r="C293" s="375"/>
      <c r="D293" s="375"/>
      <c r="E293" s="375"/>
      <c r="F293" s="375"/>
      <c r="G293" s="376"/>
      <c r="H293" s="1"/>
    </row>
    <row r="294" spans="2:8" ht="15" customHeight="1" x14ac:dyDescent="0.25">
      <c r="B294" s="374" t="s">
        <v>293</v>
      </c>
      <c r="C294" s="375"/>
      <c r="D294" s="375"/>
      <c r="E294" s="375"/>
      <c r="F294" s="375"/>
      <c r="G294" s="376"/>
      <c r="H294" s="1"/>
    </row>
    <row r="295" spans="2:8" ht="168" customHeight="1" x14ac:dyDescent="0.25">
      <c r="B295" s="374" t="s">
        <v>294</v>
      </c>
      <c r="C295" s="375"/>
      <c r="D295" s="375"/>
      <c r="E295" s="375"/>
      <c r="F295" s="375"/>
      <c r="G295" s="376"/>
      <c r="H295" s="1"/>
    </row>
    <row r="296" spans="2:8" ht="51" customHeight="1" x14ac:dyDescent="0.25">
      <c r="B296" s="374" t="s">
        <v>295</v>
      </c>
      <c r="C296" s="375"/>
      <c r="D296" s="375"/>
      <c r="E296" s="375"/>
      <c r="F296" s="375"/>
      <c r="G296" s="376"/>
      <c r="H296" s="1"/>
    </row>
    <row r="297" spans="2:8" ht="15" customHeight="1" x14ac:dyDescent="0.25">
      <c r="B297" s="374" t="s">
        <v>296</v>
      </c>
      <c r="C297" s="375"/>
      <c r="D297" s="375"/>
      <c r="E297" s="375"/>
      <c r="F297" s="375"/>
      <c r="G297" s="376"/>
      <c r="H297" s="1"/>
    </row>
    <row r="298" spans="2:8" ht="28.5" customHeight="1" x14ac:dyDescent="0.25">
      <c r="B298" s="374" t="s">
        <v>297</v>
      </c>
      <c r="C298" s="375"/>
      <c r="D298" s="375"/>
      <c r="E298" s="375"/>
      <c r="F298" s="375"/>
      <c r="G298" s="376"/>
      <c r="H298" s="1"/>
    </row>
    <row r="299" spans="2:8" ht="40.5" customHeight="1" x14ac:dyDescent="0.25">
      <c r="B299" s="374" t="s">
        <v>298</v>
      </c>
      <c r="C299" s="375"/>
      <c r="D299" s="375"/>
      <c r="E299" s="375"/>
      <c r="F299" s="375"/>
      <c r="G299" s="376"/>
      <c r="H299" s="1"/>
    </row>
    <row r="300" spans="2:8" ht="15" customHeight="1" x14ac:dyDescent="0.25">
      <c r="B300" s="407" t="s">
        <v>299</v>
      </c>
      <c r="C300" s="375"/>
      <c r="D300" s="375"/>
      <c r="E300" s="375"/>
      <c r="F300" s="375"/>
      <c r="G300" s="376"/>
      <c r="H300" s="1"/>
    </row>
    <row r="301" spans="2:8" ht="64.5" customHeight="1" x14ac:dyDescent="0.25">
      <c r="B301" s="374" t="s">
        <v>300</v>
      </c>
      <c r="C301" s="375"/>
      <c r="D301" s="375"/>
      <c r="E301" s="375"/>
      <c r="F301" s="375"/>
      <c r="G301" s="376"/>
      <c r="H301" s="1"/>
    </row>
    <row r="302" spans="2:8" ht="15" customHeight="1" x14ac:dyDescent="0.25">
      <c r="B302" s="407" t="s">
        <v>301</v>
      </c>
      <c r="C302" s="375"/>
      <c r="D302" s="375"/>
      <c r="E302" s="375"/>
      <c r="F302" s="375"/>
      <c r="G302" s="376"/>
      <c r="H302" s="1"/>
    </row>
    <row r="303" spans="2:8" ht="40.5" customHeight="1" x14ac:dyDescent="0.25">
      <c r="B303" s="374" t="s">
        <v>302</v>
      </c>
      <c r="C303" s="375"/>
      <c r="D303" s="375"/>
      <c r="E303" s="375"/>
      <c r="F303" s="375"/>
      <c r="G303" s="376"/>
      <c r="H303" s="1"/>
    </row>
    <row r="304" spans="2:8" x14ac:dyDescent="0.25">
      <c r="B304" s="374" t="s">
        <v>303</v>
      </c>
      <c r="C304" s="375"/>
      <c r="D304" s="375"/>
      <c r="E304" s="375"/>
      <c r="F304" s="375"/>
      <c r="G304" s="376"/>
      <c r="H304" s="1"/>
    </row>
    <row r="305" spans="1:8" x14ac:dyDescent="0.25">
      <c r="B305" s="77"/>
      <c r="C305" s="77"/>
      <c r="D305" s="77"/>
      <c r="E305" s="77"/>
      <c r="F305" s="77"/>
      <c r="G305" s="77"/>
      <c r="H305" s="1"/>
    </row>
    <row r="306" spans="1:8" ht="15" customHeight="1" x14ac:dyDescent="0.25">
      <c r="B306" s="426"/>
      <c r="C306" s="400"/>
      <c r="D306" s="400"/>
      <c r="E306" s="400"/>
      <c r="F306" s="400"/>
      <c r="G306" s="400"/>
      <c r="H306" s="1"/>
    </row>
    <row r="307" spans="1:8" ht="15" customHeight="1" x14ac:dyDescent="0.25">
      <c r="A307" s="69" t="s">
        <v>304</v>
      </c>
      <c r="B307" s="410" t="s">
        <v>305</v>
      </c>
      <c r="C307" s="375"/>
      <c r="D307" s="375"/>
      <c r="E307" s="375"/>
      <c r="F307" s="375"/>
      <c r="G307" s="376"/>
      <c r="H307" s="1"/>
    </row>
    <row r="308" spans="1:8" ht="77.25" customHeight="1" x14ac:dyDescent="0.25">
      <c r="B308" s="374" t="s">
        <v>306</v>
      </c>
      <c r="C308" s="375"/>
      <c r="D308" s="375"/>
      <c r="E308" s="375"/>
      <c r="F308" s="375"/>
      <c r="G308" s="376"/>
      <c r="H308" s="1"/>
    </row>
    <row r="309" spans="1:8" ht="42.75" customHeight="1" x14ac:dyDescent="0.25">
      <c r="B309" s="374" t="s">
        <v>307</v>
      </c>
      <c r="C309" s="375"/>
      <c r="D309" s="375"/>
      <c r="E309" s="375"/>
      <c r="F309" s="375"/>
      <c r="G309" s="376"/>
      <c r="H309" s="1"/>
    </row>
    <row r="310" spans="1:8" ht="38.25" customHeight="1" x14ac:dyDescent="0.25">
      <c r="B310" s="374" t="s">
        <v>308</v>
      </c>
      <c r="C310" s="375"/>
      <c r="D310" s="375"/>
      <c r="E310" s="375"/>
      <c r="F310" s="375"/>
      <c r="G310" s="376"/>
      <c r="H310" s="1"/>
    </row>
    <row r="311" spans="1:8" ht="51.75" customHeight="1" x14ac:dyDescent="0.25">
      <c r="B311" s="374" t="s">
        <v>309</v>
      </c>
      <c r="C311" s="375"/>
      <c r="D311" s="375"/>
      <c r="E311" s="375"/>
      <c r="F311" s="375"/>
      <c r="G311" s="376"/>
      <c r="H311" s="1"/>
    </row>
    <row r="312" spans="1:8" ht="28.5" customHeight="1" x14ac:dyDescent="0.25">
      <c r="B312" s="374" t="s">
        <v>310</v>
      </c>
      <c r="C312" s="375"/>
      <c r="D312" s="375"/>
      <c r="E312" s="375"/>
      <c r="F312" s="375"/>
      <c r="G312" s="376"/>
      <c r="H312" s="1"/>
    </row>
    <row r="313" spans="1:8" ht="150" customHeight="1" x14ac:dyDescent="0.25">
      <c r="B313" s="385" t="s">
        <v>311</v>
      </c>
      <c r="C313" s="375"/>
      <c r="D313" s="375"/>
      <c r="E313" s="375"/>
      <c r="F313" s="375"/>
      <c r="G313" s="376"/>
      <c r="H313" s="1"/>
    </row>
    <row r="314" spans="1:8" ht="78.75" customHeight="1" x14ac:dyDescent="0.25">
      <c r="B314" s="385" t="s">
        <v>312</v>
      </c>
      <c r="C314" s="375"/>
      <c r="D314" s="375"/>
      <c r="E314" s="375"/>
      <c r="F314" s="375"/>
      <c r="G314" s="376"/>
      <c r="H314" s="1"/>
    </row>
    <row r="315" spans="1:8" ht="39" customHeight="1" x14ac:dyDescent="0.25">
      <c r="B315" s="385" t="s">
        <v>313</v>
      </c>
      <c r="C315" s="375"/>
      <c r="D315" s="375"/>
      <c r="E315" s="375"/>
      <c r="F315" s="375"/>
      <c r="G315" s="376"/>
      <c r="H315" s="1"/>
    </row>
    <row r="316" spans="1:8" ht="65.25" customHeight="1" x14ac:dyDescent="0.25">
      <c r="B316" s="385" t="s">
        <v>314</v>
      </c>
      <c r="C316" s="375"/>
      <c r="D316" s="375"/>
      <c r="E316" s="375"/>
      <c r="F316" s="375"/>
      <c r="G316" s="376"/>
      <c r="H316" s="1"/>
    </row>
    <row r="317" spans="1:8" ht="15" customHeight="1" x14ac:dyDescent="0.25">
      <c r="B317" s="381" t="s">
        <v>315</v>
      </c>
      <c r="C317" s="375"/>
      <c r="D317" s="375"/>
      <c r="E317" s="375"/>
      <c r="F317" s="375"/>
      <c r="G317" s="376"/>
      <c r="H317" s="1"/>
    </row>
    <row r="318" spans="1:8" ht="64.5" customHeight="1" x14ac:dyDescent="0.25">
      <c r="B318" s="374" t="s">
        <v>316</v>
      </c>
      <c r="C318" s="375"/>
      <c r="D318" s="375"/>
      <c r="E318" s="375"/>
      <c r="F318" s="375"/>
      <c r="G318" s="376"/>
      <c r="H318" s="1"/>
    </row>
    <row r="319" spans="1:8" ht="53.25" customHeight="1" x14ac:dyDescent="0.25">
      <c r="B319" s="374" t="s">
        <v>317</v>
      </c>
      <c r="C319" s="375"/>
      <c r="D319" s="375"/>
      <c r="E319" s="375"/>
      <c r="F319" s="375"/>
      <c r="G319" s="376"/>
      <c r="H319" s="1"/>
    </row>
    <row r="320" spans="1:8" ht="28.5" customHeight="1" x14ac:dyDescent="0.25">
      <c r="B320" s="374" t="s">
        <v>318</v>
      </c>
      <c r="C320" s="375"/>
      <c r="D320" s="375"/>
      <c r="E320" s="375"/>
      <c r="F320" s="375"/>
      <c r="G320" s="376"/>
      <c r="H320" s="1"/>
    </row>
    <row r="321" spans="1:8" ht="15" customHeight="1" x14ac:dyDescent="0.25">
      <c r="B321" s="381" t="s">
        <v>319</v>
      </c>
      <c r="C321" s="375"/>
      <c r="D321" s="375"/>
      <c r="E321" s="375"/>
      <c r="F321" s="375"/>
      <c r="G321" s="376"/>
      <c r="H321" s="1"/>
    </row>
    <row r="322" spans="1:8" ht="113.25" customHeight="1" x14ac:dyDescent="0.25">
      <c r="B322" s="374" t="s">
        <v>320</v>
      </c>
      <c r="C322" s="375"/>
      <c r="D322" s="375"/>
      <c r="E322" s="375"/>
      <c r="F322" s="375"/>
      <c r="G322" s="376"/>
      <c r="H322" s="1"/>
    </row>
    <row r="323" spans="1:8" ht="15" customHeight="1" x14ac:dyDescent="0.25">
      <c r="B323" s="381" t="s">
        <v>321</v>
      </c>
      <c r="C323" s="375"/>
      <c r="D323" s="375"/>
      <c r="E323" s="375"/>
      <c r="F323" s="375"/>
      <c r="G323" s="376"/>
      <c r="H323" s="1"/>
    </row>
    <row r="324" spans="1:8" ht="40.5" customHeight="1" x14ac:dyDescent="0.25">
      <c r="B324" s="374" t="s">
        <v>322</v>
      </c>
      <c r="C324" s="375"/>
      <c r="D324" s="375"/>
      <c r="E324" s="375"/>
      <c r="F324" s="375"/>
      <c r="G324" s="376"/>
      <c r="H324" s="1"/>
    </row>
    <row r="325" spans="1:8" s="89" customFormat="1" ht="26.25" customHeight="1" x14ac:dyDescent="0.25">
      <c r="A325" s="64"/>
      <c r="B325" s="374" t="s">
        <v>323</v>
      </c>
      <c r="C325" s="375"/>
      <c r="D325" s="375"/>
      <c r="E325" s="375"/>
      <c r="F325" s="375"/>
      <c r="G325" s="376"/>
      <c r="H325" s="88"/>
    </row>
    <row r="326" spans="1:8" ht="27.75" customHeight="1" x14ac:dyDescent="0.25">
      <c r="B326" s="374" t="s">
        <v>324</v>
      </c>
      <c r="C326" s="375"/>
      <c r="D326" s="375"/>
      <c r="E326" s="375"/>
      <c r="F326" s="375"/>
      <c r="G326" s="376"/>
      <c r="H326" s="1"/>
    </row>
    <row r="327" spans="1:8" ht="15" customHeight="1" x14ac:dyDescent="0.25">
      <c r="B327" s="374" t="s">
        <v>325</v>
      </c>
      <c r="C327" s="375"/>
      <c r="D327" s="375"/>
      <c r="E327" s="375"/>
      <c r="F327" s="375"/>
      <c r="G327" s="376"/>
      <c r="H327" s="1"/>
    </row>
    <row r="328" spans="1:8" ht="15" customHeight="1" x14ac:dyDescent="0.25">
      <c r="B328" s="381" t="s">
        <v>326</v>
      </c>
      <c r="C328" s="375"/>
      <c r="D328" s="375"/>
      <c r="E328" s="375"/>
      <c r="F328" s="375"/>
      <c r="G328" s="376"/>
      <c r="H328" s="1"/>
    </row>
    <row r="329" spans="1:8" ht="103.5" customHeight="1" x14ac:dyDescent="0.25">
      <c r="B329" s="383" t="s">
        <v>327</v>
      </c>
      <c r="C329" s="375"/>
      <c r="D329" s="375"/>
      <c r="E329" s="375"/>
      <c r="F329" s="375"/>
      <c r="G329" s="376"/>
      <c r="H329" s="1"/>
    </row>
    <row r="330" spans="1:8" ht="15" customHeight="1" x14ac:dyDescent="0.25">
      <c r="B330" s="374"/>
      <c r="C330" s="375"/>
      <c r="D330" s="375"/>
      <c r="E330" s="375"/>
      <c r="F330" s="375"/>
      <c r="G330" s="376"/>
      <c r="H330" s="1"/>
    </row>
    <row r="331" spans="1:8" ht="15" customHeight="1" x14ac:dyDescent="0.25">
      <c r="B331" s="381" t="s">
        <v>328</v>
      </c>
      <c r="C331" s="375"/>
      <c r="D331" s="375"/>
      <c r="E331" s="375"/>
      <c r="F331" s="375"/>
      <c r="G331" s="376"/>
      <c r="H331" s="1"/>
    </row>
    <row r="332" spans="1:8" ht="90.75" customHeight="1" x14ac:dyDescent="0.25">
      <c r="B332" s="383" t="s">
        <v>329</v>
      </c>
      <c r="C332" s="375"/>
      <c r="D332" s="375"/>
      <c r="E332" s="375"/>
      <c r="F332" s="375"/>
      <c r="G332" s="376"/>
      <c r="H332" s="1"/>
    </row>
    <row r="333" spans="1:8" ht="15" customHeight="1" x14ac:dyDescent="0.25">
      <c r="B333" s="381" t="s">
        <v>330</v>
      </c>
      <c r="C333" s="375"/>
      <c r="D333" s="375"/>
      <c r="E333" s="375"/>
      <c r="F333" s="375"/>
      <c r="G333" s="376"/>
      <c r="H333" s="1"/>
    </row>
    <row r="334" spans="1:8" ht="105" customHeight="1" x14ac:dyDescent="0.25">
      <c r="B334" s="415" t="s">
        <v>331</v>
      </c>
      <c r="C334" s="375"/>
      <c r="D334" s="375"/>
      <c r="E334" s="375"/>
      <c r="F334" s="375"/>
      <c r="G334" s="376"/>
      <c r="H334" s="1"/>
    </row>
    <row r="335" spans="1:8" ht="15" customHeight="1" x14ac:dyDescent="0.25">
      <c r="B335" s="374" t="s">
        <v>332</v>
      </c>
      <c r="C335" s="375"/>
      <c r="D335" s="375"/>
      <c r="E335" s="375"/>
      <c r="F335" s="375"/>
      <c r="G335" s="376"/>
      <c r="H335" s="1"/>
    </row>
    <row r="336" spans="1:8" ht="15" customHeight="1" x14ac:dyDescent="0.25">
      <c r="B336" s="374" t="s">
        <v>333</v>
      </c>
      <c r="C336" s="375"/>
      <c r="D336" s="375"/>
      <c r="E336" s="375"/>
      <c r="F336" s="375"/>
      <c r="G336" s="376"/>
      <c r="H336" s="1"/>
    </row>
    <row r="337" spans="1:8" ht="15" customHeight="1" x14ac:dyDescent="0.25">
      <c r="B337" s="408"/>
      <c r="C337" s="409"/>
      <c r="D337" s="409"/>
      <c r="E337" s="409"/>
      <c r="F337" s="409"/>
      <c r="G337" s="409"/>
      <c r="H337" s="1"/>
    </row>
    <row r="338" spans="1:8" ht="15" customHeight="1" x14ac:dyDescent="0.25">
      <c r="B338" s="78"/>
      <c r="C338" s="78"/>
      <c r="D338" s="78"/>
      <c r="E338" s="78"/>
      <c r="F338" s="78"/>
      <c r="G338" s="78"/>
      <c r="H338" s="1"/>
    </row>
    <row r="339" spans="1:8" ht="15" customHeight="1" x14ac:dyDescent="0.25">
      <c r="A339" s="69" t="s">
        <v>334</v>
      </c>
      <c r="B339" s="410" t="s">
        <v>335</v>
      </c>
      <c r="C339" s="375"/>
      <c r="D339" s="375"/>
      <c r="E339" s="375"/>
      <c r="F339" s="375"/>
      <c r="G339" s="376"/>
      <c r="H339" s="1"/>
    </row>
    <row r="340" spans="1:8" ht="27.75" customHeight="1" x14ac:dyDescent="0.25">
      <c r="B340" s="374" t="s">
        <v>336</v>
      </c>
      <c r="C340" s="375"/>
      <c r="D340" s="375"/>
      <c r="E340" s="375"/>
      <c r="F340" s="375"/>
      <c r="G340" s="376"/>
      <c r="H340" s="1"/>
    </row>
    <row r="341" spans="1:8" ht="15" customHeight="1" x14ac:dyDescent="0.25">
      <c r="B341" s="383" t="s">
        <v>337</v>
      </c>
      <c r="C341" s="375"/>
      <c r="D341" s="375"/>
      <c r="E341" s="375"/>
      <c r="F341" s="375"/>
      <c r="G341" s="376"/>
      <c r="H341" s="1"/>
    </row>
    <row r="342" spans="1:8" ht="15" customHeight="1" x14ac:dyDescent="0.25">
      <c r="B342" s="383" t="s">
        <v>338</v>
      </c>
      <c r="C342" s="375"/>
      <c r="D342" s="375"/>
      <c r="E342" s="375"/>
      <c r="F342" s="375"/>
      <c r="G342" s="376"/>
      <c r="H342" s="1"/>
    </row>
    <row r="343" spans="1:8" ht="15" customHeight="1" x14ac:dyDescent="0.25">
      <c r="B343" s="383" t="s">
        <v>339</v>
      </c>
      <c r="C343" s="375"/>
      <c r="D343" s="375"/>
      <c r="E343" s="375"/>
      <c r="F343" s="375"/>
      <c r="G343" s="376"/>
      <c r="H343" s="1"/>
    </row>
    <row r="344" spans="1:8" ht="15" customHeight="1" x14ac:dyDescent="0.25">
      <c r="B344" s="383" t="s">
        <v>340</v>
      </c>
      <c r="C344" s="375"/>
      <c r="D344" s="375"/>
      <c r="E344" s="375"/>
      <c r="F344" s="375"/>
      <c r="G344" s="376"/>
      <c r="H344" s="1"/>
    </row>
    <row r="345" spans="1:8" ht="15" customHeight="1" x14ac:dyDescent="0.25">
      <c r="B345" s="374" t="s">
        <v>341</v>
      </c>
      <c r="C345" s="375"/>
      <c r="D345" s="375"/>
      <c r="E345" s="375"/>
      <c r="F345" s="375"/>
      <c r="G345" s="376"/>
      <c r="H345" s="1"/>
    </row>
    <row r="346" spans="1:8" ht="15" customHeight="1" x14ac:dyDescent="0.25">
      <c r="B346" s="374" t="s">
        <v>342</v>
      </c>
      <c r="C346" s="375"/>
      <c r="D346" s="375"/>
      <c r="E346" s="375"/>
      <c r="F346" s="375"/>
      <c r="G346" s="376"/>
      <c r="H346" s="1"/>
    </row>
    <row r="347" spans="1:8" ht="15" customHeight="1" x14ac:dyDescent="0.25">
      <c r="B347" s="374" t="s">
        <v>343</v>
      </c>
      <c r="C347" s="375"/>
      <c r="D347" s="375"/>
      <c r="E347" s="375"/>
      <c r="F347" s="375"/>
      <c r="G347" s="376"/>
      <c r="H347" s="1"/>
    </row>
    <row r="348" spans="1:8" ht="41.25" customHeight="1" x14ac:dyDescent="0.25">
      <c r="B348" s="374" t="s">
        <v>344</v>
      </c>
      <c r="C348" s="375"/>
      <c r="D348" s="375"/>
      <c r="E348" s="375"/>
      <c r="F348" s="375"/>
      <c r="G348" s="376"/>
      <c r="H348" s="1"/>
    </row>
    <row r="349" spans="1:8" ht="65.25" customHeight="1" x14ac:dyDescent="0.25">
      <c r="B349" s="374" t="s">
        <v>345</v>
      </c>
      <c r="C349" s="375"/>
      <c r="D349" s="375"/>
      <c r="E349" s="375"/>
      <c r="F349" s="375"/>
      <c r="G349" s="376"/>
      <c r="H349" s="1"/>
    </row>
    <row r="350" spans="1:8" ht="15" customHeight="1" x14ac:dyDescent="0.25">
      <c r="B350" s="374" t="s">
        <v>242</v>
      </c>
      <c r="C350" s="375"/>
      <c r="D350" s="375"/>
      <c r="E350" s="375"/>
      <c r="F350" s="375"/>
      <c r="G350" s="376"/>
      <c r="H350" s="1"/>
    </row>
    <row r="351" spans="1:8" ht="168" customHeight="1" x14ac:dyDescent="0.25">
      <c r="B351" s="383" t="s">
        <v>346</v>
      </c>
      <c r="C351" s="375"/>
      <c r="D351" s="375"/>
      <c r="E351" s="375"/>
      <c r="F351" s="375"/>
      <c r="G351" s="376"/>
      <c r="H351" s="1"/>
    </row>
    <row r="352" spans="1:8" ht="15" customHeight="1" x14ac:dyDescent="0.25">
      <c r="B352" s="374" t="s">
        <v>333</v>
      </c>
      <c r="C352" s="375"/>
      <c r="D352" s="375"/>
      <c r="E352" s="375"/>
      <c r="F352" s="375"/>
      <c r="G352" s="376"/>
      <c r="H352" s="1"/>
    </row>
    <row r="353" spans="1:8" ht="15" customHeight="1" x14ac:dyDescent="0.25">
      <c r="B353" s="374"/>
      <c r="C353" s="375"/>
      <c r="D353" s="375"/>
      <c r="E353" s="375"/>
      <c r="F353" s="375"/>
      <c r="G353" s="376"/>
      <c r="H353" s="1"/>
    </row>
    <row r="354" spans="1:8" ht="15" customHeight="1" x14ac:dyDescent="0.25">
      <c r="A354" s="69" t="s">
        <v>347</v>
      </c>
      <c r="B354" s="410" t="s">
        <v>348</v>
      </c>
      <c r="C354" s="375"/>
      <c r="D354" s="375"/>
      <c r="E354" s="375"/>
      <c r="F354" s="375"/>
      <c r="G354" s="376"/>
      <c r="H354" s="1"/>
    </row>
    <row r="355" spans="1:8" ht="63.75" customHeight="1" x14ac:dyDescent="0.25">
      <c r="B355" s="374" t="s">
        <v>349</v>
      </c>
      <c r="C355" s="375"/>
      <c r="D355" s="375"/>
      <c r="E355" s="375"/>
      <c r="F355" s="375"/>
      <c r="G355" s="376"/>
      <c r="H355" s="1"/>
    </row>
    <row r="356" spans="1:8" ht="25.5" customHeight="1" x14ac:dyDescent="0.25">
      <c r="B356" s="374" t="s">
        <v>350</v>
      </c>
      <c r="C356" s="375"/>
      <c r="D356" s="375"/>
      <c r="E356" s="375"/>
      <c r="F356" s="375"/>
      <c r="G356" s="376"/>
      <c r="H356" s="1"/>
    </row>
    <row r="357" spans="1:8" ht="27.75" customHeight="1" x14ac:dyDescent="0.25">
      <c r="B357" s="374" t="s">
        <v>351</v>
      </c>
      <c r="C357" s="375"/>
      <c r="D357" s="375"/>
      <c r="E357" s="375"/>
      <c r="F357" s="375"/>
      <c r="G357" s="376"/>
      <c r="H357" s="1"/>
    </row>
    <row r="358" spans="1:8" ht="39" customHeight="1" x14ac:dyDescent="0.25">
      <c r="B358" s="374" t="s">
        <v>352</v>
      </c>
      <c r="C358" s="375"/>
      <c r="D358" s="375"/>
      <c r="E358" s="375"/>
      <c r="F358" s="375"/>
      <c r="G358" s="376"/>
      <c r="H358" s="1"/>
    </row>
    <row r="359" spans="1:8" ht="28.5" customHeight="1" x14ac:dyDescent="0.25">
      <c r="B359" s="374" t="s">
        <v>353</v>
      </c>
      <c r="C359" s="375"/>
      <c r="D359" s="375"/>
      <c r="E359" s="375"/>
      <c r="F359" s="375"/>
      <c r="G359" s="376"/>
      <c r="H359" s="1"/>
    </row>
    <row r="360" spans="1:8" ht="15" customHeight="1" x14ac:dyDescent="0.25">
      <c r="B360" s="374" t="s">
        <v>354</v>
      </c>
      <c r="C360" s="375"/>
      <c r="D360" s="375"/>
      <c r="E360" s="375"/>
      <c r="F360" s="375"/>
      <c r="G360" s="376"/>
      <c r="H360" s="1"/>
    </row>
    <row r="361" spans="1:8" ht="27" customHeight="1" x14ac:dyDescent="0.25">
      <c r="B361" s="374" t="s">
        <v>355</v>
      </c>
      <c r="C361" s="375"/>
      <c r="D361" s="375"/>
      <c r="E361" s="375"/>
      <c r="F361" s="375"/>
      <c r="G361" s="376"/>
      <c r="H361" s="1"/>
    </row>
    <row r="362" spans="1:8" ht="30" customHeight="1" x14ac:dyDescent="0.25">
      <c r="B362" s="374" t="s">
        <v>356</v>
      </c>
      <c r="C362" s="375"/>
      <c r="D362" s="375"/>
      <c r="E362" s="375"/>
      <c r="F362" s="375"/>
      <c r="G362" s="376"/>
      <c r="H362" s="1"/>
    </row>
    <row r="363" spans="1:8" ht="27.75" customHeight="1" x14ac:dyDescent="0.25">
      <c r="B363" s="374" t="s">
        <v>357</v>
      </c>
      <c r="C363" s="375"/>
      <c r="D363" s="375"/>
      <c r="E363" s="375"/>
      <c r="F363" s="375"/>
      <c r="G363" s="376"/>
      <c r="H363" s="1"/>
    </row>
    <row r="364" spans="1:8" ht="39.75" customHeight="1" x14ac:dyDescent="0.25">
      <c r="B364" s="374" t="s">
        <v>358</v>
      </c>
      <c r="C364" s="375"/>
      <c r="D364" s="375"/>
      <c r="E364" s="375"/>
      <c r="F364" s="375"/>
      <c r="G364" s="376"/>
      <c r="H364" s="1"/>
    </row>
    <row r="365" spans="1:8" ht="27.75" customHeight="1" x14ac:dyDescent="0.25">
      <c r="B365" s="374" t="s">
        <v>359</v>
      </c>
      <c r="C365" s="375"/>
      <c r="D365" s="375"/>
      <c r="E365" s="375"/>
      <c r="F365" s="375"/>
      <c r="G365" s="376"/>
      <c r="H365" s="1"/>
    </row>
    <row r="366" spans="1:8" ht="15.75" customHeight="1" x14ac:dyDescent="0.25">
      <c r="B366" s="374" t="s">
        <v>360</v>
      </c>
      <c r="C366" s="375"/>
      <c r="D366" s="375"/>
      <c r="E366" s="375"/>
      <c r="F366" s="375"/>
      <c r="G366" s="376"/>
      <c r="H366" s="1"/>
    </row>
    <row r="367" spans="1:8" x14ac:dyDescent="0.25">
      <c r="B367" s="374" t="s">
        <v>361</v>
      </c>
      <c r="C367" s="375"/>
      <c r="D367" s="375"/>
      <c r="E367" s="375"/>
      <c r="F367" s="375"/>
      <c r="G367" s="376"/>
      <c r="H367" s="1"/>
    </row>
    <row r="368" spans="1:8" ht="15" customHeight="1" x14ac:dyDescent="0.25">
      <c r="B368" s="374" t="s">
        <v>362</v>
      </c>
      <c r="C368" s="375"/>
      <c r="D368" s="375"/>
      <c r="E368" s="375"/>
      <c r="F368" s="375"/>
      <c r="G368" s="376"/>
      <c r="H368" s="1"/>
    </row>
    <row r="369" spans="1:8" ht="15" customHeight="1" x14ac:dyDescent="0.25">
      <c r="B369" s="374" t="s">
        <v>363</v>
      </c>
      <c r="C369" s="375"/>
      <c r="D369" s="375"/>
      <c r="E369" s="375"/>
      <c r="F369" s="375"/>
      <c r="G369" s="376"/>
      <c r="H369" s="1"/>
    </row>
    <row r="370" spans="1:8" ht="15" customHeight="1" x14ac:dyDescent="0.25">
      <c r="B370" s="374" t="s">
        <v>364</v>
      </c>
      <c r="C370" s="375"/>
      <c r="D370" s="375"/>
      <c r="E370" s="375"/>
      <c r="F370" s="375"/>
      <c r="G370" s="376"/>
      <c r="H370" s="1"/>
    </row>
    <row r="371" spans="1:8" ht="15" customHeight="1" x14ac:dyDescent="0.25">
      <c r="B371" s="374" t="s">
        <v>365</v>
      </c>
      <c r="C371" s="375"/>
      <c r="D371" s="375"/>
      <c r="E371" s="375"/>
      <c r="F371" s="375"/>
      <c r="G371" s="376"/>
      <c r="H371" s="1"/>
    </row>
    <row r="372" spans="1:8" ht="15" customHeight="1" x14ac:dyDescent="0.25">
      <c r="B372" s="374" t="s">
        <v>366</v>
      </c>
      <c r="C372" s="375"/>
      <c r="D372" s="375"/>
      <c r="E372" s="375"/>
      <c r="F372" s="375"/>
      <c r="G372" s="376"/>
      <c r="H372" s="1"/>
    </row>
    <row r="373" spans="1:8" ht="15" customHeight="1" x14ac:dyDescent="0.25">
      <c r="B373" s="374" t="s">
        <v>367</v>
      </c>
      <c r="C373" s="375"/>
      <c r="D373" s="375"/>
      <c r="E373" s="375"/>
      <c r="F373" s="375"/>
      <c r="G373" s="376"/>
      <c r="H373" s="1"/>
    </row>
    <row r="374" spans="1:8" ht="15" customHeight="1" x14ac:dyDescent="0.25">
      <c r="B374" s="374" t="s">
        <v>368</v>
      </c>
      <c r="C374" s="375"/>
      <c r="D374" s="375"/>
      <c r="E374" s="375"/>
      <c r="F374" s="375"/>
      <c r="G374" s="376"/>
      <c r="H374" s="1"/>
    </row>
    <row r="375" spans="1:8" ht="27.75" customHeight="1" x14ac:dyDescent="0.25">
      <c r="B375" s="374" t="s">
        <v>369</v>
      </c>
      <c r="C375" s="375"/>
      <c r="D375" s="375"/>
      <c r="E375" s="375"/>
      <c r="F375" s="375"/>
      <c r="G375" s="376"/>
      <c r="H375" s="1"/>
    </row>
    <row r="376" spans="1:8" ht="15" customHeight="1" x14ac:dyDescent="0.25">
      <c r="B376" s="374" t="s">
        <v>370</v>
      </c>
      <c r="C376" s="375"/>
      <c r="D376" s="375"/>
      <c r="E376" s="375"/>
      <c r="F376" s="375"/>
      <c r="G376" s="376"/>
      <c r="H376" s="1"/>
    </row>
    <row r="377" spans="1:8" ht="57.75" customHeight="1" x14ac:dyDescent="0.25">
      <c r="B377" s="383" t="s">
        <v>371</v>
      </c>
      <c r="C377" s="375"/>
      <c r="D377" s="375"/>
      <c r="E377" s="375"/>
      <c r="F377" s="375"/>
      <c r="G377" s="376"/>
      <c r="H377" s="1"/>
    </row>
    <row r="378" spans="1:8" ht="63" customHeight="1" x14ac:dyDescent="0.25">
      <c r="B378" s="385" t="s">
        <v>372</v>
      </c>
      <c r="C378" s="375"/>
      <c r="D378" s="375"/>
      <c r="E378" s="375"/>
      <c r="F378" s="375"/>
      <c r="G378" s="376"/>
      <c r="H378" s="1"/>
    </row>
    <row r="379" spans="1:8" ht="15" customHeight="1" x14ac:dyDescent="0.25">
      <c r="B379" s="408"/>
      <c r="C379" s="409"/>
      <c r="D379" s="409"/>
      <c r="E379" s="409"/>
      <c r="F379" s="409"/>
      <c r="G379" s="409"/>
      <c r="H379" s="1"/>
    </row>
    <row r="380" spans="1:8" ht="15" customHeight="1" x14ac:dyDescent="0.25">
      <c r="B380" s="420"/>
      <c r="C380" s="400"/>
      <c r="D380" s="400"/>
      <c r="E380" s="400"/>
      <c r="F380" s="400"/>
      <c r="G380" s="400"/>
      <c r="H380" s="1"/>
    </row>
    <row r="381" spans="1:8" ht="15" customHeight="1" x14ac:dyDescent="0.25">
      <c r="A381" s="69" t="s">
        <v>373</v>
      </c>
      <c r="B381" s="410" t="s">
        <v>374</v>
      </c>
      <c r="C381" s="375"/>
      <c r="D381" s="375"/>
      <c r="E381" s="375"/>
      <c r="F381" s="375"/>
      <c r="G381" s="376"/>
      <c r="H381" s="1"/>
    </row>
    <row r="382" spans="1:8" ht="38.25" customHeight="1" x14ac:dyDescent="0.25">
      <c r="B382" s="374" t="s">
        <v>375</v>
      </c>
      <c r="C382" s="375"/>
      <c r="D382" s="375"/>
      <c r="E382" s="375"/>
      <c r="F382" s="375"/>
      <c r="G382" s="376"/>
      <c r="H382" s="1"/>
    </row>
    <row r="383" spans="1:8" ht="15" customHeight="1" x14ac:dyDescent="0.25">
      <c r="B383" s="381" t="s">
        <v>376</v>
      </c>
      <c r="C383" s="375"/>
      <c r="D383" s="375"/>
      <c r="E383" s="375"/>
      <c r="F383" s="375"/>
      <c r="G383" s="376"/>
      <c r="H383" s="1"/>
    </row>
    <row r="384" spans="1:8" ht="92.25" customHeight="1" x14ac:dyDescent="0.25">
      <c r="B384" s="374" t="s">
        <v>377</v>
      </c>
      <c r="C384" s="375"/>
      <c r="D384" s="375"/>
      <c r="E384" s="375"/>
      <c r="F384" s="375"/>
      <c r="G384" s="376"/>
      <c r="H384" s="1"/>
    </row>
    <row r="385" spans="2:8" ht="388.5" customHeight="1" x14ac:dyDescent="0.25">
      <c r="B385" s="374" t="s">
        <v>378</v>
      </c>
      <c r="C385" s="375"/>
      <c r="D385" s="375"/>
      <c r="E385" s="375"/>
      <c r="F385" s="375"/>
      <c r="G385" s="376"/>
      <c r="H385" s="1"/>
    </row>
    <row r="386" spans="2:8" ht="15" customHeight="1" x14ac:dyDescent="0.25">
      <c r="B386" s="381" t="s">
        <v>379</v>
      </c>
      <c r="C386" s="375"/>
      <c r="D386" s="375"/>
      <c r="E386" s="375"/>
      <c r="F386" s="375"/>
      <c r="G386" s="376"/>
      <c r="H386" s="1"/>
    </row>
    <row r="387" spans="2:8" ht="25.5" customHeight="1" x14ac:dyDescent="0.25">
      <c r="B387" s="374" t="s">
        <v>380</v>
      </c>
      <c r="C387" s="375"/>
      <c r="D387" s="375"/>
      <c r="E387" s="375"/>
      <c r="F387" s="375"/>
      <c r="G387" s="376"/>
      <c r="H387" s="1"/>
    </row>
    <row r="388" spans="2:8" ht="51" customHeight="1" x14ac:dyDescent="0.25">
      <c r="B388" s="374" t="s">
        <v>381</v>
      </c>
      <c r="C388" s="375"/>
      <c r="D388" s="375"/>
      <c r="E388" s="375"/>
      <c r="F388" s="375"/>
      <c r="G388" s="376"/>
      <c r="H388" s="1"/>
    </row>
    <row r="389" spans="2:8" ht="27.75" customHeight="1" x14ac:dyDescent="0.25">
      <c r="B389" s="374" t="s">
        <v>382</v>
      </c>
      <c r="C389" s="375"/>
      <c r="D389" s="375"/>
      <c r="E389" s="375"/>
      <c r="F389" s="375"/>
      <c r="G389" s="376"/>
      <c r="H389" s="1"/>
    </row>
    <row r="390" spans="2:8" ht="15" customHeight="1" x14ac:dyDescent="0.25">
      <c r="B390" s="374" t="s">
        <v>383</v>
      </c>
      <c r="C390" s="375"/>
      <c r="D390" s="375"/>
      <c r="E390" s="375"/>
      <c r="F390" s="375"/>
      <c r="G390" s="376"/>
      <c r="H390" s="1"/>
    </row>
    <row r="391" spans="2:8" ht="25.5" customHeight="1" x14ac:dyDescent="0.25">
      <c r="B391" s="374" t="s">
        <v>384</v>
      </c>
      <c r="C391" s="375"/>
      <c r="D391" s="375"/>
      <c r="E391" s="375"/>
      <c r="F391" s="375"/>
      <c r="G391" s="376"/>
      <c r="H391" s="1"/>
    </row>
    <row r="392" spans="2:8" ht="41.25" customHeight="1" x14ac:dyDescent="0.25">
      <c r="B392" s="374" t="s">
        <v>385</v>
      </c>
      <c r="C392" s="375"/>
      <c r="D392" s="375"/>
      <c r="E392" s="375"/>
      <c r="F392" s="375"/>
      <c r="G392" s="376"/>
      <c r="H392" s="1"/>
    </row>
    <row r="393" spans="2:8" ht="27" customHeight="1" x14ac:dyDescent="0.25">
      <c r="B393" s="374" t="s">
        <v>386</v>
      </c>
      <c r="C393" s="375"/>
      <c r="D393" s="375"/>
      <c r="E393" s="375"/>
      <c r="F393" s="375"/>
      <c r="G393" s="376"/>
      <c r="H393" s="1"/>
    </row>
    <row r="394" spans="2:8" ht="99.75" customHeight="1" x14ac:dyDescent="0.25">
      <c r="B394" s="414" t="s">
        <v>387</v>
      </c>
      <c r="C394" s="375"/>
      <c r="D394" s="375"/>
      <c r="E394" s="375"/>
      <c r="F394" s="375"/>
      <c r="G394" s="376"/>
      <c r="H394" s="1"/>
    </row>
    <row r="395" spans="2:8" ht="132" customHeight="1" x14ac:dyDescent="0.25">
      <c r="B395" s="374" t="s">
        <v>388</v>
      </c>
      <c r="C395" s="375"/>
      <c r="D395" s="375"/>
      <c r="E395" s="375"/>
      <c r="F395" s="375"/>
      <c r="G395" s="376"/>
      <c r="H395" s="1"/>
    </row>
    <row r="396" spans="2:8" ht="28.5" customHeight="1" x14ac:dyDescent="0.25">
      <c r="B396" s="374" t="s">
        <v>389</v>
      </c>
      <c r="C396" s="375"/>
      <c r="D396" s="375"/>
      <c r="E396" s="375"/>
      <c r="F396" s="375"/>
      <c r="G396" s="376"/>
      <c r="H396" s="1"/>
    </row>
    <row r="397" spans="2:8" ht="53.25" customHeight="1" x14ac:dyDescent="0.25">
      <c r="B397" s="385" t="s">
        <v>390</v>
      </c>
      <c r="C397" s="375"/>
      <c r="D397" s="375"/>
      <c r="E397" s="375"/>
      <c r="F397" s="375"/>
      <c r="G397" s="376"/>
      <c r="H397" s="1"/>
    </row>
    <row r="398" spans="2:8" ht="108" customHeight="1" x14ac:dyDescent="0.25">
      <c r="B398" s="374" t="s">
        <v>391</v>
      </c>
      <c r="C398" s="375"/>
      <c r="D398" s="375"/>
      <c r="E398" s="375"/>
      <c r="F398" s="375"/>
      <c r="G398" s="376"/>
      <c r="H398" s="1"/>
    </row>
    <row r="399" spans="2:8" ht="29.25" customHeight="1" x14ac:dyDescent="0.25">
      <c r="B399" s="374" t="s">
        <v>392</v>
      </c>
      <c r="C399" s="375"/>
      <c r="D399" s="375"/>
      <c r="E399" s="375"/>
      <c r="F399" s="375"/>
      <c r="G399" s="376"/>
      <c r="H399" s="1"/>
    </row>
    <row r="400" spans="2:8" ht="15" customHeight="1" x14ac:dyDescent="0.25">
      <c r="B400" s="374" t="s">
        <v>393</v>
      </c>
      <c r="C400" s="375"/>
      <c r="D400" s="375"/>
      <c r="E400" s="375"/>
      <c r="F400" s="375"/>
      <c r="G400" s="376"/>
      <c r="H400" s="1"/>
    </row>
    <row r="401" spans="1:8" ht="15" customHeight="1" x14ac:dyDescent="0.25">
      <c r="B401" s="374" t="s">
        <v>394</v>
      </c>
      <c r="C401" s="375"/>
      <c r="D401" s="375"/>
      <c r="E401" s="375"/>
      <c r="F401" s="375"/>
      <c r="G401" s="376"/>
      <c r="H401" s="1"/>
    </row>
    <row r="402" spans="1:8" ht="15" customHeight="1" x14ac:dyDescent="0.25">
      <c r="B402" s="374" t="s">
        <v>395</v>
      </c>
      <c r="C402" s="375"/>
      <c r="D402" s="375"/>
      <c r="E402" s="375"/>
      <c r="F402" s="375"/>
      <c r="G402" s="376"/>
      <c r="H402" s="1"/>
    </row>
    <row r="403" spans="1:8" ht="15" customHeight="1" x14ac:dyDescent="0.25">
      <c r="B403" s="374" t="s">
        <v>396</v>
      </c>
      <c r="C403" s="375"/>
      <c r="D403" s="375"/>
      <c r="E403" s="375"/>
      <c r="F403" s="375"/>
      <c r="G403" s="376"/>
      <c r="H403" s="1"/>
    </row>
    <row r="404" spans="1:8" ht="15" customHeight="1" x14ac:dyDescent="0.25">
      <c r="B404" s="374" t="s">
        <v>397</v>
      </c>
      <c r="C404" s="375"/>
      <c r="D404" s="375"/>
      <c r="E404" s="375"/>
      <c r="F404" s="375"/>
      <c r="G404" s="376"/>
      <c r="H404" s="1"/>
    </row>
    <row r="405" spans="1:8" ht="15" customHeight="1" x14ac:dyDescent="0.25">
      <c r="B405" s="374" t="s">
        <v>398</v>
      </c>
      <c r="C405" s="375"/>
      <c r="D405" s="375"/>
      <c r="E405" s="375"/>
      <c r="F405" s="375"/>
      <c r="G405" s="376"/>
      <c r="H405" s="1"/>
    </row>
    <row r="406" spans="1:8" ht="15" customHeight="1" x14ac:dyDescent="0.25">
      <c r="B406" s="374" t="s">
        <v>399</v>
      </c>
      <c r="C406" s="375"/>
      <c r="D406" s="375"/>
      <c r="E406" s="375"/>
      <c r="F406" s="375"/>
      <c r="G406" s="376"/>
      <c r="H406" s="1"/>
    </row>
    <row r="407" spans="1:8" ht="15" customHeight="1" x14ac:dyDescent="0.25">
      <c r="B407" s="374" t="s">
        <v>400</v>
      </c>
      <c r="C407" s="375"/>
      <c r="D407" s="375"/>
      <c r="E407" s="375"/>
      <c r="F407" s="375"/>
      <c r="G407" s="376"/>
      <c r="H407" s="1"/>
    </row>
    <row r="408" spans="1:8" ht="15" customHeight="1" x14ac:dyDescent="0.25">
      <c r="B408" s="408"/>
      <c r="C408" s="409"/>
      <c r="D408" s="409"/>
      <c r="E408" s="409"/>
      <c r="F408" s="409"/>
      <c r="G408" s="409"/>
      <c r="H408" s="1"/>
    </row>
    <row r="409" spans="1:8" ht="15" customHeight="1" x14ac:dyDescent="0.25">
      <c r="B409" s="78"/>
      <c r="C409" s="78"/>
      <c r="D409" s="78"/>
      <c r="E409" s="78"/>
      <c r="F409" s="78"/>
      <c r="G409" s="78"/>
      <c r="H409" s="1"/>
    </row>
    <row r="410" spans="1:8" ht="15" customHeight="1" x14ac:dyDescent="0.25">
      <c r="A410" s="69" t="s">
        <v>401</v>
      </c>
      <c r="B410" s="410" t="s">
        <v>402</v>
      </c>
      <c r="C410" s="375"/>
      <c r="D410" s="375"/>
      <c r="E410" s="375"/>
      <c r="F410" s="375"/>
      <c r="G410" s="376"/>
      <c r="H410" s="1"/>
    </row>
    <row r="411" spans="1:8" ht="40.5" customHeight="1" x14ac:dyDescent="0.25">
      <c r="B411" s="374" t="s">
        <v>403</v>
      </c>
      <c r="C411" s="375"/>
      <c r="D411" s="375"/>
      <c r="E411" s="375"/>
      <c r="F411" s="375"/>
      <c r="G411" s="376"/>
      <c r="H411" s="1"/>
    </row>
    <row r="412" spans="1:8" ht="15" customHeight="1" x14ac:dyDescent="0.25">
      <c r="B412" s="374" t="s">
        <v>404</v>
      </c>
      <c r="C412" s="375"/>
      <c r="D412" s="375"/>
      <c r="E412" s="375"/>
      <c r="F412" s="375"/>
      <c r="G412" s="376"/>
      <c r="H412" s="1"/>
    </row>
    <row r="413" spans="1:8" ht="116.25" customHeight="1" x14ac:dyDescent="0.25">
      <c r="B413" s="383" t="s">
        <v>405</v>
      </c>
      <c r="C413" s="375"/>
      <c r="D413" s="375"/>
      <c r="E413" s="375"/>
      <c r="F413" s="375"/>
      <c r="G413" s="376"/>
      <c r="H413" s="1"/>
    </row>
    <row r="414" spans="1:8" ht="15" customHeight="1" x14ac:dyDescent="0.25">
      <c r="B414" s="374" t="s">
        <v>406</v>
      </c>
      <c r="C414" s="375"/>
      <c r="D414" s="375"/>
      <c r="E414" s="375"/>
      <c r="F414" s="375"/>
      <c r="G414" s="376"/>
      <c r="H414" s="1"/>
    </row>
    <row r="415" spans="1:8" ht="15" customHeight="1" x14ac:dyDescent="0.25">
      <c r="B415" s="374" t="s">
        <v>407</v>
      </c>
      <c r="C415" s="375"/>
      <c r="D415" s="375"/>
      <c r="E415" s="375"/>
      <c r="F415" s="375"/>
      <c r="G415" s="376"/>
      <c r="H415" s="1"/>
    </row>
    <row r="416" spans="1:8" ht="26.25" customHeight="1" x14ac:dyDescent="0.25">
      <c r="B416" s="374" t="s">
        <v>408</v>
      </c>
      <c r="C416" s="375"/>
      <c r="D416" s="375"/>
      <c r="E416" s="375"/>
      <c r="F416" s="375"/>
      <c r="G416" s="376"/>
      <c r="H416" s="1"/>
    </row>
    <row r="417" spans="2:8" ht="27.75" customHeight="1" x14ac:dyDescent="0.25">
      <c r="B417" s="374" t="s">
        <v>409</v>
      </c>
      <c r="C417" s="375"/>
      <c r="D417" s="375"/>
      <c r="E417" s="375"/>
      <c r="F417" s="375"/>
      <c r="G417" s="376"/>
      <c r="H417" s="1"/>
    </row>
    <row r="418" spans="2:8" ht="51.75" customHeight="1" x14ac:dyDescent="0.25">
      <c r="B418" s="374" t="s">
        <v>410</v>
      </c>
      <c r="C418" s="375"/>
      <c r="D418" s="375"/>
      <c r="E418" s="375"/>
      <c r="F418" s="375"/>
      <c r="G418" s="376"/>
      <c r="H418" s="1"/>
    </row>
    <row r="419" spans="2:8" ht="15" customHeight="1" x14ac:dyDescent="0.25">
      <c r="B419" s="374" t="s">
        <v>411</v>
      </c>
      <c r="C419" s="375"/>
      <c r="D419" s="375"/>
      <c r="E419" s="375"/>
      <c r="F419" s="375"/>
      <c r="G419" s="376"/>
      <c r="H419" s="1"/>
    </row>
    <row r="420" spans="2:8" ht="40.5" customHeight="1" x14ac:dyDescent="0.25">
      <c r="B420" s="374" t="s">
        <v>412</v>
      </c>
      <c r="C420" s="375"/>
      <c r="D420" s="375"/>
      <c r="E420" s="375"/>
      <c r="F420" s="375"/>
      <c r="G420" s="376"/>
      <c r="H420" s="1"/>
    </row>
    <row r="421" spans="2:8" ht="31.5" customHeight="1" x14ac:dyDescent="0.25">
      <c r="B421" s="374" t="s">
        <v>413</v>
      </c>
      <c r="C421" s="375"/>
      <c r="D421" s="375"/>
      <c r="E421" s="375"/>
      <c r="F421" s="375"/>
      <c r="G421" s="376"/>
      <c r="H421" s="1"/>
    </row>
    <row r="422" spans="2:8" ht="27.75" customHeight="1" x14ac:dyDescent="0.25">
      <c r="B422" s="374" t="s">
        <v>414</v>
      </c>
      <c r="C422" s="375"/>
      <c r="D422" s="375"/>
      <c r="E422" s="375"/>
      <c r="F422" s="375"/>
      <c r="G422" s="376"/>
      <c r="H422" s="1"/>
    </row>
    <row r="423" spans="2:8" ht="42" customHeight="1" x14ac:dyDescent="0.25">
      <c r="B423" s="374" t="s">
        <v>415</v>
      </c>
      <c r="C423" s="375"/>
      <c r="D423" s="375"/>
      <c r="E423" s="375"/>
      <c r="F423" s="375"/>
      <c r="G423" s="376"/>
      <c r="H423" s="1"/>
    </row>
    <row r="424" spans="2:8" ht="15" customHeight="1" x14ac:dyDescent="0.25">
      <c r="B424" s="374" t="s">
        <v>416</v>
      </c>
      <c r="C424" s="375"/>
      <c r="D424" s="375"/>
      <c r="E424" s="375"/>
      <c r="F424" s="375"/>
      <c r="G424" s="376"/>
      <c r="H424" s="1"/>
    </row>
    <row r="425" spans="2:8" ht="15" customHeight="1" x14ac:dyDescent="0.25">
      <c r="B425" s="374" t="s">
        <v>417</v>
      </c>
      <c r="C425" s="375"/>
      <c r="D425" s="375"/>
      <c r="E425" s="375"/>
      <c r="F425" s="375"/>
      <c r="G425" s="376"/>
      <c r="H425" s="1"/>
    </row>
    <row r="426" spans="2:8" ht="18.75" customHeight="1" x14ac:dyDescent="0.25">
      <c r="B426" s="374" t="s">
        <v>418</v>
      </c>
      <c r="C426" s="375"/>
      <c r="D426" s="375"/>
      <c r="E426" s="375"/>
      <c r="F426" s="375"/>
      <c r="G426" s="376"/>
      <c r="H426" s="1"/>
    </row>
    <row r="427" spans="2:8" ht="15" customHeight="1" x14ac:dyDescent="0.25">
      <c r="B427" s="374" t="s">
        <v>419</v>
      </c>
      <c r="C427" s="375"/>
      <c r="D427" s="375"/>
      <c r="E427" s="375"/>
      <c r="F427" s="375"/>
      <c r="G427" s="376"/>
      <c r="H427" s="1"/>
    </row>
    <row r="428" spans="2:8" ht="15" customHeight="1" x14ac:dyDescent="0.25">
      <c r="B428" s="374" t="s">
        <v>420</v>
      </c>
      <c r="C428" s="375"/>
      <c r="D428" s="375"/>
      <c r="E428" s="375"/>
      <c r="F428" s="375"/>
      <c r="G428" s="376"/>
      <c r="H428" s="1"/>
    </row>
    <row r="429" spans="2:8" ht="31.5" customHeight="1" x14ac:dyDescent="0.25">
      <c r="B429" s="374" t="s">
        <v>421</v>
      </c>
      <c r="C429" s="375"/>
      <c r="D429" s="375"/>
      <c r="E429" s="375"/>
      <c r="F429" s="375"/>
      <c r="G429" s="376"/>
      <c r="H429" s="1"/>
    </row>
    <row r="430" spans="2:8" ht="15" customHeight="1" x14ac:dyDescent="0.25">
      <c r="B430" s="374" t="s">
        <v>422</v>
      </c>
      <c r="C430" s="375"/>
      <c r="D430" s="375"/>
      <c r="E430" s="375"/>
      <c r="F430" s="375"/>
      <c r="G430" s="376"/>
      <c r="H430" s="1"/>
    </row>
    <row r="431" spans="2:8" ht="40.5" customHeight="1" x14ac:dyDescent="0.25">
      <c r="B431" s="374" t="s">
        <v>423</v>
      </c>
      <c r="C431" s="375"/>
      <c r="D431" s="375"/>
      <c r="E431" s="375"/>
      <c r="F431" s="375"/>
      <c r="G431" s="376"/>
      <c r="H431" s="1"/>
    </row>
    <row r="432" spans="2:8" ht="31.5" customHeight="1" x14ac:dyDescent="0.25">
      <c r="B432" s="374" t="s">
        <v>424</v>
      </c>
      <c r="C432" s="375"/>
      <c r="D432" s="375"/>
      <c r="E432" s="375"/>
      <c r="F432" s="375"/>
      <c r="G432" s="376"/>
      <c r="H432" s="1"/>
    </row>
    <row r="433" spans="1:8" ht="15" customHeight="1" x14ac:dyDescent="0.25">
      <c r="B433" s="374" t="s">
        <v>425</v>
      </c>
      <c r="C433" s="375"/>
      <c r="D433" s="375"/>
      <c r="E433" s="375"/>
      <c r="F433" s="375"/>
      <c r="G433" s="376"/>
      <c r="H433" s="1"/>
    </row>
    <row r="434" spans="1:8" ht="15" customHeight="1" x14ac:dyDescent="0.25">
      <c r="B434" s="374" t="s">
        <v>426</v>
      </c>
      <c r="C434" s="375"/>
      <c r="D434" s="375"/>
      <c r="E434" s="375"/>
      <c r="F434" s="375"/>
      <c r="G434" s="376"/>
      <c r="H434" s="1"/>
    </row>
    <row r="435" spans="1:8" ht="15" customHeight="1" x14ac:dyDescent="0.25">
      <c r="B435" s="408"/>
      <c r="C435" s="409"/>
      <c r="D435" s="409"/>
      <c r="E435" s="409"/>
      <c r="F435" s="409"/>
      <c r="G435" s="409"/>
      <c r="H435" s="1"/>
    </row>
    <row r="436" spans="1:8" ht="15" customHeight="1" x14ac:dyDescent="0.25">
      <c r="B436" s="78"/>
      <c r="C436" s="78"/>
      <c r="D436" s="78"/>
      <c r="E436" s="78"/>
      <c r="F436" s="78"/>
      <c r="G436" s="78"/>
      <c r="H436" s="1"/>
    </row>
    <row r="437" spans="1:8" ht="15" customHeight="1" x14ac:dyDescent="0.25">
      <c r="A437" s="69" t="s">
        <v>427</v>
      </c>
      <c r="B437" s="410" t="s">
        <v>428</v>
      </c>
      <c r="C437" s="375"/>
      <c r="D437" s="375"/>
      <c r="E437" s="375"/>
      <c r="F437" s="375"/>
      <c r="G437" s="376"/>
      <c r="H437" s="1"/>
    </row>
    <row r="438" spans="1:8" ht="15" customHeight="1" x14ac:dyDescent="0.25">
      <c r="B438" s="374" t="s">
        <v>429</v>
      </c>
      <c r="C438" s="375"/>
      <c r="D438" s="375"/>
      <c r="E438" s="375"/>
      <c r="F438" s="375"/>
      <c r="G438" s="376"/>
      <c r="H438" s="1"/>
    </row>
    <row r="439" spans="1:8" ht="42.75" customHeight="1" x14ac:dyDescent="0.25">
      <c r="B439" s="374" t="s">
        <v>430</v>
      </c>
      <c r="C439" s="375"/>
      <c r="D439" s="375"/>
      <c r="E439" s="375"/>
      <c r="F439" s="375"/>
      <c r="G439" s="376"/>
      <c r="H439" s="1"/>
    </row>
    <row r="440" spans="1:8" ht="15" customHeight="1" x14ac:dyDescent="0.25">
      <c r="B440" s="374" t="s">
        <v>431</v>
      </c>
      <c r="C440" s="375"/>
      <c r="D440" s="375"/>
      <c r="E440" s="375"/>
      <c r="F440" s="375"/>
      <c r="G440" s="376"/>
      <c r="H440" s="1"/>
    </row>
    <row r="441" spans="1:8" ht="15" customHeight="1" x14ac:dyDescent="0.25">
      <c r="B441" s="374" t="s">
        <v>432</v>
      </c>
      <c r="C441" s="375"/>
      <c r="D441" s="375"/>
      <c r="E441" s="375"/>
      <c r="F441" s="375"/>
      <c r="G441" s="376"/>
      <c r="H441" s="1"/>
    </row>
    <row r="442" spans="1:8" ht="15" customHeight="1" x14ac:dyDescent="0.25">
      <c r="B442" s="374" t="s">
        <v>433</v>
      </c>
      <c r="C442" s="375"/>
      <c r="D442" s="375"/>
      <c r="E442" s="375"/>
      <c r="F442" s="375"/>
      <c r="G442" s="376"/>
      <c r="H442" s="1"/>
    </row>
    <row r="443" spans="1:8" ht="15" customHeight="1" x14ac:dyDescent="0.25">
      <c r="B443" s="374" t="s">
        <v>434</v>
      </c>
      <c r="C443" s="375"/>
      <c r="D443" s="375"/>
      <c r="E443" s="375"/>
      <c r="F443" s="375"/>
      <c r="G443" s="376"/>
      <c r="H443" s="1"/>
    </row>
    <row r="444" spans="1:8" ht="15" customHeight="1" x14ac:dyDescent="0.25">
      <c r="B444" s="374" t="s">
        <v>435</v>
      </c>
      <c r="C444" s="375"/>
      <c r="D444" s="375"/>
      <c r="E444" s="375"/>
      <c r="F444" s="375"/>
      <c r="G444" s="376"/>
      <c r="H444" s="1"/>
    </row>
    <row r="445" spans="1:8" ht="15" customHeight="1" x14ac:dyDescent="0.25">
      <c r="B445" s="423" t="s">
        <v>436</v>
      </c>
      <c r="C445" s="375"/>
      <c r="D445" s="375"/>
      <c r="E445" s="375"/>
      <c r="F445" s="375"/>
      <c r="G445" s="376"/>
      <c r="H445" s="1"/>
    </row>
    <row r="446" spans="1:8" ht="29.25" customHeight="1" x14ac:dyDescent="0.25">
      <c r="B446" s="374" t="s">
        <v>437</v>
      </c>
      <c r="C446" s="375"/>
      <c r="D446" s="375"/>
      <c r="E446" s="375"/>
      <c r="F446" s="375"/>
      <c r="G446" s="376"/>
      <c r="H446" s="1"/>
    </row>
    <row r="447" spans="1:8" ht="15" customHeight="1" x14ac:dyDescent="0.25">
      <c r="B447" s="374" t="s">
        <v>438</v>
      </c>
      <c r="C447" s="375"/>
      <c r="D447" s="375"/>
      <c r="E447" s="375"/>
      <c r="F447" s="375"/>
      <c r="G447" s="376"/>
      <c r="H447" s="1"/>
    </row>
    <row r="448" spans="1:8" ht="15" customHeight="1" x14ac:dyDescent="0.25">
      <c r="B448" s="374" t="s">
        <v>439</v>
      </c>
      <c r="C448" s="375"/>
      <c r="D448" s="375"/>
      <c r="E448" s="375"/>
      <c r="F448" s="375"/>
      <c r="G448" s="376"/>
      <c r="H448" s="1"/>
    </row>
    <row r="449" spans="2:8" ht="15" customHeight="1" x14ac:dyDescent="0.25">
      <c r="B449" s="374" t="s">
        <v>440</v>
      </c>
      <c r="C449" s="375"/>
      <c r="D449" s="375"/>
      <c r="E449" s="375"/>
      <c r="F449" s="375"/>
      <c r="G449" s="376"/>
      <c r="H449" s="1"/>
    </row>
    <row r="450" spans="2:8" ht="15" customHeight="1" x14ac:dyDescent="0.25">
      <c r="B450" s="374" t="s">
        <v>441</v>
      </c>
      <c r="C450" s="375"/>
      <c r="D450" s="375"/>
      <c r="E450" s="375"/>
      <c r="F450" s="375"/>
      <c r="G450" s="376"/>
      <c r="H450" s="1"/>
    </row>
    <row r="451" spans="2:8" ht="15" customHeight="1" x14ac:dyDescent="0.25">
      <c r="B451" s="374" t="s">
        <v>442</v>
      </c>
      <c r="C451" s="375"/>
      <c r="D451" s="375"/>
      <c r="E451" s="375"/>
      <c r="F451" s="375"/>
      <c r="G451" s="376"/>
      <c r="H451" s="1"/>
    </row>
    <row r="452" spans="2:8" ht="15" customHeight="1" x14ac:dyDescent="0.25">
      <c r="B452" s="374" t="s">
        <v>443</v>
      </c>
      <c r="C452" s="375"/>
      <c r="D452" s="375"/>
      <c r="E452" s="375"/>
      <c r="F452" s="375"/>
      <c r="G452" s="376"/>
      <c r="H452" s="1"/>
    </row>
    <row r="453" spans="2:8" ht="29.25" customHeight="1" x14ac:dyDescent="0.25">
      <c r="B453" s="374" t="s">
        <v>444</v>
      </c>
      <c r="C453" s="375"/>
      <c r="D453" s="375"/>
      <c r="E453" s="375"/>
      <c r="F453" s="375"/>
      <c r="G453" s="376"/>
      <c r="H453" s="1"/>
    </row>
    <row r="454" spans="2:8" ht="15" customHeight="1" x14ac:dyDescent="0.25">
      <c r="B454" s="382" t="s">
        <v>445</v>
      </c>
      <c r="C454" s="375"/>
      <c r="D454" s="375"/>
      <c r="E454" s="375"/>
      <c r="F454" s="375"/>
      <c r="G454" s="376"/>
      <c r="H454" s="1"/>
    </row>
    <row r="455" spans="2:8" ht="29.25" customHeight="1" x14ac:dyDescent="0.25">
      <c r="B455" s="374" t="s">
        <v>446</v>
      </c>
      <c r="C455" s="375"/>
      <c r="D455" s="375"/>
      <c r="E455" s="375"/>
      <c r="F455" s="375"/>
      <c r="G455" s="376"/>
      <c r="H455" s="1"/>
    </row>
    <row r="456" spans="2:8" ht="15" customHeight="1" x14ac:dyDescent="0.25">
      <c r="B456" s="374" t="s">
        <v>447</v>
      </c>
      <c r="C456" s="375"/>
      <c r="D456" s="375"/>
      <c r="E456" s="375"/>
      <c r="F456" s="375"/>
      <c r="G456" s="376"/>
      <c r="H456" s="1"/>
    </row>
    <row r="457" spans="2:8" ht="39" customHeight="1" x14ac:dyDescent="0.25">
      <c r="B457" s="374" t="s">
        <v>448</v>
      </c>
      <c r="C457" s="375"/>
      <c r="D457" s="375"/>
      <c r="E457" s="375"/>
      <c r="F457" s="375"/>
      <c r="G457" s="376"/>
      <c r="H457" s="1"/>
    </row>
    <row r="458" spans="2:8" ht="27.75" customHeight="1" x14ac:dyDescent="0.25">
      <c r="B458" s="374" t="s">
        <v>449</v>
      </c>
      <c r="C458" s="375"/>
      <c r="D458" s="375"/>
      <c r="E458" s="375"/>
      <c r="F458" s="375"/>
      <c r="G458" s="376"/>
      <c r="H458" s="1"/>
    </row>
    <row r="459" spans="2:8" ht="15" customHeight="1" x14ac:dyDescent="0.25">
      <c r="B459" s="374" t="s">
        <v>450</v>
      </c>
      <c r="C459" s="375"/>
      <c r="D459" s="375"/>
      <c r="E459" s="375"/>
      <c r="F459" s="375"/>
      <c r="G459" s="376"/>
      <c r="H459" s="1"/>
    </row>
    <row r="460" spans="2:8" ht="39.75" customHeight="1" x14ac:dyDescent="0.25">
      <c r="B460" s="374" t="s">
        <v>451</v>
      </c>
      <c r="C460" s="375"/>
      <c r="D460" s="375"/>
      <c r="E460" s="375"/>
      <c r="F460" s="375"/>
      <c r="G460" s="376"/>
      <c r="H460" s="1"/>
    </row>
    <row r="461" spans="2:8" ht="15" customHeight="1" x14ac:dyDescent="0.25">
      <c r="B461" s="374" t="s">
        <v>452</v>
      </c>
      <c r="C461" s="375"/>
      <c r="D461" s="375"/>
      <c r="E461" s="375"/>
      <c r="F461" s="375"/>
      <c r="G461" s="376"/>
      <c r="H461" s="1"/>
    </row>
    <row r="462" spans="2:8" ht="38.25" customHeight="1" x14ac:dyDescent="0.25">
      <c r="B462" s="374" t="s">
        <v>453</v>
      </c>
      <c r="C462" s="375"/>
      <c r="D462" s="375"/>
      <c r="E462" s="375"/>
      <c r="F462" s="375"/>
      <c r="G462" s="376"/>
      <c r="H462" s="1"/>
    </row>
    <row r="463" spans="2:8" ht="15" customHeight="1" x14ac:dyDescent="0.25">
      <c r="B463" s="374" t="s">
        <v>454</v>
      </c>
      <c r="C463" s="375"/>
      <c r="D463" s="375"/>
      <c r="E463" s="375"/>
      <c r="F463" s="375"/>
      <c r="G463" s="376"/>
      <c r="H463" s="1"/>
    </row>
    <row r="464" spans="2:8" ht="15" customHeight="1" x14ac:dyDescent="0.25">
      <c r="B464" s="374" t="s">
        <v>455</v>
      </c>
      <c r="C464" s="375"/>
      <c r="D464" s="375"/>
      <c r="E464" s="375"/>
      <c r="F464" s="375"/>
      <c r="G464" s="376"/>
      <c r="H464" s="1"/>
    </row>
    <row r="465" spans="2:8" ht="15" customHeight="1" x14ac:dyDescent="0.25">
      <c r="B465" s="382" t="s">
        <v>456</v>
      </c>
      <c r="C465" s="375"/>
      <c r="D465" s="375"/>
      <c r="E465" s="375"/>
      <c r="F465" s="375"/>
      <c r="G465" s="376"/>
      <c r="H465" s="1"/>
    </row>
    <row r="466" spans="2:8" ht="15" customHeight="1" x14ac:dyDescent="0.25">
      <c r="B466" s="382" t="s">
        <v>457</v>
      </c>
      <c r="C466" s="375"/>
      <c r="D466" s="375"/>
      <c r="E466" s="375"/>
      <c r="F466" s="375"/>
      <c r="G466" s="376"/>
      <c r="H466" s="1"/>
    </row>
    <row r="467" spans="2:8" ht="42" customHeight="1" x14ac:dyDescent="0.25">
      <c r="B467" s="374" t="s">
        <v>458</v>
      </c>
      <c r="C467" s="375"/>
      <c r="D467" s="375"/>
      <c r="E467" s="375"/>
      <c r="F467" s="375"/>
      <c r="G467" s="376"/>
      <c r="H467" s="1"/>
    </row>
    <row r="468" spans="2:8" ht="15" customHeight="1" x14ac:dyDescent="0.25">
      <c r="B468" s="374" t="s">
        <v>459</v>
      </c>
      <c r="C468" s="375"/>
      <c r="D468" s="375"/>
      <c r="E468" s="375"/>
      <c r="F468" s="375"/>
      <c r="G468" s="376"/>
      <c r="H468" s="1"/>
    </row>
    <row r="469" spans="2:8" ht="29.25" customHeight="1" x14ac:dyDescent="0.25">
      <c r="B469" s="374" t="s">
        <v>460</v>
      </c>
      <c r="C469" s="375"/>
      <c r="D469" s="375"/>
      <c r="E469" s="375"/>
      <c r="F469" s="375"/>
      <c r="G469" s="376"/>
      <c r="H469" s="1"/>
    </row>
    <row r="470" spans="2:8" ht="15" customHeight="1" x14ac:dyDescent="0.25">
      <c r="B470" s="382" t="s">
        <v>461</v>
      </c>
      <c r="C470" s="375"/>
      <c r="D470" s="375"/>
      <c r="E470" s="375"/>
      <c r="F470" s="375"/>
      <c r="G470" s="376"/>
      <c r="H470" s="1"/>
    </row>
    <row r="471" spans="2:8" ht="15" customHeight="1" x14ac:dyDescent="0.25">
      <c r="B471" s="374" t="s">
        <v>462</v>
      </c>
      <c r="C471" s="375"/>
      <c r="D471" s="375"/>
      <c r="E471" s="375"/>
      <c r="F471" s="375"/>
      <c r="G471" s="376"/>
      <c r="H471" s="1"/>
    </row>
    <row r="472" spans="2:8" ht="40.5" customHeight="1" x14ac:dyDescent="0.25">
      <c r="B472" s="374" t="s">
        <v>463</v>
      </c>
      <c r="C472" s="375"/>
      <c r="D472" s="375"/>
      <c r="E472" s="375"/>
      <c r="F472" s="375"/>
      <c r="G472" s="376"/>
      <c r="H472" s="1"/>
    </row>
    <row r="473" spans="2:8" ht="30" customHeight="1" x14ac:dyDescent="0.25">
      <c r="B473" s="374" t="s">
        <v>464</v>
      </c>
      <c r="C473" s="375"/>
      <c r="D473" s="375"/>
      <c r="E473" s="375"/>
      <c r="F473" s="375"/>
      <c r="G473" s="376"/>
      <c r="H473" s="1"/>
    </row>
    <row r="474" spans="2:8" ht="15" customHeight="1" x14ac:dyDescent="0.25">
      <c r="B474" s="382" t="s">
        <v>465</v>
      </c>
      <c r="C474" s="375"/>
      <c r="D474" s="375"/>
      <c r="E474" s="375"/>
      <c r="F474" s="375"/>
      <c r="G474" s="376"/>
      <c r="H474" s="1"/>
    </row>
    <row r="475" spans="2:8" ht="41.25" customHeight="1" x14ac:dyDescent="0.25">
      <c r="B475" s="374" t="s">
        <v>466</v>
      </c>
      <c r="C475" s="375"/>
      <c r="D475" s="375"/>
      <c r="E475" s="375"/>
      <c r="F475" s="375"/>
      <c r="G475" s="376"/>
      <c r="H475" s="1"/>
    </row>
    <row r="476" spans="2:8" ht="28.5" customHeight="1" x14ac:dyDescent="0.25">
      <c r="B476" s="374" t="s">
        <v>467</v>
      </c>
      <c r="C476" s="375"/>
      <c r="D476" s="375"/>
      <c r="E476" s="375"/>
      <c r="F476" s="375"/>
      <c r="G476" s="376"/>
      <c r="H476" s="1"/>
    </row>
    <row r="477" spans="2:8" ht="15" customHeight="1" x14ac:dyDescent="0.25">
      <c r="B477" s="382" t="s">
        <v>468</v>
      </c>
      <c r="C477" s="375"/>
      <c r="D477" s="375"/>
      <c r="E477" s="375"/>
      <c r="F477" s="375"/>
      <c r="G477" s="376"/>
      <c r="H477" s="1"/>
    </row>
    <row r="478" spans="2:8" ht="15" customHeight="1" x14ac:dyDescent="0.25">
      <c r="B478" s="374" t="s">
        <v>469</v>
      </c>
      <c r="C478" s="375"/>
      <c r="D478" s="375"/>
      <c r="E478" s="375"/>
      <c r="F478" s="375"/>
      <c r="G478" s="376"/>
      <c r="H478" s="1"/>
    </row>
    <row r="479" spans="2:8" ht="29.25" customHeight="1" x14ac:dyDescent="0.25">
      <c r="B479" s="374" t="s">
        <v>470</v>
      </c>
      <c r="C479" s="375"/>
      <c r="D479" s="375"/>
      <c r="E479" s="375"/>
      <c r="F479" s="375"/>
      <c r="G479" s="376"/>
      <c r="H479" s="1"/>
    </row>
    <row r="480" spans="2:8" ht="66.75" customHeight="1" x14ac:dyDescent="0.25">
      <c r="B480" s="374" t="s">
        <v>471</v>
      </c>
      <c r="C480" s="375"/>
      <c r="D480" s="375"/>
      <c r="E480" s="375"/>
      <c r="F480" s="375"/>
      <c r="G480" s="376"/>
      <c r="H480" s="1"/>
    </row>
    <row r="481" spans="2:8" ht="15" customHeight="1" x14ac:dyDescent="0.25">
      <c r="B481" s="382" t="s">
        <v>472</v>
      </c>
      <c r="C481" s="375"/>
      <c r="D481" s="375"/>
      <c r="E481" s="375"/>
      <c r="F481" s="375"/>
      <c r="G481" s="376"/>
      <c r="H481" s="1"/>
    </row>
    <row r="482" spans="2:8" ht="43.5" customHeight="1" x14ac:dyDescent="0.25">
      <c r="B482" s="374" t="s">
        <v>473</v>
      </c>
      <c r="C482" s="375"/>
      <c r="D482" s="375"/>
      <c r="E482" s="375"/>
      <c r="F482" s="375"/>
      <c r="G482" s="376"/>
      <c r="H482" s="1"/>
    </row>
    <row r="483" spans="2:8" ht="28.5" customHeight="1" x14ac:dyDescent="0.25">
      <c r="B483" s="374" t="s">
        <v>474</v>
      </c>
      <c r="C483" s="375"/>
      <c r="D483" s="375"/>
      <c r="E483" s="375"/>
      <c r="F483" s="375"/>
      <c r="G483" s="376"/>
      <c r="H483" s="1"/>
    </row>
    <row r="484" spans="2:8" ht="30.75" customHeight="1" x14ac:dyDescent="0.25">
      <c r="B484" s="374" t="s">
        <v>475</v>
      </c>
      <c r="C484" s="375"/>
      <c r="D484" s="375"/>
      <c r="E484" s="375"/>
      <c r="F484" s="375"/>
      <c r="G484" s="376"/>
      <c r="H484" s="1"/>
    </row>
    <row r="485" spans="2:8" ht="15" customHeight="1" x14ac:dyDescent="0.25">
      <c r="B485" s="374" t="s">
        <v>476</v>
      </c>
      <c r="C485" s="375"/>
      <c r="D485" s="375"/>
      <c r="E485" s="375"/>
      <c r="F485" s="375"/>
      <c r="G485" s="376"/>
      <c r="H485" s="1"/>
    </row>
    <row r="486" spans="2:8" ht="15" customHeight="1" x14ac:dyDescent="0.25">
      <c r="B486" s="374"/>
      <c r="C486" s="375"/>
      <c r="D486" s="375"/>
      <c r="E486" s="375"/>
      <c r="F486" s="375"/>
      <c r="G486" s="376"/>
      <c r="H486" s="1"/>
    </row>
    <row r="487" spans="2:8" ht="15" customHeight="1" x14ac:dyDescent="0.25">
      <c r="B487" s="382" t="s">
        <v>477</v>
      </c>
      <c r="C487" s="375"/>
      <c r="D487" s="375"/>
      <c r="E487" s="375"/>
      <c r="F487" s="375"/>
      <c r="G487" s="376"/>
      <c r="H487" s="1"/>
    </row>
    <row r="488" spans="2:8" ht="15" customHeight="1" x14ac:dyDescent="0.25">
      <c r="B488" s="374" t="s">
        <v>478</v>
      </c>
      <c r="C488" s="375"/>
      <c r="D488" s="375"/>
      <c r="E488" s="375"/>
      <c r="F488" s="375"/>
      <c r="G488" s="376"/>
      <c r="H488" s="1"/>
    </row>
    <row r="489" spans="2:8" ht="15" customHeight="1" x14ac:dyDescent="0.25">
      <c r="B489" s="382" t="s">
        <v>479</v>
      </c>
      <c r="C489" s="375"/>
      <c r="D489" s="375"/>
      <c r="E489" s="375"/>
      <c r="F489" s="375"/>
      <c r="G489" s="376"/>
      <c r="H489" s="1"/>
    </row>
    <row r="490" spans="2:8" ht="27.75" customHeight="1" x14ac:dyDescent="0.25">
      <c r="B490" s="374" t="s">
        <v>480</v>
      </c>
      <c r="C490" s="375"/>
      <c r="D490" s="375"/>
      <c r="E490" s="375"/>
      <c r="F490" s="375"/>
      <c r="G490" s="376"/>
      <c r="H490" s="1"/>
    </row>
    <row r="491" spans="2:8" ht="30.75" customHeight="1" x14ac:dyDescent="0.25">
      <c r="B491" s="374" t="s">
        <v>481</v>
      </c>
      <c r="C491" s="375"/>
      <c r="D491" s="375"/>
      <c r="E491" s="375"/>
      <c r="F491" s="375"/>
      <c r="G491" s="376"/>
      <c r="H491" s="1"/>
    </row>
    <row r="492" spans="2:8" ht="15" customHeight="1" x14ac:dyDescent="0.25">
      <c r="B492" s="382" t="s">
        <v>482</v>
      </c>
      <c r="C492" s="375"/>
      <c r="D492" s="375"/>
      <c r="E492" s="375"/>
      <c r="F492" s="375"/>
      <c r="G492" s="376"/>
      <c r="H492" s="1"/>
    </row>
    <row r="493" spans="2:8" ht="27.75" customHeight="1" x14ac:dyDescent="0.25">
      <c r="B493" s="374" t="s">
        <v>483</v>
      </c>
      <c r="C493" s="375"/>
      <c r="D493" s="375"/>
      <c r="E493" s="375"/>
      <c r="F493" s="375"/>
      <c r="G493" s="376"/>
      <c r="H493" s="1"/>
    </row>
    <row r="494" spans="2:8" ht="27.75" customHeight="1" x14ac:dyDescent="0.25">
      <c r="B494" s="374" t="s">
        <v>484</v>
      </c>
      <c r="C494" s="375"/>
      <c r="D494" s="375"/>
      <c r="E494" s="375"/>
      <c r="F494" s="375"/>
      <c r="G494" s="376"/>
      <c r="H494" s="1"/>
    </row>
    <row r="495" spans="2:8" ht="44.25" customHeight="1" x14ac:dyDescent="0.25">
      <c r="B495" s="374" t="s">
        <v>485</v>
      </c>
      <c r="C495" s="375"/>
      <c r="D495" s="375"/>
      <c r="E495" s="375"/>
      <c r="F495" s="375"/>
      <c r="G495" s="376"/>
      <c r="H495" s="1"/>
    </row>
    <row r="496" spans="2:8" ht="15" customHeight="1" x14ac:dyDescent="0.25">
      <c r="B496" s="382" t="s">
        <v>486</v>
      </c>
      <c r="C496" s="375"/>
      <c r="D496" s="375"/>
      <c r="E496" s="375"/>
      <c r="F496" s="375"/>
      <c r="G496" s="376"/>
      <c r="H496" s="1"/>
    </row>
    <row r="497" spans="2:8" ht="15" customHeight="1" x14ac:dyDescent="0.25">
      <c r="B497" s="374" t="s">
        <v>487</v>
      </c>
      <c r="C497" s="375"/>
      <c r="D497" s="375"/>
      <c r="E497" s="375"/>
      <c r="F497" s="375"/>
      <c r="G497" s="376"/>
      <c r="H497" s="1"/>
    </row>
    <row r="498" spans="2:8" ht="32.25" customHeight="1" x14ac:dyDescent="0.25">
      <c r="B498" s="374" t="s">
        <v>488</v>
      </c>
      <c r="C498" s="375"/>
      <c r="D498" s="375"/>
      <c r="E498" s="375"/>
      <c r="F498" s="375"/>
      <c r="G498" s="376"/>
      <c r="H498" s="1"/>
    </row>
    <row r="499" spans="2:8" ht="15" customHeight="1" x14ac:dyDescent="0.25">
      <c r="B499" s="74"/>
      <c r="C499" s="75"/>
      <c r="D499" s="75"/>
      <c r="E499" s="75"/>
      <c r="F499" s="75"/>
      <c r="G499" s="76"/>
      <c r="H499" s="1"/>
    </row>
    <row r="500" spans="2:8" ht="15" customHeight="1" x14ac:dyDescent="0.25">
      <c r="B500" s="382" t="s">
        <v>489</v>
      </c>
      <c r="C500" s="375"/>
      <c r="D500" s="375"/>
      <c r="E500" s="375"/>
      <c r="F500" s="375"/>
      <c r="G500" s="376"/>
      <c r="H500" s="1"/>
    </row>
    <row r="501" spans="2:8" ht="15" customHeight="1" x14ac:dyDescent="0.25">
      <c r="B501" s="80"/>
      <c r="C501" s="81"/>
      <c r="D501" s="81"/>
      <c r="E501" s="81"/>
      <c r="F501" s="81"/>
      <c r="G501" s="82"/>
      <c r="H501" s="1"/>
    </row>
    <row r="502" spans="2:8" ht="15" customHeight="1" x14ac:dyDescent="0.25">
      <c r="B502" s="382" t="s">
        <v>490</v>
      </c>
      <c r="C502" s="375"/>
      <c r="D502" s="375"/>
      <c r="E502" s="375"/>
      <c r="F502" s="375"/>
      <c r="G502" s="376"/>
      <c r="H502" s="1"/>
    </row>
    <row r="503" spans="2:8" ht="27.75" customHeight="1" x14ac:dyDescent="0.25">
      <c r="B503" s="374" t="s">
        <v>491</v>
      </c>
      <c r="C503" s="375"/>
      <c r="D503" s="375"/>
      <c r="E503" s="375"/>
      <c r="F503" s="375"/>
      <c r="G503" s="376"/>
      <c r="H503" s="1"/>
    </row>
    <row r="504" spans="2:8" ht="27" customHeight="1" x14ac:dyDescent="0.25">
      <c r="B504" s="374" t="s">
        <v>492</v>
      </c>
      <c r="C504" s="375"/>
      <c r="D504" s="375"/>
      <c r="E504" s="375"/>
      <c r="F504" s="375"/>
      <c r="G504" s="376"/>
      <c r="H504" s="1"/>
    </row>
    <row r="505" spans="2:8" ht="30" customHeight="1" x14ac:dyDescent="0.25">
      <c r="B505" s="374" t="s">
        <v>492</v>
      </c>
      <c r="C505" s="375"/>
      <c r="D505" s="375"/>
      <c r="E505" s="375"/>
      <c r="F505" s="375"/>
      <c r="G505" s="376"/>
      <c r="H505" s="1"/>
    </row>
    <row r="506" spans="2:8" ht="15" customHeight="1" x14ac:dyDescent="0.25">
      <c r="B506" s="374"/>
      <c r="C506" s="375"/>
      <c r="D506" s="375"/>
      <c r="E506" s="375"/>
      <c r="F506" s="375"/>
      <c r="G506" s="376"/>
      <c r="H506" s="1"/>
    </row>
    <row r="507" spans="2:8" ht="15" customHeight="1" x14ac:dyDescent="0.25">
      <c r="B507" s="382" t="s">
        <v>493</v>
      </c>
      <c r="C507" s="375"/>
      <c r="D507" s="375"/>
      <c r="E507" s="375"/>
      <c r="F507" s="375"/>
      <c r="G507" s="376"/>
      <c r="H507" s="1"/>
    </row>
    <row r="508" spans="2:8" ht="29.25" customHeight="1" x14ac:dyDescent="0.25">
      <c r="B508" s="374" t="s">
        <v>494</v>
      </c>
      <c r="C508" s="375"/>
      <c r="D508" s="375"/>
      <c r="E508" s="375"/>
      <c r="F508" s="375"/>
      <c r="G508" s="376"/>
      <c r="H508" s="1"/>
    </row>
    <row r="509" spans="2:8" ht="42" customHeight="1" x14ac:dyDescent="0.25">
      <c r="B509" s="374" t="s">
        <v>495</v>
      </c>
      <c r="C509" s="375"/>
      <c r="D509" s="375"/>
      <c r="E509" s="375"/>
      <c r="F509" s="375"/>
      <c r="G509" s="376"/>
      <c r="H509" s="1"/>
    </row>
    <row r="510" spans="2:8" ht="15" customHeight="1" x14ac:dyDescent="0.25">
      <c r="B510" s="74"/>
      <c r="C510" s="75"/>
      <c r="D510" s="75"/>
      <c r="E510" s="75"/>
      <c r="F510" s="75"/>
      <c r="G510" s="76"/>
      <c r="H510" s="1"/>
    </row>
    <row r="511" spans="2:8" ht="15" customHeight="1" x14ac:dyDescent="0.25">
      <c r="B511" s="382" t="s">
        <v>496</v>
      </c>
      <c r="C511" s="375"/>
      <c r="D511" s="375"/>
      <c r="E511" s="375"/>
      <c r="F511" s="375"/>
      <c r="G511" s="376"/>
      <c r="H511" s="1"/>
    </row>
    <row r="512" spans="2:8" ht="15" customHeight="1" x14ac:dyDescent="0.25">
      <c r="B512" s="382" t="s">
        <v>497</v>
      </c>
      <c r="C512" s="375"/>
      <c r="D512" s="375"/>
      <c r="E512" s="375"/>
      <c r="F512" s="375"/>
      <c r="G512" s="376"/>
      <c r="H512" s="1"/>
    </row>
    <row r="513" spans="2:8" ht="15" customHeight="1" x14ac:dyDescent="0.25">
      <c r="B513" s="374" t="s">
        <v>498</v>
      </c>
      <c r="C513" s="375"/>
      <c r="D513" s="375"/>
      <c r="E513" s="375"/>
      <c r="F513" s="375"/>
      <c r="G513" s="376"/>
      <c r="H513" s="1"/>
    </row>
    <row r="514" spans="2:8" ht="15" customHeight="1" x14ac:dyDescent="0.25">
      <c r="B514" s="374" t="s">
        <v>499</v>
      </c>
      <c r="C514" s="375"/>
      <c r="D514" s="375"/>
      <c r="E514" s="375"/>
      <c r="F514" s="375"/>
      <c r="G514" s="376"/>
      <c r="H514" s="1"/>
    </row>
    <row r="515" spans="2:8" ht="39" customHeight="1" x14ac:dyDescent="0.25">
      <c r="B515" s="374" t="s">
        <v>500</v>
      </c>
      <c r="C515" s="375"/>
      <c r="D515" s="375"/>
      <c r="E515" s="375"/>
      <c r="F515" s="375"/>
      <c r="G515" s="376"/>
      <c r="H515" s="1"/>
    </row>
    <row r="516" spans="2:8" ht="15" customHeight="1" x14ac:dyDescent="0.25">
      <c r="B516" s="382" t="s">
        <v>501</v>
      </c>
      <c r="C516" s="375"/>
      <c r="D516" s="375"/>
      <c r="E516" s="375"/>
      <c r="F516" s="375"/>
      <c r="G516" s="376"/>
      <c r="H516" s="1"/>
    </row>
    <row r="517" spans="2:8" ht="27" customHeight="1" x14ac:dyDescent="0.25">
      <c r="B517" s="374" t="s">
        <v>502</v>
      </c>
      <c r="C517" s="375"/>
      <c r="D517" s="375"/>
      <c r="E517" s="375"/>
      <c r="F517" s="375"/>
      <c r="G517" s="376"/>
      <c r="H517" s="1"/>
    </row>
    <row r="518" spans="2:8" ht="15" customHeight="1" x14ac:dyDescent="0.25">
      <c r="B518" s="382" t="s">
        <v>503</v>
      </c>
      <c r="C518" s="375"/>
      <c r="D518" s="375"/>
      <c r="E518" s="375"/>
      <c r="F518" s="375"/>
      <c r="G518" s="376"/>
      <c r="H518" s="1"/>
    </row>
    <row r="519" spans="2:8" ht="40.5" customHeight="1" x14ac:dyDescent="0.25">
      <c r="B519" s="374" t="s">
        <v>504</v>
      </c>
      <c r="C519" s="375"/>
      <c r="D519" s="375"/>
      <c r="E519" s="375"/>
      <c r="F519" s="375"/>
      <c r="G519" s="376"/>
      <c r="H519" s="1"/>
    </row>
    <row r="520" spans="2:8" ht="15" customHeight="1" x14ac:dyDescent="0.25">
      <c r="B520" s="374" t="s">
        <v>505</v>
      </c>
      <c r="C520" s="375"/>
      <c r="D520" s="375"/>
      <c r="E520" s="375"/>
      <c r="F520" s="375"/>
      <c r="G520" s="376"/>
      <c r="H520" s="1"/>
    </row>
    <row r="521" spans="2:8" ht="15" customHeight="1" x14ac:dyDescent="0.25">
      <c r="B521" s="374" t="s">
        <v>506</v>
      </c>
      <c r="C521" s="375"/>
      <c r="D521" s="375"/>
      <c r="E521" s="375"/>
      <c r="F521" s="375"/>
      <c r="G521" s="376"/>
      <c r="H521" s="1"/>
    </row>
    <row r="522" spans="2:8" ht="15" customHeight="1" x14ac:dyDescent="0.25">
      <c r="B522" s="374" t="s">
        <v>507</v>
      </c>
      <c r="C522" s="375"/>
      <c r="D522" s="375"/>
      <c r="E522" s="375"/>
      <c r="F522" s="375"/>
      <c r="G522" s="376"/>
      <c r="H522" s="1"/>
    </row>
    <row r="523" spans="2:8" ht="15" customHeight="1" x14ac:dyDescent="0.25">
      <c r="B523" s="374" t="s">
        <v>508</v>
      </c>
      <c r="C523" s="375"/>
      <c r="D523" s="375"/>
      <c r="E523" s="375"/>
      <c r="F523" s="375"/>
      <c r="G523" s="376"/>
      <c r="H523" s="1"/>
    </row>
    <row r="524" spans="2:8" ht="15" customHeight="1" x14ac:dyDescent="0.25">
      <c r="B524" s="374" t="s">
        <v>509</v>
      </c>
      <c r="C524" s="375"/>
      <c r="D524" s="375"/>
      <c r="E524" s="375"/>
      <c r="F524" s="375"/>
      <c r="G524" s="376"/>
      <c r="H524" s="1"/>
    </row>
    <row r="525" spans="2:8" ht="15" customHeight="1" x14ac:dyDescent="0.25">
      <c r="B525" s="374" t="s">
        <v>510</v>
      </c>
      <c r="C525" s="375"/>
      <c r="D525" s="375"/>
      <c r="E525" s="375"/>
      <c r="F525" s="375"/>
      <c r="G525" s="376"/>
      <c r="H525" s="1"/>
    </row>
    <row r="526" spans="2:8" ht="15" customHeight="1" x14ac:dyDescent="0.25">
      <c r="B526" s="374" t="s">
        <v>511</v>
      </c>
      <c r="C526" s="375"/>
      <c r="D526" s="375"/>
      <c r="E526" s="375"/>
      <c r="F526" s="375"/>
      <c r="G526" s="376"/>
      <c r="H526" s="1"/>
    </row>
    <row r="527" spans="2:8" ht="29.25" customHeight="1" x14ac:dyDescent="0.25">
      <c r="B527" s="374" t="s">
        <v>512</v>
      </c>
      <c r="C527" s="375"/>
      <c r="D527" s="375"/>
      <c r="E527" s="375"/>
      <c r="F527" s="375"/>
      <c r="G527" s="376"/>
      <c r="H527" s="1"/>
    </row>
    <row r="528" spans="2:8" ht="15" customHeight="1" x14ac:dyDescent="0.25">
      <c r="B528" s="382" t="s">
        <v>513</v>
      </c>
      <c r="C528" s="375"/>
      <c r="D528" s="375"/>
      <c r="E528" s="375"/>
      <c r="F528" s="375"/>
      <c r="G528" s="376"/>
      <c r="H528" s="1"/>
    </row>
    <row r="529" spans="2:8" ht="27" customHeight="1" x14ac:dyDescent="0.25">
      <c r="B529" s="374" t="s">
        <v>514</v>
      </c>
      <c r="C529" s="375"/>
      <c r="D529" s="375"/>
      <c r="E529" s="375"/>
      <c r="F529" s="375"/>
      <c r="G529" s="376"/>
      <c r="H529" s="1"/>
    </row>
    <row r="530" spans="2:8" ht="27" customHeight="1" x14ac:dyDescent="0.25">
      <c r="B530" s="374" t="s">
        <v>515</v>
      </c>
      <c r="C530" s="375"/>
      <c r="D530" s="375"/>
      <c r="E530" s="375"/>
      <c r="F530" s="375"/>
      <c r="G530" s="376"/>
      <c r="H530" s="1"/>
    </row>
    <row r="531" spans="2:8" ht="15" customHeight="1" x14ac:dyDescent="0.25">
      <c r="B531" s="382" t="s">
        <v>516</v>
      </c>
      <c r="C531" s="375"/>
      <c r="D531" s="375"/>
      <c r="E531" s="375"/>
      <c r="F531" s="375"/>
      <c r="G531" s="376"/>
      <c r="H531" s="1"/>
    </row>
    <row r="532" spans="2:8" ht="51" customHeight="1" x14ac:dyDescent="0.25">
      <c r="B532" s="374" t="s">
        <v>517</v>
      </c>
      <c r="C532" s="375"/>
      <c r="D532" s="375"/>
      <c r="E532" s="375"/>
      <c r="F532" s="375"/>
      <c r="G532" s="376"/>
      <c r="H532" s="1"/>
    </row>
    <row r="533" spans="2:8" ht="27.75" customHeight="1" x14ac:dyDescent="0.25">
      <c r="B533" s="374" t="s">
        <v>518</v>
      </c>
      <c r="C533" s="375"/>
      <c r="D533" s="375"/>
      <c r="E533" s="375"/>
      <c r="F533" s="375"/>
      <c r="G533" s="376"/>
      <c r="H533" s="1"/>
    </row>
    <row r="534" spans="2:8" ht="25.5" customHeight="1" x14ac:dyDescent="0.25">
      <c r="B534" s="374" t="s">
        <v>519</v>
      </c>
      <c r="C534" s="375"/>
      <c r="D534" s="375"/>
      <c r="E534" s="375"/>
      <c r="F534" s="375"/>
      <c r="G534" s="376"/>
      <c r="H534" s="1"/>
    </row>
    <row r="535" spans="2:8" ht="27" customHeight="1" x14ac:dyDescent="0.25">
      <c r="B535" s="374" t="s">
        <v>520</v>
      </c>
      <c r="C535" s="375"/>
      <c r="D535" s="375"/>
      <c r="E535" s="375"/>
      <c r="F535" s="375"/>
      <c r="G535" s="376"/>
      <c r="H535" s="1"/>
    </row>
    <row r="536" spans="2:8" ht="15" customHeight="1" x14ac:dyDescent="0.25">
      <c r="B536" s="382" t="s">
        <v>521</v>
      </c>
      <c r="C536" s="375"/>
      <c r="D536" s="375"/>
      <c r="E536" s="375"/>
      <c r="F536" s="375"/>
      <c r="G536" s="376"/>
      <c r="H536" s="1"/>
    </row>
    <row r="537" spans="2:8" ht="53.25" customHeight="1" x14ac:dyDescent="0.25">
      <c r="B537" s="374" t="s">
        <v>522</v>
      </c>
      <c r="C537" s="375"/>
      <c r="D537" s="375"/>
      <c r="E537" s="375"/>
      <c r="F537" s="375"/>
      <c r="G537" s="376"/>
      <c r="H537" s="1"/>
    </row>
    <row r="538" spans="2:8" ht="15" customHeight="1" x14ac:dyDescent="0.25">
      <c r="B538" s="374" t="s">
        <v>523</v>
      </c>
      <c r="C538" s="375"/>
      <c r="D538" s="375"/>
      <c r="E538" s="375"/>
      <c r="F538" s="375"/>
      <c r="G538" s="376"/>
      <c r="H538" s="1"/>
    </row>
    <row r="539" spans="2:8" ht="28.5" customHeight="1" x14ac:dyDescent="0.25">
      <c r="B539" s="374" t="s">
        <v>524</v>
      </c>
      <c r="C539" s="375"/>
      <c r="D539" s="375"/>
      <c r="E539" s="375"/>
      <c r="F539" s="375"/>
      <c r="G539" s="376"/>
      <c r="H539" s="1"/>
    </row>
    <row r="540" spans="2:8" ht="27.75" customHeight="1" x14ac:dyDescent="0.25">
      <c r="B540" s="374" t="s">
        <v>525</v>
      </c>
      <c r="C540" s="375"/>
      <c r="D540" s="375"/>
      <c r="E540" s="375"/>
      <c r="F540" s="375"/>
      <c r="G540" s="376"/>
      <c r="H540" s="1"/>
    </row>
    <row r="541" spans="2:8" ht="27.75" customHeight="1" x14ac:dyDescent="0.25">
      <c r="B541" s="374" t="s">
        <v>526</v>
      </c>
      <c r="C541" s="375"/>
      <c r="D541" s="375"/>
      <c r="E541" s="375"/>
      <c r="F541" s="375"/>
      <c r="G541" s="376"/>
      <c r="H541" s="1"/>
    </row>
    <row r="542" spans="2:8" ht="40.5" customHeight="1" x14ac:dyDescent="0.25">
      <c r="B542" s="374" t="s">
        <v>527</v>
      </c>
      <c r="C542" s="375"/>
      <c r="D542" s="375"/>
      <c r="E542" s="375"/>
      <c r="F542" s="375"/>
      <c r="G542" s="376"/>
      <c r="H542" s="1"/>
    </row>
    <row r="543" spans="2:8" ht="15" customHeight="1" x14ac:dyDescent="0.25">
      <c r="B543" s="374"/>
      <c r="C543" s="375"/>
      <c r="D543" s="375"/>
      <c r="E543" s="375"/>
      <c r="F543" s="375"/>
      <c r="G543" s="376"/>
      <c r="H543" s="1"/>
    </row>
    <row r="544" spans="2:8" ht="15" customHeight="1" x14ac:dyDescent="0.25">
      <c r="B544" s="382" t="s">
        <v>528</v>
      </c>
      <c r="C544" s="375"/>
      <c r="D544" s="375"/>
      <c r="E544" s="375"/>
      <c r="F544" s="375"/>
      <c r="G544" s="376"/>
      <c r="H544" s="1"/>
    </row>
    <row r="545" spans="2:8" ht="27" customHeight="1" x14ac:dyDescent="0.25">
      <c r="B545" s="374" t="s">
        <v>529</v>
      </c>
      <c r="C545" s="375"/>
      <c r="D545" s="375"/>
      <c r="E545" s="375"/>
      <c r="F545" s="375"/>
      <c r="G545" s="376"/>
      <c r="H545" s="1"/>
    </row>
    <row r="546" spans="2:8" ht="15" customHeight="1" x14ac:dyDescent="0.25">
      <c r="B546" s="382" t="s">
        <v>530</v>
      </c>
      <c r="C546" s="375"/>
      <c r="D546" s="375"/>
      <c r="E546" s="375"/>
      <c r="F546" s="375"/>
      <c r="G546" s="376"/>
      <c r="H546" s="1"/>
    </row>
    <row r="547" spans="2:8" ht="15" customHeight="1" x14ac:dyDescent="0.25">
      <c r="B547" s="374" t="s">
        <v>531</v>
      </c>
      <c r="C547" s="375"/>
      <c r="D547" s="375"/>
      <c r="E547" s="375"/>
      <c r="F547" s="375"/>
      <c r="G547" s="376"/>
      <c r="H547" s="1"/>
    </row>
    <row r="548" spans="2:8" ht="27.75" customHeight="1" x14ac:dyDescent="0.25">
      <c r="B548" s="374" t="s">
        <v>532</v>
      </c>
      <c r="C548" s="375"/>
      <c r="D548" s="375"/>
      <c r="E548" s="375"/>
      <c r="F548" s="375"/>
      <c r="G548" s="376"/>
      <c r="H548" s="1"/>
    </row>
    <row r="549" spans="2:8" ht="15" customHeight="1" x14ac:dyDescent="0.25">
      <c r="B549" s="382" t="s">
        <v>533</v>
      </c>
      <c r="C549" s="375"/>
      <c r="D549" s="375"/>
      <c r="E549" s="375"/>
      <c r="F549" s="375"/>
      <c r="G549" s="376"/>
      <c r="H549" s="1"/>
    </row>
    <row r="550" spans="2:8" ht="26.25" customHeight="1" x14ac:dyDescent="0.25">
      <c r="B550" s="374" t="s">
        <v>534</v>
      </c>
      <c r="C550" s="375"/>
      <c r="D550" s="375"/>
      <c r="E550" s="375"/>
      <c r="F550" s="375"/>
      <c r="G550" s="376"/>
      <c r="H550" s="1"/>
    </row>
    <row r="551" spans="2:8" ht="15" customHeight="1" x14ac:dyDescent="0.25">
      <c r="B551" s="374" t="s">
        <v>535</v>
      </c>
      <c r="C551" s="375"/>
      <c r="D551" s="375"/>
      <c r="E551" s="375"/>
      <c r="F551" s="375"/>
      <c r="G551" s="376"/>
      <c r="H551" s="1"/>
    </row>
    <row r="552" spans="2:8" ht="15" customHeight="1" x14ac:dyDescent="0.25">
      <c r="B552" s="374" t="s">
        <v>536</v>
      </c>
      <c r="C552" s="375"/>
      <c r="D552" s="375"/>
      <c r="E552" s="375"/>
      <c r="F552" s="375"/>
      <c r="G552" s="376"/>
      <c r="H552" s="1"/>
    </row>
    <row r="553" spans="2:8" ht="15" customHeight="1" x14ac:dyDescent="0.25">
      <c r="B553" s="382" t="s">
        <v>537</v>
      </c>
      <c r="C553" s="375"/>
      <c r="D553" s="375"/>
      <c r="E553" s="375"/>
      <c r="F553" s="375"/>
      <c r="G553" s="376"/>
      <c r="H553" s="1"/>
    </row>
    <row r="554" spans="2:8" ht="42" customHeight="1" x14ac:dyDescent="0.25">
      <c r="B554" s="374" t="s">
        <v>538</v>
      </c>
      <c r="C554" s="375"/>
      <c r="D554" s="375"/>
      <c r="E554" s="375"/>
      <c r="F554" s="375"/>
      <c r="G554" s="376"/>
      <c r="H554" s="1"/>
    </row>
    <row r="555" spans="2:8" ht="42.75" customHeight="1" x14ac:dyDescent="0.25">
      <c r="B555" s="374" t="s">
        <v>539</v>
      </c>
      <c r="C555" s="375"/>
      <c r="D555" s="375"/>
      <c r="E555" s="375"/>
      <c r="F555" s="375"/>
      <c r="G555" s="376"/>
      <c r="H555" s="1"/>
    </row>
    <row r="556" spans="2:8" ht="15" customHeight="1" x14ac:dyDescent="0.25">
      <c r="B556" s="382" t="s">
        <v>540</v>
      </c>
      <c r="C556" s="375"/>
      <c r="D556" s="375"/>
      <c r="E556" s="375"/>
      <c r="F556" s="375"/>
      <c r="G556" s="376"/>
      <c r="H556" s="1"/>
    </row>
    <row r="557" spans="2:8" ht="15" customHeight="1" x14ac:dyDescent="0.25">
      <c r="B557" s="374" t="s">
        <v>541</v>
      </c>
      <c r="C557" s="375"/>
      <c r="D557" s="375"/>
      <c r="E557" s="375"/>
      <c r="F557" s="375"/>
      <c r="G557" s="376"/>
      <c r="H557" s="1"/>
    </row>
    <row r="558" spans="2:8" ht="15" customHeight="1" x14ac:dyDescent="0.25">
      <c r="B558" s="374" t="s">
        <v>542</v>
      </c>
      <c r="C558" s="375"/>
      <c r="D558" s="375"/>
      <c r="E558" s="375"/>
      <c r="F558" s="375"/>
      <c r="G558" s="376"/>
      <c r="H558" s="1"/>
    </row>
    <row r="559" spans="2:8" ht="15" customHeight="1" x14ac:dyDescent="0.25">
      <c r="B559" s="374" t="s">
        <v>543</v>
      </c>
      <c r="C559" s="375"/>
      <c r="D559" s="375"/>
      <c r="E559" s="375"/>
      <c r="F559" s="375"/>
      <c r="G559" s="376"/>
      <c r="H559" s="1"/>
    </row>
    <row r="560" spans="2:8" ht="15" customHeight="1" x14ac:dyDescent="0.25">
      <c r="B560" s="374" t="s">
        <v>544</v>
      </c>
      <c r="C560" s="375"/>
      <c r="D560" s="375"/>
      <c r="E560" s="375"/>
      <c r="F560" s="375"/>
      <c r="G560" s="376"/>
      <c r="H560" s="1"/>
    </row>
    <row r="561" spans="2:8" ht="15" customHeight="1" x14ac:dyDescent="0.25">
      <c r="B561" s="374" t="s">
        <v>545</v>
      </c>
      <c r="C561" s="375"/>
      <c r="D561" s="375"/>
      <c r="E561" s="375"/>
      <c r="F561" s="375"/>
      <c r="G561" s="376"/>
      <c r="H561" s="1"/>
    </row>
    <row r="562" spans="2:8" ht="15" customHeight="1" x14ac:dyDescent="0.25">
      <c r="B562" s="374" t="s">
        <v>546</v>
      </c>
      <c r="C562" s="375"/>
      <c r="D562" s="375"/>
      <c r="E562" s="375"/>
      <c r="F562" s="375"/>
      <c r="G562" s="376"/>
      <c r="H562" s="1"/>
    </row>
    <row r="563" spans="2:8" ht="15" customHeight="1" x14ac:dyDescent="0.25">
      <c r="B563" s="374" t="s">
        <v>547</v>
      </c>
      <c r="C563" s="375"/>
      <c r="D563" s="375"/>
      <c r="E563" s="375"/>
      <c r="F563" s="375"/>
      <c r="G563" s="376"/>
      <c r="H563" s="1"/>
    </row>
    <row r="564" spans="2:8" ht="15" customHeight="1" x14ac:dyDescent="0.25">
      <c r="B564" s="374" t="s">
        <v>548</v>
      </c>
      <c r="C564" s="375"/>
      <c r="D564" s="375"/>
      <c r="E564" s="375"/>
      <c r="F564" s="375"/>
      <c r="G564" s="376"/>
      <c r="H564" s="1"/>
    </row>
    <row r="565" spans="2:8" ht="15" customHeight="1" x14ac:dyDescent="0.25">
      <c r="B565" s="74"/>
      <c r="C565" s="75"/>
      <c r="D565" s="75"/>
      <c r="E565" s="75"/>
      <c r="F565" s="75"/>
      <c r="G565" s="76"/>
      <c r="H565" s="1"/>
    </row>
    <row r="566" spans="2:8" ht="53.25" customHeight="1" x14ac:dyDescent="0.25">
      <c r="B566" s="374" t="s">
        <v>549</v>
      </c>
      <c r="C566" s="375"/>
      <c r="D566" s="375"/>
      <c r="E566" s="375"/>
      <c r="F566" s="375"/>
      <c r="G566" s="376"/>
      <c r="H566" s="1"/>
    </row>
    <row r="567" spans="2:8" ht="15" customHeight="1" x14ac:dyDescent="0.25">
      <c r="B567" s="381" t="s">
        <v>550</v>
      </c>
      <c r="C567" s="375"/>
      <c r="D567" s="375"/>
      <c r="E567" s="375"/>
      <c r="F567" s="375"/>
      <c r="G567" s="376"/>
      <c r="H567" s="1"/>
    </row>
    <row r="568" spans="2:8" ht="15" customHeight="1" x14ac:dyDescent="0.25">
      <c r="B568" s="374" t="s">
        <v>551</v>
      </c>
      <c r="C568" s="375"/>
      <c r="D568" s="375"/>
      <c r="E568" s="375"/>
      <c r="F568" s="375"/>
      <c r="G568" s="376"/>
      <c r="H568" s="1"/>
    </row>
    <row r="569" spans="2:8" ht="26.25" customHeight="1" x14ac:dyDescent="0.25">
      <c r="B569" s="374" t="s">
        <v>552</v>
      </c>
      <c r="C569" s="375"/>
      <c r="D569" s="375"/>
      <c r="E569" s="375"/>
      <c r="F569" s="375"/>
      <c r="G569" s="376"/>
      <c r="H569" s="1"/>
    </row>
    <row r="570" spans="2:8" ht="15" customHeight="1" x14ac:dyDescent="0.25">
      <c r="B570" s="381" t="s">
        <v>553</v>
      </c>
      <c r="C570" s="375"/>
      <c r="D570" s="375"/>
      <c r="E570" s="375"/>
      <c r="F570" s="375"/>
      <c r="G570" s="376"/>
      <c r="H570" s="1"/>
    </row>
    <row r="571" spans="2:8" ht="27" customHeight="1" x14ac:dyDescent="0.25">
      <c r="B571" s="374" t="s">
        <v>554</v>
      </c>
      <c r="C571" s="375"/>
      <c r="D571" s="375"/>
      <c r="E571" s="375"/>
      <c r="F571" s="375"/>
      <c r="G571" s="376"/>
      <c r="H571" s="1"/>
    </row>
    <row r="572" spans="2:8" ht="27.75" customHeight="1" x14ac:dyDescent="0.25">
      <c r="B572" s="374" t="s">
        <v>555</v>
      </c>
      <c r="C572" s="375"/>
      <c r="D572" s="375"/>
      <c r="E572" s="375"/>
      <c r="F572" s="375"/>
      <c r="G572" s="376"/>
      <c r="H572" s="1"/>
    </row>
    <row r="573" spans="2:8" ht="15" customHeight="1" x14ac:dyDescent="0.25">
      <c r="B573" s="381" t="s">
        <v>236</v>
      </c>
      <c r="C573" s="375"/>
      <c r="D573" s="375"/>
      <c r="E573" s="375"/>
      <c r="F573" s="375"/>
      <c r="G573" s="376"/>
      <c r="H573" s="1"/>
    </row>
    <row r="574" spans="2:8" ht="26.25" customHeight="1" x14ac:dyDescent="0.25">
      <c r="B574" s="374" t="s">
        <v>237</v>
      </c>
      <c r="C574" s="375"/>
      <c r="D574" s="375"/>
      <c r="E574" s="375"/>
      <c r="F574" s="375"/>
      <c r="G574" s="376"/>
      <c r="H574" s="1"/>
    </row>
    <row r="575" spans="2:8" ht="15" customHeight="1" x14ac:dyDescent="0.25">
      <c r="B575" s="74"/>
      <c r="C575" s="75"/>
      <c r="D575" s="75"/>
      <c r="E575" s="75"/>
      <c r="F575" s="75"/>
      <c r="G575" s="76"/>
      <c r="H575" s="1"/>
    </row>
    <row r="576" spans="2:8" ht="15" customHeight="1" x14ac:dyDescent="0.25">
      <c r="B576" s="381" t="s">
        <v>238</v>
      </c>
      <c r="C576" s="375"/>
      <c r="D576" s="375"/>
      <c r="E576" s="375"/>
      <c r="F576" s="375"/>
      <c r="G576" s="376"/>
      <c r="H576" s="1"/>
    </row>
    <row r="577" spans="2:8" ht="15" customHeight="1" x14ac:dyDescent="0.25">
      <c r="B577" s="374" t="s">
        <v>239</v>
      </c>
      <c r="C577" s="375"/>
      <c r="D577" s="375"/>
      <c r="E577" s="375"/>
      <c r="F577" s="375"/>
      <c r="G577" s="376"/>
      <c r="H577" s="1"/>
    </row>
    <row r="578" spans="2:8" ht="15" customHeight="1" x14ac:dyDescent="0.25">
      <c r="B578" s="374" t="s">
        <v>556</v>
      </c>
      <c r="C578" s="375"/>
      <c r="D578" s="375"/>
      <c r="E578" s="375"/>
      <c r="F578" s="375"/>
      <c r="G578" s="376"/>
      <c r="H578" s="1"/>
    </row>
    <row r="579" spans="2:8" ht="15" customHeight="1" x14ac:dyDescent="0.25">
      <c r="B579" s="74"/>
      <c r="C579" s="75"/>
      <c r="D579" s="75"/>
      <c r="E579" s="75"/>
      <c r="F579" s="75"/>
      <c r="G579" s="76"/>
      <c r="H579" s="1"/>
    </row>
    <row r="580" spans="2:8" ht="15" customHeight="1" x14ac:dyDescent="0.25">
      <c r="B580" s="381" t="s">
        <v>242</v>
      </c>
      <c r="C580" s="375"/>
      <c r="D580" s="375"/>
      <c r="E580" s="375"/>
      <c r="F580" s="375"/>
      <c r="G580" s="376"/>
      <c r="H580" s="1"/>
    </row>
    <row r="581" spans="2:8" ht="15" customHeight="1" x14ac:dyDescent="0.25">
      <c r="B581" s="374" t="s">
        <v>557</v>
      </c>
      <c r="C581" s="375"/>
      <c r="D581" s="375"/>
      <c r="E581" s="375"/>
      <c r="F581" s="375"/>
      <c r="G581" s="376"/>
      <c r="H581" s="1"/>
    </row>
    <row r="582" spans="2:8" ht="15" customHeight="1" x14ac:dyDescent="0.25">
      <c r="B582" s="381" t="s">
        <v>558</v>
      </c>
      <c r="C582" s="375"/>
      <c r="D582" s="375"/>
      <c r="E582" s="375"/>
      <c r="F582" s="375"/>
      <c r="G582" s="376"/>
      <c r="H582" s="1"/>
    </row>
    <row r="583" spans="2:8" ht="15" customHeight="1" x14ac:dyDescent="0.25">
      <c r="B583" s="381" t="s">
        <v>559</v>
      </c>
      <c r="C583" s="375"/>
      <c r="D583" s="375"/>
      <c r="E583" s="375"/>
      <c r="F583" s="375"/>
      <c r="G583" s="376"/>
      <c r="H583" s="1"/>
    </row>
    <row r="584" spans="2:8" ht="15" customHeight="1" x14ac:dyDescent="0.25">
      <c r="B584" s="374" t="s">
        <v>560</v>
      </c>
      <c r="C584" s="375"/>
      <c r="D584" s="375"/>
      <c r="E584" s="375"/>
      <c r="F584" s="375"/>
      <c r="G584" s="376"/>
      <c r="H584" s="1"/>
    </row>
    <row r="585" spans="2:8" ht="27" customHeight="1" x14ac:dyDescent="0.25">
      <c r="B585" s="374" t="s">
        <v>561</v>
      </c>
      <c r="C585" s="375"/>
      <c r="D585" s="375"/>
      <c r="E585" s="375"/>
      <c r="F585" s="375"/>
      <c r="G585" s="376"/>
      <c r="H585" s="1"/>
    </row>
    <row r="586" spans="2:8" ht="15" customHeight="1" x14ac:dyDescent="0.25">
      <c r="B586" s="374" t="s">
        <v>562</v>
      </c>
      <c r="C586" s="375"/>
      <c r="D586" s="375"/>
      <c r="E586" s="375"/>
      <c r="F586" s="375"/>
      <c r="G586" s="376"/>
      <c r="H586" s="1"/>
    </row>
    <row r="587" spans="2:8" ht="15" customHeight="1" x14ac:dyDescent="0.25">
      <c r="B587" s="374" t="s">
        <v>563</v>
      </c>
      <c r="C587" s="375"/>
      <c r="D587" s="375"/>
      <c r="E587" s="375"/>
      <c r="F587" s="375"/>
      <c r="G587" s="376"/>
      <c r="H587" s="1"/>
    </row>
    <row r="588" spans="2:8" ht="15" customHeight="1" x14ac:dyDescent="0.25">
      <c r="B588" s="374" t="s">
        <v>564</v>
      </c>
      <c r="C588" s="375"/>
      <c r="D588" s="375"/>
      <c r="E588" s="375"/>
      <c r="F588" s="375"/>
      <c r="G588" s="376"/>
      <c r="H588" s="1"/>
    </row>
    <row r="589" spans="2:8" ht="15" customHeight="1" x14ac:dyDescent="0.25">
      <c r="B589" s="374" t="s">
        <v>565</v>
      </c>
      <c r="C589" s="375"/>
      <c r="D589" s="375"/>
      <c r="E589" s="375"/>
      <c r="F589" s="375"/>
      <c r="G589" s="376"/>
      <c r="H589" s="1"/>
    </row>
    <row r="590" spans="2:8" ht="15" customHeight="1" x14ac:dyDescent="0.25">
      <c r="B590" s="374" t="s">
        <v>566</v>
      </c>
      <c r="C590" s="375"/>
      <c r="D590" s="375"/>
      <c r="E590" s="375"/>
      <c r="F590" s="375"/>
      <c r="G590" s="376"/>
      <c r="H590" s="1"/>
    </row>
    <row r="591" spans="2:8" ht="15" customHeight="1" x14ac:dyDescent="0.25">
      <c r="B591" s="374" t="s">
        <v>567</v>
      </c>
      <c r="C591" s="375"/>
      <c r="D591" s="375"/>
      <c r="E591" s="375"/>
      <c r="F591" s="375"/>
      <c r="G591" s="376"/>
      <c r="H591" s="1"/>
    </row>
    <row r="592" spans="2:8" ht="15" customHeight="1" x14ac:dyDescent="0.25">
      <c r="B592" s="77"/>
      <c r="C592" s="77"/>
      <c r="D592" s="77"/>
      <c r="E592" s="77"/>
      <c r="F592" s="77"/>
      <c r="G592" s="77"/>
      <c r="H592" s="1"/>
    </row>
    <row r="593" spans="1:8" ht="15" customHeight="1" x14ac:dyDescent="0.25">
      <c r="B593" s="420"/>
      <c r="C593" s="400"/>
      <c r="D593" s="400"/>
      <c r="E593" s="400"/>
      <c r="F593" s="400"/>
      <c r="G593" s="400"/>
      <c r="H593" s="1"/>
    </row>
    <row r="594" spans="1:8" ht="15" customHeight="1" x14ac:dyDescent="0.25">
      <c r="A594" s="69" t="s">
        <v>568</v>
      </c>
      <c r="B594" s="410" t="s">
        <v>569</v>
      </c>
      <c r="C594" s="375"/>
      <c r="D594" s="375"/>
      <c r="E594" s="375"/>
      <c r="F594" s="375"/>
      <c r="G594" s="376"/>
      <c r="H594" s="1"/>
    </row>
    <row r="595" spans="1:8" ht="32.25" customHeight="1" x14ac:dyDescent="0.25">
      <c r="B595" s="374" t="s">
        <v>570</v>
      </c>
      <c r="C595" s="375"/>
      <c r="D595" s="375"/>
      <c r="E595" s="375"/>
      <c r="F595" s="375"/>
      <c r="G595" s="376"/>
      <c r="H595" s="1"/>
    </row>
    <row r="596" spans="1:8" ht="15" customHeight="1" x14ac:dyDescent="0.25">
      <c r="B596" s="374" t="s">
        <v>571</v>
      </c>
      <c r="C596" s="375"/>
      <c r="D596" s="375"/>
      <c r="E596" s="375"/>
      <c r="F596" s="375"/>
      <c r="G596" s="376"/>
      <c r="H596" s="1"/>
    </row>
    <row r="597" spans="1:8" ht="15" customHeight="1" x14ac:dyDescent="0.25">
      <c r="B597" s="74"/>
      <c r="C597" s="75"/>
      <c r="D597" s="75"/>
      <c r="E597" s="75"/>
      <c r="F597" s="75"/>
      <c r="G597" s="76"/>
      <c r="H597" s="1"/>
    </row>
    <row r="598" spans="1:8" ht="15" customHeight="1" x14ac:dyDescent="0.25">
      <c r="B598" s="381" t="s">
        <v>572</v>
      </c>
      <c r="C598" s="375"/>
      <c r="D598" s="375"/>
      <c r="E598" s="375"/>
      <c r="F598" s="375"/>
      <c r="G598" s="376"/>
      <c r="H598" s="1"/>
    </row>
    <row r="599" spans="1:8" ht="15" customHeight="1" x14ac:dyDescent="0.25">
      <c r="B599" s="374" t="s">
        <v>573</v>
      </c>
      <c r="C599" s="375"/>
      <c r="D599" s="375"/>
      <c r="E599" s="375"/>
      <c r="F599" s="375"/>
      <c r="G599" s="376"/>
      <c r="H599" s="1"/>
    </row>
    <row r="600" spans="1:8" ht="15" customHeight="1" x14ac:dyDescent="0.25">
      <c r="B600" s="374" t="s">
        <v>574</v>
      </c>
      <c r="C600" s="375"/>
      <c r="D600" s="375"/>
      <c r="E600" s="375"/>
      <c r="F600" s="375"/>
      <c r="G600" s="376"/>
      <c r="H600" s="1"/>
    </row>
    <row r="601" spans="1:8" ht="15" customHeight="1" x14ac:dyDescent="0.25">
      <c r="B601" s="374" t="s">
        <v>575</v>
      </c>
      <c r="C601" s="375"/>
      <c r="D601" s="375"/>
      <c r="E601" s="375"/>
      <c r="F601" s="375"/>
      <c r="G601" s="376"/>
      <c r="H601" s="1"/>
    </row>
    <row r="602" spans="1:8" ht="15" customHeight="1" x14ac:dyDescent="0.25">
      <c r="B602" s="374" t="s">
        <v>576</v>
      </c>
      <c r="C602" s="375"/>
      <c r="D602" s="375"/>
      <c r="E602" s="375"/>
      <c r="F602" s="375"/>
      <c r="G602" s="376"/>
      <c r="H602" s="1"/>
    </row>
    <row r="603" spans="1:8" ht="15" customHeight="1" x14ac:dyDescent="0.25">
      <c r="B603" s="374" t="s">
        <v>577</v>
      </c>
      <c r="C603" s="375"/>
      <c r="D603" s="375"/>
      <c r="E603" s="375"/>
      <c r="F603" s="375"/>
      <c r="G603" s="376"/>
      <c r="H603" s="1"/>
    </row>
    <row r="604" spans="1:8" ht="15" customHeight="1" x14ac:dyDescent="0.25">
      <c r="B604" s="374" t="s">
        <v>578</v>
      </c>
      <c r="C604" s="375"/>
      <c r="D604" s="375"/>
      <c r="E604" s="375"/>
      <c r="F604" s="375"/>
      <c r="G604" s="376"/>
      <c r="H604" s="1"/>
    </row>
    <row r="605" spans="1:8" ht="15" customHeight="1" x14ac:dyDescent="0.25">
      <c r="B605" s="374" t="s">
        <v>579</v>
      </c>
      <c r="C605" s="375"/>
      <c r="D605" s="375"/>
      <c r="E605" s="375"/>
      <c r="F605" s="375"/>
      <c r="G605" s="376"/>
      <c r="H605" s="1"/>
    </row>
    <row r="606" spans="1:8" ht="39.75" customHeight="1" x14ac:dyDescent="0.25">
      <c r="B606" s="374" t="s">
        <v>580</v>
      </c>
      <c r="C606" s="375"/>
      <c r="D606" s="375"/>
      <c r="E606" s="375"/>
      <c r="F606" s="375"/>
      <c r="G606" s="376"/>
      <c r="H606" s="1"/>
    </row>
    <row r="607" spans="1:8" ht="25.5" customHeight="1" x14ac:dyDescent="0.25">
      <c r="B607" s="374" t="s">
        <v>581</v>
      </c>
      <c r="C607" s="375"/>
      <c r="D607" s="375"/>
      <c r="E607" s="375"/>
      <c r="F607" s="375"/>
      <c r="G607" s="376"/>
      <c r="H607" s="1"/>
    </row>
    <row r="608" spans="1:8" ht="15" customHeight="1" x14ac:dyDescent="0.25">
      <c r="B608" s="374" t="s">
        <v>582</v>
      </c>
      <c r="C608" s="375"/>
      <c r="D608" s="375"/>
      <c r="E608" s="375"/>
      <c r="F608" s="375"/>
      <c r="G608" s="376"/>
      <c r="H608" s="1"/>
    </row>
    <row r="609" spans="1:8" ht="27.75" customHeight="1" x14ac:dyDescent="0.25">
      <c r="B609" s="382" t="s">
        <v>583</v>
      </c>
      <c r="C609" s="375"/>
      <c r="D609" s="375"/>
      <c r="E609" s="375"/>
      <c r="F609" s="375"/>
      <c r="G609" s="376"/>
      <c r="H609" s="1"/>
    </row>
    <row r="610" spans="1:8" ht="28.5" customHeight="1" x14ac:dyDescent="0.25">
      <c r="B610" s="382" t="s">
        <v>584</v>
      </c>
      <c r="C610" s="375"/>
      <c r="D610" s="375"/>
      <c r="E610" s="375"/>
      <c r="F610" s="375"/>
      <c r="G610" s="376"/>
      <c r="H610" s="1"/>
    </row>
    <row r="611" spans="1:8" ht="15" customHeight="1" x14ac:dyDescent="0.25">
      <c r="B611" s="74"/>
      <c r="C611" s="75"/>
      <c r="D611" s="75"/>
      <c r="E611" s="75"/>
      <c r="F611" s="75"/>
      <c r="G611" s="76"/>
      <c r="H611" s="1"/>
    </row>
    <row r="612" spans="1:8" ht="15" customHeight="1" x14ac:dyDescent="0.25">
      <c r="B612" s="374" t="s">
        <v>242</v>
      </c>
      <c r="C612" s="375"/>
      <c r="D612" s="375"/>
      <c r="E612" s="375"/>
      <c r="F612" s="375"/>
      <c r="G612" s="376"/>
      <c r="H612" s="1"/>
    </row>
    <row r="613" spans="1:8" ht="193.5" customHeight="1" x14ac:dyDescent="0.25">
      <c r="B613" s="383" t="s">
        <v>585</v>
      </c>
      <c r="C613" s="375"/>
      <c r="D613" s="375"/>
      <c r="E613" s="375"/>
      <c r="F613" s="375"/>
      <c r="G613" s="376"/>
      <c r="H613" s="1"/>
    </row>
    <row r="614" spans="1:8" ht="15" customHeight="1" x14ac:dyDescent="0.25">
      <c r="B614" s="374" t="s">
        <v>333</v>
      </c>
      <c r="C614" s="375"/>
      <c r="D614" s="375"/>
      <c r="E614" s="375"/>
      <c r="F614" s="375"/>
      <c r="G614" s="376"/>
      <c r="H614" s="1"/>
    </row>
    <row r="615" spans="1:8" ht="15" customHeight="1" x14ac:dyDescent="0.25">
      <c r="B615" s="408"/>
      <c r="C615" s="409"/>
      <c r="D615" s="409"/>
      <c r="E615" s="409"/>
      <c r="F615" s="409"/>
      <c r="G615" s="409"/>
      <c r="H615" s="1"/>
    </row>
    <row r="616" spans="1:8" ht="15" customHeight="1" x14ac:dyDescent="0.25">
      <c r="B616" s="78"/>
      <c r="C616" s="78"/>
      <c r="D616" s="78"/>
      <c r="E616" s="78"/>
      <c r="F616" s="78"/>
      <c r="G616" s="78"/>
      <c r="H616" s="1"/>
    </row>
    <row r="617" spans="1:8" ht="15" customHeight="1" x14ac:dyDescent="0.25">
      <c r="A617" s="69" t="s">
        <v>586</v>
      </c>
      <c r="B617" s="410" t="s">
        <v>587</v>
      </c>
      <c r="C617" s="375"/>
      <c r="D617" s="375"/>
      <c r="E617" s="375"/>
      <c r="F617" s="375"/>
      <c r="G617" s="376"/>
      <c r="H617" s="1"/>
    </row>
    <row r="618" spans="1:8" ht="38.25" customHeight="1" x14ac:dyDescent="0.25">
      <c r="B618" s="374" t="s">
        <v>588</v>
      </c>
      <c r="C618" s="375"/>
      <c r="D618" s="375"/>
      <c r="E618" s="375"/>
      <c r="F618" s="375"/>
      <c r="G618" s="376"/>
      <c r="H618" s="1"/>
    </row>
    <row r="619" spans="1:8" ht="27" customHeight="1" x14ac:dyDescent="0.25">
      <c r="B619" s="374" t="s">
        <v>589</v>
      </c>
      <c r="C619" s="375"/>
      <c r="D619" s="375"/>
      <c r="E619" s="375"/>
      <c r="F619" s="375"/>
      <c r="G619" s="376"/>
      <c r="H619" s="1"/>
    </row>
    <row r="620" spans="1:8" ht="25.5" customHeight="1" x14ac:dyDescent="0.25">
      <c r="B620" s="374" t="s">
        <v>590</v>
      </c>
      <c r="C620" s="375"/>
      <c r="D620" s="375"/>
      <c r="E620" s="375"/>
      <c r="F620" s="375"/>
      <c r="G620" s="376"/>
      <c r="H620" s="1"/>
    </row>
    <row r="621" spans="1:8" ht="15" customHeight="1" x14ac:dyDescent="0.25">
      <c r="B621" s="374" t="s">
        <v>591</v>
      </c>
      <c r="C621" s="375"/>
      <c r="D621" s="375"/>
      <c r="E621" s="375"/>
      <c r="F621" s="375"/>
      <c r="G621" s="376"/>
      <c r="H621" s="1"/>
    </row>
    <row r="622" spans="1:8" ht="50.25" customHeight="1" x14ac:dyDescent="0.25">
      <c r="B622" s="374" t="s">
        <v>592</v>
      </c>
      <c r="C622" s="375"/>
      <c r="D622" s="375"/>
      <c r="E622" s="375"/>
      <c r="F622" s="375"/>
      <c r="G622" s="376"/>
      <c r="H622" s="1"/>
    </row>
    <row r="623" spans="1:8" ht="40.5" customHeight="1" x14ac:dyDescent="0.25">
      <c r="B623" s="374" t="s">
        <v>593</v>
      </c>
      <c r="C623" s="375"/>
      <c r="D623" s="375"/>
      <c r="E623" s="375"/>
      <c r="F623" s="375"/>
      <c r="G623" s="376"/>
      <c r="H623" s="1"/>
    </row>
    <row r="624" spans="1:8" ht="15" customHeight="1" x14ac:dyDescent="0.25">
      <c r="B624" s="374" t="s">
        <v>594</v>
      </c>
      <c r="C624" s="375"/>
      <c r="D624" s="375"/>
      <c r="E624" s="375"/>
      <c r="F624" s="375"/>
      <c r="G624" s="376"/>
      <c r="H624" s="1"/>
    </row>
    <row r="625" spans="1:8" ht="27" customHeight="1" x14ac:dyDescent="0.25">
      <c r="B625" s="374" t="s">
        <v>595</v>
      </c>
      <c r="C625" s="375"/>
      <c r="D625" s="375"/>
      <c r="E625" s="375"/>
      <c r="F625" s="375"/>
      <c r="G625" s="376"/>
      <c r="H625" s="1"/>
    </row>
    <row r="626" spans="1:8" ht="51" customHeight="1" x14ac:dyDescent="0.25">
      <c r="B626" s="374" t="s">
        <v>596</v>
      </c>
      <c r="C626" s="375"/>
      <c r="D626" s="375"/>
      <c r="E626" s="375"/>
      <c r="F626" s="375"/>
      <c r="G626" s="376"/>
      <c r="H626" s="1"/>
    </row>
    <row r="627" spans="1:8" ht="15" customHeight="1" x14ac:dyDescent="0.25">
      <c r="B627" s="374" t="s">
        <v>597</v>
      </c>
      <c r="C627" s="375"/>
      <c r="D627" s="375"/>
      <c r="E627" s="375"/>
      <c r="F627" s="375"/>
      <c r="G627" s="376"/>
      <c r="H627" s="1"/>
    </row>
    <row r="628" spans="1:8" ht="28.5" customHeight="1" x14ac:dyDescent="0.25">
      <c r="B628" s="374" t="s">
        <v>598</v>
      </c>
      <c r="C628" s="375"/>
      <c r="D628" s="375"/>
      <c r="E628" s="375"/>
      <c r="F628" s="375"/>
      <c r="G628" s="376"/>
      <c r="H628" s="1"/>
    </row>
    <row r="629" spans="1:8" ht="38.25" customHeight="1" x14ac:dyDescent="0.25">
      <c r="B629" s="374" t="s">
        <v>599</v>
      </c>
      <c r="C629" s="375"/>
      <c r="D629" s="375"/>
      <c r="E629" s="375"/>
      <c r="F629" s="375"/>
      <c r="G629" s="376"/>
      <c r="H629" s="1"/>
    </row>
    <row r="630" spans="1:8" ht="15" customHeight="1" x14ac:dyDescent="0.25">
      <c r="B630" s="374" t="s">
        <v>582</v>
      </c>
      <c r="C630" s="375"/>
      <c r="D630" s="375"/>
      <c r="E630" s="375"/>
      <c r="F630" s="375"/>
      <c r="G630" s="376"/>
      <c r="H630" s="1"/>
    </row>
    <row r="631" spans="1:8" ht="26.25" customHeight="1" x14ac:dyDescent="0.25">
      <c r="B631" s="374" t="s">
        <v>600</v>
      </c>
      <c r="C631" s="375"/>
      <c r="D631" s="375"/>
      <c r="E631" s="375"/>
      <c r="F631" s="375"/>
      <c r="G631" s="376"/>
      <c r="H631" s="1"/>
    </row>
    <row r="632" spans="1:8" ht="117.75" customHeight="1" x14ac:dyDescent="0.25">
      <c r="B632" s="374" t="s">
        <v>601</v>
      </c>
      <c r="C632" s="375"/>
      <c r="D632" s="375"/>
      <c r="E632" s="375"/>
      <c r="F632" s="375"/>
      <c r="G632" s="376"/>
      <c r="H632" s="1"/>
    </row>
    <row r="633" spans="1:8" ht="15" customHeight="1" x14ac:dyDescent="0.25">
      <c r="B633" s="408"/>
      <c r="C633" s="409"/>
      <c r="D633" s="409"/>
      <c r="E633" s="409"/>
      <c r="F633" s="409"/>
      <c r="G633" s="409"/>
      <c r="H633" s="1"/>
    </row>
    <row r="634" spans="1:8" ht="15" customHeight="1" x14ac:dyDescent="0.25">
      <c r="B634" s="396"/>
      <c r="C634" s="397"/>
      <c r="D634" s="397"/>
      <c r="E634" s="397"/>
      <c r="F634" s="397"/>
      <c r="G634" s="397"/>
      <c r="H634" s="1"/>
    </row>
    <row r="635" spans="1:8" ht="15" customHeight="1" x14ac:dyDescent="0.25">
      <c r="B635" s="396"/>
      <c r="C635" s="397"/>
      <c r="D635" s="397"/>
      <c r="E635" s="397"/>
      <c r="F635" s="397"/>
      <c r="G635" s="397"/>
      <c r="H635" s="1"/>
    </row>
    <row r="636" spans="1:8" ht="15" customHeight="1" x14ac:dyDescent="0.25">
      <c r="B636" s="396"/>
      <c r="C636" s="397"/>
      <c r="D636" s="397"/>
      <c r="E636" s="397"/>
      <c r="F636" s="397"/>
      <c r="G636" s="397"/>
      <c r="H636" s="1"/>
    </row>
    <row r="637" spans="1:8" ht="15" customHeight="1" x14ac:dyDescent="0.25">
      <c r="B637" s="396"/>
      <c r="C637" s="397"/>
      <c r="D637" s="397"/>
      <c r="E637" s="397"/>
      <c r="F637" s="397"/>
      <c r="G637" s="397"/>
      <c r="H637" s="1"/>
    </row>
    <row r="638" spans="1:8" ht="15" customHeight="1" x14ac:dyDescent="0.25">
      <c r="B638" s="396"/>
      <c r="C638" s="397"/>
      <c r="D638" s="397"/>
      <c r="E638" s="397"/>
      <c r="F638" s="397"/>
      <c r="G638" s="397"/>
      <c r="H638" s="1"/>
    </row>
    <row r="639" spans="1:8" ht="15" customHeight="1" x14ac:dyDescent="0.25">
      <c r="B639" s="420"/>
      <c r="C639" s="400"/>
      <c r="D639" s="400"/>
      <c r="E639" s="400"/>
      <c r="F639" s="400"/>
      <c r="G639" s="400"/>
      <c r="H639" s="1"/>
    </row>
    <row r="640" spans="1:8" ht="15" customHeight="1" x14ac:dyDescent="0.25">
      <c r="A640" s="69" t="s">
        <v>602</v>
      </c>
      <c r="B640" s="410" t="s">
        <v>603</v>
      </c>
      <c r="C640" s="375"/>
      <c r="D640" s="375"/>
      <c r="E640" s="375"/>
      <c r="F640" s="375"/>
      <c r="G640" s="376"/>
      <c r="H640" s="1"/>
    </row>
    <row r="641" spans="1:8" ht="30" customHeight="1" x14ac:dyDescent="0.25">
      <c r="B641" s="374" t="s">
        <v>604</v>
      </c>
      <c r="C641" s="375"/>
      <c r="D641" s="375"/>
      <c r="E641" s="375"/>
      <c r="F641" s="375"/>
      <c r="G641" s="376"/>
      <c r="H641" s="1"/>
    </row>
    <row r="642" spans="1:8" ht="17.25" customHeight="1" x14ac:dyDescent="0.25">
      <c r="B642" s="374" t="s">
        <v>605</v>
      </c>
      <c r="C642" s="375"/>
      <c r="D642" s="375"/>
      <c r="E642" s="375"/>
      <c r="F642" s="375"/>
      <c r="G642" s="376"/>
      <c r="H642" s="1"/>
    </row>
    <row r="643" spans="1:8" ht="15" customHeight="1" x14ac:dyDescent="0.25">
      <c r="B643" s="374" t="s">
        <v>606</v>
      </c>
      <c r="C643" s="375"/>
      <c r="D643" s="375"/>
      <c r="E643" s="375"/>
      <c r="F643" s="375"/>
      <c r="G643" s="376"/>
      <c r="H643" s="1"/>
    </row>
    <row r="644" spans="1:8" ht="15" customHeight="1" x14ac:dyDescent="0.25">
      <c r="B644" s="379" t="s">
        <v>607</v>
      </c>
      <c r="C644" s="375"/>
      <c r="D644" s="375"/>
      <c r="E644" s="375"/>
      <c r="F644" s="375"/>
      <c r="G644" s="376"/>
      <c r="H644" s="1"/>
    </row>
    <row r="645" spans="1:8" ht="15" customHeight="1" x14ac:dyDescent="0.25">
      <c r="B645" s="379" t="s">
        <v>608</v>
      </c>
      <c r="C645" s="375"/>
      <c r="D645" s="375"/>
      <c r="E645" s="375"/>
      <c r="F645" s="375"/>
      <c r="G645" s="376"/>
      <c r="H645" s="1"/>
    </row>
    <row r="646" spans="1:8" ht="15" customHeight="1" x14ac:dyDescent="0.25">
      <c r="B646" s="74"/>
      <c r="C646" s="75"/>
      <c r="D646" s="75"/>
      <c r="E646" s="75"/>
      <c r="F646" s="75"/>
      <c r="G646" s="76"/>
      <c r="H646" s="1"/>
    </row>
    <row r="647" spans="1:8" s="92" customFormat="1" ht="27" customHeight="1" x14ac:dyDescent="0.25">
      <c r="A647" s="90"/>
      <c r="B647" s="374" t="s">
        <v>609</v>
      </c>
      <c r="C647" s="375"/>
      <c r="D647" s="375"/>
      <c r="E647" s="375"/>
      <c r="F647" s="375"/>
      <c r="G647" s="376"/>
      <c r="H647" s="91"/>
    </row>
    <row r="648" spans="1:8" ht="39.75" customHeight="1" x14ac:dyDescent="0.25">
      <c r="B648" s="374" t="s">
        <v>610</v>
      </c>
      <c r="C648" s="375"/>
      <c r="D648" s="375"/>
      <c r="E648" s="375"/>
      <c r="F648" s="375"/>
      <c r="G648" s="376"/>
      <c r="H648" s="1"/>
    </row>
    <row r="649" spans="1:8" ht="51" customHeight="1" x14ac:dyDescent="0.25">
      <c r="B649" s="374" t="s">
        <v>611</v>
      </c>
      <c r="C649" s="375"/>
      <c r="D649" s="375"/>
      <c r="E649" s="375"/>
      <c r="F649" s="375"/>
      <c r="G649" s="376"/>
      <c r="H649" s="1"/>
    </row>
    <row r="650" spans="1:8" ht="64.5" customHeight="1" x14ac:dyDescent="0.25">
      <c r="B650" s="374" t="s">
        <v>612</v>
      </c>
      <c r="C650" s="375"/>
      <c r="D650" s="375"/>
      <c r="E650" s="375"/>
      <c r="F650" s="375"/>
      <c r="G650" s="376"/>
      <c r="H650" s="1"/>
    </row>
    <row r="651" spans="1:8" ht="26.25" customHeight="1" x14ac:dyDescent="0.25">
      <c r="B651" s="379" t="s">
        <v>613</v>
      </c>
      <c r="C651" s="375"/>
      <c r="D651" s="375"/>
      <c r="E651" s="375"/>
      <c r="F651" s="375"/>
      <c r="G651" s="376"/>
      <c r="H651" s="1"/>
    </row>
    <row r="652" spans="1:8" ht="38.25" customHeight="1" x14ac:dyDescent="0.25">
      <c r="B652" s="379" t="s">
        <v>614</v>
      </c>
      <c r="C652" s="375"/>
      <c r="D652" s="375"/>
      <c r="E652" s="375"/>
      <c r="F652" s="375"/>
      <c r="G652" s="376"/>
      <c r="H652" s="1"/>
    </row>
    <row r="653" spans="1:8" ht="15" customHeight="1" x14ac:dyDescent="0.25">
      <c r="B653" s="379" t="s">
        <v>615</v>
      </c>
      <c r="C653" s="375"/>
      <c r="D653" s="375"/>
      <c r="E653" s="375"/>
      <c r="F653" s="375"/>
      <c r="G653" s="376"/>
      <c r="H653" s="1"/>
    </row>
    <row r="654" spans="1:8" ht="15" customHeight="1" x14ac:dyDescent="0.25">
      <c r="B654" s="379" t="s">
        <v>616</v>
      </c>
      <c r="C654" s="375"/>
      <c r="D654" s="375"/>
      <c r="E654" s="375"/>
      <c r="F654" s="375"/>
      <c r="G654" s="376"/>
      <c r="H654" s="1"/>
    </row>
    <row r="655" spans="1:8" ht="15" customHeight="1" x14ac:dyDescent="0.25">
      <c r="B655" s="379" t="s">
        <v>617</v>
      </c>
      <c r="C655" s="375"/>
      <c r="D655" s="375"/>
      <c r="E655" s="375"/>
      <c r="F655" s="375"/>
      <c r="G655" s="376"/>
      <c r="H655" s="1"/>
    </row>
    <row r="656" spans="1:8" ht="15" customHeight="1" x14ac:dyDescent="0.25">
      <c r="B656" s="379" t="s">
        <v>618</v>
      </c>
      <c r="C656" s="375"/>
      <c r="D656" s="375"/>
      <c r="E656" s="375"/>
      <c r="F656" s="375"/>
      <c r="G656" s="376"/>
      <c r="H656" s="1"/>
    </row>
    <row r="657" spans="2:8" ht="63" customHeight="1" x14ac:dyDescent="0.25">
      <c r="B657" s="374" t="s">
        <v>619</v>
      </c>
      <c r="C657" s="375"/>
      <c r="D657" s="375"/>
      <c r="E657" s="375"/>
      <c r="F657" s="375"/>
      <c r="G657" s="376"/>
      <c r="H657" s="1"/>
    </row>
    <row r="658" spans="2:8" ht="14.25" customHeight="1" x14ac:dyDescent="0.25">
      <c r="B658" s="379" t="s">
        <v>620</v>
      </c>
      <c r="C658" s="375"/>
      <c r="D658" s="375"/>
      <c r="E658" s="375"/>
      <c r="F658" s="375"/>
      <c r="G658" s="376"/>
      <c r="H658" s="1"/>
    </row>
    <row r="659" spans="2:8" ht="25.5" customHeight="1" x14ac:dyDescent="0.25">
      <c r="B659" s="379" t="s">
        <v>621</v>
      </c>
      <c r="C659" s="375"/>
      <c r="D659" s="375"/>
      <c r="E659" s="375"/>
      <c r="F659" s="375"/>
      <c r="G659" s="376"/>
      <c r="H659" s="1"/>
    </row>
    <row r="660" spans="2:8" ht="27.75" customHeight="1" x14ac:dyDescent="0.25">
      <c r="B660" s="379" t="s">
        <v>622</v>
      </c>
      <c r="C660" s="375"/>
      <c r="D660" s="375"/>
      <c r="E660" s="375"/>
      <c r="F660" s="375"/>
      <c r="G660" s="376"/>
      <c r="H660" s="1"/>
    </row>
    <row r="661" spans="2:8" ht="15" customHeight="1" x14ac:dyDescent="0.25">
      <c r="B661" s="379" t="s">
        <v>623</v>
      </c>
      <c r="C661" s="375"/>
      <c r="D661" s="375"/>
      <c r="E661" s="375"/>
      <c r="F661" s="375"/>
      <c r="G661" s="376"/>
      <c r="H661" s="1"/>
    </row>
    <row r="662" spans="2:8" ht="15" customHeight="1" x14ac:dyDescent="0.25">
      <c r="B662" s="379" t="s">
        <v>624</v>
      </c>
      <c r="C662" s="375"/>
      <c r="D662" s="375"/>
      <c r="E662" s="375"/>
      <c r="F662" s="375"/>
      <c r="G662" s="376"/>
      <c r="H662" s="1"/>
    </row>
    <row r="663" spans="2:8" ht="15" customHeight="1" x14ac:dyDescent="0.25">
      <c r="B663" s="379" t="s">
        <v>625</v>
      </c>
      <c r="C663" s="375"/>
      <c r="D663" s="375"/>
      <c r="E663" s="375"/>
      <c r="F663" s="375"/>
      <c r="G663" s="376"/>
      <c r="H663" s="1"/>
    </row>
    <row r="664" spans="2:8" ht="15" customHeight="1" x14ac:dyDescent="0.25">
      <c r="B664" s="379" t="s">
        <v>626</v>
      </c>
      <c r="C664" s="375"/>
      <c r="D664" s="375"/>
      <c r="E664" s="375"/>
      <c r="F664" s="375"/>
      <c r="G664" s="376"/>
      <c r="H664" s="1"/>
    </row>
    <row r="665" spans="2:8" ht="15" customHeight="1" x14ac:dyDescent="0.25">
      <c r="B665" s="379" t="s">
        <v>627</v>
      </c>
      <c r="C665" s="375"/>
      <c r="D665" s="375"/>
      <c r="E665" s="375"/>
      <c r="F665" s="375"/>
      <c r="G665" s="376"/>
      <c r="H665" s="1"/>
    </row>
    <row r="666" spans="2:8" ht="15" customHeight="1" x14ac:dyDescent="0.25">
      <c r="B666" s="379" t="s">
        <v>628</v>
      </c>
      <c r="C666" s="375"/>
      <c r="D666" s="375"/>
      <c r="E666" s="375"/>
      <c r="F666" s="375"/>
      <c r="G666" s="376"/>
      <c r="H666" s="1"/>
    </row>
    <row r="667" spans="2:8" ht="15" customHeight="1" x14ac:dyDescent="0.25">
      <c r="B667" s="379" t="s">
        <v>629</v>
      </c>
      <c r="C667" s="375"/>
      <c r="D667" s="375"/>
      <c r="E667" s="375"/>
      <c r="F667" s="375"/>
      <c r="G667" s="376"/>
      <c r="H667" s="1"/>
    </row>
    <row r="668" spans="2:8" ht="15" customHeight="1" x14ac:dyDescent="0.25">
      <c r="B668" s="379" t="s">
        <v>630</v>
      </c>
      <c r="C668" s="375"/>
      <c r="D668" s="375"/>
      <c r="E668" s="375"/>
      <c r="F668" s="375"/>
      <c r="G668" s="376"/>
      <c r="H668" s="1"/>
    </row>
    <row r="669" spans="2:8" ht="15" customHeight="1" x14ac:dyDescent="0.25">
      <c r="B669" s="379" t="s">
        <v>631</v>
      </c>
      <c r="C669" s="375"/>
      <c r="D669" s="375"/>
      <c r="E669" s="375"/>
      <c r="F669" s="375"/>
      <c r="G669" s="376"/>
      <c r="H669" s="1"/>
    </row>
    <row r="670" spans="2:8" ht="15" customHeight="1" x14ac:dyDescent="0.25">
      <c r="B670" s="379" t="s">
        <v>632</v>
      </c>
      <c r="C670" s="375"/>
      <c r="D670" s="375"/>
      <c r="E670" s="375"/>
      <c r="F670" s="375"/>
      <c r="G670" s="376"/>
      <c r="H670" s="1"/>
    </row>
    <row r="671" spans="2:8" ht="15" customHeight="1" x14ac:dyDescent="0.25">
      <c r="B671" s="379" t="s">
        <v>633</v>
      </c>
      <c r="C671" s="375"/>
      <c r="D671" s="375"/>
      <c r="E671" s="375"/>
      <c r="F671" s="375"/>
      <c r="G671" s="376"/>
      <c r="H671" s="1"/>
    </row>
    <row r="672" spans="2:8" ht="15" customHeight="1" x14ac:dyDescent="0.25">
      <c r="B672" s="379" t="s">
        <v>634</v>
      </c>
      <c r="C672" s="375"/>
      <c r="D672" s="375"/>
      <c r="E672" s="375"/>
      <c r="F672" s="375"/>
      <c r="G672" s="376"/>
      <c r="H672" s="1"/>
    </row>
    <row r="673" spans="2:8" ht="15" customHeight="1" x14ac:dyDescent="0.25">
      <c r="B673" s="379" t="s">
        <v>635</v>
      </c>
      <c r="C673" s="375"/>
      <c r="D673" s="375"/>
      <c r="E673" s="375"/>
      <c r="F673" s="375"/>
      <c r="G673" s="376"/>
      <c r="H673" s="1"/>
    </row>
    <row r="674" spans="2:8" ht="25.5" customHeight="1" x14ac:dyDescent="0.25">
      <c r="B674" s="379" t="s">
        <v>636</v>
      </c>
      <c r="C674" s="375"/>
      <c r="D674" s="375"/>
      <c r="E674" s="375"/>
      <c r="F674" s="375"/>
      <c r="G674" s="376"/>
      <c r="H674" s="1"/>
    </row>
    <row r="675" spans="2:8" ht="15" customHeight="1" x14ac:dyDescent="0.25">
      <c r="B675" s="379" t="s">
        <v>637</v>
      </c>
      <c r="C675" s="375"/>
      <c r="D675" s="375"/>
      <c r="E675" s="375"/>
      <c r="F675" s="375"/>
      <c r="G675" s="376"/>
      <c r="H675" s="1"/>
    </row>
    <row r="676" spans="2:8" ht="15" customHeight="1" x14ac:dyDescent="0.25">
      <c r="B676" s="379" t="s">
        <v>638</v>
      </c>
      <c r="C676" s="375"/>
      <c r="D676" s="375"/>
      <c r="E676" s="375"/>
      <c r="F676" s="375"/>
      <c r="G676" s="376"/>
      <c r="H676" s="1"/>
    </row>
    <row r="677" spans="2:8" ht="40.5" customHeight="1" x14ac:dyDescent="0.25">
      <c r="B677" s="379" t="s">
        <v>639</v>
      </c>
      <c r="C677" s="375"/>
      <c r="D677" s="375"/>
      <c r="E677" s="375"/>
      <c r="F677" s="375"/>
      <c r="G677" s="376"/>
      <c r="H677" s="1"/>
    </row>
    <row r="678" spans="2:8" ht="39.75" customHeight="1" x14ac:dyDescent="0.25">
      <c r="B678" s="379" t="s">
        <v>640</v>
      </c>
      <c r="C678" s="375"/>
      <c r="D678" s="375"/>
      <c r="E678" s="375"/>
      <c r="F678" s="375"/>
      <c r="G678" s="376"/>
      <c r="H678" s="1"/>
    </row>
    <row r="679" spans="2:8" ht="15" customHeight="1" x14ac:dyDescent="0.25">
      <c r="B679" s="379" t="s">
        <v>641</v>
      </c>
      <c r="C679" s="375"/>
      <c r="D679" s="375"/>
      <c r="E679" s="375"/>
      <c r="F679" s="375"/>
      <c r="G679" s="376"/>
      <c r="H679" s="1"/>
    </row>
    <row r="680" spans="2:8" ht="15" customHeight="1" x14ac:dyDescent="0.25">
      <c r="B680" s="424" t="s">
        <v>642</v>
      </c>
      <c r="C680" s="375"/>
      <c r="D680" s="375"/>
      <c r="E680" s="375"/>
      <c r="F680" s="375"/>
      <c r="G680" s="376"/>
      <c r="H680" s="1"/>
    </row>
    <row r="681" spans="2:8" ht="41.25" customHeight="1" x14ac:dyDescent="0.25">
      <c r="B681" s="427" t="s">
        <v>643</v>
      </c>
      <c r="C681" s="375"/>
      <c r="D681" s="375"/>
      <c r="E681" s="375"/>
      <c r="F681" s="375"/>
      <c r="G681" s="376"/>
      <c r="H681" s="1"/>
    </row>
    <row r="682" spans="2:8" ht="15" customHeight="1" x14ac:dyDescent="0.25">
      <c r="B682" s="427" t="s">
        <v>644</v>
      </c>
      <c r="C682" s="375"/>
      <c r="D682" s="375"/>
      <c r="E682" s="375"/>
      <c r="F682" s="375"/>
      <c r="G682" s="376"/>
      <c r="H682" s="1"/>
    </row>
    <row r="683" spans="2:8" ht="54.75" customHeight="1" x14ac:dyDescent="0.25">
      <c r="B683" s="427" t="s">
        <v>645</v>
      </c>
      <c r="C683" s="375"/>
      <c r="D683" s="375"/>
      <c r="E683" s="375"/>
      <c r="F683" s="375"/>
      <c r="G683" s="376"/>
      <c r="H683" s="1"/>
    </row>
    <row r="684" spans="2:8" ht="27" customHeight="1" x14ac:dyDescent="0.25">
      <c r="B684" s="379" t="s">
        <v>646</v>
      </c>
      <c r="C684" s="375"/>
      <c r="D684" s="375"/>
      <c r="E684" s="375"/>
      <c r="F684" s="375"/>
      <c r="G684" s="376"/>
      <c r="H684" s="1"/>
    </row>
    <row r="685" spans="2:8" ht="15" customHeight="1" x14ac:dyDescent="0.25">
      <c r="B685" s="379"/>
      <c r="C685" s="375"/>
      <c r="D685" s="375"/>
      <c r="E685" s="375"/>
      <c r="F685" s="375"/>
      <c r="G685" s="376"/>
      <c r="H685" s="1"/>
    </row>
    <row r="686" spans="2:8" ht="15" customHeight="1" x14ac:dyDescent="0.25">
      <c r="B686" s="379" t="s">
        <v>647</v>
      </c>
      <c r="C686" s="375"/>
      <c r="D686" s="375"/>
      <c r="E686" s="375"/>
      <c r="F686" s="375"/>
      <c r="G686" s="376"/>
      <c r="H686" s="1"/>
    </row>
    <row r="687" spans="2:8" ht="15" customHeight="1" x14ac:dyDescent="0.25">
      <c r="B687" s="384" t="s">
        <v>648</v>
      </c>
      <c r="C687" s="375"/>
      <c r="D687" s="375"/>
      <c r="E687" s="375"/>
      <c r="F687" s="375"/>
      <c r="G687" s="376"/>
      <c r="H687" s="1"/>
    </row>
    <row r="688" spans="2:8" ht="15" customHeight="1" x14ac:dyDescent="0.25">
      <c r="B688" s="384" t="s">
        <v>649</v>
      </c>
      <c r="C688" s="375"/>
      <c r="D688" s="375"/>
      <c r="E688" s="375"/>
      <c r="F688" s="375"/>
      <c r="G688" s="376"/>
      <c r="H688" s="1"/>
    </row>
    <row r="689" spans="1:8" ht="15" customHeight="1" x14ac:dyDescent="0.25">
      <c r="B689" s="384" t="s">
        <v>650</v>
      </c>
      <c r="C689" s="375"/>
      <c r="D689" s="375"/>
      <c r="E689" s="375"/>
      <c r="F689" s="375"/>
      <c r="G689" s="376"/>
      <c r="H689" s="1"/>
    </row>
    <row r="690" spans="1:8" ht="15" customHeight="1" x14ac:dyDescent="0.25">
      <c r="B690" s="384" t="s">
        <v>651</v>
      </c>
      <c r="C690" s="375"/>
      <c r="D690" s="375"/>
      <c r="E690" s="375"/>
      <c r="F690" s="375"/>
      <c r="G690" s="376"/>
      <c r="H690" s="1"/>
    </row>
    <row r="691" spans="1:8" ht="15" customHeight="1" x14ac:dyDescent="0.25">
      <c r="B691" s="384" t="s">
        <v>652</v>
      </c>
      <c r="C691" s="375"/>
      <c r="D691" s="375"/>
      <c r="E691" s="375"/>
      <c r="F691" s="375"/>
      <c r="G691" s="376"/>
      <c r="H691" s="1"/>
    </row>
    <row r="692" spans="1:8" ht="15" customHeight="1" x14ac:dyDescent="0.25">
      <c r="B692" s="384" t="s">
        <v>653</v>
      </c>
      <c r="C692" s="375"/>
      <c r="D692" s="375"/>
      <c r="E692" s="375"/>
      <c r="F692" s="375"/>
      <c r="G692" s="376"/>
      <c r="H692" s="1"/>
    </row>
    <row r="693" spans="1:8" ht="15" customHeight="1" x14ac:dyDescent="0.25">
      <c r="B693" s="384" t="s">
        <v>654</v>
      </c>
      <c r="C693" s="375"/>
      <c r="D693" s="375"/>
      <c r="E693" s="375"/>
      <c r="F693" s="375"/>
      <c r="G693" s="376"/>
      <c r="H693" s="1"/>
    </row>
    <row r="694" spans="1:8" ht="15" customHeight="1" x14ac:dyDescent="0.25">
      <c r="B694" s="384" t="s">
        <v>655</v>
      </c>
      <c r="C694" s="375"/>
      <c r="D694" s="375"/>
      <c r="E694" s="375"/>
      <c r="F694" s="375"/>
      <c r="G694" s="376"/>
      <c r="H694" s="1"/>
    </row>
    <row r="695" spans="1:8" ht="15" customHeight="1" x14ac:dyDescent="0.25">
      <c r="B695" s="384" t="s">
        <v>656</v>
      </c>
      <c r="C695" s="375"/>
      <c r="D695" s="375"/>
      <c r="E695" s="375"/>
      <c r="F695" s="375"/>
      <c r="G695" s="376"/>
      <c r="H695" s="1"/>
    </row>
    <row r="696" spans="1:8" ht="15" customHeight="1" x14ac:dyDescent="0.25">
      <c r="B696" s="384" t="s">
        <v>657</v>
      </c>
      <c r="C696" s="375"/>
      <c r="D696" s="375"/>
      <c r="E696" s="375"/>
      <c r="F696" s="375"/>
      <c r="G696" s="376"/>
      <c r="H696" s="1"/>
    </row>
    <row r="697" spans="1:8" ht="15" customHeight="1" x14ac:dyDescent="0.25">
      <c r="B697" s="384" t="s">
        <v>658</v>
      </c>
      <c r="C697" s="375"/>
      <c r="D697" s="375"/>
      <c r="E697" s="375"/>
      <c r="F697" s="375"/>
      <c r="G697" s="376"/>
      <c r="H697" s="1"/>
    </row>
    <row r="698" spans="1:8" ht="15" customHeight="1" x14ac:dyDescent="0.25">
      <c r="B698" s="384" t="s">
        <v>659</v>
      </c>
      <c r="C698" s="375"/>
      <c r="D698" s="375"/>
      <c r="E698" s="375"/>
      <c r="F698" s="375"/>
      <c r="G698" s="376"/>
      <c r="H698" s="1"/>
    </row>
    <row r="699" spans="1:8" ht="15" customHeight="1" x14ac:dyDescent="0.25">
      <c r="B699" s="93"/>
      <c r="C699" s="93"/>
      <c r="D699" s="93"/>
      <c r="E699" s="93"/>
      <c r="F699" s="93"/>
      <c r="G699" s="93"/>
      <c r="H699" s="1"/>
    </row>
    <row r="700" spans="1:8" ht="15" customHeight="1" x14ac:dyDescent="0.25">
      <c r="B700" s="417"/>
      <c r="C700" s="400"/>
      <c r="D700" s="400"/>
      <c r="E700" s="400"/>
      <c r="F700" s="400"/>
      <c r="G700" s="400"/>
      <c r="H700" s="1"/>
    </row>
    <row r="701" spans="1:8" ht="15" customHeight="1" x14ac:dyDescent="0.25">
      <c r="A701" s="69" t="s">
        <v>660</v>
      </c>
      <c r="B701" s="410" t="s">
        <v>661</v>
      </c>
      <c r="C701" s="375"/>
      <c r="D701" s="375"/>
      <c r="E701" s="375"/>
      <c r="F701" s="375"/>
      <c r="G701" s="376"/>
      <c r="H701" s="1"/>
    </row>
    <row r="702" spans="1:8" ht="15" customHeight="1" x14ac:dyDescent="0.25">
      <c r="B702" s="374" t="s">
        <v>662</v>
      </c>
      <c r="C702" s="375"/>
      <c r="D702" s="375"/>
      <c r="E702" s="375"/>
      <c r="F702" s="375"/>
      <c r="G702" s="376"/>
      <c r="H702" s="1"/>
    </row>
    <row r="703" spans="1:8" ht="30.75" customHeight="1" x14ac:dyDescent="0.25">
      <c r="B703" s="374" t="s">
        <v>663</v>
      </c>
      <c r="C703" s="375"/>
      <c r="D703" s="375"/>
      <c r="E703" s="375"/>
      <c r="F703" s="375"/>
      <c r="G703" s="376"/>
      <c r="H703" s="1"/>
    </row>
    <row r="704" spans="1:8" ht="103.5" customHeight="1" x14ac:dyDescent="0.25">
      <c r="B704" s="374" t="s">
        <v>664</v>
      </c>
      <c r="C704" s="375"/>
      <c r="D704" s="375"/>
      <c r="E704" s="375"/>
      <c r="F704" s="375"/>
      <c r="G704" s="376"/>
      <c r="H704" s="1"/>
    </row>
    <row r="705" spans="2:8" ht="25.5" customHeight="1" x14ac:dyDescent="0.25">
      <c r="B705" s="374" t="s">
        <v>665</v>
      </c>
      <c r="C705" s="375"/>
      <c r="D705" s="375"/>
      <c r="E705" s="375"/>
      <c r="F705" s="375"/>
      <c r="G705" s="376"/>
      <c r="H705" s="1"/>
    </row>
    <row r="706" spans="2:8" ht="15" customHeight="1" x14ac:dyDescent="0.25">
      <c r="B706" s="374" t="s">
        <v>666</v>
      </c>
      <c r="C706" s="375"/>
      <c r="D706" s="375"/>
      <c r="E706" s="375"/>
      <c r="F706" s="375"/>
      <c r="G706" s="376"/>
      <c r="H706" s="1"/>
    </row>
    <row r="707" spans="2:8" ht="15" customHeight="1" x14ac:dyDescent="0.25">
      <c r="B707" s="374" t="s">
        <v>667</v>
      </c>
      <c r="C707" s="375"/>
      <c r="D707" s="375"/>
      <c r="E707" s="375"/>
      <c r="F707" s="375"/>
      <c r="G707" s="376"/>
      <c r="H707" s="1"/>
    </row>
    <row r="708" spans="2:8" ht="15" customHeight="1" x14ac:dyDescent="0.25">
      <c r="B708" s="374" t="s">
        <v>668</v>
      </c>
      <c r="C708" s="375"/>
      <c r="D708" s="375"/>
      <c r="E708" s="375"/>
      <c r="F708" s="375"/>
      <c r="G708" s="376"/>
      <c r="H708" s="1"/>
    </row>
    <row r="709" spans="2:8" ht="15" customHeight="1" x14ac:dyDescent="0.25">
      <c r="B709" s="374" t="s">
        <v>669</v>
      </c>
      <c r="C709" s="375"/>
      <c r="D709" s="375"/>
      <c r="E709" s="375"/>
      <c r="F709" s="375"/>
      <c r="G709" s="376"/>
      <c r="H709" s="1"/>
    </row>
    <row r="710" spans="2:8" ht="15" customHeight="1" x14ac:dyDescent="0.25">
      <c r="B710" s="374" t="s">
        <v>670</v>
      </c>
      <c r="C710" s="375"/>
      <c r="D710" s="375"/>
      <c r="E710" s="375"/>
      <c r="F710" s="375"/>
      <c r="G710" s="376"/>
      <c r="H710" s="1"/>
    </row>
    <row r="711" spans="2:8" ht="27" customHeight="1" x14ac:dyDescent="0.25">
      <c r="B711" s="374" t="s">
        <v>671</v>
      </c>
      <c r="C711" s="375"/>
      <c r="D711" s="375"/>
      <c r="E711" s="375"/>
      <c r="F711" s="375"/>
      <c r="G711" s="376"/>
      <c r="H711" s="1"/>
    </row>
    <row r="712" spans="2:8" ht="26.25" customHeight="1" x14ac:dyDescent="0.25">
      <c r="B712" s="374" t="s">
        <v>672</v>
      </c>
      <c r="C712" s="375"/>
      <c r="D712" s="375"/>
      <c r="E712" s="375"/>
      <c r="F712" s="375"/>
      <c r="G712" s="376"/>
      <c r="H712" s="1"/>
    </row>
    <row r="713" spans="2:8" ht="39.75" customHeight="1" x14ac:dyDescent="0.25">
      <c r="B713" s="374" t="s">
        <v>673</v>
      </c>
      <c r="C713" s="375"/>
      <c r="D713" s="375"/>
      <c r="E713" s="375"/>
      <c r="F713" s="375"/>
      <c r="G713" s="376"/>
      <c r="H713" s="1"/>
    </row>
    <row r="714" spans="2:8" ht="37.5" customHeight="1" x14ac:dyDescent="0.25">
      <c r="B714" s="374" t="s">
        <v>674</v>
      </c>
      <c r="C714" s="375"/>
      <c r="D714" s="375"/>
      <c r="E714" s="375"/>
      <c r="F714" s="375"/>
      <c r="G714" s="376"/>
      <c r="H714" s="1"/>
    </row>
    <row r="715" spans="2:8" ht="27.75" customHeight="1" x14ac:dyDescent="0.25">
      <c r="B715" s="374" t="s">
        <v>675</v>
      </c>
      <c r="C715" s="375"/>
      <c r="D715" s="375"/>
      <c r="E715" s="375"/>
      <c r="F715" s="375"/>
      <c r="G715" s="376"/>
      <c r="H715" s="1"/>
    </row>
    <row r="716" spans="2:8" ht="29.25" customHeight="1" x14ac:dyDescent="0.25">
      <c r="B716" s="374" t="s">
        <v>676</v>
      </c>
      <c r="C716" s="375"/>
      <c r="D716" s="375"/>
      <c r="E716" s="375"/>
      <c r="F716" s="375"/>
      <c r="G716" s="376"/>
      <c r="H716" s="1"/>
    </row>
    <row r="717" spans="2:8" ht="26.25" customHeight="1" x14ac:dyDescent="0.25">
      <c r="B717" s="374" t="s">
        <v>677</v>
      </c>
      <c r="C717" s="375"/>
      <c r="D717" s="375"/>
      <c r="E717" s="375"/>
      <c r="F717" s="375"/>
      <c r="G717" s="376"/>
      <c r="H717" s="1"/>
    </row>
    <row r="718" spans="2:8" ht="25.5" customHeight="1" x14ac:dyDescent="0.25">
      <c r="B718" s="374" t="s">
        <v>678</v>
      </c>
      <c r="C718" s="375"/>
      <c r="D718" s="375"/>
      <c r="E718" s="375"/>
      <c r="F718" s="375"/>
      <c r="G718" s="376"/>
      <c r="H718" s="1"/>
    </row>
    <row r="719" spans="2:8" ht="15" customHeight="1" x14ac:dyDescent="0.25">
      <c r="B719" s="374" t="s">
        <v>679</v>
      </c>
      <c r="C719" s="375"/>
      <c r="D719" s="375"/>
      <c r="E719" s="375"/>
      <c r="F719" s="375"/>
      <c r="G719" s="376"/>
      <c r="H719" s="1"/>
    </row>
    <row r="720" spans="2:8" ht="51.75" customHeight="1" x14ac:dyDescent="0.25">
      <c r="B720" s="374" t="s">
        <v>680</v>
      </c>
      <c r="C720" s="375"/>
      <c r="D720" s="375"/>
      <c r="E720" s="375"/>
      <c r="F720" s="375"/>
      <c r="G720" s="376"/>
      <c r="H720" s="1"/>
    </row>
    <row r="721" spans="2:8" ht="25.5" customHeight="1" x14ac:dyDescent="0.25">
      <c r="B721" s="374" t="s">
        <v>681</v>
      </c>
      <c r="C721" s="375"/>
      <c r="D721" s="375"/>
      <c r="E721" s="375"/>
      <c r="F721" s="375"/>
      <c r="G721" s="376"/>
      <c r="H721" s="1"/>
    </row>
    <row r="722" spans="2:8" ht="27" customHeight="1" x14ac:dyDescent="0.25">
      <c r="B722" s="374" t="s">
        <v>682</v>
      </c>
      <c r="C722" s="375"/>
      <c r="D722" s="375"/>
      <c r="E722" s="375"/>
      <c r="F722" s="375"/>
      <c r="G722" s="376"/>
      <c r="H722" s="1"/>
    </row>
    <row r="723" spans="2:8" ht="15" customHeight="1" x14ac:dyDescent="0.25">
      <c r="B723" s="374" t="s">
        <v>242</v>
      </c>
      <c r="C723" s="375"/>
      <c r="D723" s="375"/>
      <c r="E723" s="375"/>
      <c r="F723" s="375"/>
      <c r="G723" s="376"/>
      <c r="H723" s="1"/>
    </row>
    <row r="724" spans="2:8" ht="207" customHeight="1" x14ac:dyDescent="0.25">
      <c r="B724" s="383" t="s">
        <v>683</v>
      </c>
      <c r="C724" s="375"/>
      <c r="D724" s="375"/>
      <c r="E724" s="375"/>
      <c r="F724" s="375"/>
      <c r="G724" s="376"/>
      <c r="H724" s="1"/>
    </row>
    <row r="725" spans="2:8" ht="28.5" customHeight="1" x14ac:dyDescent="0.25">
      <c r="B725" s="374" t="s">
        <v>684</v>
      </c>
      <c r="C725" s="375"/>
      <c r="D725" s="375"/>
      <c r="E725" s="375"/>
      <c r="F725" s="375"/>
      <c r="G725" s="376"/>
      <c r="H725" s="1"/>
    </row>
    <row r="726" spans="2:8" ht="15" customHeight="1" x14ac:dyDescent="0.25">
      <c r="B726" s="390" t="s">
        <v>685</v>
      </c>
      <c r="C726" s="375"/>
      <c r="D726" s="375"/>
      <c r="E726" s="375"/>
      <c r="F726" s="375"/>
      <c r="G726" s="376"/>
      <c r="H726" s="1"/>
    </row>
    <row r="727" spans="2:8" ht="15" customHeight="1" x14ac:dyDescent="0.25">
      <c r="B727" s="374" t="s">
        <v>686</v>
      </c>
      <c r="C727" s="375"/>
      <c r="D727" s="375"/>
      <c r="E727" s="375"/>
      <c r="F727" s="375"/>
      <c r="G727" s="376"/>
      <c r="H727" s="1"/>
    </row>
    <row r="728" spans="2:8" ht="15" customHeight="1" x14ac:dyDescent="0.25">
      <c r="B728" s="374" t="s">
        <v>687</v>
      </c>
      <c r="C728" s="375"/>
      <c r="D728" s="375"/>
      <c r="E728" s="375"/>
      <c r="F728" s="375"/>
      <c r="G728" s="376"/>
      <c r="H728" s="1"/>
    </row>
    <row r="729" spans="2:8" ht="15" customHeight="1" x14ac:dyDescent="0.25">
      <c r="B729" s="374" t="s">
        <v>688</v>
      </c>
      <c r="C729" s="375"/>
      <c r="D729" s="375"/>
      <c r="E729" s="375"/>
      <c r="F729" s="375"/>
      <c r="G729" s="376"/>
      <c r="H729" s="1"/>
    </row>
    <row r="730" spans="2:8" ht="15" customHeight="1" x14ac:dyDescent="0.25">
      <c r="B730" s="374" t="s">
        <v>689</v>
      </c>
      <c r="C730" s="375"/>
      <c r="D730" s="375"/>
      <c r="E730" s="375"/>
      <c r="F730" s="375"/>
      <c r="G730" s="376"/>
      <c r="H730" s="1"/>
    </row>
    <row r="731" spans="2:8" ht="15" customHeight="1" x14ac:dyDescent="0.25">
      <c r="B731" s="374" t="s">
        <v>690</v>
      </c>
      <c r="C731" s="375"/>
      <c r="D731" s="375"/>
      <c r="E731" s="375"/>
      <c r="F731" s="375"/>
      <c r="G731" s="376"/>
      <c r="H731" s="1"/>
    </row>
    <row r="732" spans="2:8" ht="15" customHeight="1" x14ac:dyDescent="0.25">
      <c r="B732" s="374" t="s">
        <v>691</v>
      </c>
      <c r="C732" s="375"/>
      <c r="D732" s="375"/>
      <c r="E732" s="375"/>
      <c r="F732" s="375"/>
      <c r="G732" s="376"/>
      <c r="H732" s="1"/>
    </row>
    <row r="733" spans="2:8" ht="15" customHeight="1" x14ac:dyDescent="0.25">
      <c r="B733" s="374" t="s">
        <v>692</v>
      </c>
      <c r="C733" s="375"/>
      <c r="D733" s="375"/>
      <c r="E733" s="375"/>
      <c r="F733" s="375"/>
      <c r="G733" s="376"/>
      <c r="H733" s="1"/>
    </row>
    <row r="734" spans="2:8" ht="15" customHeight="1" x14ac:dyDescent="0.25">
      <c r="B734" s="374" t="s">
        <v>693</v>
      </c>
      <c r="C734" s="375"/>
      <c r="D734" s="375"/>
      <c r="E734" s="375"/>
      <c r="F734" s="375"/>
      <c r="G734" s="376"/>
      <c r="H734" s="1"/>
    </row>
    <row r="735" spans="2:8" ht="25.5" customHeight="1" x14ac:dyDescent="0.25">
      <c r="B735" s="374" t="s">
        <v>694</v>
      </c>
      <c r="C735" s="375"/>
      <c r="D735" s="375"/>
      <c r="E735" s="375"/>
      <c r="F735" s="375"/>
      <c r="G735" s="376"/>
      <c r="H735" s="1"/>
    </row>
    <row r="736" spans="2:8" ht="38.25" customHeight="1" x14ac:dyDescent="0.25">
      <c r="B736" s="374" t="s">
        <v>695</v>
      </c>
      <c r="C736" s="375"/>
      <c r="D736" s="375"/>
      <c r="E736" s="375"/>
      <c r="F736" s="375"/>
      <c r="G736" s="376"/>
      <c r="H736" s="1"/>
    </row>
    <row r="737" spans="1:8" ht="38.25" customHeight="1" x14ac:dyDescent="0.25">
      <c r="B737" s="374" t="s">
        <v>696</v>
      </c>
      <c r="C737" s="375"/>
      <c r="D737" s="375"/>
      <c r="E737" s="375"/>
      <c r="F737" s="375"/>
      <c r="G737" s="376"/>
      <c r="H737" s="1"/>
    </row>
    <row r="738" spans="1:8" ht="26.25" customHeight="1" x14ac:dyDescent="0.25">
      <c r="B738" s="374" t="s">
        <v>697</v>
      </c>
      <c r="C738" s="375"/>
      <c r="D738" s="375"/>
      <c r="E738" s="375"/>
      <c r="F738" s="375"/>
      <c r="G738" s="376"/>
      <c r="H738" s="1"/>
    </row>
    <row r="739" spans="1:8" ht="15" customHeight="1" x14ac:dyDescent="0.25">
      <c r="B739" s="389"/>
      <c r="C739" s="375"/>
      <c r="D739" s="375"/>
      <c r="E739" s="375"/>
      <c r="F739" s="375"/>
      <c r="G739" s="375"/>
      <c r="H739" s="1"/>
    </row>
    <row r="740" spans="1:8" ht="15" customHeight="1" x14ac:dyDescent="0.25">
      <c r="A740" s="69" t="s">
        <v>698</v>
      </c>
      <c r="B740" s="410" t="s">
        <v>699</v>
      </c>
      <c r="C740" s="375"/>
      <c r="D740" s="375"/>
      <c r="E740" s="375"/>
      <c r="F740" s="375"/>
      <c r="G740" s="376"/>
      <c r="H740" s="1"/>
    </row>
    <row r="741" spans="1:8" ht="42.75" customHeight="1" x14ac:dyDescent="0.25">
      <c r="B741" s="378" t="s">
        <v>430</v>
      </c>
      <c r="C741" s="375"/>
      <c r="D741" s="375"/>
      <c r="E741" s="375"/>
      <c r="F741" s="375"/>
      <c r="G741" s="376"/>
      <c r="H741" s="1"/>
    </row>
    <row r="742" spans="1:8" ht="77.25" customHeight="1" x14ac:dyDescent="0.25">
      <c r="B742" s="374" t="s">
        <v>700</v>
      </c>
      <c r="C742" s="375"/>
      <c r="D742" s="375"/>
      <c r="E742" s="375"/>
      <c r="F742" s="375"/>
      <c r="G742" s="376"/>
      <c r="H742" s="1"/>
    </row>
    <row r="743" spans="1:8" ht="15" customHeight="1" x14ac:dyDescent="0.25">
      <c r="B743" s="374" t="s">
        <v>701</v>
      </c>
      <c r="C743" s="375"/>
      <c r="D743" s="375"/>
      <c r="E743" s="375"/>
      <c r="F743" s="375"/>
      <c r="G743" s="376"/>
      <c r="H743" s="1"/>
    </row>
    <row r="744" spans="1:8" ht="15" customHeight="1" x14ac:dyDescent="0.25">
      <c r="B744" s="378" t="s">
        <v>702</v>
      </c>
      <c r="C744" s="375"/>
      <c r="D744" s="375"/>
      <c r="E744" s="375"/>
      <c r="F744" s="375"/>
      <c r="G744" s="376"/>
      <c r="H744" s="1"/>
    </row>
    <row r="745" spans="1:8" ht="15" customHeight="1" x14ac:dyDescent="0.25">
      <c r="B745" s="378" t="s">
        <v>703</v>
      </c>
      <c r="C745" s="375"/>
      <c r="D745" s="375"/>
      <c r="E745" s="375"/>
      <c r="F745" s="375"/>
      <c r="G745" s="376"/>
      <c r="H745" s="1"/>
    </row>
    <row r="746" spans="1:8" ht="15" customHeight="1" x14ac:dyDescent="0.25">
      <c r="B746" s="391" t="s">
        <v>434</v>
      </c>
      <c r="C746" s="375"/>
      <c r="D746" s="375"/>
      <c r="E746" s="375"/>
      <c r="F746" s="375"/>
      <c r="G746" s="376"/>
      <c r="H746" s="1"/>
    </row>
    <row r="747" spans="1:8" ht="15" customHeight="1" x14ac:dyDescent="0.25">
      <c r="B747" s="391" t="s">
        <v>704</v>
      </c>
      <c r="C747" s="375"/>
      <c r="D747" s="375"/>
      <c r="E747" s="375"/>
      <c r="F747" s="375"/>
      <c r="G747" s="376"/>
      <c r="H747" s="1"/>
    </row>
    <row r="748" spans="1:8" ht="15" customHeight="1" x14ac:dyDescent="0.25">
      <c r="B748" s="391" t="s">
        <v>705</v>
      </c>
      <c r="C748" s="375"/>
      <c r="D748" s="375"/>
      <c r="E748" s="375"/>
      <c r="F748" s="375"/>
      <c r="G748" s="376"/>
      <c r="H748" s="1"/>
    </row>
    <row r="749" spans="1:8" ht="15" customHeight="1" x14ac:dyDescent="0.25">
      <c r="B749" s="391" t="s">
        <v>706</v>
      </c>
      <c r="C749" s="375"/>
      <c r="D749" s="375"/>
      <c r="E749" s="375"/>
      <c r="F749" s="375"/>
      <c r="G749" s="376"/>
      <c r="H749" s="1"/>
    </row>
    <row r="750" spans="1:8" ht="15" customHeight="1" x14ac:dyDescent="0.25">
      <c r="B750" s="391" t="s">
        <v>707</v>
      </c>
      <c r="C750" s="375"/>
      <c r="D750" s="375"/>
      <c r="E750" s="375"/>
      <c r="F750" s="375"/>
      <c r="G750" s="376"/>
      <c r="H750" s="1"/>
    </row>
    <row r="751" spans="1:8" ht="15" customHeight="1" x14ac:dyDescent="0.25">
      <c r="B751" s="391" t="s">
        <v>708</v>
      </c>
      <c r="C751" s="375"/>
      <c r="D751" s="375"/>
      <c r="E751" s="375"/>
      <c r="F751" s="375"/>
      <c r="G751" s="376"/>
      <c r="H751" s="1"/>
    </row>
    <row r="752" spans="1:8" ht="15" customHeight="1" x14ac:dyDescent="0.25">
      <c r="B752" s="391" t="s">
        <v>709</v>
      </c>
      <c r="C752" s="375"/>
      <c r="D752" s="375"/>
      <c r="E752" s="375"/>
      <c r="F752" s="375"/>
      <c r="G752" s="376"/>
      <c r="H752" s="1"/>
    </row>
    <row r="753" spans="2:8" ht="15" customHeight="1" x14ac:dyDescent="0.25">
      <c r="B753" s="391" t="s">
        <v>710</v>
      </c>
      <c r="C753" s="375"/>
      <c r="D753" s="375"/>
      <c r="E753" s="375"/>
      <c r="F753" s="375"/>
      <c r="G753" s="376"/>
      <c r="H753" s="1"/>
    </row>
    <row r="754" spans="2:8" ht="15" customHeight="1" x14ac:dyDescent="0.25">
      <c r="B754" s="374" t="s">
        <v>711</v>
      </c>
      <c r="C754" s="375"/>
      <c r="D754" s="375"/>
      <c r="E754" s="375"/>
      <c r="F754" s="375"/>
      <c r="G754" s="376"/>
      <c r="H754" s="1"/>
    </row>
    <row r="755" spans="2:8" ht="15" customHeight="1" x14ac:dyDescent="0.25">
      <c r="B755" s="374" t="s">
        <v>712</v>
      </c>
      <c r="C755" s="375"/>
      <c r="D755" s="375"/>
      <c r="E755" s="375"/>
      <c r="F755" s="375"/>
      <c r="G755" s="376"/>
      <c r="H755" s="1"/>
    </row>
    <row r="756" spans="2:8" ht="15" customHeight="1" x14ac:dyDescent="0.25">
      <c r="B756" s="374" t="s">
        <v>713</v>
      </c>
      <c r="C756" s="375"/>
      <c r="D756" s="375"/>
      <c r="E756" s="375"/>
      <c r="F756" s="375"/>
      <c r="G756" s="376"/>
      <c r="H756" s="1"/>
    </row>
    <row r="757" spans="2:8" ht="15" customHeight="1" x14ac:dyDescent="0.25">
      <c r="B757" s="374" t="s">
        <v>714</v>
      </c>
      <c r="C757" s="375"/>
      <c r="D757" s="375"/>
      <c r="E757" s="375"/>
      <c r="F757" s="375"/>
      <c r="G757" s="376"/>
      <c r="H757" s="1"/>
    </row>
    <row r="758" spans="2:8" ht="15" customHeight="1" x14ac:dyDescent="0.25">
      <c r="B758" s="374" t="s">
        <v>715</v>
      </c>
      <c r="C758" s="375"/>
      <c r="D758" s="375"/>
      <c r="E758" s="375"/>
      <c r="F758" s="375"/>
      <c r="G758" s="376"/>
      <c r="H758" s="1"/>
    </row>
    <row r="759" spans="2:8" ht="15" customHeight="1" x14ac:dyDescent="0.25">
      <c r="B759" s="374" t="s">
        <v>716</v>
      </c>
      <c r="C759" s="375"/>
      <c r="D759" s="375"/>
      <c r="E759" s="375"/>
      <c r="F759" s="375"/>
      <c r="G759" s="376"/>
      <c r="H759" s="1"/>
    </row>
    <row r="760" spans="2:8" ht="54" customHeight="1" x14ac:dyDescent="0.25">
      <c r="B760" s="374" t="s">
        <v>717</v>
      </c>
      <c r="C760" s="375"/>
      <c r="D760" s="375"/>
      <c r="E760" s="375"/>
      <c r="F760" s="375"/>
      <c r="G760" s="376"/>
      <c r="H760" s="1"/>
    </row>
    <row r="761" spans="2:8" ht="15" customHeight="1" x14ac:dyDescent="0.25">
      <c r="B761" s="380"/>
      <c r="C761" s="375"/>
      <c r="D761" s="375"/>
      <c r="E761" s="375"/>
      <c r="F761" s="375"/>
      <c r="G761" s="376"/>
      <c r="H761" s="1"/>
    </row>
    <row r="762" spans="2:8" ht="15" customHeight="1" x14ac:dyDescent="0.25">
      <c r="B762" s="411" t="s">
        <v>718</v>
      </c>
      <c r="C762" s="375"/>
      <c r="D762" s="375"/>
      <c r="E762" s="375"/>
      <c r="F762" s="375"/>
      <c r="G762" s="376"/>
      <c r="H762" s="1"/>
    </row>
    <row r="763" spans="2:8" ht="15" customHeight="1" x14ac:dyDescent="0.25">
      <c r="B763" s="416" t="s">
        <v>719</v>
      </c>
      <c r="C763" s="375"/>
      <c r="D763" s="375"/>
      <c r="E763" s="375"/>
      <c r="F763" s="375"/>
      <c r="G763" s="376"/>
      <c r="H763" s="1"/>
    </row>
    <row r="764" spans="2:8" ht="15" customHeight="1" x14ac:dyDescent="0.25">
      <c r="B764" s="411" t="s">
        <v>720</v>
      </c>
      <c r="C764" s="375"/>
      <c r="D764" s="375"/>
      <c r="E764" s="375"/>
      <c r="F764" s="375"/>
      <c r="G764" s="376"/>
      <c r="H764" s="1"/>
    </row>
    <row r="765" spans="2:8" ht="15" customHeight="1" x14ac:dyDescent="0.25">
      <c r="B765" s="411" t="s">
        <v>721</v>
      </c>
      <c r="C765" s="375"/>
      <c r="D765" s="375"/>
      <c r="E765" s="375"/>
      <c r="F765" s="375"/>
      <c r="G765" s="376"/>
      <c r="H765" s="1"/>
    </row>
    <row r="766" spans="2:8" ht="15" customHeight="1" x14ac:dyDescent="0.25">
      <c r="B766" s="412" t="s">
        <v>722</v>
      </c>
      <c r="C766" s="375"/>
      <c r="D766" s="375"/>
      <c r="E766" s="375"/>
      <c r="F766" s="375"/>
      <c r="G766" s="376"/>
      <c r="H766" s="1"/>
    </row>
    <row r="767" spans="2:8" ht="15" customHeight="1" x14ac:dyDescent="0.25">
      <c r="B767" s="374" t="s">
        <v>723</v>
      </c>
      <c r="C767" s="375"/>
      <c r="D767" s="375"/>
      <c r="E767" s="375"/>
      <c r="F767" s="375"/>
      <c r="G767" s="376"/>
      <c r="H767" s="1"/>
    </row>
    <row r="768" spans="2:8" ht="15" customHeight="1" x14ac:dyDescent="0.25">
      <c r="B768" s="374" t="s">
        <v>724</v>
      </c>
      <c r="C768" s="375"/>
      <c r="D768" s="375"/>
      <c r="E768" s="375"/>
      <c r="F768" s="375"/>
      <c r="G768" s="376"/>
      <c r="H768" s="1"/>
    </row>
    <row r="769" spans="2:8" ht="15" customHeight="1" x14ac:dyDescent="0.25">
      <c r="B769" s="374" t="s">
        <v>725</v>
      </c>
      <c r="C769" s="375"/>
      <c r="D769" s="375"/>
      <c r="E769" s="375"/>
      <c r="F769" s="375"/>
      <c r="G769" s="376"/>
      <c r="H769" s="1"/>
    </row>
    <row r="770" spans="2:8" ht="15" customHeight="1" x14ac:dyDescent="0.25">
      <c r="B770" s="374" t="s">
        <v>726</v>
      </c>
      <c r="C770" s="375"/>
      <c r="D770" s="375"/>
      <c r="E770" s="375"/>
      <c r="F770" s="375"/>
      <c r="G770" s="376"/>
      <c r="H770" s="1"/>
    </row>
    <row r="771" spans="2:8" ht="15" customHeight="1" x14ac:dyDescent="0.25">
      <c r="B771" s="374" t="s">
        <v>727</v>
      </c>
      <c r="C771" s="375"/>
      <c r="D771" s="375"/>
      <c r="E771" s="375"/>
      <c r="F771" s="375"/>
      <c r="G771" s="376"/>
      <c r="H771" s="1"/>
    </row>
    <row r="772" spans="2:8" ht="15" customHeight="1" x14ac:dyDescent="0.25">
      <c r="B772" s="374" t="s">
        <v>728</v>
      </c>
      <c r="C772" s="375"/>
      <c r="D772" s="375"/>
      <c r="E772" s="375"/>
      <c r="F772" s="375"/>
      <c r="G772" s="376"/>
      <c r="H772" s="1"/>
    </row>
    <row r="773" spans="2:8" ht="15" customHeight="1" x14ac:dyDescent="0.25">
      <c r="B773" s="374" t="s">
        <v>729</v>
      </c>
      <c r="C773" s="375"/>
      <c r="D773" s="375"/>
      <c r="E773" s="375"/>
      <c r="F773" s="375"/>
      <c r="G773" s="376"/>
      <c r="H773" s="1"/>
    </row>
    <row r="774" spans="2:8" ht="15" customHeight="1" x14ac:dyDescent="0.25">
      <c r="B774" s="374" t="s">
        <v>730</v>
      </c>
      <c r="C774" s="375"/>
      <c r="D774" s="375"/>
      <c r="E774" s="375"/>
      <c r="F774" s="375"/>
      <c r="G774" s="376"/>
      <c r="H774" s="1"/>
    </row>
    <row r="775" spans="2:8" ht="15" customHeight="1" x14ac:dyDescent="0.25">
      <c r="B775" s="374" t="s">
        <v>731</v>
      </c>
      <c r="C775" s="375"/>
      <c r="D775" s="375"/>
      <c r="E775" s="375"/>
      <c r="F775" s="375"/>
      <c r="G775" s="376"/>
      <c r="H775" s="1"/>
    </row>
    <row r="776" spans="2:8" ht="15" customHeight="1" x14ac:dyDescent="0.25">
      <c r="B776" s="405" t="s">
        <v>732</v>
      </c>
      <c r="C776" s="375"/>
      <c r="D776" s="375"/>
      <c r="E776" s="375"/>
      <c r="F776" s="375"/>
      <c r="G776" s="376"/>
      <c r="H776" s="1"/>
    </row>
    <row r="777" spans="2:8" ht="15" customHeight="1" x14ac:dyDescent="0.25">
      <c r="B777" s="374" t="s">
        <v>733</v>
      </c>
      <c r="C777" s="375"/>
      <c r="D777" s="375"/>
      <c r="E777" s="375"/>
      <c r="F777" s="375"/>
      <c r="G777" s="376"/>
      <c r="H777" s="1"/>
    </row>
    <row r="778" spans="2:8" ht="15" customHeight="1" x14ac:dyDescent="0.25">
      <c r="B778" s="405" t="s">
        <v>734</v>
      </c>
      <c r="C778" s="375"/>
      <c r="D778" s="375"/>
      <c r="E778" s="375"/>
      <c r="F778" s="375"/>
      <c r="G778" s="376"/>
      <c r="H778" s="1"/>
    </row>
    <row r="779" spans="2:8" ht="15" customHeight="1" x14ac:dyDescent="0.25">
      <c r="B779" s="374" t="s">
        <v>735</v>
      </c>
      <c r="C779" s="375"/>
      <c r="D779" s="375"/>
      <c r="E779" s="375"/>
      <c r="F779" s="375"/>
      <c r="G779" s="376"/>
      <c r="H779" s="1"/>
    </row>
    <row r="780" spans="2:8" ht="15" customHeight="1" x14ac:dyDescent="0.25">
      <c r="B780" s="374" t="s">
        <v>736</v>
      </c>
      <c r="C780" s="375"/>
      <c r="D780" s="375"/>
      <c r="E780" s="375"/>
      <c r="F780" s="375"/>
      <c r="G780" s="376"/>
      <c r="H780" s="1"/>
    </row>
    <row r="781" spans="2:8" ht="15" customHeight="1" x14ac:dyDescent="0.25">
      <c r="B781" s="374" t="s">
        <v>737</v>
      </c>
      <c r="C781" s="375"/>
      <c r="D781" s="375"/>
      <c r="E781" s="375"/>
      <c r="F781" s="375"/>
      <c r="G781" s="376"/>
      <c r="H781" s="1"/>
    </row>
    <row r="782" spans="2:8" ht="15" customHeight="1" x14ac:dyDescent="0.25">
      <c r="B782" s="374" t="s">
        <v>738</v>
      </c>
      <c r="C782" s="375"/>
      <c r="D782" s="375"/>
      <c r="E782" s="375"/>
      <c r="F782" s="375"/>
      <c r="G782" s="376"/>
      <c r="H782" s="1"/>
    </row>
    <row r="783" spans="2:8" ht="15" customHeight="1" x14ac:dyDescent="0.25">
      <c r="B783" s="374" t="s">
        <v>739</v>
      </c>
      <c r="C783" s="375"/>
      <c r="D783" s="375"/>
      <c r="E783" s="375"/>
      <c r="F783" s="375"/>
      <c r="G783" s="376"/>
      <c r="H783" s="1"/>
    </row>
    <row r="784" spans="2:8" ht="15" customHeight="1" x14ac:dyDescent="0.25">
      <c r="B784" s="405" t="s">
        <v>740</v>
      </c>
      <c r="C784" s="375"/>
      <c r="D784" s="375"/>
      <c r="E784" s="375"/>
      <c r="F784" s="375"/>
      <c r="G784" s="376"/>
      <c r="H784" s="1"/>
    </row>
    <row r="785" spans="2:8" ht="15" customHeight="1" x14ac:dyDescent="0.25">
      <c r="B785" s="374" t="s">
        <v>739</v>
      </c>
      <c r="C785" s="375"/>
      <c r="D785" s="375"/>
      <c r="E785" s="375"/>
      <c r="F785" s="375"/>
      <c r="G785" s="376"/>
      <c r="H785" s="1"/>
    </row>
    <row r="786" spans="2:8" ht="15" customHeight="1" x14ac:dyDescent="0.25">
      <c r="B786" s="405" t="s">
        <v>740</v>
      </c>
      <c r="C786" s="375"/>
      <c r="D786" s="375"/>
      <c r="E786" s="375"/>
      <c r="F786" s="375"/>
      <c r="G786" s="376"/>
      <c r="H786" s="1"/>
    </row>
    <row r="787" spans="2:8" ht="15" customHeight="1" x14ac:dyDescent="0.25">
      <c r="B787" s="374" t="s">
        <v>741</v>
      </c>
      <c r="C787" s="375"/>
      <c r="D787" s="375"/>
      <c r="E787" s="375"/>
      <c r="F787" s="375"/>
      <c r="G787" s="376"/>
      <c r="H787" s="1"/>
    </row>
    <row r="788" spans="2:8" ht="15" customHeight="1" x14ac:dyDescent="0.25">
      <c r="B788" s="405" t="s">
        <v>742</v>
      </c>
      <c r="C788" s="375"/>
      <c r="D788" s="375"/>
      <c r="E788" s="375"/>
      <c r="F788" s="375"/>
      <c r="G788" s="376"/>
      <c r="H788" s="1"/>
    </row>
    <row r="789" spans="2:8" ht="15" customHeight="1" x14ac:dyDescent="0.25">
      <c r="B789" s="374" t="s">
        <v>743</v>
      </c>
      <c r="C789" s="375"/>
      <c r="D789" s="375"/>
      <c r="E789" s="375"/>
      <c r="F789" s="375"/>
      <c r="G789" s="376"/>
      <c r="H789" s="1"/>
    </row>
    <row r="790" spans="2:8" ht="15" customHeight="1" x14ac:dyDescent="0.25">
      <c r="B790" s="374" t="s">
        <v>744</v>
      </c>
      <c r="C790" s="375"/>
      <c r="D790" s="375"/>
      <c r="E790" s="375"/>
      <c r="F790" s="375"/>
      <c r="G790" s="376"/>
      <c r="H790" s="1"/>
    </row>
    <row r="791" spans="2:8" ht="15" customHeight="1" x14ac:dyDescent="0.25">
      <c r="B791" s="374" t="s">
        <v>745</v>
      </c>
      <c r="C791" s="375"/>
      <c r="D791" s="375"/>
      <c r="E791" s="375"/>
      <c r="F791" s="375"/>
      <c r="G791" s="376"/>
      <c r="H791" s="1"/>
    </row>
    <row r="792" spans="2:8" ht="15" customHeight="1" x14ac:dyDescent="0.25">
      <c r="B792" s="74"/>
      <c r="C792" s="75"/>
      <c r="D792" s="75"/>
      <c r="E792" s="75"/>
      <c r="F792" s="75"/>
      <c r="G792" s="76"/>
      <c r="H792" s="1"/>
    </row>
    <row r="793" spans="2:8" ht="30.75" customHeight="1" x14ac:dyDescent="0.25">
      <c r="B793" s="374" t="s">
        <v>746</v>
      </c>
      <c r="C793" s="375"/>
      <c r="D793" s="375"/>
      <c r="E793" s="375"/>
      <c r="F793" s="375"/>
      <c r="G793" s="376"/>
      <c r="H793" s="1"/>
    </row>
    <row r="794" spans="2:8" ht="15" customHeight="1" x14ac:dyDescent="0.25">
      <c r="B794" s="374" t="s">
        <v>747</v>
      </c>
      <c r="C794" s="375"/>
      <c r="D794" s="375"/>
      <c r="E794" s="375"/>
      <c r="F794" s="375"/>
      <c r="G794" s="376"/>
      <c r="H794" s="1"/>
    </row>
    <row r="795" spans="2:8" ht="15" customHeight="1" x14ac:dyDescent="0.25">
      <c r="B795" s="405" t="s">
        <v>748</v>
      </c>
      <c r="C795" s="375"/>
      <c r="D795" s="375"/>
      <c r="E795" s="375"/>
      <c r="F795" s="375"/>
      <c r="G795" s="376"/>
      <c r="H795" s="1"/>
    </row>
    <row r="796" spans="2:8" ht="15" customHeight="1" x14ac:dyDescent="0.25">
      <c r="B796" s="374" t="s">
        <v>749</v>
      </c>
      <c r="C796" s="375"/>
      <c r="D796" s="375"/>
      <c r="E796" s="375"/>
      <c r="F796" s="375"/>
      <c r="G796" s="376"/>
      <c r="H796" s="1"/>
    </row>
    <row r="797" spans="2:8" ht="33" customHeight="1" x14ac:dyDescent="0.25">
      <c r="B797" s="378" t="s">
        <v>750</v>
      </c>
      <c r="C797" s="375"/>
      <c r="D797" s="375"/>
      <c r="E797" s="375"/>
      <c r="F797" s="375"/>
      <c r="G797" s="376"/>
      <c r="H797" s="1"/>
    </row>
    <row r="798" spans="2:8" ht="15" customHeight="1" x14ac:dyDescent="0.25">
      <c r="B798" s="374" t="s">
        <v>751</v>
      </c>
      <c r="C798" s="375"/>
      <c r="D798" s="375"/>
      <c r="E798" s="375"/>
      <c r="F798" s="375"/>
      <c r="G798" s="376"/>
      <c r="H798" s="1"/>
    </row>
    <row r="799" spans="2:8" ht="29.25" customHeight="1" x14ac:dyDescent="0.25">
      <c r="B799" s="374" t="s">
        <v>752</v>
      </c>
      <c r="C799" s="375"/>
      <c r="D799" s="375"/>
      <c r="E799" s="375"/>
      <c r="F799" s="375"/>
      <c r="G799" s="376"/>
      <c r="H799" s="1"/>
    </row>
    <row r="800" spans="2:8" ht="15" customHeight="1" x14ac:dyDescent="0.25">
      <c r="B800" s="374" t="s">
        <v>753</v>
      </c>
      <c r="C800" s="375"/>
      <c r="D800" s="375"/>
      <c r="E800" s="375"/>
      <c r="F800" s="375"/>
      <c r="G800" s="376"/>
      <c r="H800" s="1"/>
    </row>
    <row r="801" spans="2:8" ht="27.75" customHeight="1" x14ac:dyDescent="0.25">
      <c r="B801" s="374" t="s">
        <v>754</v>
      </c>
      <c r="C801" s="375"/>
      <c r="D801" s="375"/>
      <c r="E801" s="375"/>
      <c r="F801" s="375"/>
      <c r="G801" s="376"/>
      <c r="H801" s="1"/>
    </row>
    <row r="802" spans="2:8" ht="15" customHeight="1" x14ac:dyDescent="0.25">
      <c r="B802" s="374" t="s">
        <v>755</v>
      </c>
      <c r="C802" s="375"/>
      <c r="D802" s="375"/>
      <c r="E802" s="375"/>
      <c r="F802" s="375"/>
      <c r="G802" s="376"/>
      <c r="H802" s="1"/>
    </row>
    <row r="803" spans="2:8" ht="26.25" customHeight="1" x14ac:dyDescent="0.25">
      <c r="B803" s="374" t="s">
        <v>756</v>
      </c>
      <c r="C803" s="375"/>
      <c r="D803" s="375"/>
      <c r="E803" s="375"/>
      <c r="F803" s="375"/>
      <c r="G803" s="376"/>
      <c r="H803" s="1"/>
    </row>
    <row r="804" spans="2:8" ht="15" customHeight="1" x14ac:dyDescent="0.25">
      <c r="B804" s="374" t="s">
        <v>757</v>
      </c>
      <c r="C804" s="375"/>
      <c r="D804" s="375"/>
      <c r="E804" s="375"/>
      <c r="F804" s="375"/>
      <c r="G804" s="376"/>
      <c r="H804" s="1"/>
    </row>
    <row r="805" spans="2:8" ht="30" customHeight="1" x14ac:dyDescent="0.25">
      <c r="B805" s="374" t="s">
        <v>758</v>
      </c>
      <c r="C805" s="375"/>
      <c r="D805" s="375"/>
      <c r="E805" s="375"/>
      <c r="F805" s="375"/>
      <c r="G805" s="376"/>
      <c r="H805" s="1"/>
    </row>
    <row r="806" spans="2:8" ht="15" customHeight="1" x14ac:dyDescent="0.25">
      <c r="B806" s="374" t="s">
        <v>759</v>
      </c>
      <c r="C806" s="375"/>
      <c r="D806" s="375"/>
      <c r="E806" s="375"/>
      <c r="F806" s="375"/>
      <c r="G806" s="376"/>
      <c r="H806" s="1"/>
    </row>
    <row r="807" spans="2:8" ht="29.25" customHeight="1" x14ac:dyDescent="0.25">
      <c r="B807" s="374" t="s">
        <v>760</v>
      </c>
      <c r="C807" s="375"/>
      <c r="D807" s="375"/>
      <c r="E807" s="375"/>
      <c r="F807" s="375"/>
      <c r="G807" s="376"/>
      <c r="H807" s="1"/>
    </row>
    <row r="808" spans="2:8" ht="15" customHeight="1" x14ac:dyDescent="0.25">
      <c r="B808" s="94"/>
      <c r="C808" s="95"/>
      <c r="D808" s="95"/>
      <c r="E808" s="95"/>
      <c r="F808" s="95"/>
      <c r="G808" s="96"/>
      <c r="H808" s="1"/>
    </row>
    <row r="809" spans="2:8" ht="15" customHeight="1" x14ac:dyDescent="0.25">
      <c r="B809" s="381" t="s">
        <v>761</v>
      </c>
      <c r="C809" s="375"/>
      <c r="D809" s="375"/>
      <c r="E809" s="375"/>
      <c r="F809" s="375"/>
      <c r="G809" s="376"/>
      <c r="H809" s="1"/>
    </row>
    <row r="810" spans="2:8" ht="15" customHeight="1" x14ac:dyDescent="0.25">
      <c r="B810" s="374" t="s">
        <v>762</v>
      </c>
      <c r="C810" s="375"/>
      <c r="D810" s="375"/>
      <c r="E810" s="375"/>
      <c r="F810" s="375"/>
      <c r="G810" s="376"/>
      <c r="H810" s="1"/>
    </row>
    <row r="811" spans="2:8" ht="15" customHeight="1" x14ac:dyDescent="0.25">
      <c r="B811" s="374" t="s">
        <v>763</v>
      </c>
      <c r="C811" s="375"/>
      <c r="D811" s="375"/>
      <c r="E811" s="375"/>
      <c r="F811" s="375"/>
      <c r="G811" s="376"/>
      <c r="H811" s="1"/>
    </row>
    <row r="812" spans="2:8" ht="30" customHeight="1" x14ac:dyDescent="0.25">
      <c r="B812" s="374" t="s">
        <v>764</v>
      </c>
      <c r="C812" s="375"/>
      <c r="D812" s="375"/>
      <c r="E812" s="375"/>
      <c r="F812" s="375"/>
      <c r="G812" s="376"/>
      <c r="H812" s="1"/>
    </row>
    <row r="813" spans="2:8" ht="42.75" customHeight="1" x14ac:dyDescent="0.25">
      <c r="B813" s="374" t="s">
        <v>765</v>
      </c>
      <c r="C813" s="375"/>
      <c r="D813" s="375"/>
      <c r="E813" s="375"/>
      <c r="F813" s="375"/>
      <c r="G813" s="376"/>
      <c r="H813" s="1"/>
    </row>
    <row r="814" spans="2:8" ht="28.5" customHeight="1" x14ac:dyDescent="0.25">
      <c r="B814" s="374" t="s">
        <v>766</v>
      </c>
      <c r="C814" s="375"/>
      <c r="D814" s="375"/>
      <c r="E814" s="375"/>
      <c r="F814" s="375"/>
      <c r="G814" s="376"/>
      <c r="H814" s="1"/>
    </row>
    <row r="815" spans="2:8" ht="15" customHeight="1" x14ac:dyDescent="0.25">
      <c r="B815" s="374" t="s">
        <v>767</v>
      </c>
      <c r="C815" s="375"/>
      <c r="D815" s="375"/>
      <c r="E815" s="375"/>
      <c r="F815" s="375"/>
      <c r="G815" s="376"/>
      <c r="H815" s="1"/>
    </row>
    <row r="816" spans="2:8" ht="30.75" customHeight="1" x14ac:dyDescent="0.25">
      <c r="B816" s="374" t="s">
        <v>768</v>
      </c>
      <c r="C816" s="375"/>
      <c r="D816" s="375"/>
      <c r="E816" s="375"/>
      <c r="F816" s="375"/>
      <c r="G816" s="376"/>
      <c r="H816" s="1"/>
    </row>
    <row r="817" spans="2:8" ht="54.75" customHeight="1" x14ac:dyDescent="0.25">
      <c r="B817" s="374" t="s">
        <v>769</v>
      </c>
      <c r="C817" s="375"/>
      <c r="D817" s="375"/>
      <c r="E817" s="375"/>
      <c r="F817" s="375"/>
      <c r="G817" s="376"/>
      <c r="H817" s="1"/>
    </row>
    <row r="818" spans="2:8" ht="15" customHeight="1" x14ac:dyDescent="0.25">
      <c r="B818" s="380"/>
      <c r="C818" s="375"/>
      <c r="D818" s="375"/>
      <c r="E818" s="375"/>
      <c r="F818" s="375"/>
      <c r="G818" s="376"/>
      <c r="H818" s="1"/>
    </row>
    <row r="819" spans="2:8" ht="15" customHeight="1" x14ac:dyDescent="0.25">
      <c r="B819" s="381" t="s">
        <v>770</v>
      </c>
      <c r="C819" s="375"/>
      <c r="D819" s="375"/>
      <c r="E819" s="375"/>
      <c r="F819" s="375"/>
      <c r="G819" s="376"/>
      <c r="H819" s="1"/>
    </row>
    <row r="820" spans="2:8" ht="56.25" customHeight="1" x14ac:dyDescent="0.25">
      <c r="B820" s="374" t="s">
        <v>771</v>
      </c>
      <c r="C820" s="375"/>
      <c r="D820" s="375"/>
      <c r="E820" s="375"/>
      <c r="F820" s="375"/>
      <c r="G820" s="376"/>
      <c r="H820" s="1"/>
    </row>
    <row r="821" spans="2:8" ht="15" customHeight="1" x14ac:dyDescent="0.25">
      <c r="B821" s="374" t="s">
        <v>772</v>
      </c>
      <c r="C821" s="375"/>
      <c r="D821" s="375"/>
      <c r="E821" s="375"/>
      <c r="F821" s="375"/>
      <c r="G821" s="376"/>
      <c r="H821" s="1"/>
    </row>
    <row r="822" spans="2:8" ht="26.25" customHeight="1" x14ac:dyDescent="0.25">
      <c r="B822" s="374" t="s">
        <v>773</v>
      </c>
      <c r="C822" s="375"/>
      <c r="D822" s="375"/>
      <c r="E822" s="375"/>
      <c r="F822" s="375"/>
      <c r="G822" s="376"/>
      <c r="H822" s="1"/>
    </row>
    <row r="823" spans="2:8" ht="15" customHeight="1" x14ac:dyDescent="0.25">
      <c r="B823" s="374" t="s">
        <v>774</v>
      </c>
      <c r="C823" s="375"/>
      <c r="D823" s="375"/>
      <c r="E823" s="375"/>
      <c r="F823" s="375"/>
      <c r="G823" s="376"/>
      <c r="H823" s="1"/>
    </row>
    <row r="824" spans="2:8" ht="15" customHeight="1" x14ac:dyDescent="0.25">
      <c r="B824" s="374" t="s">
        <v>775</v>
      </c>
      <c r="C824" s="375"/>
      <c r="D824" s="375"/>
      <c r="E824" s="375"/>
      <c r="F824" s="375"/>
      <c r="G824" s="376"/>
      <c r="H824" s="1"/>
    </row>
    <row r="825" spans="2:8" ht="15" customHeight="1" x14ac:dyDescent="0.25">
      <c r="B825" s="374" t="s">
        <v>776</v>
      </c>
      <c r="C825" s="375"/>
      <c r="D825" s="375"/>
      <c r="E825" s="375"/>
      <c r="F825" s="375"/>
      <c r="G825" s="376"/>
      <c r="H825" s="1"/>
    </row>
    <row r="826" spans="2:8" ht="15" customHeight="1" x14ac:dyDescent="0.25">
      <c r="B826" s="374" t="s">
        <v>777</v>
      </c>
      <c r="C826" s="375"/>
      <c r="D826" s="375"/>
      <c r="E826" s="375"/>
      <c r="F826" s="375"/>
      <c r="G826" s="376"/>
      <c r="H826" s="1"/>
    </row>
    <row r="827" spans="2:8" ht="15" customHeight="1" x14ac:dyDescent="0.25">
      <c r="B827" s="374" t="s">
        <v>778</v>
      </c>
      <c r="C827" s="375"/>
      <c r="D827" s="375"/>
      <c r="E827" s="375"/>
      <c r="F827" s="375"/>
      <c r="G827" s="376"/>
      <c r="H827" s="1"/>
    </row>
    <row r="828" spans="2:8" ht="15" customHeight="1" x14ac:dyDescent="0.25">
      <c r="B828" s="74"/>
      <c r="C828" s="75"/>
      <c r="D828" s="75"/>
      <c r="E828" s="75"/>
      <c r="F828" s="75"/>
      <c r="G828" s="76"/>
      <c r="H828" s="1"/>
    </row>
    <row r="829" spans="2:8" ht="15" customHeight="1" x14ac:dyDescent="0.25">
      <c r="B829" s="381" t="s">
        <v>770</v>
      </c>
      <c r="C829" s="375"/>
      <c r="D829" s="375"/>
      <c r="E829" s="375"/>
      <c r="F829" s="375"/>
      <c r="G829" s="376"/>
      <c r="H829" s="1"/>
    </row>
    <row r="830" spans="2:8" ht="55.5" customHeight="1" x14ac:dyDescent="0.25">
      <c r="B830" s="374" t="s">
        <v>779</v>
      </c>
      <c r="C830" s="375"/>
      <c r="D830" s="375"/>
      <c r="E830" s="375"/>
      <c r="F830" s="375"/>
      <c r="G830" s="376"/>
      <c r="H830" s="1"/>
    </row>
    <row r="831" spans="2:8" ht="15" customHeight="1" x14ac:dyDescent="0.25">
      <c r="B831" s="374" t="s">
        <v>780</v>
      </c>
      <c r="C831" s="375"/>
      <c r="D831" s="375"/>
      <c r="E831" s="375"/>
      <c r="F831" s="375"/>
      <c r="G831" s="376"/>
      <c r="H831" s="1"/>
    </row>
    <row r="832" spans="2:8" ht="25.5" customHeight="1" x14ac:dyDescent="0.25">
      <c r="B832" s="374" t="s">
        <v>781</v>
      </c>
      <c r="C832" s="375"/>
      <c r="D832" s="375"/>
      <c r="E832" s="375"/>
      <c r="F832" s="375"/>
      <c r="G832" s="376"/>
      <c r="H832" s="1"/>
    </row>
    <row r="833" spans="1:8" ht="15" customHeight="1" x14ac:dyDescent="0.25">
      <c r="B833" s="374" t="s">
        <v>774</v>
      </c>
      <c r="C833" s="375"/>
      <c r="D833" s="375"/>
      <c r="E833" s="375"/>
      <c r="F833" s="375"/>
      <c r="G833" s="376"/>
      <c r="H833" s="1"/>
    </row>
    <row r="834" spans="1:8" ht="15" customHeight="1" x14ac:dyDescent="0.25">
      <c r="B834" s="374" t="s">
        <v>782</v>
      </c>
      <c r="C834" s="375"/>
      <c r="D834" s="375"/>
      <c r="E834" s="375"/>
      <c r="F834" s="375"/>
      <c r="G834" s="376"/>
      <c r="H834" s="1"/>
    </row>
    <row r="835" spans="1:8" ht="15" customHeight="1" x14ac:dyDescent="0.25">
      <c r="B835" s="374" t="s">
        <v>783</v>
      </c>
      <c r="C835" s="375"/>
      <c r="D835" s="375"/>
      <c r="E835" s="375"/>
      <c r="F835" s="375"/>
      <c r="G835" s="376"/>
      <c r="H835" s="1"/>
    </row>
    <row r="836" spans="1:8" ht="15" customHeight="1" x14ac:dyDescent="0.25">
      <c r="B836" s="374" t="s">
        <v>784</v>
      </c>
      <c r="C836" s="375"/>
      <c r="D836" s="375"/>
      <c r="E836" s="375"/>
      <c r="F836" s="375"/>
      <c r="G836" s="376"/>
      <c r="H836" s="1"/>
    </row>
    <row r="837" spans="1:8" ht="15" customHeight="1" x14ac:dyDescent="0.25">
      <c r="B837" s="374" t="s">
        <v>785</v>
      </c>
      <c r="C837" s="375"/>
      <c r="D837" s="375"/>
      <c r="E837" s="375"/>
      <c r="F837" s="375"/>
      <c r="G837" s="376"/>
      <c r="H837" s="1"/>
    </row>
    <row r="838" spans="1:8" ht="15" customHeight="1" x14ac:dyDescent="0.25">
      <c r="B838" s="74"/>
      <c r="C838" s="75"/>
      <c r="D838" s="75"/>
      <c r="E838" s="75"/>
      <c r="F838" s="75"/>
      <c r="G838" s="76"/>
      <c r="H838" s="1"/>
    </row>
    <row r="839" spans="1:8" s="99" customFormat="1" ht="13.5" customHeight="1" x14ac:dyDescent="0.25">
      <c r="A839" s="97"/>
      <c r="B839" s="381" t="s">
        <v>786</v>
      </c>
      <c r="C839" s="375"/>
      <c r="D839" s="375"/>
      <c r="E839" s="375"/>
      <c r="F839" s="375"/>
      <c r="G839" s="376"/>
      <c r="H839" s="98"/>
    </row>
    <row r="840" spans="1:8" ht="53.25" customHeight="1" x14ac:dyDescent="0.25">
      <c r="B840" s="374" t="s">
        <v>787</v>
      </c>
      <c r="C840" s="375"/>
      <c r="D840" s="375"/>
      <c r="E840" s="375"/>
      <c r="F840" s="375"/>
      <c r="G840" s="376"/>
      <c r="H840" s="1"/>
    </row>
    <row r="841" spans="1:8" ht="15" customHeight="1" x14ac:dyDescent="0.25">
      <c r="B841" s="374" t="s">
        <v>788</v>
      </c>
      <c r="C841" s="375"/>
      <c r="D841" s="375"/>
      <c r="E841" s="375"/>
      <c r="F841" s="375"/>
      <c r="G841" s="376"/>
      <c r="H841" s="1"/>
    </row>
    <row r="842" spans="1:8" ht="15" customHeight="1" x14ac:dyDescent="0.25">
      <c r="B842" s="374" t="s">
        <v>789</v>
      </c>
      <c r="C842" s="375"/>
      <c r="D842" s="375"/>
      <c r="E842" s="375"/>
      <c r="F842" s="375"/>
      <c r="G842" s="376"/>
      <c r="H842" s="1"/>
    </row>
    <row r="843" spans="1:8" ht="15" customHeight="1" x14ac:dyDescent="0.25">
      <c r="B843" s="374" t="s">
        <v>790</v>
      </c>
      <c r="C843" s="375"/>
      <c r="D843" s="375"/>
      <c r="E843" s="375"/>
      <c r="F843" s="375"/>
      <c r="G843" s="376"/>
      <c r="H843" s="1"/>
    </row>
    <row r="844" spans="1:8" ht="15" customHeight="1" x14ac:dyDescent="0.25">
      <c r="B844" s="374" t="s">
        <v>791</v>
      </c>
      <c r="C844" s="375"/>
      <c r="D844" s="375"/>
      <c r="E844" s="375"/>
      <c r="F844" s="375"/>
      <c r="G844" s="376"/>
      <c r="H844" s="1"/>
    </row>
    <row r="845" spans="1:8" ht="15" customHeight="1" x14ac:dyDescent="0.25">
      <c r="B845" s="74"/>
      <c r="C845" s="75"/>
      <c r="D845" s="75"/>
      <c r="E845" s="75"/>
      <c r="F845" s="75"/>
      <c r="G845" s="76"/>
      <c r="H845" s="1"/>
    </row>
    <row r="846" spans="1:8" ht="15" customHeight="1" x14ac:dyDescent="0.25">
      <c r="B846" s="381" t="s">
        <v>792</v>
      </c>
      <c r="C846" s="375"/>
      <c r="D846" s="375"/>
      <c r="E846" s="375"/>
      <c r="F846" s="375"/>
      <c r="G846" s="376"/>
      <c r="H846" s="1"/>
    </row>
    <row r="847" spans="1:8" ht="42" customHeight="1" x14ac:dyDescent="0.25">
      <c r="B847" s="374" t="s">
        <v>793</v>
      </c>
      <c r="C847" s="375"/>
      <c r="D847" s="375"/>
      <c r="E847" s="375"/>
      <c r="F847" s="375"/>
      <c r="G847" s="376"/>
      <c r="H847" s="1"/>
    </row>
    <row r="848" spans="1:8" ht="28.5" customHeight="1" x14ac:dyDescent="0.25">
      <c r="B848" s="374" t="s">
        <v>794</v>
      </c>
      <c r="C848" s="375"/>
      <c r="D848" s="375"/>
      <c r="E848" s="375"/>
      <c r="F848" s="375"/>
      <c r="G848" s="376"/>
      <c r="H848" s="1"/>
    </row>
    <row r="849" spans="2:8" ht="15" customHeight="1" x14ac:dyDescent="0.25">
      <c r="B849" s="374" t="s">
        <v>795</v>
      </c>
      <c r="C849" s="375"/>
      <c r="D849" s="375"/>
      <c r="E849" s="375"/>
      <c r="F849" s="375"/>
      <c r="G849" s="376"/>
      <c r="H849" s="1"/>
    </row>
    <row r="850" spans="2:8" ht="15" customHeight="1" x14ac:dyDescent="0.25">
      <c r="B850" s="374" t="s">
        <v>796</v>
      </c>
      <c r="C850" s="375"/>
      <c r="D850" s="375"/>
      <c r="E850" s="375"/>
      <c r="F850" s="375"/>
      <c r="G850" s="376"/>
      <c r="H850" s="1"/>
    </row>
    <row r="851" spans="2:8" ht="15" customHeight="1" x14ac:dyDescent="0.25">
      <c r="B851" s="374" t="s">
        <v>776</v>
      </c>
      <c r="C851" s="375"/>
      <c r="D851" s="375"/>
      <c r="E851" s="375"/>
      <c r="F851" s="375"/>
      <c r="G851" s="376"/>
      <c r="H851" s="1"/>
    </row>
    <row r="852" spans="2:8" ht="15" customHeight="1" x14ac:dyDescent="0.25">
      <c r="B852" s="374" t="s">
        <v>797</v>
      </c>
      <c r="C852" s="375"/>
      <c r="D852" s="375"/>
      <c r="E852" s="375"/>
      <c r="F852" s="375"/>
      <c r="G852" s="376"/>
      <c r="H852" s="1"/>
    </row>
    <row r="853" spans="2:8" ht="15" customHeight="1" x14ac:dyDescent="0.25">
      <c r="B853" s="374" t="s">
        <v>798</v>
      </c>
      <c r="C853" s="375"/>
      <c r="D853" s="375"/>
      <c r="E853" s="375"/>
      <c r="F853" s="375"/>
      <c r="G853" s="376"/>
      <c r="H853" s="1"/>
    </row>
    <row r="854" spans="2:8" ht="15" customHeight="1" x14ac:dyDescent="0.25">
      <c r="B854" s="380"/>
      <c r="C854" s="375"/>
      <c r="D854" s="375"/>
      <c r="E854" s="375"/>
      <c r="F854" s="375"/>
      <c r="G854" s="376"/>
      <c r="H854" s="1"/>
    </row>
    <row r="855" spans="2:8" ht="15" customHeight="1" x14ac:dyDescent="0.25">
      <c r="B855" s="381" t="s">
        <v>799</v>
      </c>
      <c r="C855" s="375"/>
      <c r="D855" s="375"/>
      <c r="E855" s="375"/>
      <c r="F855" s="375"/>
      <c r="G855" s="376"/>
      <c r="H855" s="1"/>
    </row>
    <row r="856" spans="2:8" ht="56.25" customHeight="1" x14ac:dyDescent="0.25">
      <c r="B856" s="374" t="s">
        <v>800</v>
      </c>
      <c r="C856" s="375"/>
      <c r="D856" s="375"/>
      <c r="E856" s="375"/>
      <c r="F856" s="375"/>
      <c r="G856" s="376"/>
      <c r="H856" s="1"/>
    </row>
    <row r="857" spans="2:8" ht="15" customHeight="1" x14ac:dyDescent="0.25">
      <c r="B857" s="374" t="s">
        <v>801</v>
      </c>
      <c r="C857" s="375"/>
      <c r="D857" s="375"/>
      <c r="E857" s="375"/>
      <c r="F857" s="375"/>
      <c r="G857" s="376"/>
      <c r="H857" s="1"/>
    </row>
    <row r="858" spans="2:8" ht="15" customHeight="1" x14ac:dyDescent="0.25">
      <c r="B858" s="374" t="s">
        <v>802</v>
      </c>
      <c r="C858" s="375"/>
      <c r="D858" s="375"/>
      <c r="E858" s="375"/>
      <c r="F858" s="375"/>
      <c r="G858" s="376"/>
      <c r="H858" s="1"/>
    </row>
    <row r="859" spans="2:8" ht="15" customHeight="1" x14ac:dyDescent="0.25">
      <c r="B859" s="374" t="s">
        <v>803</v>
      </c>
      <c r="C859" s="375"/>
      <c r="D859" s="375"/>
      <c r="E859" s="375"/>
      <c r="F859" s="375"/>
      <c r="G859" s="376"/>
      <c r="H859" s="1"/>
    </row>
    <row r="860" spans="2:8" ht="15" customHeight="1" x14ac:dyDescent="0.25">
      <c r="B860" s="374" t="s">
        <v>804</v>
      </c>
      <c r="C860" s="375"/>
      <c r="D860" s="375"/>
      <c r="E860" s="375"/>
      <c r="F860" s="375"/>
      <c r="G860" s="376"/>
      <c r="H860" s="1"/>
    </row>
    <row r="861" spans="2:8" ht="15" customHeight="1" x14ac:dyDescent="0.25">
      <c r="B861" s="374" t="s">
        <v>805</v>
      </c>
      <c r="C861" s="375"/>
      <c r="D861" s="375"/>
      <c r="E861" s="375"/>
      <c r="F861" s="375"/>
      <c r="G861" s="376"/>
      <c r="H861" s="1"/>
    </row>
    <row r="862" spans="2:8" ht="15" customHeight="1" x14ac:dyDescent="0.25">
      <c r="B862" s="374" t="s">
        <v>806</v>
      </c>
      <c r="C862" s="375"/>
      <c r="D862" s="375"/>
      <c r="E862" s="375"/>
      <c r="F862" s="375"/>
      <c r="G862" s="376"/>
      <c r="H862" s="1"/>
    </row>
    <row r="863" spans="2:8" ht="15" customHeight="1" x14ac:dyDescent="0.25">
      <c r="B863" s="374" t="s">
        <v>774</v>
      </c>
      <c r="C863" s="375"/>
      <c r="D863" s="375"/>
      <c r="E863" s="375"/>
      <c r="F863" s="375"/>
      <c r="G863" s="376"/>
      <c r="H863" s="1"/>
    </row>
    <row r="864" spans="2:8" ht="15" customHeight="1" x14ac:dyDescent="0.25">
      <c r="B864" s="374" t="s">
        <v>807</v>
      </c>
      <c r="C864" s="375"/>
      <c r="D864" s="375"/>
      <c r="E864" s="375"/>
      <c r="F864" s="375"/>
      <c r="G864" s="376"/>
      <c r="H864" s="1"/>
    </row>
    <row r="865" spans="2:8" ht="15" customHeight="1" x14ac:dyDescent="0.25">
      <c r="B865" s="374" t="s">
        <v>808</v>
      </c>
      <c r="C865" s="375"/>
      <c r="D865" s="375"/>
      <c r="E865" s="375"/>
      <c r="F865" s="375"/>
      <c r="G865" s="376"/>
      <c r="H865" s="1"/>
    </row>
    <row r="866" spans="2:8" ht="15" customHeight="1" x14ac:dyDescent="0.25">
      <c r="B866" s="374" t="s">
        <v>809</v>
      </c>
      <c r="C866" s="375"/>
      <c r="D866" s="375"/>
      <c r="E866" s="375"/>
      <c r="F866" s="375"/>
      <c r="G866" s="376"/>
      <c r="H866" s="1"/>
    </row>
    <row r="867" spans="2:8" ht="15" customHeight="1" x14ac:dyDescent="0.25">
      <c r="B867" s="74"/>
      <c r="C867" s="75"/>
      <c r="D867" s="75"/>
      <c r="E867" s="75"/>
      <c r="F867" s="75"/>
      <c r="G867" s="76"/>
      <c r="H867" s="1"/>
    </row>
    <row r="868" spans="2:8" ht="15" customHeight="1" x14ac:dyDescent="0.25">
      <c r="B868" s="381" t="s">
        <v>810</v>
      </c>
      <c r="C868" s="375"/>
      <c r="D868" s="375"/>
      <c r="E868" s="375"/>
      <c r="F868" s="375"/>
      <c r="G868" s="376"/>
      <c r="H868" s="1"/>
    </row>
    <row r="869" spans="2:8" ht="79.5" customHeight="1" x14ac:dyDescent="0.25">
      <c r="B869" s="374" t="s">
        <v>811</v>
      </c>
      <c r="C869" s="375"/>
      <c r="D869" s="375"/>
      <c r="E869" s="375"/>
      <c r="F869" s="375"/>
      <c r="G869" s="376"/>
      <c r="H869" s="1"/>
    </row>
    <row r="870" spans="2:8" ht="15" customHeight="1" x14ac:dyDescent="0.25">
      <c r="B870" s="374" t="s">
        <v>812</v>
      </c>
      <c r="C870" s="375"/>
      <c r="D870" s="375"/>
      <c r="E870" s="375"/>
      <c r="F870" s="375"/>
      <c r="G870" s="376"/>
      <c r="H870" s="1"/>
    </row>
    <row r="871" spans="2:8" ht="15" customHeight="1" x14ac:dyDescent="0.25">
      <c r="B871" s="374" t="s">
        <v>813</v>
      </c>
      <c r="C871" s="375"/>
      <c r="D871" s="375"/>
      <c r="E871" s="375"/>
      <c r="F871" s="375"/>
      <c r="G871" s="376"/>
      <c r="H871" s="1"/>
    </row>
    <row r="872" spans="2:8" ht="25.5" customHeight="1" x14ac:dyDescent="0.25">
      <c r="B872" s="374" t="s">
        <v>814</v>
      </c>
      <c r="C872" s="375"/>
      <c r="D872" s="375"/>
      <c r="E872" s="375"/>
      <c r="F872" s="375"/>
      <c r="G872" s="376"/>
      <c r="H872" s="1"/>
    </row>
    <row r="873" spans="2:8" ht="15" customHeight="1" x14ac:dyDescent="0.25">
      <c r="B873" s="374" t="s">
        <v>815</v>
      </c>
      <c r="C873" s="375"/>
      <c r="D873" s="375"/>
      <c r="E873" s="375"/>
      <c r="F873" s="375"/>
      <c r="G873" s="376"/>
      <c r="H873" s="1"/>
    </row>
    <row r="874" spans="2:8" ht="15" customHeight="1" x14ac:dyDescent="0.25">
      <c r="B874" s="374" t="s">
        <v>816</v>
      </c>
      <c r="C874" s="375"/>
      <c r="D874" s="375"/>
      <c r="E874" s="375"/>
      <c r="F874" s="375"/>
      <c r="G874" s="376"/>
      <c r="H874" s="1"/>
    </row>
    <row r="875" spans="2:8" ht="15" customHeight="1" x14ac:dyDescent="0.25">
      <c r="B875" s="374" t="s">
        <v>817</v>
      </c>
      <c r="C875" s="375"/>
      <c r="D875" s="375"/>
      <c r="E875" s="375"/>
      <c r="F875" s="375"/>
      <c r="G875" s="376"/>
      <c r="H875" s="1"/>
    </row>
    <row r="876" spans="2:8" ht="15" customHeight="1" x14ac:dyDescent="0.25">
      <c r="B876" s="374" t="s">
        <v>818</v>
      </c>
      <c r="C876" s="375"/>
      <c r="D876" s="375"/>
      <c r="E876" s="375"/>
      <c r="F876" s="375"/>
      <c r="G876" s="376"/>
      <c r="H876" s="1"/>
    </row>
    <row r="877" spans="2:8" ht="15" customHeight="1" x14ac:dyDescent="0.25">
      <c r="B877" s="374" t="s">
        <v>819</v>
      </c>
      <c r="C877" s="375"/>
      <c r="D877" s="375"/>
      <c r="E877" s="375"/>
      <c r="F877" s="375"/>
      <c r="G877" s="376"/>
      <c r="H877" s="1"/>
    </row>
    <row r="878" spans="2:8" ht="15" customHeight="1" x14ac:dyDescent="0.25">
      <c r="B878" s="100"/>
      <c r="C878" s="101"/>
      <c r="D878" s="101"/>
      <c r="E878" s="101"/>
      <c r="F878" s="101"/>
      <c r="G878" s="102"/>
      <c r="H878" s="1"/>
    </row>
    <row r="879" spans="2:8" ht="41.25" customHeight="1" x14ac:dyDescent="0.25">
      <c r="B879" s="374" t="s">
        <v>820</v>
      </c>
      <c r="C879" s="375"/>
      <c r="D879" s="375"/>
      <c r="E879" s="375"/>
      <c r="F879" s="375"/>
      <c r="G879" s="376"/>
      <c r="H879" s="1"/>
    </row>
    <row r="880" spans="2:8" ht="43.5" customHeight="1" x14ac:dyDescent="0.25">
      <c r="B880" s="374" t="s">
        <v>821</v>
      </c>
      <c r="C880" s="375"/>
      <c r="D880" s="375"/>
      <c r="E880" s="375"/>
      <c r="F880" s="375"/>
      <c r="G880" s="376"/>
      <c r="H880" s="1"/>
    </row>
    <row r="881" spans="2:8" ht="15" customHeight="1" x14ac:dyDescent="0.25">
      <c r="B881" s="100"/>
      <c r="C881" s="101"/>
      <c r="D881" s="101"/>
      <c r="E881" s="101"/>
      <c r="F881" s="101"/>
      <c r="G881" s="102"/>
      <c r="H881" s="1"/>
    </row>
    <row r="882" spans="2:8" ht="15" customHeight="1" x14ac:dyDescent="0.25">
      <c r="B882" s="374" t="s">
        <v>822</v>
      </c>
      <c r="C882" s="375"/>
      <c r="D882" s="375"/>
      <c r="E882" s="375"/>
      <c r="F882" s="375"/>
      <c r="G882" s="376"/>
      <c r="H882" s="1"/>
    </row>
    <row r="883" spans="2:8" ht="15" customHeight="1" x14ac:dyDescent="0.25">
      <c r="B883" s="378" t="s">
        <v>439</v>
      </c>
      <c r="C883" s="375"/>
      <c r="D883" s="375"/>
      <c r="E883" s="375"/>
      <c r="F883" s="375"/>
      <c r="G883" s="376"/>
      <c r="H883" s="1"/>
    </row>
    <row r="884" spans="2:8" ht="15" customHeight="1" x14ac:dyDescent="0.25">
      <c r="B884" s="374" t="s">
        <v>440</v>
      </c>
      <c r="C884" s="375"/>
      <c r="D884" s="375"/>
      <c r="E884" s="375"/>
      <c r="F884" s="375"/>
      <c r="G884" s="376"/>
      <c r="H884" s="1"/>
    </row>
    <row r="885" spans="2:8" ht="15" customHeight="1" x14ac:dyDescent="0.25">
      <c r="B885" s="374" t="s">
        <v>441</v>
      </c>
      <c r="C885" s="375"/>
      <c r="D885" s="375"/>
      <c r="E885" s="375"/>
      <c r="F885" s="375"/>
      <c r="G885" s="376"/>
      <c r="H885" s="1"/>
    </row>
    <row r="886" spans="2:8" ht="15" customHeight="1" x14ac:dyDescent="0.25">
      <c r="B886" s="374" t="s">
        <v>442</v>
      </c>
      <c r="C886" s="375"/>
      <c r="D886" s="375"/>
      <c r="E886" s="375"/>
      <c r="F886" s="375"/>
      <c r="G886" s="376"/>
      <c r="H886" s="1"/>
    </row>
    <row r="887" spans="2:8" ht="15" customHeight="1" x14ac:dyDescent="0.25">
      <c r="B887" s="374" t="s">
        <v>443</v>
      </c>
      <c r="C887" s="375"/>
      <c r="D887" s="375"/>
      <c r="E887" s="375"/>
      <c r="F887" s="375"/>
      <c r="G887" s="376"/>
      <c r="H887" s="1"/>
    </row>
    <row r="888" spans="2:8" ht="27.75" customHeight="1" x14ac:dyDescent="0.25">
      <c r="B888" s="378" t="s">
        <v>823</v>
      </c>
      <c r="C888" s="375"/>
      <c r="D888" s="375"/>
      <c r="E888" s="375"/>
      <c r="F888" s="375"/>
      <c r="G888" s="376"/>
      <c r="H888" s="1"/>
    </row>
    <row r="889" spans="2:8" ht="15" customHeight="1" x14ac:dyDescent="0.25">
      <c r="B889" s="100"/>
      <c r="C889" s="101"/>
      <c r="D889" s="101"/>
      <c r="E889" s="101"/>
      <c r="F889" s="101"/>
      <c r="G889" s="102"/>
      <c r="H889" s="1"/>
    </row>
    <row r="890" spans="2:8" ht="15" customHeight="1" x14ac:dyDescent="0.25">
      <c r="B890" s="374" t="s">
        <v>445</v>
      </c>
      <c r="C890" s="375"/>
      <c r="D890" s="375"/>
      <c r="E890" s="375"/>
      <c r="F890" s="375"/>
      <c r="G890" s="376"/>
      <c r="H890" s="1"/>
    </row>
    <row r="891" spans="2:8" ht="28.5" customHeight="1" x14ac:dyDescent="0.25">
      <c r="B891" s="378" t="s">
        <v>824</v>
      </c>
      <c r="C891" s="375"/>
      <c r="D891" s="375"/>
      <c r="E891" s="375"/>
      <c r="F891" s="375"/>
      <c r="G891" s="376"/>
      <c r="H891" s="1"/>
    </row>
    <row r="892" spans="2:8" ht="15" customHeight="1" x14ac:dyDescent="0.25">
      <c r="B892" s="380"/>
      <c r="C892" s="375"/>
      <c r="D892" s="375"/>
      <c r="E892" s="375"/>
      <c r="F892" s="375"/>
      <c r="G892" s="376"/>
      <c r="H892" s="1"/>
    </row>
    <row r="893" spans="2:8" ht="15" customHeight="1" x14ac:dyDescent="0.25">
      <c r="B893" s="374" t="s">
        <v>447</v>
      </c>
      <c r="C893" s="375"/>
      <c r="D893" s="375"/>
      <c r="E893" s="375"/>
      <c r="F893" s="375"/>
      <c r="G893" s="376"/>
      <c r="H893" s="1"/>
    </row>
    <row r="894" spans="2:8" ht="39.75" customHeight="1" x14ac:dyDescent="0.25">
      <c r="B894" s="378" t="s">
        <v>448</v>
      </c>
      <c r="C894" s="375"/>
      <c r="D894" s="375"/>
      <c r="E894" s="375"/>
      <c r="F894" s="375"/>
      <c r="G894" s="376"/>
      <c r="H894" s="1"/>
    </row>
    <row r="895" spans="2:8" ht="31.5" customHeight="1" x14ac:dyDescent="0.25">
      <c r="B895" s="374" t="s">
        <v>449</v>
      </c>
      <c r="C895" s="375"/>
      <c r="D895" s="375"/>
      <c r="E895" s="375"/>
      <c r="F895" s="375"/>
      <c r="G895" s="376"/>
      <c r="H895" s="1"/>
    </row>
    <row r="896" spans="2:8" ht="15" customHeight="1" x14ac:dyDescent="0.25">
      <c r="B896" s="100"/>
      <c r="C896" s="101"/>
      <c r="D896" s="101"/>
      <c r="E896" s="101"/>
      <c r="F896" s="101"/>
      <c r="G896" s="102"/>
      <c r="H896" s="1"/>
    </row>
    <row r="897" spans="2:8" ht="15" customHeight="1" x14ac:dyDescent="0.25">
      <c r="B897" s="374" t="s">
        <v>450</v>
      </c>
      <c r="C897" s="375"/>
      <c r="D897" s="375"/>
      <c r="E897" s="375"/>
      <c r="F897" s="375"/>
      <c r="G897" s="376"/>
      <c r="H897" s="1"/>
    </row>
    <row r="898" spans="2:8" ht="41.25" customHeight="1" x14ac:dyDescent="0.25">
      <c r="B898" s="378" t="s">
        <v>451</v>
      </c>
      <c r="C898" s="375"/>
      <c r="D898" s="375"/>
      <c r="E898" s="375"/>
      <c r="F898" s="375"/>
      <c r="G898" s="376"/>
      <c r="H898" s="1"/>
    </row>
    <row r="899" spans="2:8" ht="15" customHeight="1" x14ac:dyDescent="0.25">
      <c r="B899" s="100"/>
      <c r="C899" s="101"/>
      <c r="D899" s="101"/>
      <c r="E899" s="101"/>
      <c r="F899" s="101"/>
      <c r="G899" s="102"/>
      <c r="H899" s="1"/>
    </row>
    <row r="900" spans="2:8" ht="15" customHeight="1" x14ac:dyDescent="0.25">
      <c r="B900" s="374" t="s">
        <v>452</v>
      </c>
      <c r="C900" s="375"/>
      <c r="D900" s="375"/>
      <c r="E900" s="375"/>
      <c r="F900" s="375"/>
      <c r="G900" s="376"/>
      <c r="H900" s="1"/>
    </row>
    <row r="901" spans="2:8" ht="40.5" customHeight="1" x14ac:dyDescent="0.25">
      <c r="B901" s="374" t="s">
        <v>453</v>
      </c>
      <c r="C901" s="375"/>
      <c r="D901" s="375"/>
      <c r="E901" s="375"/>
      <c r="F901" s="375"/>
      <c r="G901" s="376"/>
      <c r="H901" s="1"/>
    </row>
    <row r="902" spans="2:8" ht="15" customHeight="1" x14ac:dyDescent="0.25">
      <c r="B902" s="378" t="s">
        <v>454</v>
      </c>
      <c r="C902" s="375"/>
      <c r="D902" s="375"/>
      <c r="E902" s="375"/>
      <c r="F902" s="375"/>
      <c r="G902" s="376"/>
      <c r="H902" s="1"/>
    </row>
    <row r="903" spans="2:8" ht="15" customHeight="1" x14ac:dyDescent="0.25">
      <c r="B903" s="425" t="s">
        <v>825</v>
      </c>
      <c r="C903" s="375"/>
      <c r="D903" s="375"/>
      <c r="E903" s="375"/>
      <c r="F903" s="375"/>
      <c r="G903" s="376"/>
      <c r="H903" s="1"/>
    </row>
    <row r="904" spans="2:8" ht="15" customHeight="1" x14ac:dyDescent="0.25">
      <c r="B904" s="100"/>
      <c r="C904" s="101"/>
      <c r="D904" s="101"/>
      <c r="E904" s="101"/>
      <c r="F904" s="101"/>
      <c r="G904" s="102"/>
      <c r="H904" s="1"/>
    </row>
    <row r="905" spans="2:8" ht="15" customHeight="1" x14ac:dyDescent="0.25">
      <c r="B905" s="374" t="s">
        <v>461</v>
      </c>
      <c r="C905" s="375"/>
      <c r="D905" s="375"/>
      <c r="E905" s="375"/>
      <c r="F905" s="375"/>
      <c r="G905" s="376"/>
      <c r="H905" s="1"/>
    </row>
    <row r="906" spans="2:8" ht="15" customHeight="1" x14ac:dyDescent="0.25">
      <c r="B906" s="378" t="s">
        <v>462</v>
      </c>
      <c r="C906" s="375"/>
      <c r="D906" s="375"/>
      <c r="E906" s="375"/>
      <c r="F906" s="375"/>
      <c r="G906" s="376"/>
      <c r="H906" s="1"/>
    </row>
    <row r="907" spans="2:8" ht="39.75" customHeight="1" x14ac:dyDescent="0.25">
      <c r="B907" s="378" t="s">
        <v>463</v>
      </c>
      <c r="C907" s="375"/>
      <c r="D907" s="375"/>
      <c r="E907" s="375"/>
      <c r="F907" s="375"/>
      <c r="G907" s="376"/>
      <c r="H907" s="1"/>
    </row>
    <row r="908" spans="2:8" ht="30" customHeight="1" x14ac:dyDescent="0.25">
      <c r="B908" s="374" t="s">
        <v>464</v>
      </c>
      <c r="C908" s="375"/>
      <c r="D908" s="375"/>
      <c r="E908" s="375"/>
      <c r="F908" s="375"/>
      <c r="G908" s="376"/>
      <c r="H908" s="1"/>
    </row>
    <row r="909" spans="2:8" ht="15" customHeight="1" x14ac:dyDescent="0.25">
      <c r="B909" s="100"/>
      <c r="C909" s="101"/>
      <c r="D909" s="101"/>
      <c r="E909" s="101"/>
      <c r="F909" s="101"/>
      <c r="G909" s="102"/>
      <c r="H909" s="1"/>
    </row>
    <row r="910" spans="2:8" ht="15" customHeight="1" x14ac:dyDescent="0.25">
      <c r="B910" s="374" t="s">
        <v>465</v>
      </c>
      <c r="C910" s="375"/>
      <c r="D910" s="375"/>
      <c r="E910" s="375"/>
      <c r="F910" s="375"/>
      <c r="G910" s="376"/>
      <c r="H910" s="1"/>
    </row>
    <row r="911" spans="2:8" ht="67.5" customHeight="1" x14ac:dyDescent="0.25">
      <c r="B911" s="374" t="s">
        <v>826</v>
      </c>
      <c r="C911" s="375"/>
      <c r="D911" s="375"/>
      <c r="E911" s="375"/>
      <c r="F911" s="375"/>
      <c r="G911" s="376"/>
      <c r="H911" s="1"/>
    </row>
    <row r="912" spans="2:8" ht="30" customHeight="1" x14ac:dyDescent="0.25">
      <c r="B912" s="374" t="s">
        <v>827</v>
      </c>
      <c r="C912" s="375"/>
      <c r="D912" s="375"/>
      <c r="E912" s="375"/>
      <c r="F912" s="375"/>
      <c r="G912" s="376"/>
      <c r="H912" s="1"/>
    </row>
    <row r="913" spans="1:8" ht="15" customHeight="1" x14ac:dyDescent="0.25">
      <c r="B913" s="100"/>
      <c r="C913" s="101"/>
      <c r="D913" s="101"/>
      <c r="E913" s="101"/>
      <c r="F913" s="101"/>
      <c r="G913" s="102"/>
      <c r="H913" s="1"/>
    </row>
    <row r="914" spans="1:8" ht="15" customHeight="1" x14ac:dyDescent="0.25">
      <c r="B914" s="374" t="s">
        <v>468</v>
      </c>
      <c r="C914" s="375"/>
      <c r="D914" s="375"/>
      <c r="E914" s="375"/>
      <c r="F914" s="375"/>
      <c r="G914" s="376"/>
      <c r="H914" s="1"/>
    </row>
    <row r="915" spans="1:8" ht="15" customHeight="1" x14ac:dyDescent="0.25">
      <c r="B915" s="378" t="s">
        <v>469</v>
      </c>
      <c r="C915" s="375"/>
      <c r="D915" s="375"/>
      <c r="E915" s="375"/>
      <c r="F915" s="375"/>
      <c r="G915" s="376"/>
      <c r="H915" s="1"/>
    </row>
    <row r="916" spans="1:8" ht="30.75" customHeight="1" x14ac:dyDescent="0.25">
      <c r="B916" s="374" t="s">
        <v>470</v>
      </c>
      <c r="C916" s="375"/>
      <c r="D916" s="375"/>
      <c r="E916" s="375"/>
      <c r="F916" s="375"/>
      <c r="G916" s="376"/>
      <c r="H916" s="1"/>
    </row>
    <row r="917" spans="1:8" ht="28.5" customHeight="1" x14ac:dyDescent="0.25">
      <c r="B917" s="378" t="s">
        <v>828</v>
      </c>
      <c r="C917" s="375"/>
      <c r="D917" s="375"/>
      <c r="E917" s="375"/>
      <c r="F917" s="375"/>
      <c r="G917" s="376"/>
      <c r="H917" s="1"/>
    </row>
    <row r="918" spans="1:8" ht="15" customHeight="1" x14ac:dyDescent="0.25">
      <c r="B918" s="100"/>
      <c r="C918" s="101"/>
      <c r="D918" s="101"/>
      <c r="E918" s="101"/>
      <c r="F918" s="101"/>
      <c r="G918" s="102"/>
      <c r="H918" s="1"/>
    </row>
    <row r="919" spans="1:8" ht="15" customHeight="1" x14ac:dyDescent="0.25">
      <c r="B919" s="391" t="s">
        <v>472</v>
      </c>
      <c r="C919" s="375"/>
      <c r="D919" s="375"/>
      <c r="E919" s="375"/>
      <c r="F919" s="375"/>
      <c r="G919" s="376"/>
      <c r="H919" s="1"/>
    </row>
    <row r="920" spans="1:8" s="87" customFormat="1" ht="40.5" customHeight="1" x14ac:dyDescent="0.25">
      <c r="A920" s="85"/>
      <c r="B920" s="378" t="s">
        <v>473</v>
      </c>
      <c r="C920" s="375"/>
      <c r="D920" s="375"/>
      <c r="E920" s="375"/>
      <c r="F920" s="375"/>
      <c r="G920" s="376"/>
      <c r="H920" s="86"/>
    </row>
    <row r="921" spans="1:8" ht="27.75" customHeight="1" x14ac:dyDescent="0.25">
      <c r="B921" s="374" t="s">
        <v>474</v>
      </c>
      <c r="C921" s="375"/>
      <c r="D921" s="375"/>
      <c r="E921" s="375"/>
      <c r="F921" s="375"/>
      <c r="G921" s="376"/>
      <c r="H921" s="1"/>
    </row>
    <row r="922" spans="1:8" ht="15" customHeight="1" x14ac:dyDescent="0.25">
      <c r="B922" s="374" t="s">
        <v>829</v>
      </c>
      <c r="C922" s="375"/>
      <c r="D922" s="375"/>
      <c r="E922" s="375"/>
      <c r="F922" s="375"/>
      <c r="G922" s="376"/>
      <c r="H922" s="1"/>
    </row>
    <row r="923" spans="1:8" ht="15" customHeight="1" x14ac:dyDescent="0.25">
      <c r="B923" s="374" t="s">
        <v>830</v>
      </c>
      <c r="C923" s="375"/>
      <c r="D923" s="375"/>
      <c r="E923" s="375"/>
      <c r="F923" s="375"/>
      <c r="G923" s="376"/>
      <c r="H923" s="1"/>
    </row>
    <row r="924" spans="1:8" ht="15" customHeight="1" x14ac:dyDescent="0.25">
      <c r="B924" s="100"/>
      <c r="C924" s="101"/>
      <c r="D924" s="101"/>
      <c r="E924" s="101"/>
      <c r="F924" s="101"/>
      <c r="G924" s="102"/>
      <c r="H924" s="1"/>
    </row>
    <row r="925" spans="1:8" ht="15" customHeight="1" x14ac:dyDescent="0.25">
      <c r="B925" s="374" t="s">
        <v>831</v>
      </c>
      <c r="C925" s="375"/>
      <c r="D925" s="375"/>
      <c r="E925" s="375"/>
      <c r="F925" s="375"/>
      <c r="G925" s="376"/>
      <c r="H925" s="1"/>
    </row>
    <row r="926" spans="1:8" ht="15" customHeight="1" x14ac:dyDescent="0.25">
      <c r="B926" s="100"/>
      <c r="C926" s="101"/>
      <c r="D926" s="101"/>
      <c r="E926" s="101"/>
      <c r="F926" s="101"/>
      <c r="G926" s="102"/>
      <c r="H926" s="1"/>
    </row>
    <row r="927" spans="1:8" ht="15" customHeight="1" x14ac:dyDescent="0.25">
      <c r="B927" s="391" t="s">
        <v>832</v>
      </c>
      <c r="C927" s="375"/>
      <c r="D927" s="375"/>
      <c r="E927" s="375"/>
      <c r="F927" s="375"/>
      <c r="G927" s="376"/>
      <c r="H927" s="1"/>
    </row>
    <row r="928" spans="1:8" ht="30.75" customHeight="1" x14ac:dyDescent="0.25">
      <c r="B928" s="374" t="s">
        <v>833</v>
      </c>
      <c r="C928" s="375"/>
      <c r="D928" s="375"/>
      <c r="E928" s="375"/>
      <c r="F928" s="375"/>
      <c r="G928" s="376"/>
      <c r="H928" s="1"/>
    </row>
    <row r="929" spans="1:8" ht="15" customHeight="1" x14ac:dyDescent="0.25">
      <c r="B929" s="391" t="s">
        <v>834</v>
      </c>
      <c r="C929" s="375"/>
      <c r="D929" s="375"/>
      <c r="E929" s="375"/>
      <c r="F929" s="375"/>
      <c r="G929" s="376"/>
      <c r="H929" s="1"/>
    </row>
    <row r="930" spans="1:8" ht="28.5" customHeight="1" x14ac:dyDescent="0.25">
      <c r="B930" s="374" t="s">
        <v>835</v>
      </c>
      <c r="C930" s="375"/>
      <c r="D930" s="375"/>
      <c r="E930" s="375"/>
      <c r="F930" s="375"/>
      <c r="G930" s="376"/>
      <c r="H930" s="1"/>
    </row>
    <row r="931" spans="1:8" ht="66.75" customHeight="1" x14ac:dyDescent="0.25">
      <c r="B931" s="374" t="s">
        <v>836</v>
      </c>
      <c r="C931" s="375"/>
      <c r="D931" s="375"/>
      <c r="E931" s="375"/>
      <c r="F931" s="375"/>
      <c r="G931" s="376"/>
      <c r="H931" s="1"/>
    </row>
    <row r="932" spans="1:8" ht="15" customHeight="1" x14ac:dyDescent="0.25">
      <c r="B932" s="391" t="s">
        <v>837</v>
      </c>
      <c r="C932" s="375"/>
      <c r="D932" s="375"/>
      <c r="E932" s="375"/>
      <c r="F932" s="375"/>
      <c r="G932" s="376"/>
      <c r="H932" s="1"/>
    </row>
    <row r="933" spans="1:8" s="87" customFormat="1" ht="29.25" customHeight="1" x14ac:dyDescent="0.25">
      <c r="A933" s="85"/>
      <c r="B933" s="378" t="s">
        <v>838</v>
      </c>
      <c r="C933" s="375"/>
      <c r="D933" s="375"/>
      <c r="E933" s="375"/>
      <c r="F933" s="375"/>
      <c r="G933" s="376"/>
      <c r="H933" s="86"/>
    </row>
    <row r="934" spans="1:8" ht="27" customHeight="1" x14ac:dyDescent="0.25">
      <c r="B934" s="378" t="s">
        <v>839</v>
      </c>
      <c r="C934" s="375"/>
      <c r="D934" s="375"/>
      <c r="E934" s="375"/>
      <c r="F934" s="375"/>
      <c r="G934" s="376"/>
      <c r="H934" s="1"/>
    </row>
    <row r="935" spans="1:8" ht="54" customHeight="1" x14ac:dyDescent="0.25">
      <c r="B935" s="374" t="s">
        <v>840</v>
      </c>
      <c r="C935" s="375"/>
      <c r="D935" s="375"/>
      <c r="E935" s="375"/>
      <c r="F935" s="375"/>
      <c r="G935" s="376"/>
      <c r="H935" s="1"/>
    </row>
    <row r="936" spans="1:8" ht="54.75" customHeight="1" x14ac:dyDescent="0.25">
      <c r="B936" s="374" t="s">
        <v>841</v>
      </c>
      <c r="C936" s="375"/>
      <c r="D936" s="375"/>
      <c r="E936" s="375"/>
      <c r="F936" s="375"/>
      <c r="G936" s="376"/>
      <c r="H936" s="1"/>
    </row>
    <row r="937" spans="1:8" ht="40.5" customHeight="1" x14ac:dyDescent="0.25">
      <c r="B937" s="378" t="s">
        <v>842</v>
      </c>
      <c r="C937" s="375"/>
      <c r="D937" s="375"/>
      <c r="E937" s="375"/>
      <c r="F937" s="375"/>
      <c r="G937" s="376"/>
      <c r="H937" s="1"/>
    </row>
    <row r="938" spans="1:8" ht="15" customHeight="1" x14ac:dyDescent="0.25">
      <c r="B938" s="391" t="s">
        <v>479</v>
      </c>
      <c r="C938" s="375"/>
      <c r="D938" s="375"/>
      <c r="E938" s="375"/>
      <c r="F938" s="375"/>
      <c r="G938" s="376"/>
      <c r="H938" s="1"/>
    </row>
    <row r="939" spans="1:8" ht="30" customHeight="1" x14ac:dyDescent="0.25">
      <c r="B939" s="378" t="s">
        <v>480</v>
      </c>
      <c r="C939" s="375"/>
      <c r="D939" s="375"/>
      <c r="E939" s="375"/>
      <c r="F939" s="375"/>
      <c r="G939" s="376"/>
      <c r="H939" s="1"/>
    </row>
    <row r="940" spans="1:8" ht="30" customHeight="1" x14ac:dyDescent="0.25">
      <c r="B940" s="378" t="s">
        <v>481</v>
      </c>
      <c r="C940" s="375"/>
      <c r="D940" s="375"/>
      <c r="E940" s="375"/>
      <c r="F940" s="375"/>
      <c r="G940" s="376"/>
      <c r="H940" s="1"/>
    </row>
    <row r="941" spans="1:8" ht="15" customHeight="1" x14ac:dyDescent="0.25">
      <c r="B941" s="100"/>
      <c r="C941" s="101"/>
      <c r="D941" s="101"/>
      <c r="E941" s="101"/>
      <c r="F941" s="101"/>
      <c r="G941" s="102"/>
      <c r="H941" s="1"/>
    </row>
    <row r="942" spans="1:8" ht="15" customHeight="1" x14ac:dyDescent="0.25">
      <c r="B942" s="374" t="s">
        <v>496</v>
      </c>
      <c r="C942" s="375"/>
      <c r="D942" s="375"/>
      <c r="E942" s="375"/>
      <c r="F942" s="375"/>
      <c r="G942" s="376"/>
      <c r="H942" s="1"/>
    </row>
    <row r="943" spans="1:8" ht="15" customHeight="1" x14ac:dyDescent="0.25">
      <c r="B943" s="100"/>
      <c r="C943" s="101"/>
      <c r="D943" s="101"/>
      <c r="E943" s="101"/>
      <c r="F943" s="101"/>
      <c r="G943" s="102"/>
      <c r="H943" s="1"/>
    </row>
    <row r="944" spans="1:8" ht="15" customHeight="1" x14ac:dyDescent="0.25">
      <c r="B944" s="391" t="s">
        <v>497</v>
      </c>
      <c r="C944" s="375"/>
      <c r="D944" s="375"/>
      <c r="E944" s="375"/>
      <c r="F944" s="375"/>
      <c r="G944" s="376"/>
      <c r="H944" s="1"/>
    </row>
    <row r="945" spans="2:8" ht="29.25" customHeight="1" x14ac:dyDescent="0.25">
      <c r="B945" s="378" t="s">
        <v>843</v>
      </c>
      <c r="C945" s="375"/>
      <c r="D945" s="375"/>
      <c r="E945" s="375"/>
      <c r="F945" s="375"/>
      <c r="G945" s="376"/>
      <c r="H945" s="1"/>
    </row>
    <row r="946" spans="2:8" ht="15" customHeight="1" x14ac:dyDescent="0.25">
      <c r="B946" s="391" t="s">
        <v>499</v>
      </c>
      <c r="C946" s="375"/>
      <c r="D946" s="375"/>
      <c r="E946" s="375"/>
      <c r="F946" s="375"/>
      <c r="G946" s="376"/>
      <c r="H946" s="1"/>
    </row>
    <row r="947" spans="2:8" ht="45" customHeight="1" x14ac:dyDescent="0.25">
      <c r="B947" s="378" t="s">
        <v>844</v>
      </c>
      <c r="C947" s="375"/>
      <c r="D947" s="375"/>
      <c r="E947" s="375"/>
      <c r="F947" s="375"/>
      <c r="G947" s="376"/>
      <c r="H947" s="1"/>
    </row>
    <row r="948" spans="2:8" ht="15" customHeight="1" x14ac:dyDescent="0.25">
      <c r="B948" s="374" t="s">
        <v>501</v>
      </c>
      <c r="C948" s="375"/>
      <c r="D948" s="375"/>
      <c r="E948" s="375"/>
      <c r="F948" s="375"/>
      <c r="G948" s="376"/>
      <c r="H948" s="1"/>
    </row>
    <row r="949" spans="2:8" ht="27.75" customHeight="1" x14ac:dyDescent="0.25">
      <c r="B949" s="374" t="s">
        <v>845</v>
      </c>
      <c r="C949" s="375"/>
      <c r="D949" s="375"/>
      <c r="E949" s="375"/>
      <c r="F949" s="375"/>
      <c r="G949" s="376"/>
      <c r="H949" s="1"/>
    </row>
    <row r="950" spans="2:8" ht="15" customHeight="1" x14ac:dyDescent="0.25">
      <c r="B950" s="391" t="s">
        <v>503</v>
      </c>
      <c r="C950" s="375"/>
      <c r="D950" s="375"/>
      <c r="E950" s="375"/>
      <c r="F950" s="375"/>
      <c r="G950" s="376"/>
      <c r="H950" s="1"/>
    </row>
    <row r="951" spans="2:8" ht="45.75" customHeight="1" x14ac:dyDescent="0.25">
      <c r="B951" s="378" t="s">
        <v>846</v>
      </c>
      <c r="C951" s="375"/>
      <c r="D951" s="375"/>
      <c r="E951" s="375"/>
      <c r="F951" s="375"/>
      <c r="G951" s="376"/>
      <c r="H951" s="1"/>
    </row>
    <row r="952" spans="2:8" ht="15" customHeight="1" x14ac:dyDescent="0.25">
      <c r="B952" s="374" t="s">
        <v>505</v>
      </c>
      <c r="C952" s="375"/>
      <c r="D952" s="375"/>
      <c r="E952" s="375"/>
      <c r="F952" s="375"/>
      <c r="G952" s="376"/>
      <c r="H952" s="1"/>
    </row>
    <row r="953" spans="2:8" ht="15" customHeight="1" x14ac:dyDescent="0.25">
      <c r="B953" s="383" t="s">
        <v>506</v>
      </c>
      <c r="C953" s="375"/>
      <c r="D953" s="375"/>
      <c r="E953" s="375"/>
      <c r="F953" s="375"/>
      <c r="G953" s="376"/>
      <c r="H953" s="1"/>
    </row>
    <row r="954" spans="2:8" ht="15" customHeight="1" x14ac:dyDescent="0.25">
      <c r="B954" s="377" t="s">
        <v>507</v>
      </c>
      <c r="C954" s="375"/>
      <c r="D954" s="375"/>
      <c r="E954" s="375"/>
      <c r="F954" s="375"/>
      <c r="G954" s="376"/>
      <c r="H954" s="1"/>
    </row>
    <row r="955" spans="2:8" ht="15" customHeight="1" x14ac:dyDescent="0.25">
      <c r="B955" s="377" t="s">
        <v>847</v>
      </c>
      <c r="C955" s="375"/>
      <c r="D955" s="375"/>
      <c r="E955" s="375"/>
      <c r="F955" s="375"/>
      <c r="G955" s="376"/>
      <c r="H955" s="1"/>
    </row>
    <row r="956" spans="2:8" ht="42" customHeight="1" x14ac:dyDescent="0.25">
      <c r="B956" s="377" t="s">
        <v>848</v>
      </c>
      <c r="C956" s="375"/>
      <c r="D956" s="375"/>
      <c r="E956" s="375"/>
      <c r="F956" s="375"/>
      <c r="G956" s="376"/>
      <c r="H956" s="1"/>
    </row>
    <row r="957" spans="2:8" ht="25.5" customHeight="1" x14ac:dyDescent="0.25">
      <c r="B957" s="377" t="s">
        <v>849</v>
      </c>
      <c r="C957" s="375"/>
      <c r="D957" s="375"/>
      <c r="E957" s="375"/>
      <c r="F957" s="375"/>
      <c r="G957" s="376"/>
      <c r="H957" s="1"/>
    </row>
    <row r="958" spans="2:8" ht="83.25" customHeight="1" x14ac:dyDescent="0.25">
      <c r="B958" s="383" t="s">
        <v>850</v>
      </c>
      <c r="C958" s="375"/>
      <c r="D958" s="375"/>
      <c r="E958" s="375"/>
      <c r="F958" s="375"/>
      <c r="G958" s="376"/>
      <c r="H958" s="1"/>
    </row>
    <row r="959" spans="2:8" ht="15" customHeight="1" x14ac:dyDescent="0.25">
      <c r="B959" s="383" t="s">
        <v>511</v>
      </c>
      <c r="C959" s="375"/>
      <c r="D959" s="375"/>
      <c r="E959" s="375"/>
      <c r="F959" s="375"/>
      <c r="G959" s="376"/>
      <c r="H959" s="1"/>
    </row>
    <row r="960" spans="2:8" ht="44.25" customHeight="1" x14ac:dyDescent="0.25">
      <c r="B960" s="377" t="s">
        <v>851</v>
      </c>
      <c r="C960" s="375"/>
      <c r="D960" s="375"/>
      <c r="E960" s="375"/>
      <c r="F960" s="375"/>
      <c r="G960" s="376"/>
      <c r="H960" s="1"/>
    </row>
    <row r="961" spans="1:8" ht="15" customHeight="1" x14ac:dyDescent="0.25">
      <c r="B961" s="100"/>
      <c r="C961" s="101"/>
      <c r="D961" s="101"/>
      <c r="E961" s="101"/>
      <c r="F961" s="101"/>
      <c r="G961" s="102"/>
      <c r="H961" s="1"/>
    </row>
    <row r="962" spans="1:8" ht="15" customHeight="1" x14ac:dyDescent="0.25">
      <c r="B962" s="391" t="s">
        <v>516</v>
      </c>
      <c r="C962" s="375"/>
      <c r="D962" s="375"/>
      <c r="E962" s="375"/>
      <c r="F962" s="375"/>
      <c r="G962" s="376"/>
      <c r="H962" s="1"/>
    </row>
    <row r="963" spans="1:8" s="89" customFormat="1" ht="49.5" customHeight="1" x14ac:dyDescent="0.25">
      <c r="A963" s="64"/>
      <c r="B963" s="374" t="s">
        <v>517</v>
      </c>
      <c r="C963" s="375"/>
      <c r="D963" s="375"/>
      <c r="E963" s="375"/>
      <c r="F963" s="375"/>
      <c r="G963" s="376"/>
      <c r="H963" s="88"/>
    </row>
    <row r="964" spans="1:8" ht="25.5" customHeight="1" x14ac:dyDescent="0.25">
      <c r="B964" s="374" t="s">
        <v>518</v>
      </c>
      <c r="C964" s="375"/>
      <c r="D964" s="375"/>
      <c r="E964" s="375"/>
      <c r="F964" s="375"/>
      <c r="G964" s="376"/>
      <c r="H964" s="1"/>
    </row>
    <row r="965" spans="1:8" ht="26.25" customHeight="1" x14ac:dyDescent="0.25">
      <c r="B965" s="374" t="s">
        <v>519</v>
      </c>
      <c r="C965" s="375"/>
      <c r="D965" s="375"/>
      <c r="E965" s="375"/>
      <c r="F965" s="375"/>
      <c r="G965" s="376"/>
      <c r="H965" s="1"/>
    </row>
    <row r="966" spans="1:8" ht="28.5" customHeight="1" x14ac:dyDescent="0.25">
      <c r="B966" s="374" t="s">
        <v>520</v>
      </c>
      <c r="C966" s="375"/>
      <c r="D966" s="375"/>
      <c r="E966" s="375"/>
      <c r="F966" s="375"/>
      <c r="G966" s="376"/>
      <c r="H966" s="1"/>
    </row>
    <row r="967" spans="1:8" ht="15" customHeight="1" x14ac:dyDescent="0.25">
      <c r="B967" s="94"/>
      <c r="C967" s="95"/>
      <c r="D967" s="95"/>
      <c r="E967" s="95"/>
      <c r="F967" s="95"/>
      <c r="G967" s="96"/>
      <c r="H967" s="1"/>
    </row>
    <row r="968" spans="1:8" ht="15" customHeight="1" x14ac:dyDescent="0.25">
      <c r="B968" s="391" t="s">
        <v>852</v>
      </c>
      <c r="C968" s="375"/>
      <c r="D968" s="375"/>
      <c r="E968" s="375"/>
      <c r="F968" s="375"/>
      <c r="G968" s="376"/>
      <c r="H968" s="1"/>
    </row>
    <row r="969" spans="1:8" ht="15" customHeight="1" x14ac:dyDescent="0.25">
      <c r="B969" s="405" t="s">
        <v>853</v>
      </c>
      <c r="C969" s="375"/>
      <c r="D969" s="375"/>
      <c r="E969" s="375"/>
      <c r="F969" s="375"/>
      <c r="G969" s="376"/>
      <c r="H969" s="1"/>
    </row>
    <row r="970" spans="1:8" ht="88.5" customHeight="1" x14ac:dyDescent="0.25">
      <c r="B970" s="378" t="s">
        <v>854</v>
      </c>
      <c r="C970" s="375"/>
      <c r="D970" s="375"/>
      <c r="E970" s="375"/>
      <c r="F970" s="375"/>
      <c r="G970" s="376"/>
      <c r="H970" s="1"/>
    </row>
    <row r="971" spans="1:8" ht="15" customHeight="1" x14ac:dyDescent="0.25">
      <c r="B971" s="378" t="s">
        <v>855</v>
      </c>
      <c r="C971" s="375"/>
      <c r="D971" s="375"/>
      <c r="E971" s="375"/>
      <c r="F971" s="375"/>
      <c r="G971" s="376"/>
      <c r="H971" s="1"/>
    </row>
    <row r="972" spans="1:8" ht="25.5" customHeight="1" x14ac:dyDescent="0.25">
      <c r="B972" s="374" t="s">
        <v>515</v>
      </c>
      <c r="C972" s="375"/>
      <c r="D972" s="375"/>
      <c r="E972" s="375"/>
      <c r="F972" s="375"/>
      <c r="G972" s="376"/>
      <c r="H972" s="1"/>
    </row>
    <row r="973" spans="1:8" ht="15" customHeight="1" x14ac:dyDescent="0.25">
      <c r="B973" s="100"/>
      <c r="C973" s="101"/>
      <c r="D973" s="101"/>
      <c r="E973" s="101"/>
      <c r="F973" s="101"/>
      <c r="G973" s="102"/>
      <c r="H973" s="1"/>
    </row>
    <row r="974" spans="1:8" ht="15" customHeight="1" x14ac:dyDescent="0.25">
      <c r="B974" s="374" t="s">
        <v>856</v>
      </c>
      <c r="C974" s="375"/>
      <c r="D974" s="375"/>
      <c r="E974" s="375"/>
      <c r="F974" s="375"/>
      <c r="G974" s="376"/>
      <c r="H974" s="1"/>
    </row>
    <row r="975" spans="1:8" ht="77.25" customHeight="1" x14ac:dyDescent="0.25">
      <c r="B975" s="374" t="s">
        <v>857</v>
      </c>
      <c r="C975" s="375"/>
      <c r="D975" s="375"/>
      <c r="E975" s="375"/>
      <c r="F975" s="375"/>
      <c r="G975" s="376"/>
      <c r="H975" s="1"/>
    </row>
    <row r="976" spans="1:8" ht="93.75" customHeight="1" x14ac:dyDescent="0.25">
      <c r="B976" s="374" t="s">
        <v>858</v>
      </c>
      <c r="C976" s="375"/>
      <c r="D976" s="375"/>
      <c r="E976" s="375"/>
      <c r="F976" s="375"/>
      <c r="G976" s="376"/>
      <c r="H976" s="1"/>
    </row>
    <row r="977" spans="2:8" ht="15" customHeight="1" x14ac:dyDescent="0.25">
      <c r="B977" s="100"/>
      <c r="C977" s="101"/>
      <c r="D977" s="101"/>
      <c r="E977" s="101"/>
      <c r="F977" s="101"/>
      <c r="G977" s="102"/>
      <c r="H977" s="1"/>
    </row>
    <row r="978" spans="2:8" ht="15" customHeight="1" x14ac:dyDescent="0.25">
      <c r="B978" s="374" t="s">
        <v>530</v>
      </c>
      <c r="C978" s="375"/>
      <c r="D978" s="375"/>
      <c r="E978" s="375"/>
      <c r="F978" s="375"/>
      <c r="G978" s="376"/>
      <c r="H978" s="1"/>
    </row>
    <row r="979" spans="2:8" ht="15" customHeight="1" x14ac:dyDescent="0.25">
      <c r="B979" s="378" t="s">
        <v>531</v>
      </c>
      <c r="C979" s="375"/>
      <c r="D979" s="375"/>
      <c r="E979" s="375"/>
      <c r="F979" s="375"/>
      <c r="G979" s="376"/>
      <c r="H979" s="1"/>
    </row>
    <row r="980" spans="2:8" ht="27" customHeight="1" x14ac:dyDescent="0.25">
      <c r="B980" s="374" t="s">
        <v>532</v>
      </c>
      <c r="C980" s="375"/>
      <c r="D980" s="375"/>
      <c r="E980" s="375"/>
      <c r="F980" s="375"/>
      <c r="G980" s="376"/>
      <c r="H980" s="1"/>
    </row>
    <row r="981" spans="2:8" ht="52.5" customHeight="1" x14ac:dyDescent="0.25">
      <c r="B981" s="374" t="s">
        <v>859</v>
      </c>
      <c r="C981" s="375"/>
      <c r="D981" s="375"/>
      <c r="E981" s="375"/>
      <c r="F981" s="375"/>
      <c r="G981" s="376"/>
      <c r="H981" s="1"/>
    </row>
    <row r="982" spans="2:8" ht="15" customHeight="1" x14ac:dyDescent="0.25">
      <c r="B982" s="100"/>
      <c r="C982" s="101"/>
      <c r="D982" s="101"/>
      <c r="E982" s="101"/>
      <c r="F982" s="101"/>
      <c r="G982" s="102"/>
      <c r="H982" s="1"/>
    </row>
    <row r="983" spans="2:8" ht="15" customHeight="1" x14ac:dyDescent="0.25">
      <c r="B983" s="391" t="s">
        <v>533</v>
      </c>
      <c r="C983" s="375"/>
      <c r="D983" s="375"/>
      <c r="E983" s="375"/>
      <c r="F983" s="375"/>
      <c r="G983" s="376"/>
      <c r="H983" s="1"/>
    </row>
    <row r="984" spans="2:8" ht="27" customHeight="1" x14ac:dyDescent="0.25">
      <c r="B984" s="374" t="s">
        <v>534</v>
      </c>
      <c r="C984" s="375"/>
      <c r="D984" s="375"/>
      <c r="E984" s="375"/>
      <c r="F984" s="375"/>
      <c r="G984" s="376"/>
      <c r="H984" s="1"/>
    </row>
    <row r="985" spans="2:8" ht="15" customHeight="1" x14ac:dyDescent="0.25">
      <c r="B985" s="405" t="s">
        <v>860</v>
      </c>
      <c r="C985" s="375"/>
      <c r="D985" s="375"/>
      <c r="E985" s="375"/>
      <c r="F985" s="375"/>
      <c r="G985" s="376"/>
      <c r="H985" s="1"/>
    </row>
    <row r="986" spans="2:8" ht="15" customHeight="1" x14ac:dyDescent="0.25">
      <c r="B986" s="405" t="s">
        <v>536</v>
      </c>
      <c r="C986" s="375"/>
      <c r="D986" s="375"/>
      <c r="E986" s="375"/>
      <c r="F986" s="375"/>
      <c r="G986" s="376"/>
      <c r="H986" s="1"/>
    </row>
    <row r="987" spans="2:8" ht="15" customHeight="1" x14ac:dyDescent="0.25">
      <c r="B987" s="100"/>
      <c r="C987" s="101"/>
      <c r="D987" s="101"/>
      <c r="E987" s="101"/>
      <c r="F987" s="101"/>
      <c r="G987" s="102"/>
      <c r="H987" s="1"/>
    </row>
    <row r="988" spans="2:8" ht="15" customHeight="1" x14ac:dyDescent="0.25">
      <c r="B988" s="391" t="s">
        <v>861</v>
      </c>
      <c r="C988" s="375"/>
      <c r="D988" s="375"/>
      <c r="E988" s="375"/>
      <c r="F988" s="375"/>
      <c r="G988" s="376"/>
      <c r="H988" s="1"/>
    </row>
    <row r="989" spans="2:8" ht="25.5" customHeight="1" x14ac:dyDescent="0.25">
      <c r="B989" s="374" t="s">
        <v>862</v>
      </c>
      <c r="C989" s="375"/>
      <c r="D989" s="375"/>
      <c r="E989" s="375"/>
      <c r="F989" s="375"/>
      <c r="G989" s="376"/>
      <c r="H989" s="1"/>
    </row>
    <row r="990" spans="2:8" ht="38.25" customHeight="1" x14ac:dyDescent="0.25">
      <c r="B990" s="374" t="s">
        <v>539</v>
      </c>
      <c r="C990" s="375"/>
      <c r="D990" s="375"/>
      <c r="E990" s="375"/>
      <c r="F990" s="375"/>
      <c r="G990" s="376"/>
      <c r="H990" s="1"/>
    </row>
    <row r="991" spans="2:8" ht="15" customHeight="1" x14ac:dyDescent="0.25">
      <c r="B991" s="100"/>
      <c r="C991" s="101"/>
      <c r="D991" s="101"/>
      <c r="E991" s="101"/>
      <c r="F991" s="101"/>
      <c r="G991" s="102"/>
      <c r="H991" s="1"/>
    </row>
    <row r="992" spans="2:8" ht="15" customHeight="1" x14ac:dyDescent="0.25">
      <c r="B992" s="374" t="s">
        <v>540</v>
      </c>
      <c r="C992" s="375"/>
      <c r="D992" s="375"/>
      <c r="E992" s="375"/>
      <c r="F992" s="375"/>
      <c r="G992" s="376"/>
      <c r="H992" s="1"/>
    </row>
    <row r="993" spans="1:8" ht="15" customHeight="1" x14ac:dyDescent="0.25">
      <c r="B993" s="378" t="s">
        <v>541</v>
      </c>
      <c r="C993" s="375"/>
      <c r="D993" s="375"/>
      <c r="E993" s="375"/>
      <c r="F993" s="375"/>
      <c r="G993" s="376"/>
      <c r="H993" s="1"/>
    </row>
    <row r="994" spans="1:8" ht="15" customHeight="1" x14ac:dyDescent="0.25">
      <c r="B994" s="378" t="s">
        <v>863</v>
      </c>
      <c r="C994" s="375"/>
      <c r="D994" s="375"/>
      <c r="E994" s="375"/>
      <c r="F994" s="375"/>
      <c r="G994" s="376"/>
      <c r="H994" s="1"/>
    </row>
    <row r="995" spans="1:8" ht="15" customHeight="1" x14ac:dyDescent="0.25">
      <c r="B995" s="391" t="s">
        <v>864</v>
      </c>
      <c r="C995" s="375"/>
      <c r="D995" s="375"/>
      <c r="E995" s="375"/>
      <c r="F995" s="375"/>
      <c r="G995" s="376"/>
      <c r="H995" s="1"/>
    </row>
    <row r="996" spans="1:8" ht="15" customHeight="1" x14ac:dyDescent="0.25">
      <c r="B996" s="374" t="s">
        <v>865</v>
      </c>
      <c r="C996" s="375"/>
      <c r="D996" s="375"/>
      <c r="E996" s="375"/>
      <c r="F996" s="375"/>
      <c r="G996" s="376"/>
      <c r="H996" s="1"/>
    </row>
    <row r="997" spans="1:8" ht="15" customHeight="1" x14ac:dyDescent="0.25">
      <c r="B997" s="391" t="s">
        <v>866</v>
      </c>
      <c r="C997" s="375"/>
      <c r="D997" s="375"/>
      <c r="E997" s="375"/>
      <c r="F997" s="375"/>
      <c r="G997" s="376"/>
      <c r="H997" s="1"/>
    </row>
    <row r="998" spans="1:8" ht="15" customHeight="1" x14ac:dyDescent="0.25">
      <c r="B998" s="391" t="s">
        <v>867</v>
      </c>
      <c r="C998" s="375"/>
      <c r="D998" s="375"/>
      <c r="E998" s="375"/>
      <c r="F998" s="375"/>
      <c r="G998" s="376"/>
      <c r="H998" s="1"/>
    </row>
    <row r="999" spans="1:8" ht="15" customHeight="1" x14ac:dyDescent="0.25">
      <c r="B999" s="391" t="s">
        <v>868</v>
      </c>
      <c r="C999" s="375"/>
      <c r="D999" s="375"/>
      <c r="E999" s="375"/>
      <c r="F999" s="375"/>
      <c r="G999" s="376"/>
      <c r="H999" s="1"/>
    </row>
    <row r="1000" spans="1:8" ht="15" customHeight="1" x14ac:dyDescent="0.25">
      <c r="B1000" s="374" t="s">
        <v>869</v>
      </c>
      <c r="C1000" s="375"/>
      <c r="D1000" s="375"/>
      <c r="E1000" s="375"/>
      <c r="F1000" s="375"/>
      <c r="G1000" s="376"/>
      <c r="H1000" s="1"/>
    </row>
    <row r="1001" spans="1:8" s="87" customFormat="1" ht="51" customHeight="1" x14ac:dyDescent="0.25">
      <c r="A1001" s="85"/>
      <c r="B1001" s="374" t="s">
        <v>549</v>
      </c>
      <c r="C1001" s="375"/>
      <c r="D1001" s="375"/>
      <c r="E1001" s="375"/>
      <c r="F1001" s="375"/>
      <c r="G1001" s="376"/>
      <c r="H1001" s="86"/>
    </row>
    <row r="1002" spans="1:8" ht="27" customHeight="1" x14ac:dyDescent="0.25">
      <c r="B1002" s="378" t="s">
        <v>870</v>
      </c>
      <c r="C1002" s="375"/>
      <c r="D1002" s="375"/>
      <c r="E1002" s="375"/>
      <c r="F1002" s="375"/>
      <c r="G1002" s="376"/>
      <c r="H1002" s="1"/>
    </row>
    <row r="1003" spans="1:8" ht="26.25" customHeight="1" x14ac:dyDescent="0.25">
      <c r="B1003" s="374" t="s">
        <v>552</v>
      </c>
      <c r="C1003" s="375"/>
      <c r="D1003" s="375"/>
      <c r="E1003" s="375"/>
      <c r="F1003" s="375"/>
      <c r="G1003" s="376"/>
      <c r="H1003" s="1"/>
    </row>
    <row r="1004" spans="1:8" ht="25.5" customHeight="1" x14ac:dyDescent="0.25">
      <c r="B1004" s="374" t="s">
        <v>554</v>
      </c>
      <c r="C1004" s="375"/>
      <c r="D1004" s="375"/>
      <c r="E1004" s="375"/>
      <c r="F1004" s="375"/>
      <c r="G1004" s="376"/>
      <c r="H1004" s="1"/>
    </row>
    <row r="1005" spans="1:8" ht="15" customHeight="1" x14ac:dyDescent="0.25">
      <c r="B1005" s="378" t="s">
        <v>871</v>
      </c>
      <c r="C1005" s="375"/>
      <c r="D1005" s="375"/>
      <c r="E1005" s="375"/>
      <c r="F1005" s="375"/>
      <c r="G1005" s="376"/>
      <c r="H1005" s="1"/>
    </row>
    <row r="1006" spans="1:8" ht="15" customHeight="1" x14ac:dyDescent="0.25">
      <c r="B1006" s="103"/>
      <c r="C1006" s="104"/>
      <c r="D1006" s="104"/>
      <c r="E1006" s="104"/>
      <c r="F1006" s="104"/>
      <c r="G1006" s="105"/>
      <c r="H1006" s="1"/>
    </row>
    <row r="1007" spans="1:8" ht="15" customHeight="1" x14ac:dyDescent="0.25">
      <c r="B1007" s="374" t="s">
        <v>872</v>
      </c>
      <c r="C1007" s="375"/>
      <c r="D1007" s="375"/>
      <c r="E1007" s="375"/>
      <c r="F1007" s="375"/>
      <c r="G1007" s="376"/>
      <c r="H1007" s="1"/>
    </row>
    <row r="1008" spans="1:8" ht="30.75" customHeight="1" x14ac:dyDescent="0.25">
      <c r="B1008" s="374" t="s">
        <v>873</v>
      </c>
      <c r="C1008" s="375"/>
      <c r="D1008" s="375"/>
      <c r="E1008" s="375"/>
      <c r="F1008" s="375"/>
      <c r="G1008" s="376"/>
      <c r="H1008" s="1"/>
    </row>
    <row r="1009" spans="2:8" ht="27.75" customHeight="1" x14ac:dyDescent="0.25">
      <c r="B1009" s="374" t="s">
        <v>874</v>
      </c>
      <c r="C1009" s="375"/>
      <c r="D1009" s="375"/>
      <c r="E1009" s="375"/>
      <c r="F1009" s="375"/>
      <c r="G1009" s="376"/>
      <c r="H1009" s="1"/>
    </row>
    <row r="1010" spans="2:8" ht="15" customHeight="1" x14ac:dyDescent="0.25">
      <c r="B1010" s="374" t="s">
        <v>875</v>
      </c>
      <c r="C1010" s="375"/>
      <c r="D1010" s="375"/>
      <c r="E1010" s="375"/>
      <c r="F1010" s="375"/>
      <c r="G1010" s="376"/>
      <c r="H1010" s="1"/>
    </row>
    <row r="1011" spans="2:8" ht="15" customHeight="1" x14ac:dyDescent="0.25">
      <c r="B1011" s="374" t="s">
        <v>876</v>
      </c>
      <c r="C1011" s="375"/>
      <c r="D1011" s="375"/>
      <c r="E1011" s="375"/>
      <c r="F1011" s="375"/>
      <c r="G1011" s="376"/>
      <c r="H1011" s="1"/>
    </row>
    <row r="1012" spans="2:8" ht="15" customHeight="1" x14ac:dyDescent="0.25">
      <c r="B1012" s="374" t="s">
        <v>877</v>
      </c>
      <c r="C1012" s="375"/>
      <c r="D1012" s="375"/>
      <c r="E1012" s="375"/>
      <c r="F1012" s="375"/>
      <c r="G1012" s="376"/>
      <c r="H1012" s="1"/>
    </row>
    <row r="1013" spans="2:8" ht="28.5" customHeight="1" x14ac:dyDescent="0.25">
      <c r="B1013" s="378" t="s">
        <v>555</v>
      </c>
      <c r="C1013" s="375"/>
      <c r="D1013" s="375"/>
      <c r="E1013" s="375"/>
      <c r="F1013" s="375"/>
      <c r="G1013" s="376"/>
      <c r="H1013" s="1"/>
    </row>
    <row r="1014" spans="2:8" ht="42" customHeight="1" x14ac:dyDescent="0.25">
      <c r="B1014" s="378" t="s">
        <v>878</v>
      </c>
      <c r="C1014" s="375"/>
      <c r="D1014" s="375"/>
      <c r="E1014" s="375"/>
      <c r="F1014" s="375"/>
      <c r="G1014" s="376"/>
      <c r="H1014" s="1"/>
    </row>
    <row r="1015" spans="2:8" ht="33" customHeight="1" x14ac:dyDescent="0.25">
      <c r="B1015" s="378" t="s">
        <v>237</v>
      </c>
      <c r="C1015" s="375"/>
      <c r="D1015" s="375"/>
      <c r="E1015" s="375"/>
      <c r="F1015" s="375"/>
      <c r="G1015" s="376"/>
      <c r="H1015" s="1"/>
    </row>
    <row r="1016" spans="2:8" ht="15" customHeight="1" x14ac:dyDescent="0.25">
      <c r="B1016" s="374" t="s">
        <v>879</v>
      </c>
      <c r="C1016" s="375"/>
      <c r="D1016" s="375"/>
      <c r="E1016" s="375"/>
      <c r="F1016" s="375"/>
      <c r="G1016" s="376"/>
      <c r="H1016" s="1"/>
    </row>
    <row r="1017" spans="2:8" ht="15" customHeight="1" x14ac:dyDescent="0.25">
      <c r="B1017" s="374" t="s">
        <v>556</v>
      </c>
      <c r="C1017" s="375"/>
      <c r="D1017" s="375"/>
      <c r="E1017" s="375"/>
      <c r="F1017" s="375"/>
      <c r="G1017" s="376"/>
      <c r="H1017" s="1"/>
    </row>
    <row r="1018" spans="2:8" ht="15" customHeight="1" x14ac:dyDescent="0.25">
      <c r="B1018" s="380"/>
      <c r="C1018" s="375"/>
      <c r="D1018" s="375"/>
      <c r="E1018" s="375"/>
      <c r="F1018" s="375"/>
      <c r="G1018" s="376"/>
      <c r="H1018" s="1"/>
    </row>
    <row r="1019" spans="2:8" ht="15" customHeight="1" x14ac:dyDescent="0.25">
      <c r="B1019" s="391" t="s">
        <v>880</v>
      </c>
      <c r="C1019" s="375"/>
      <c r="D1019" s="375"/>
      <c r="E1019" s="375"/>
      <c r="F1019" s="375"/>
      <c r="G1019" s="376"/>
      <c r="H1019" s="1"/>
    </row>
    <row r="1020" spans="2:8" ht="32.25" customHeight="1" x14ac:dyDescent="0.25">
      <c r="B1020" s="378" t="s">
        <v>881</v>
      </c>
      <c r="C1020" s="375"/>
      <c r="D1020" s="375"/>
      <c r="E1020" s="375"/>
      <c r="F1020" s="375"/>
      <c r="G1020" s="376"/>
      <c r="H1020" s="1"/>
    </row>
    <row r="1021" spans="2:8" ht="55.5" customHeight="1" x14ac:dyDescent="0.25">
      <c r="B1021" s="374" t="s">
        <v>882</v>
      </c>
      <c r="C1021" s="375"/>
      <c r="D1021" s="375"/>
      <c r="E1021" s="375"/>
      <c r="F1021" s="375"/>
      <c r="G1021" s="376"/>
      <c r="H1021" s="1"/>
    </row>
    <row r="1022" spans="2:8" ht="53.25" customHeight="1" x14ac:dyDescent="0.25">
      <c r="B1022" s="374" t="s">
        <v>883</v>
      </c>
      <c r="C1022" s="375"/>
      <c r="D1022" s="375"/>
      <c r="E1022" s="375"/>
      <c r="F1022" s="375"/>
      <c r="G1022" s="376"/>
      <c r="H1022" s="1"/>
    </row>
    <row r="1023" spans="2:8" ht="15" customHeight="1" x14ac:dyDescent="0.25">
      <c r="B1023" s="100"/>
      <c r="C1023" s="101"/>
      <c r="D1023" s="101"/>
      <c r="E1023" s="101"/>
      <c r="F1023" s="101"/>
      <c r="G1023" s="102"/>
      <c r="H1023" s="1"/>
    </row>
    <row r="1024" spans="2:8" ht="15" customHeight="1" x14ac:dyDescent="0.25">
      <c r="B1024" s="374" t="s">
        <v>884</v>
      </c>
      <c r="C1024" s="375"/>
      <c r="D1024" s="375"/>
      <c r="E1024" s="375"/>
      <c r="F1024" s="375"/>
      <c r="G1024" s="376"/>
      <c r="H1024" s="1"/>
    </row>
    <row r="1025" spans="2:8" ht="15" customHeight="1" x14ac:dyDescent="0.25">
      <c r="B1025" s="378" t="s">
        <v>885</v>
      </c>
      <c r="C1025" s="375"/>
      <c r="D1025" s="375"/>
      <c r="E1025" s="375"/>
      <c r="F1025" s="375"/>
      <c r="G1025" s="376"/>
      <c r="H1025" s="1"/>
    </row>
    <row r="1026" spans="2:8" ht="28.5" customHeight="1" x14ac:dyDescent="0.25">
      <c r="B1026" s="377" t="s">
        <v>886</v>
      </c>
      <c r="C1026" s="375"/>
      <c r="D1026" s="375"/>
      <c r="E1026" s="375"/>
      <c r="F1026" s="375"/>
      <c r="G1026" s="376"/>
      <c r="H1026" s="1"/>
    </row>
    <row r="1027" spans="2:8" ht="15" customHeight="1" x14ac:dyDescent="0.25">
      <c r="B1027" s="415" t="s">
        <v>887</v>
      </c>
      <c r="C1027" s="375"/>
      <c r="D1027" s="375"/>
      <c r="E1027" s="375"/>
      <c r="F1027" s="375"/>
      <c r="G1027" s="376"/>
      <c r="H1027" s="1"/>
    </row>
    <row r="1028" spans="2:8" ht="15" customHeight="1" x14ac:dyDescent="0.25">
      <c r="B1028" s="383" t="s">
        <v>888</v>
      </c>
      <c r="C1028" s="375"/>
      <c r="D1028" s="375"/>
      <c r="E1028" s="375"/>
      <c r="F1028" s="375"/>
      <c r="G1028" s="376"/>
      <c r="H1028" s="1"/>
    </row>
    <row r="1029" spans="2:8" ht="15" customHeight="1" x14ac:dyDescent="0.25">
      <c r="B1029" s="377" t="s">
        <v>889</v>
      </c>
      <c r="C1029" s="375"/>
      <c r="D1029" s="375"/>
      <c r="E1029" s="375"/>
      <c r="F1029" s="375"/>
      <c r="G1029" s="376"/>
      <c r="H1029" s="1"/>
    </row>
    <row r="1030" spans="2:8" ht="15" customHeight="1" x14ac:dyDescent="0.25">
      <c r="B1030" s="383" t="s">
        <v>890</v>
      </c>
      <c r="C1030" s="375"/>
      <c r="D1030" s="375"/>
      <c r="E1030" s="375"/>
      <c r="F1030" s="375"/>
      <c r="G1030" s="376"/>
      <c r="H1030" s="1"/>
    </row>
    <row r="1031" spans="2:8" ht="15" customHeight="1" x14ac:dyDescent="0.25">
      <c r="B1031" s="383" t="s">
        <v>891</v>
      </c>
      <c r="C1031" s="375"/>
      <c r="D1031" s="375"/>
      <c r="E1031" s="375"/>
      <c r="F1031" s="375"/>
      <c r="G1031" s="376"/>
      <c r="H1031" s="1"/>
    </row>
    <row r="1032" spans="2:8" ht="27.75" customHeight="1" x14ac:dyDescent="0.25">
      <c r="B1032" s="383" t="s">
        <v>892</v>
      </c>
      <c r="C1032" s="375"/>
      <c r="D1032" s="375"/>
      <c r="E1032" s="375"/>
      <c r="F1032" s="375"/>
      <c r="G1032" s="376"/>
      <c r="H1032" s="1"/>
    </row>
    <row r="1033" spans="2:8" ht="15" customHeight="1" x14ac:dyDescent="0.25">
      <c r="B1033" s="377" t="s">
        <v>655</v>
      </c>
      <c r="C1033" s="375"/>
      <c r="D1033" s="375"/>
      <c r="E1033" s="375"/>
      <c r="F1033" s="375"/>
      <c r="G1033" s="376"/>
      <c r="H1033" s="1"/>
    </row>
    <row r="1034" spans="2:8" ht="15" customHeight="1" x14ac:dyDescent="0.25">
      <c r="B1034" s="383" t="s">
        <v>893</v>
      </c>
      <c r="C1034" s="375"/>
      <c r="D1034" s="375"/>
      <c r="E1034" s="375"/>
      <c r="F1034" s="375"/>
      <c r="G1034" s="376"/>
      <c r="H1034" s="1"/>
    </row>
    <row r="1035" spans="2:8" ht="27.75" customHeight="1" x14ac:dyDescent="0.25">
      <c r="B1035" s="377" t="s">
        <v>894</v>
      </c>
      <c r="C1035" s="375"/>
      <c r="D1035" s="375"/>
      <c r="E1035" s="375"/>
      <c r="F1035" s="375"/>
      <c r="G1035" s="376"/>
      <c r="H1035" s="1"/>
    </row>
    <row r="1036" spans="2:8" ht="15" customHeight="1" x14ac:dyDescent="0.25">
      <c r="B1036" s="100"/>
      <c r="C1036" s="101"/>
      <c r="D1036" s="101"/>
      <c r="E1036" s="101"/>
      <c r="F1036" s="101"/>
      <c r="G1036" s="102"/>
      <c r="H1036" s="1"/>
    </row>
    <row r="1037" spans="2:8" ht="15" customHeight="1" x14ac:dyDescent="0.25">
      <c r="B1037" s="374" t="s">
        <v>895</v>
      </c>
      <c r="C1037" s="375"/>
      <c r="D1037" s="375"/>
      <c r="E1037" s="375"/>
      <c r="F1037" s="375"/>
      <c r="G1037" s="376"/>
      <c r="H1037" s="1"/>
    </row>
    <row r="1038" spans="2:8" ht="15" customHeight="1" x14ac:dyDescent="0.25">
      <c r="B1038" s="374" t="s">
        <v>896</v>
      </c>
      <c r="C1038" s="375"/>
      <c r="D1038" s="375"/>
      <c r="E1038" s="375"/>
      <c r="F1038" s="375"/>
      <c r="G1038" s="376"/>
      <c r="H1038" s="1"/>
    </row>
    <row r="1039" spans="2:8" ht="31.5" customHeight="1" x14ac:dyDescent="0.25">
      <c r="B1039" s="374" t="s">
        <v>897</v>
      </c>
      <c r="C1039" s="375"/>
      <c r="D1039" s="375"/>
      <c r="E1039" s="375"/>
      <c r="F1039" s="375"/>
      <c r="G1039" s="376"/>
      <c r="H1039" s="1"/>
    </row>
    <row r="1040" spans="2:8" ht="15" customHeight="1" x14ac:dyDescent="0.25">
      <c r="B1040" s="374" t="s">
        <v>898</v>
      </c>
      <c r="C1040" s="375"/>
      <c r="D1040" s="375"/>
      <c r="E1040" s="375"/>
      <c r="F1040" s="375"/>
      <c r="G1040" s="376"/>
      <c r="H1040" s="1"/>
    </row>
    <row r="1041" spans="2:8" ht="15" customHeight="1" x14ac:dyDescent="0.25">
      <c r="B1041" s="100"/>
      <c r="C1041" s="101"/>
      <c r="D1041" s="101"/>
      <c r="E1041" s="101"/>
      <c r="F1041" s="101"/>
      <c r="G1041" s="102"/>
      <c r="H1041" s="1"/>
    </row>
    <row r="1042" spans="2:8" ht="15" customHeight="1" x14ac:dyDescent="0.25">
      <c r="B1042" s="405" t="s">
        <v>296</v>
      </c>
      <c r="C1042" s="375"/>
      <c r="D1042" s="375"/>
      <c r="E1042" s="375"/>
      <c r="F1042" s="375"/>
      <c r="G1042" s="376"/>
      <c r="H1042" s="1"/>
    </row>
    <row r="1043" spans="2:8" ht="15" customHeight="1" x14ac:dyDescent="0.25">
      <c r="B1043" s="106"/>
      <c r="C1043" s="107"/>
      <c r="D1043" s="107"/>
      <c r="E1043" s="107"/>
      <c r="F1043" s="107"/>
      <c r="G1043" s="108"/>
      <c r="H1043" s="1"/>
    </row>
    <row r="1044" spans="2:8" ht="28.5" customHeight="1" x14ac:dyDescent="0.25">
      <c r="B1044" s="374" t="s">
        <v>899</v>
      </c>
      <c r="C1044" s="375"/>
      <c r="D1044" s="375"/>
      <c r="E1044" s="375"/>
      <c r="F1044" s="375"/>
      <c r="G1044" s="376"/>
      <c r="H1044" s="1"/>
    </row>
    <row r="1045" spans="2:8" ht="63.75" customHeight="1" x14ac:dyDescent="0.25">
      <c r="B1045" s="374" t="s">
        <v>900</v>
      </c>
      <c r="C1045" s="375"/>
      <c r="D1045" s="375"/>
      <c r="E1045" s="375"/>
      <c r="F1045" s="375"/>
      <c r="G1045" s="376"/>
      <c r="H1045" s="1"/>
    </row>
    <row r="1046" spans="2:8" ht="52.5" customHeight="1" x14ac:dyDescent="0.25">
      <c r="B1046" s="374" t="s">
        <v>901</v>
      </c>
      <c r="C1046" s="375"/>
      <c r="D1046" s="375"/>
      <c r="E1046" s="375"/>
      <c r="F1046" s="375"/>
      <c r="G1046" s="376"/>
      <c r="H1046" s="1"/>
    </row>
    <row r="1047" spans="2:8" ht="15" customHeight="1" x14ac:dyDescent="0.25">
      <c r="B1047" s="374" t="s">
        <v>902</v>
      </c>
      <c r="C1047" s="375"/>
      <c r="D1047" s="375"/>
      <c r="E1047" s="375"/>
      <c r="F1047" s="375"/>
      <c r="G1047" s="376"/>
      <c r="H1047" s="1"/>
    </row>
    <row r="1048" spans="2:8" ht="15" customHeight="1" x14ac:dyDescent="0.25">
      <c r="B1048" s="109"/>
      <c r="C1048" s="110"/>
      <c r="D1048" s="110"/>
      <c r="E1048" s="110"/>
      <c r="F1048" s="110"/>
      <c r="G1048" s="111"/>
      <c r="H1048" s="1"/>
    </row>
    <row r="1049" spans="2:8" ht="15" customHeight="1" x14ac:dyDescent="0.25">
      <c r="B1049" s="406" t="s">
        <v>903</v>
      </c>
      <c r="C1049" s="375"/>
      <c r="D1049" s="375"/>
      <c r="E1049" s="375"/>
      <c r="F1049" s="375"/>
      <c r="G1049" s="376"/>
      <c r="H1049" s="1"/>
    </row>
    <row r="1050" spans="2:8" ht="52.5" customHeight="1" x14ac:dyDescent="0.25">
      <c r="B1050" s="403" t="s">
        <v>904</v>
      </c>
      <c r="C1050" s="375"/>
      <c r="D1050" s="375"/>
      <c r="E1050" s="375"/>
      <c r="F1050" s="375"/>
      <c r="G1050" s="376"/>
      <c r="H1050" s="1"/>
    </row>
    <row r="1051" spans="2:8" ht="27" customHeight="1" x14ac:dyDescent="0.25">
      <c r="B1051" s="403" t="s">
        <v>905</v>
      </c>
      <c r="C1051" s="375"/>
      <c r="D1051" s="375"/>
      <c r="E1051" s="375"/>
      <c r="F1051" s="375"/>
      <c r="G1051" s="376"/>
      <c r="H1051" s="1"/>
    </row>
    <row r="1052" spans="2:8" ht="15" customHeight="1" x14ac:dyDescent="0.25">
      <c r="B1052" s="398"/>
      <c r="C1052" s="397"/>
      <c r="D1052" s="397"/>
      <c r="E1052" s="397"/>
      <c r="F1052" s="397"/>
      <c r="G1052" s="397"/>
      <c r="H1052" s="1"/>
    </row>
    <row r="1053" spans="2:8" ht="15" customHeight="1" x14ac:dyDescent="0.25">
      <c r="B1053" s="398"/>
      <c r="C1053" s="397"/>
      <c r="D1053" s="397"/>
      <c r="E1053" s="397"/>
      <c r="F1053" s="397"/>
      <c r="G1053" s="397"/>
      <c r="H1053" s="1"/>
    </row>
    <row r="1054" spans="2:8" ht="15" customHeight="1" x14ac:dyDescent="0.25">
      <c r="B1054" s="398"/>
      <c r="C1054" s="397"/>
      <c r="D1054" s="397"/>
      <c r="E1054" s="397"/>
      <c r="F1054" s="397"/>
      <c r="G1054" s="397"/>
      <c r="H1054" s="1"/>
    </row>
    <row r="1055" spans="2:8" ht="15" customHeight="1" x14ac:dyDescent="0.25">
      <c r="B1055" s="398"/>
      <c r="C1055" s="397"/>
      <c r="D1055" s="397"/>
      <c r="E1055" s="397"/>
      <c r="F1055" s="397"/>
      <c r="G1055" s="397"/>
      <c r="H1055" s="1"/>
    </row>
    <row r="1056" spans="2:8" ht="15" customHeight="1" x14ac:dyDescent="0.25">
      <c r="B1056" s="398"/>
      <c r="C1056" s="397"/>
      <c r="D1056" s="397"/>
      <c r="E1056" s="397"/>
      <c r="F1056" s="397"/>
      <c r="G1056" s="397"/>
      <c r="H1056" s="1"/>
    </row>
  </sheetData>
  <mergeCells count="988">
    <mergeCell ref="B960:G960"/>
    <mergeCell ref="B954:G954"/>
    <mergeCell ref="B199:G199"/>
    <mergeCell ref="B1025:G1025"/>
    <mergeCell ref="B435:G435"/>
    <mergeCell ref="B291:G291"/>
    <mergeCell ref="B720:G720"/>
    <mergeCell ref="B70:G70"/>
    <mergeCell ref="B508:G508"/>
    <mergeCell ref="B228:G228"/>
    <mergeCell ref="B952:G952"/>
    <mergeCell ref="B781:G781"/>
    <mergeCell ref="B719:G719"/>
    <mergeCell ref="B368:G368"/>
    <mergeCell ref="B135:G135"/>
    <mergeCell ref="B75:G75"/>
    <mergeCell ref="B433:G433"/>
    <mergeCell ref="B233:G233"/>
    <mergeCell ref="B62:G62"/>
    <mergeCell ref="B531:G531"/>
    <mergeCell ref="B227:G227"/>
    <mergeCell ref="B420:G420"/>
    <mergeCell ref="B662:G662"/>
    <mergeCell ref="B718:G718"/>
    <mergeCell ref="B596:G596"/>
    <mergeCell ref="B1012:G1012"/>
    <mergeCell ref="B797:G797"/>
    <mergeCell ref="B868:G868"/>
    <mergeCell ref="B484:G484"/>
    <mergeCell ref="B120:G120"/>
    <mergeCell ref="B278:G278"/>
    <mergeCell ref="B107:G107"/>
    <mergeCell ref="B405:G405"/>
    <mergeCell ref="B707:G707"/>
    <mergeCell ref="B812:G812"/>
    <mergeCell ref="B641:G641"/>
    <mergeCell ref="B1005:G1005"/>
    <mergeCell ref="B883:G883"/>
    <mergeCell ref="B799:G799"/>
    <mergeCell ref="B342:G342"/>
    <mergeCell ref="B171:G171"/>
    <mergeCell ref="B578:G578"/>
    <mergeCell ref="B407:G407"/>
    <mergeCell ref="B515:G515"/>
    <mergeCell ref="B438:G438"/>
    <mergeCell ref="B894:G894"/>
    <mergeCell ref="B723:G723"/>
    <mergeCell ref="B133:G133"/>
    <mergeCell ref="B959:G959"/>
    <mergeCell ref="B939:G939"/>
    <mergeCell ref="B817:G817"/>
    <mergeCell ref="B1010:G1010"/>
    <mergeCell ref="B768:G768"/>
    <mergeCell ref="B122:G122"/>
    <mergeCell ref="B276:G276"/>
    <mergeCell ref="B105:G105"/>
    <mergeCell ref="B347:G347"/>
    <mergeCell ref="B214:G214"/>
    <mergeCell ref="B512:G512"/>
    <mergeCell ref="B783:G783"/>
    <mergeCell ref="B583:G583"/>
    <mergeCell ref="B639:G639"/>
    <mergeCell ref="B341:G341"/>
    <mergeCell ref="B577:G577"/>
    <mergeCell ref="B788:G788"/>
    <mergeCell ref="B369:G369"/>
    <mergeCell ref="B198:G198"/>
    <mergeCell ref="B667:G667"/>
    <mergeCell ref="B418:G418"/>
    <mergeCell ref="B738:G738"/>
    <mergeCell ref="B489:G489"/>
    <mergeCell ref="B356:G356"/>
    <mergeCell ref="B296:G296"/>
    <mergeCell ref="B648:G648"/>
    <mergeCell ref="B108:G108"/>
    <mergeCell ref="B773:G773"/>
    <mergeCell ref="B458:G458"/>
    <mergeCell ref="B694:G694"/>
    <mergeCell ref="B786:G786"/>
    <mergeCell ref="B185:G185"/>
    <mergeCell ref="B483:G483"/>
    <mergeCell ref="B16:G16"/>
    <mergeCell ref="B581:G581"/>
    <mergeCell ref="B43:G43"/>
    <mergeCell ref="B18:G18"/>
    <mergeCell ref="B57:G57"/>
    <mergeCell ref="B654:G654"/>
    <mergeCell ref="B725:G725"/>
    <mergeCell ref="B9:H9"/>
    <mergeCell ref="B822:G822"/>
    <mergeCell ref="B651:G651"/>
    <mergeCell ref="B480:G480"/>
    <mergeCell ref="B67:G67"/>
    <mergeCell ref="B61:G61"/>
    <mergeCell ref="B328:G328"/>
    <mergeCell ref="B132:G132"/>
    <mergeCell ref="B626:G626"/>
    <mergeCell ref="B430:G430"/>
    <mergeCell ref="B119:G119"/>
    <mergeCell ref="B588:G588"/>
    <mergeCell ref="B417:G417"/>
    <mergeCell ref="B653:G653"/>
    <mergeCell ref="B69:G69"/>
    <mergeCell ref="B392:G392"/>
    <mergeCell ref="B367:G367"/>
    <mergeCell ref="B196:G196"/>
    <mergeCell ref="B628:G628"/>
    <mergeCell ref="B112:G112"/>
    <mergeCell ref="B288:G288"/>
    <mergeCell ref="B652:G652"/>
    <mergeCell ref="B348:G348"/>
    <mergeCell ref="B419:G419"/>
    <mergeCell ref="B33:G33"/>
    <mergeCell ref="B925:G925"/>
    <mergeCell ref="B177:G177"/>
    <mergeCell ref="B275:G275"/>
    <mergeCell ref="B104:G104"/>
    <mergeCell ref="B335:G335"/>
    <mergeCell ref="B164:G164"/>
    <mergeCell ref="B406:G406"/>
    <mergeCell ref="B633:G633"/>
    <mergeCell ref="B511:G511"/>
    <mergeCell ref="B875:G875"/>
    <mergeCell ref="B704:G704"/>
    <mergeCell ref="B560:G560"/>
    <mergeCell ref="B498:G498"/>
    <mergeCell ref="B462:G462"/>
    <mergeCell ref="B340:G340"/>
    <mergeCell ref="B796:G796"/>
    <mergeCell ref="B212:G212"/>
    <mergeCell ref="B114:G114"/>
    <mergeCell ref="B41:G41"/>
    <mergeCell ref="B206:G206"/>
    <mergeCell ref="B35:G35"/>
    <mergeCell ref="B399:G399"/>
    <mergeCell ref="B277:G277"/>
    <mergeCell ref="B22:G22"/>
    <mergeCell ref="B920:G920"/>
    <mergeCell ref="B749:G749"/>
    <mergeCell ref="B676:G676"/>
    <mergeCell ref="B86:G86"/>
    <mergeCell ref="B912:G912"/>
    <mergeCell ref="B862:G862"/>
    <mergeCell ref="B101:G101"/>
    <mergeCell ref="B849:G849"/>
    <mergeCell ref="B182:G182"/>
    <mergeCell ref="B638:G638"/>
    <mergeCell ref="B467:G467"/>
    <mergeCell ref="B874:G874"/>
    <mergeCell ref="B703:G703"/>
    <mergeCell ref="B246:G246"/>
    <mergeCell ref="B211:G211"/>
    <mergeCell ref="B702:G702"/>
    <mergeCell ref="B811:G811"/>
    <mergeCell ref="B640:G640"/>
    <mergeCell ref="B496:G496"/>
    <mergeCell ref="B767:G767"/>
    <mergeCell ref="B469:G469"/>
    <mergeCell ref="B300:G300"/>
    <mergeCell ref="B865:G865"/>
    <mergeCell ref="B1054:G1054"/>
    <mergeCell ref="B587:G587"/>
    <mergeCell ref="B910:G910"/>
    <mergeCell ref="B885:G885"/>
    <mergeCell ref="B416:G416"/>
    <mergeCell ref="B264:G264"/>
    <mergeCell ref="B320:G320"/>
    <mergeCell ref="B295:G295"/>
    <mergeCell ref="B562:G562"/>
    <mergeCell ref="B976:G976"/>
    <mergeCell ref="B936:G936"/>
    <mergeCell ref="B1007:G1007"/>
    <mergeCell ref="B1001:G1001"/>
    <mergeCell ref="B938:G938"/>
    <mergeCell ref="B1002:G1002"/>
    <mergeCell ref="B404:G404"/>
    <mergeCell ref="B873:G873"/>
    <mergeCell ref="B1004:G1004"/>
    <mergeCell ref="B860:G860"/>
    <mergeCell ref="B979:G979"/>
    <mergeCell ref="B793:G793"/>
    <mergeCell ref="B524:G524"/>
    <mergeCell ref="B353:G353"/>
    <mergeCell ref="B824:G824"/>
    <mergeCell ref="B1052:G1052"/>
    <mergeCell ref="B585:G585"/>
    <mergeCell ref="B414:G414"/>
    <mergeCell ref="B846:G846"/>
    <mergeCell ref="B821:G821"/>
    <mergeCell ref="B109:G109"/>
    <mergeCell ref="B351:G351"/>
    <mergeCell ref="B47:G47"/>
    <mergeCell ref="B345:G345"/>
    <mergeCell ref="B612:G612"/>
    <mergeCell ref="B193:G193"/>
    <mergeCell ref="B59:G59"/>
    <mergeCell ref="B183:G183"/>
    <mergeCell ref="B106:G106"/>
    <mergeCell ref="B66:G66"/>
    <mergeCell ref="B180:G180"/>
    <mergeCell ref="B130:G130"/>
    <mergeCell ref="B117:G117"/>
    <mergeCell ref="B870:G870"/>
    <mergeCell ref="B888:G888"/>
    <mergeCell ref="B717:G717"/>
    <mergeCell ref="B127:G127"/>
    <mergeCell ref="B394:G394"/>
    <mergeCell ref="B692:G692"/>
    <mergeCell ref="B930:G930"/>
    <mergeCell ref="B559:G559"/>
    <mergeCell ref="B175:G175"/>
    <mergeCell ref="B917:G917"/>
    <mergeCell ref="B795:G795"/>
    <mergeCell ref="B267:G267"/>
    <mergeCell ref="B162:G162"/>
    <mergeCell ref="B398:G398"/>
    <mergeCell ref="B696:G696"/>
    <mergeCell ref="B525:G525"/>
    <mergeCell ref="B373:G373"/>
    <mergeCell ref="B269:G269"/>
    <mergeCell ref="B187:G187"/>
    <mergeCell ref="B485:G485"/>
    <mergeCell ref="B752:G752"/>
    <mergeCell ref="B556:G556"/>
    <mergeCell ref="B806:G806"/>
    <mergeCell ref="B251:G251"/>
    <mergeCell ref="B493:G493"/>
    <mergeCell ref="B189:G189"/>
    <mergeCell ref="B487:G487"/>
    <mergeCell ref="B754:G754"/>
    <mergeCell ref="B343:G343"/>
    <mergeCell ref="B928:G928"/>
    <mergeCell ref="B1046:G1046"/>
    <mergeCell ref="B604:G604"/>
    <mergeCell ref="B20:G20"/>
    <mergeCell ref="B256:G256"/>
    <mergeCell ref="B1033:G1033"/>
    <mergeCell ref="B85:G85"/>
    <mergeCell ref="B554:G554"/>
    <mergeCell ref="B383:G383"/>
    <mergeCell ref="B541:G541"/>
    <mergeCell ref="B983:G983"/>
    <mergeCell ref="B970:G970"/>
    <mergeCell ref="B635:G635"/>
    <mergeCell ref="B77:G77"/>
    <mergeCell ref="B159:G159"/>
    <mergeCell ref="B985:G985"/>
    <mergeCell ref="B572:G572"/>
    <mergeCell ref="B401:G401"/>
    <mergeCell ref="B759:G759"/>
    <mergeCell ref="B935:G935"/>
    <mergeCell ref="B764:G764"/>
    <mergeCell ref="B995:G995"/>
    <mergeCell ref="B96:G96"/>
    <mergeCell ref="B922:G922"/>
    <mergeCell ref="B167:G167"/>
    <mergeCell ref="B1051:G1051"/>
    <mergeCell ref="B535:G535"/>
    <mergeCell ref="B19:G19"/>
    <mergeCell ref="B1038:G1038"/>
    <mergeCell ref="B317:G317"/>
    <mergeCell ref="B681:G681"/>
    <mergeCell ref="B869:G869"/>
    <mergeCell ref="B619:G619"/>
    <mergeCell ref="B448:G448"/>
    <mergeCell ref="B304:G304"/>
    <mergeCell ref="B746:G746"/>
    <mergeCell ref="B546:G546"/>
    <mergeCell ref="B988:G988"/>
    <mergeCell ref="B602:G602"/>
    <mergeCell ref="B844:G844"/>
    <mergeCell ref="B540:G540"/>
    <mergeCell ref="B733:G733"/>
    <mergeCell ref="B279:G279"/>
    <mergeCell ref="B254:G254"/>
    <mergeCell ref="B1031:G1031"/>
    <mergeCell ref="B143:G143"/>
    <mergeCell ref="B83:G83"/>
    <mergeCell ref="B490:G490"/>
    <mergeCell ref="B319:G319"/>
    <mergeCell ref="B42:G42"/>
    <mergeCell ref="B471:G471"/>
    <mergeCell ref="B17:G17"/>
    <mergeCell ref="B769:G769"/>
    <mergeCell ref="B148:G148"/>
    <mergeCell ref="B446:G446"/>
    <mergeCell ref="B250:G250"/>
    <mergeCell ref="B688:G688"/>
    <mergeCell ref="B682:G682"/>
    <mergeCell ref="B44:G44"/>
    <mergeCell ref="B683:G683"/>
    <mergeCell ref="B244:G244"/>
    <mergeCell ref="B477:G477"/>
    <mergeCell ref="B272:G272"/>
    <mergeCell ref="B332:G332"/>
    <mergeCell ref="B37:G37"/>
    <mergeCell ref="B630:G630"/>
    <mergeCell ref="B459:G459"/>
    <mergeCell ref="B701:G701"/>
    <mergeCell ref="B530:G530"/>
    <mergeCell ref="B617:G617"/>
    <mergeCell ref="B259:G259"/>
    <mergeCell ref="B111:G111"/>
    <mergeCell ref="B98:G98"/>
    <mergeCell ref="B1056:G1056"/>
    <mergeCell ref="B614:G614"/>
    <mergeCell ref="B24:G24"/>
    <mergeCell ref="B850:G850"/>
    <mergeCell ref="B266:G266"/>
    <mergeCell ref="B350:G350"/>
    <mergeCell ref="B95:G95"/>
    <mergeCell ref="B89:G89"/>
    <mergeCell ref="B564:G564"/>
    <mergeCell ref="B527:G527"/>
    <mergeCell ref="B502:G502"/>
    <mergeCell ref="B558:G558"/>
    <mergeCell ref="B825:G825"/>
    <mergeCell ref="B800:G800"/>
    <mergeCell ref="B629:G629"/>
    <mergeCell ref="B393:G393"/>
    <mergeCell ref="B331:G331"/>
    <mergeCell ref="B160:G160"/>
    <mergeCell ref="B306:G306"/>
    <mergeCell ref="B32:G32"/>
    <mergeCell ref="B914:G914"/>
    <mergeCell ref="B330:G330"/>
    <mergeCell ref="B268:G268"/>
    <mergeCell ref="B324:G324"/>
    <mergeCell ref="B29:G29"/>
    <mergeCell ref="B563:G563"/>
    <mergeCell ref="B756:G756"/>
    <mergeCell ref="B992:G992"/>
    <mergeCell ref="B74:G74"/>
    <mergeCell ref="B329:G329"/>
    <mergeCell ref="B158:G158"/>
    <mergeCell ref="B627:G627"/>
    <mergeCell ref="B316:G316"/>
    <mergeCell ref="B758:G758"/>
    <mergeCell ref="B785:G785"/>
    <mergeCell ref="B591:G591"/>
    <mergeCell ref="B566:G566"/>
    <mergeCell ref="B395:G395"/>
    <mergeCell ref="B224:G224"/>
    <mergeCell ref="B864:G864"/>
    <mergeCell ref="B693:G693"/>
    <mergeCell ref="B153:G153"/>
    <mergeCell ref="B97:G97"/>
    <mergeCell ref="B72:G72"/>
    <mergeCell ref="B370:G370"/>
    <mergeCell ref="B90:G90"/>
    <mergeCell ref="B655:G655"/>
    <mergeCell ref="B891:G891"/>
    <mergeCell ref="B1030:G1030"/>
    <mergeCell ref="B661:G661"/>
    <mergeCell ref="B551:G551"/>
    <mergeCell ref="B253:G253"/>
    <mergeCell ref="B440:G440"/>
    <mergeCell ref="B240:G240"/>
    <mergeCell ref="B538:G538"/>
    <mergeCell ref="B598:G598"/>
    <mergeCell ref="B532:G532"/>
    <mergeCell ref="B669:G669"/>
    <mergeCell ref="B603:G603"/>
    <mergeCell ref="B377:G377"/>
    <mergeCell ref="B657:G657"/>
    <mergeCell ref="B980:G980"/>
    <mergeCell ref="B780:G780"/>
    <mergeCell ref="B775:G775"/>
    <mergeCell ref="B872:G872"/>
    <mergeCell ref="B866:G866"/>
    <mergeCell ref="B937:G937"/>
    <mergeCell ref="B915:G915"/>
    <mergeCell ref="B986:G986"/>
    <mergeCell ref="B853:G853"/>
    <mergeCell ref="B396:G396"/>
    <mergeCell ref="B274:G274"/>
    <mergeCell ref="B51:G51"/>
    <mergeCell ref="B443:G443"/>
    <mergeCell ref="B237:G237"/>
    <mergeCell ref="B679:G679"/>
    <mergeCell ref="B163:G163"/>
    <mergeCell ref="B837:G837"/>
    <mergeCell ref="B666:G666"/>
    <mergeCell ref="B309:G309"/>
    <mergeCell ref="B964:G964"/>
    <mergeCell ref="B380:G380"/>
    <mergeCell ref="B209:G209"/>
    <mergeCell ref="B138:G138"/>
    <mergeCell ref="B445:G445"/>
    <mergeCell ref="B301:G301"/>
    <mergeCell ref="B743:G743"/>
    <mergeCell ref="B432:G432"/>
    <mergeCell ref="B537:G537"/>
    <mergeCell ref="B901:G901"/>
    <mergeCell ref="B730:G730"/>
    <mergeCell ref="B311:G311"/>
    <mergeCell ref="B382:G382"/>
    <mergeCell ref="B140:G140"/>
    <mergeCell ref="B238:G238"/>
    <mergeCell ref="B680:G680"/>
    <mergeCell ref="B1053:G1053"/>
    <mergeCell ref="B21:G21"/>
    <mergeCell ref="B847:G847"/>
    <mergeCell ref="B263:G263"/>
    <mergeCell ref="B1040:G1040"/>
    <mergeCell ref="B152:G152"/>
    <mergeCell ref="B450:G450"/>
    <mergeCell ref="B748:G748"/>
    <mergeCell ref="B1015:G1015"/>
    <mergeCell ref="B990:G990"/>
    <mergeCell ref="B953:G953"/>
    <mergeCell ref="B819:G819"/>
    <mergeCell ref="B686:G686"/>
    <mergeCell ref="B613:G613"/>
    <mergeCell ref="B542:G542"/>
    <mergeCell ref="B425:G425"/>
    <mergeCell ref="B911:G911"/>
    <mergeCell ref="B1045:G1045"/>
    <mergeCell ref="B229:G229"/>
    <mergeCell ref="B514:G514"/>
    <mergeCell ref="B452:G452"/>
    <mergeCell ref="B946:G946"/>
    <mergeCell ref="B750:G750"/>
    <mergeCell ref="B1017:G1017"/>
    <mergeCell ref="B1037:G1037"/>
    <mergeCell ref="B893:G893"/>
    <mergeCell ref="B722:G722"/>
    <mergeCell ref="B76:G76"/>
    <mergeCell ref="B374:G374"/>
    <mergeCell ref="B203:G203"/>
    <mergeCell ref="B361:G361"/>
    <mergeCell ref="B659:G659"/>
    <mergeCell ref="B895:G895"/>
    <mergeCell ref="B232:G232"/>
    <mergeCell ref="B150:G150"/>
    <mergeCell ref="B326:G326"/>
    <mergeCell ref="B215:G215"/>
    <mergeCell ref="B684:G684"/>
    <mergeCell ref="B951:G951"/>
    <mergeCell ref="B513:G513"/>
    <mergeCell ref="B606:G606"/>
    <mergeCell ref="B550:G550"/>
    <mergeCell ref="B848:G848"/>
    <mergeCell ref="B544:G544"/>
    <mergeCell ref="B427:G427"/>
    <mergeCell ref="B283:G283"/>
    <mergeCell ref="B87:G87"/>
    <mergeCell ref="B354:G354"/>
    <mergeCell ref="B1027:G1027"/>
    <mergeCell ref="B310:G310"/>
    <mergeCell ref="B239:G239"/>
    <mergeCell ref="B804:G804"/>
    <mergeCell ref="B608:G608"/>
    <mergeCell ref="B201:G201"/>
    <mergeCell ref="B139:G139"/>
    <mergeCell ref="B68:G68"/>
    <mergeCell ref="B595:G595"/>
    <mergeCell ref="B823:G823"/>
    <mergeCell ref="B519:G519"/>
    <mergeCell ref="B761:G761"/>
    <mergeCell ref="B590:G590"/>
    <mergeCell ref="B814:G814"/>
    <mergeCell ref="B298:G298"/>
    <mergeCell ref="B456:G456"/>
    <mergeCell ref="B285:G285"/>
    <mergeCell ref="B966:G966"/>
    <mergeCell ref="B509:G509"/>
    <mergeCell ref="B674:G674"/>
    <mergeCell ref="B303:G303"/>
    <mergeCell ref="B916:G916"/>
    <mergeCell ref="B601:G601"/>
    <mergeCell ref="B965:G965"/>
    <mergeCell ref="B3:D3"/>
    <mergeCell ref="B282:G282"/>
    <mergeCell ref="B724:G724"/>
    <mergeCell ref="B580:G580"/>
    <mergeCell ref="B882:G882"/>
    <mergeCell ref="B711:G711"/>
    <mergeCell ref="B1009:G1009"/>
    <mergeCell ref="B219:G219"/>
    <mergeCell ref="B48:G48"/>
    <mergeCell ref="B517:G517"/>
    <mergeCell ref="B346:G346"/>
    <mergeCell ref="B582:G582"/>
    <mergeCell ref="B740:G740"/>
    <mergeCell ref="B73:G73"/>
    <mergeCell ref="B437:G437"/>
    <mergeCell ref="B371:G371"/>
    <mergeCell ref="B656:G656"/>
    <mergeCell ref="B898:G898"/>
    <mergeCell ref="B727:G727"/>
    <mergeCell ref="B308:G308"/>
    <mergeCell ref="B137:G137"/>
    <mergeCell ref="B379:G379"/>
    <mergeCell ref="B677:G677"/>
    <mergeCell ref="B737:G737"/>
    <mergeCell ref="B1014:G1014"/>
    <mergeCell ref="B188:G188"/>
    <mergeCell ref="B126:G126"/>
    <mergeCell ref="B1008:G1008"/>
    <mergeCell ref="B424:G424"/>
    <mergeCell ref="B280:G280"/>
    <mergeCell ref="B1032:G1032"/>
    <mergeCell ref="B522:G522"/>
    <mergeCell ref="B411:G411"/>
    <mergeCell ref="B516:G516"/>
    <mergeCell ref="B218:G218"/>
    <mergeCell ref="B880:G880"/>
    <mergeCell ref="B709:G709"/>
    <mergeCell ref="B945:G945"/>
    <mergeCell ref="B774:G774"/>
    <mergeCell ref="B1016:G1016"/>
    <mergeCell ref="B801:G801"/>
    <mergeCell ref="B488:G488"/>
    <mergeCell ref="B190:G190"/>
    <mergeCell ref="B593:G593"/>
    <mergeCell ref="B422:G422"/>
    <mergeCell ref="B835:G835"/>
    <mergeCell ref="B664:G664"/>
    <mergeCell ref="B360:G360"/>
    <mergeCell ref="B1034:G1034"/>
    <mergeCell ref="B465:G465"/>
    <mergeCell ref="B890:G890"/>
    <mergeCell ref="B1024:G1024"/>
    <mergeCell ref="B779:G779"/>
    <mergeCell ref="B421:G421"/>
    <mergeCell ref="B1021:G1021"/>
    <mergeCell ref="B567:G567"/>
    <mergeCell ref="B60:G60"/>
    <mergeCell ref="B803:G803"/>
    <mergeCell ref="B287:G287"/>
    <mergeCell ref="B996:G996"/>
    <mergeCell ref="B529:G529"/>
    <mergeCell ref="B358:G358"/>
    <mergeCell ref="B827:G827"/>
    <mergeCell ref="B790:G790"/>
    <mergeCell ref="B765:G765"/>
    <mergeCell ref="B594:G594"/>
    <mergeCell ref="B523:G523"/>
    <mergeCell ref="B892:G892"/>
    <mergeCell ref="B569:G569"/>
    <mergeCell ref="B810:G810"/>
    <mergeCell ref="B289:G289"/>
    <mergeCell ref="B668:G668"/>
    <mergeCell ref="B1019:G1019"/>
    <mergeCell ref="B236:G236"/>
    <mergeCell ref="B503:G503"/>
    <mergeCell ref="B307:G307"/>
    <mergeCell ref="B58:G58"/>
    <mergeCell ref="B500:G500"/>
    <mergeCell ref="B52:G52"/>
    <mergeCell ref="B223:G223"/>
    <mergeCell ref="B294:G294"/>
    <mergeCell ref="B798:G798"/>
    <mergeCell ref="B932:G932"/>
    <mergeCell ref="B736:G736"/>
    <mergeCell ref="B521:G521"/>
    <mergeCell ref="B494:G494"/>
    <mergeCell ref="B53:G53"/>
    <mergeCell ref="B447:G447"/>
    <mergeCell ref="B241:G241"/>
    <mergeCell ref="B124:G124"/>
    <mergeCell ref="B434:G434"/>
    <mergeCell ref="B216:G216"/>
    <mergeCell ref="B968:G968"/>
    <mergeCell ref="B213:G213"/>
    <mergeCell ref="B816:G816"/>
    <mergeCell ref="B645:G645"/>
    <mergeCell ref="B7:G7"/>
    <mergeCell ref="B955:G955"/>
    <mergeCell ref="B784:G784"/>
    <mergeCell ref="B200:G200"/>
    <mergeCell ref="B134:G134"/>
    <mergeCell ref="B365:G365"/>
    <mergeCell ref="B194:G194"/>
    <mergeCell ref="B492:G492"/>
    <mergeCell ref="B292:G292"/>
    <mergeCell ref="B734:G734"/>
    <mergeCell ref="B121:G121"/>
    <mergeCell ref="B528:G528"/>
    <mergeCell ref="B357:G357"/>
    <mergeCell ref="B721:G721"/>
    <mergeCell ref="B826:G826"/>
    <mergeCell ref="B71:G71"/>
    <mergeCell ref="B474:G474"/>
    <mergeCell ref="B772:G772"/>
    <mergeCell ref="B449:G449"/>
    <mergeCell ref="B829:G829"/>
    <mergeCell ref="B658:G658"/>
    <mergeCell ref="B900:G900"/>
    <mergeCell ref="B372:G372"/>
    <mergeCell ref="B64:G64"/>
    <mergeCell ref="B118:G118"/>
    <mergeCell ref="B574:G574"/>
    <mergeCell ref="B403:G403"/>
    <mergeCell ref="B281:G281"/>
    <mergeCell ref="B55:G55"/>
    <mergeCell ref="B497:G497"/>
    <mergeCell ref="B169:G169"/>
    <mergeCell ref="B526:G526"/>
    <mergeCell ref="B355:G355"/>
    <mergeCell ref="B184:G184"/>
    <mergeCell ref="B225:G225"/>
    <mergeCell ref="B461:G461"/>
    <mergeCell ref="B27:G27"/>
    <mergeCell ref="B548:G548"/>
    <mergeCell ref="B813:G813"/>
    <mergeCell ref="B642:G642"/>
    <mergeCell ref="B940:G940"/>
    <mergeCell ref="B179:G179"/>
    <mergeCell ref="B927:G927"/>
    <mergeCell ref="B731:G731"/>
    <mergeCell ref="B337:G337"/>
    <mergeCell ref="B166:G166"/>
    <mergeCell ref="B408:G408"/>
    <mergeCell ref="B464:G464"/>
    <mergeCell ref="B877:G877"/>
    <mergeCell ref="B706:G706"/>
    <mergeCell ref="B815:G815"/>
    <mergeCell ref="B644:G644"/>
    <mergeCell ref="B116:G116"/>
    <mergeCell ref="B352:G352"/>
    <mergeCell ref="B103:G103"/>
    <mergeCell ref="B423:G423"/>
    <mergeCell ref="B230:G230"/>
    <mergeCell ref="B205:G205"/>
    <mergeCell ref="B643:G643"/>
    <mergeCell ref="B472:G472"/>
    <mergeCell ref="B993:G993"/>
    <mergeCell ref="B284:G284"/>
    <mergeCell ref="B222:G222"/>
    <mergeCell ref="B787:G787"/>
    <mergeCell ref="B63:G63"/>
    <mergeCell ref="B840:G840"/>
    <mergeCell ref="B974:G974"/>
    <mergeCell ref="B197:G197"/>
    <mergeCell ref="B50:G50"/>
    <mergeCell ref="B482:G482"/>
    <mergeCell ref="B753:G753"/>
    <mergeCell ref="B553:G553"/>
    <mergeCell ref="B286:G286"/>
    <mergeCell ref="B584:G584"/>
    <mergeCell ref="B851:G851"/>
    <mergeCell ref="B261:G261"/>
    <mergeCell ref="B861:G861"/>
    <mergeCell ref="B690:G690"/>
    <mergeCell ref="B782:G782"/>
    <mergeCell ref="B942:G942"/>
    <mergeCell ref="B410:G410"/>
    <mergeCell ref="B637:G637"/>
    <mergeCell ref="B466:G466"/>
    <mergeCell ref="B879:G879"/>
    <mergeCell ref="B31:G31"/>
    <mergeCell ref="B698:G698"/>
    <mergeCell ref="B807:G807"/>
    <mergeCell ref="B1000:G1000"/>
    <mergeCell ref="B856:G856"/>
    <mergeCell ref="B39:G39"/>
    <mergeCell ref="B402:G402"/>
    <mergeCell ref="B573:G573"/>
    <mergeCell ref="B871:G871"/>
    <mergeCell ref="B858:G858"/>
    <mergeCell ref="B191:G191"/>
    <mergeCell ref="B349:G349"/>
    <mergeCell ref="B178:G178"/>
    <mergeCell ref="B647:G647"/>
    <mergeCell ref="B476:G476"/>
    <mergeCell ref="B712:G712"/>
    <mergeCell ref="B128:G128"/>
    <mergeCell ref="B426:G426"/>
    <mergeCell ref="B255:G255"/>
    <mergeCell ref="B364:G364"/>
    <mergeCell ref="B226:G226"/>
    <mergeCell ref="B49:G49"/>
    <mergeCell ref="B929:G929"/>
    <mergeCell ref="B589:G589"/>
    <mergeCell ref="B113:G113"/>
    <mergeCell ref="B173:G173"/>
    <mergeCell ref="B999:G999"/>
    <mergeCell ref="B271:G271"/>
    <mergeCell ref="B100:G100"/>
    <mergeCell ref="B507:G507"/>
    <mergeCell ref="B336:G336"/>
    <mergeCell ref="B700:G700"/>
    <mergeCell ref="B634:G634"/>
    <mergeCell ref="B165:G165"/>
    <mergeCell ref="B998:G998"/>
    <mergeCell ref="B876:G876"/>
    <mergeCell ref="B705:G705"/>
    <mergeCell ref="B115:G115"/>
    <mergeCell ref="B863:G863"/>
    <mergeCell ref="B919:G919"/>
    <mergeCell ref="B202:G202"/>
    <mergeCell ref="B857:G857"/>
    <mergeCell ref="B473:G473"/>
    <mergeCell ref="B273:G273"/>
    <mergeCell ref="B102:G102"/>
    <mergeCell ref="B571:G571"/>
    <mergeCell ref="B400:G400"/>
    <mergeCell ref="B478:G478"/>
    <mergeCell ref="B1035:G1035"/>
    <mergeCell ref="B451:G451"/>
    <mergeCell ref="B147:G147"/>
    <mergeCell ref="B245:G245"/>
    <mergeCell ref="B687:G687"/>
    <mergeCell ref="B543:G543"/>
    <mergeCell ref="B481:G481"/>
    <mergeCell ref="B972:G972"/>
    <mergeCell ref="B260:G260"/>
    <mergeCell ref="B545:G545"/>
    <mergeCell ref="B463:G463"/>
    <mergeCell ref="B359:G359"/>
    <mergeCell ref="B207:G207"/>
    <mergeCell ref="B334:G334"/>
    <mergeCell ref="B576:G576"/>
    <mergeCell ref="B636:G636"/>
    <mergeCell ref="B570:G570"/>
    <mergeCell ref="B934:G934"/>
    <mergeCell ref="B763:G763"/>
    <mergeCell ref="B947:G947"/>
    <mergeCell ref="B776:G776"/>
    <mergeCell ref="B1018:G1018"/>
    <mergeCell ref="B192:G192"/>
    <mergeCell ref="B624:G624"/>
    <mergeCell ref="B673:G673"/>
    <mergeCell ref="B539:G539"/>
    <mergeCell ref="B971:G971"/>
    <mergeCell ref="B387:G387"/>
    <mergeCell ref="B145:G145"/>
    <mergeCell ref="B685:G685"/>
    <mergeCell ref="B181:G181"/>
    <mergeCell ref="B623:G623"/>
    <mergeCell ref="B921:G921"/>
    <mergeCell ref="B908:G908"/>
    <mergeCell ref="B258:G258"/>
    <mergeCell ref="B453:G453"/>
    <mergeCell ref="B695:G695"/>
    <mergeCell ref="B751:G751"/>
    <mergeCell ref="B428:G428"/>
    <mergeCell ref="B708:G708"/>
    <mergeCell ref="B339:G339"/>
    <mergeCell ref="B168:G168"/>
    <mergeCell ref="B956:G956"/>
    <mergeCell ref="B832:G832"/>
    <mergeCell ref="B903:G903"/>
    <mergeCell ref="B794:G794"/>
    <mergeCell ref="B732:G732"/>
    <mergeCell ref="B632:G632"/>
    <mergeCell ref="B1022:G1022"/>
    <mergeCell ref="B997:G997"/>
    <mergeCell ref="B555:G555"/>
    <mergeCell ref="B186:G186"/>
    <mergeCell ref="B791:G791"/>
    <mergeCell ref="B984:G984"/>
    <mergeCell ref="B92:G92"/>
    <mergeCell ref="B30:G30"/>
    <mergeCell ref="B766:G766"/>
    <mergeCell ref="B486:G486"/>
    <mergeCell ref="B757:G757"/>
    <mergeCell ref="B557:G557"/>
    <mergeCell ref="B855:G855"/>
    <mergeCell ref="B265:G265"/>
    <mergeCell ref="B94:G94"/>
    <mergeCell ref="B830:G830"/>
    <mergeCell ref="B54:G54"/>
    <mergeCell ref="B321:G321"/>
    <mergeCell ref="B125:G125"/>
    <mergeCell ref="B475:G475"/>
    <mergeCell ref="B944:G944"/>
    <mergeCell ref="B56:G56"/>
    <mergeCell ref="B323:G323"/>
    <mergeCell ref="B621:G621"/>
    <mergeCell ref="B933:G933"/>
    <mergeCell ref="B989:G989"/>
    <mergeCell ref="B762:G762"/>
    <mergeCell ref="B520:G520"/>
    <mergeCell ref="B491:G491"/>
    <mergeCell ref="B234:G234"/>
    <mergeCell ref="B28:G28"/>
    <mergeCell ref="B172:G172"/>
    <mergeCell ref="B854:G854"/>
    <mergeCell ref="B270:G270"/>
    <mergeCell ref="B99:G99"/>
    <mergeCell ref="B34:G34"/>
    <mergeCell ref="B568:G568"/>
    <mergeCell ref="B397:G397"/>
    <mergeCell ref="B506:G506"/>
    <mergeCell ref="B457:G457"/>
    <mergeCell ref="B257:G257"/>
    <mergeCell ref="B755:G755"/>
    <mergeCell ref="B176:G176"/>
    <mergeCell ref="B412:G412"/>
    <mergeCell ref="B468:G468"/>
    <mergeCell ref="B906:G906"/>
    <mergeCell ref="B735:G735"/>
    <mergeCell ref="B710:G710"/>
    <mergeCell ref="B79:G79"/>
    <mergeCell ref="B315:G315"/>
    <mergeCell ref="B144:G144"/>
    <mergeCell ref="B386:G386"/>
    <mergeCell ref="B442:G442"/>
    <mergeCell ref="B242:G242"/>
    <mergeCell ref="B302:G302"/>
    <mergeCell ref="B744:G744"/>
    <mergeCell ref="B771:G771"/>
    <mergeCell ref="B671:G671"/>
    <mergeCell ref="B600:G600"/>
    <mergeCell ref="B252:G252"/>
    <mergeCell ref="B208:G208"/>
    <mergeCell ref="B615:G615"/>
    <mergeCell ref="B366:G366"/>
    <mergeCell ref="B631:G631"/>
    <mergeCell ref="B460:G460"/>
    <mergeCell ref="B552:G552"/>
    <mergeCell ref="B381:G381"/>
    <mergeCell ref="B210:G210"/>
    <mergeCell ref="B318:G318"/>
    <mergeCell ref="B760:G760"/>
    <mergeCell ref="B170:G170"/>
    <mergeCell ref="B157:G157"/>
    <mergeCell ref="B38:G38"/>
    <mergeCell ref="B747:G747"/>
    <mergeCell ref="B839:G839"/>
    <mergeCell ref="B84:G84"/>
    <mergeCell ref="B618:G618"/>
    <mergeCell ref="B40:G40"/>
    <mergeCell ref="B605:G605"/>
    <mergeCell ref="B1047:G1047"/>
    <mergeCell ref="B15:G15"/>
    <mergeCell ref="B841:G841"/>
    <mergeCell ref="B313:G313"/>
    <mergeCell ref="B142:G142"/>
    <mergeCell ref="B384:G384"/>
    <mergeCell ref="B80:G80"/>
    <mergeCell ref="B444:G444"/>
    <mergeCell ref="B549:G549"/>
    <mergeCell ref="B378:G378"/>
    <mergeCell ref="B742:G742"/>
    <mergeCell ref="B620:G620"/>
    <mergeCell ref="B978:G978"/>
    <mergeCell ref="B778:G778"/>
    <mergeCell ref="B663:G663"/>
    <mergeCell ref="B905:G905"/>
    <mergeCell ref="B607:G607"/>
    <mergeCell ref="B231:G231"/>
    <mergeCell ref="B729:G729"/>
    <mergeCell ref="B262:G262"/>
    <mergeCell ref="B151:G151"/>
    <mergeCell ref="B887:G887"/>
    <mergeCell ref="B716:G716"/>
    <mergeCell ref="B547:G547"/>
    <mergeCell ref="B1050:G1050"/>
    <mergeCell ref="B495:G495"/>
    <mergeCell ref="B1049:G1049"/>
    <mergeCell ref="B1042:G1042"/>
    <mergeCell ref="B842:G842"/>
    <mergeCell ref="B969:G969"/>
    <mergeCell ref="B836:G836"/>
    <mergeCell ref="B907:G907"/>
    <mergeCell ref="B963:G963"/>
    <mergeCell ref="B994:G994"/>
    <mergeCell ref="B931:G931"/>
    <mergeCell ref="B852:G852"/>
    <mergeCell ref="B455:G455"/>
    <mergeCell ref="B333:G333"/>
    <mergeCell ref="B697:G697"/>
    <mergeCell ref="B691:G691"/>
    <mergeCell ref="B958:G958"/>
    <mergeCell ref="B1055:G1055"/>
    <mergeCell ref="B1003:G1003"/>
    <mergeCell ref="B536:G536"/>
    <mergeCell ref="B834:G834"/>
    <mergeCell ref="B325:G325"/>
    <mergeCell ref="B154:G154"/>
    <mergeCell ref="B561:G561"/>
    <mergeCell ref="B390:G390"/>
    <mergeCell ref="B859:G859"/>
    <mergeCell ref="B389:G389"/>
    <mergeCell ref="B1044:G1044"/>
    <mergeCell ref="B327:G327"/>
    <mergeCell ref="B156:G156"/>
    <mergeCell ref="B625:G625"/>
    <mergeCell ref="B454:G454"/>
    <mergeCell ref="B923:G923"/>
    <mergeCell ref="B429:G429"/>
    <mergeCell ref="B155:G155"/>
    <mergeCell ref="B981:G981"/>
    <mergeCell ref="B665:G665"/>
    <mergeCell ref="B391:G391"/>
    <mergeCell ref="B220:G220"/>
    <mergeCell ref="B714:G714"/>
    <mergeCell ref="B689:G689"/>
    <mergeCell ref="B1039:G1039"/>
    <mergeCell ref="B13:G13"/>
    <mergeCell ref="B728:G728"/>
    <mergeCell ref="B833:G833"/>
    <mergeCell ref="B249:G249"/>
    <mergeCell ref="B1026:G1026"/>
    <mergeCell ref="B78:G78"/>
    <mergeCell ref="B376:G376"/>
    <mergeCell ref="B243:G243"/>
    <mergeCell ref="B314:G314"/>
    <mergeCell ref="B678:G678"/>
    <mergeCell ref="B534:G534"/>
    <mergeCell ref="B805:G805"/>
    <mergeCell ref="B363:G363"/>
    <mergeCell ref="B770:G770"/>
    <mergeCell ref="B599:G599"/>
    <mergeCell ref="B897:G897"/>
    <mergeCell ref="B957:G957"/>
    <mergeCell ref="B1028:G1028"/>
    <mergeCell ref="B745:G745"/>
    <mergeCell ref="B91:G91"/>
    <mergeCell ref="B25:G25"/>
    <mergeCell ref="B131:G131"/>
    <mergeCell ref="B93:G93"/>
    <mergeCell ref="B12:G12"/>
    <mergeCell ref="B789:G789"/>
    <mergeCell ref="B248:G248"/>
    <mergeCell ref="B441:G441"/>
    <mergeCell ref="B297:G297"/>
    <mergeCell ref="B739:G739"/>
    <mergeCell ref="B235:G235"/>
    <mergeCell ref="B533:G533"/>
    <mergeCell ref="B975:G975"/>
    <mergeCell ref="B726:G726"/>
    <mergeCell ref="B831:G831"/>
    <mergeCell ref="B660:G660"/>
    <mergeCell ref="B902:G902"/>
    <mergeCell ref="B362:G362"/>
    <mergeCell ref="B962:G962"/>
    <mergeCell ref="B136:G136"/>
    <mergeCell ref="B312:G312"/>
    <mergeCell ref="B14:G14"/>
    <mergeCell ref="B505:G505"/>
    <mergeCell ref="B610:G610"/>
    <mergeCell ref="B670:G670"/>
    <mergeCell ref="B470:G470"/>
    <mergeCell ref="B741:G741"/>
    <mergeCell ref="B299:G299"/>
    <mergeCell ref="B65:G65"/>
    <mergeCell ref="B344:G344"/>
    <mergeCell ref="B586:G586"/>
    <mergeCell ref="B415:G415"/>
    <mergeCell ref="B884:G884"/>
    <mergeCell ref="B713:G713"/>
    <mergeCell ref="B1011:G1011"/>
    <mergeCell ref="B123:G123"/>
    <mergeCell ref="B949:G949"/>
    <mergeCell ref="B221:G221"/>
    <mergeCell ref="B110:G110"/>
    <mergeCell ref="B650:G650"/>
    <mergeCell ref="B479:G479"/>
    <mergeCell ref="B948:G948"/>
    <mergeCell ref="B777:G777"/>
    <mergeCell ref="B886:G886"/>
    <mergeCell ref="B715:G715"/>
    <mergeCell ref="B141:G141"/>
    <mergeCell ref="B439:G439"/>
    <mergeCell ref="B675:G675"/>
    <mergeCell ref="B504:G504"/>
    <mergeCell ref="B802:G802"/>
    <mergeCell ref="B149:G149"/>
    <mergeCell ref="B518:G518"/>
    <mergeCell ref="B293:G293"/>
    <mergeCell ref="B322:G322"/>
    <mergeCell ref="B1029:G1029"/>
    <mergeCell ref="B1020:G1020"/>
    <mergeCell ref="B843:G843"/>
    <mergeCell ref="B672:G672"/>
    <mergeCell ref="B88:G88"/>
    <mergeCell ref="B818:G818"/>
    <mergeCell ref="B622:G622"/>
    <mergeCell ref="B809:G809"/>
    <mergeCell ref="B609:G609"/>
    <mergeCell ref="B146:G146"/>
    <mergeCell ref="B413:G413"/>
    <mergeCell ref="B388:G388"/>
    <mergeCell ref="B217:G217"/>
    <mergeCell ref="B820:G820"/>
    <mergeCell ref="B649:G649"/>
    <mergeCell ref="B375:G375"/>
    <mergeCell ref="B1013:G1013"/>
    <mergeCell ref="B385:G385"/>
    <mergeCell ref="B247:G247"/>
    <mergeCell ref="B950:G950"/>
    <mergeCell ref="B195:G195"/>
    <mergeCell ref="B431:G431"/>
  </mergeCells>
  <pageMargins left="0.7" right="0.7" top="0.75" bottom="0.75" header="0.3" footer="0.3"/>
  <pageSetup paperSize="9" scale="65"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U54"/>
  <sheetViews>
    <sheetView topLeftCell="A50" zoomScaleNormal="100" workbookViewId="0">
      <selection activeCell="T51" sqref="T51"/>
    </sheetView>
  </sheetViews>
  <sheetFormatPr defaultRowHeight="15" x14ac:dyDescent="0.25"/>
  <cols>
    <col min="2" max="2" width="31.140625" customWidth="1"/>
    <col min="3" max="3" width="14.140625" customWidth="1"/>
    <col min="20" max="20" width="11.140625" customWidth="1"/>
  </cols>
  <sheetData>
    <row r="1" spans="1:21" s="42" customFormat="1" x14ac:dyDescent="0.25">
      <c r="A1" s="157"/>
      <c r="B1" s="112" t="s">
        <v>906</v>
      </c>
      <c r="C1" s="44"/>
      <c r="D1" s="53"/>
      <c r="E1" s="53"/>
      <c r="F1" s="53"/>
      <c r="G1" s="53"/>
      <c r="H1" s="53"/>
      <c r="I1" s="53"/>
      <c r="J1" s="53"/>
      <c r="K1" s="53"/>
      <c r="L1" s="53"/>
      <c r="M1" s="53"/>
      <c r="N1" s="53"/>
      <c r="O1" s="113"/>
      <c r="P1" s="44"/>
      <c r="Q1" s="44"/>
      <c r="R1" s="44"/>
      <c r="S1" s="44"/>
      <c r="T1" s="44"/>
      <c r="U1" s="47"/>
    </row>
    <row r="2" spans="1:21" s="42" customFormat="1" x14ac:dyDescent="0.25">
      <c r="A2" s="157"/>
      <c r="B2" s="436" t="s">
        <v>907</v>
      </c>
      <c r="C2" s="437"/>
      <c r="D2" s="437"/>
      <c r="E2" s="437"/>
      <c r="F2" s="437"/>
      <c r="G2" s="437"/>
      <c r="H2" s="437"/>
      <c r="I2" s="437"/>
      <c r="J2" s="437"/>
      <c r="K2" s="437"/>
      <c r="L2" s="437"/>
      <c r="M2" s="437"/>
      <c r="N2" s="437"/>
      <c r="O2" s="437"/>
      <c r="P2" s="437"/>
      <c r="Q2" s="437"/>
      <c r="R2" s="438"/>
      <c r="S2" s="7" t="s">
        <v>25</v>
      </c>
      <c r="T2" s="133">
        <v>0</v>
      </c>
      <c r="U2" s="47"/>
    </row>
    <row r="3" spans="1:21" s="42" customFormat="1" x14ac:dyDescent="0.25">
      <c r="A3" s="157"/>
      <c r="B3" s="439"/>
      <c r="C3" s="393"/>
      <c r="D3" s="393"/>
      <c r="E3" s="393"/>
      <c r="F3" s="393"/>
      <c r="G3" s="393"/>
      <c r="H3" s="393"/>
      <c r="I3" s="393"/>
      <c r="J3" s="393"/>
      <c r="K3" s="393"/>
      <c r="L3" s="393"/>
      <c r="M3" s="393"/>
      <c r="N3" s="393"/>
      <c r="O3" s="393"/>
      <c r="P3" s="393"/>
      <c r="Q3" s="393"/>
      <c r="R3" s="394"/>
      <c r="S3" s="7" t="s">
        <v>27</v>
      </c>
      <c r="T3" s="134" t="s">
        <v>22</v>
      </c>
      <c r="U3" s="47"/>
    </row>
    <row r="4" spans="1:21" s="42" customFormat="1" x14ac:dyDescent="0.25">
      <c r="A4" s="157"/>
      <c r="B4" s="114" t="s">
        <v>908</v>
      </c>
      <c r="C4" s="114" t="s">
        <v>909</v>
      </c>
      <c r="D4" s="115">
        <f>1*N4</f>
        <v>1</v>
      </c>
      <c r="E4" s="115">
        <f>1*N4</f>
        <v>1</v>
      </c>
      <c r="F4" s="115">
        <f>1*N4</f>
        <v>1</v>
      </c>
      <c r="G4" s="115">
        <f>1*N4</f>
        <v>1</v>
      </c>
      <c r="H4" s="115">
        <f>4*$N4</f>
        <v>4</v>
      </c>
      <c r="I4" s="115">
        <f>1*N4</f>
        <v>1</v>
      </c>
      <c r="J4" s="115">
        <f>1*N4</f>
        <v>1</v>
      </c>
      <c r="K4" s="115">
        <f>2*$N4</f>
        <v>2</v>
      </c>
      <c r="L4" s="115">
        <f>1*N4</f>
        <v>1</v>
      </c>
      <c r="M4" s="45">
        <v>1</v>
      </c>
      <c r="N4" s="57">
        <v>1</v>
      </c>
      <c r="O4" s="116">
        <v>13</v>
      </c>
      <c r="P4" s="114"/>
      <c r="Q4" s="114"/>
      <c r="R4" s="114"/>
      <c r="S4" s="44"/>
      <c r="T4" s="44"/>
      <c r="U4" s="47"/>
    </row>
    <row r="5" spans="1:21" s="117" customFormat="1" ht="15.75" customHeight="1" x14ac:dyDescent="0.25">
      <c r="A5" s="158" t="s">
        <v>910</v>
      </c>
      <c r="B5" s="434" t="s">
        <v>911</v>
      </c>
      <c r="C5" s="387"/>
      <c r="D5" s="387"/>
      <c r="E5" s="387"/>
      <c r="F5" s="387"/>
      <c r="G5" s="387"/>
      <c r="H5" s="387"/>
      <c r="I5" s="387"/>
      <c r="J5" s="387"/>
      <c r="K5" s="387"/>
      <c r="L5" s="387"/>
      <c r="M5" s="387"/>
      <c r="N5" s="387"/>
      <c r="O5" s="387"/>
      <c r="P5" s="387"/>
      <c r="Q5" s="387"/>
      <c r="R5" s="387"/>
      <c r="S5" s="387"/>
      <c r="T5" s="388"/>
      <c r="U5" s="149"/>
    </row>
    <row r="6" spans="1:21" s="42" customFormat="1" ht="15.75" customHeight="1" thickBot="1" x14ac:dyDescent="0.3">
      <c r="A6" s="157"/>
      <c r="B6" s="44"/>
      <c r="C6" s="44"/>
      <c r="D6" s="44"/>
      <c r="E6" s="44"/>
      <c r="F6" s="44"/>
      <c r="G6" s="44"/>
      <c r="H6" s="44"/>
      <c r="I6" s="44"/>
      <c r="J6" s="44"/>
      <c r="K6" s="44"/>
      <c r="L6" s="44"/>
      <c r="M6" s="44"/>
      <c r="N6" s="44"/>
      <c r="O6" s="118"/>
      <c r="P6" s="44"/>
      <c r="Q6" s="44"/>
      <c r="R6" s="44"/>
      <c r="S6" s="44"/>
      <c r="T6" s="44"/>
      <c r="U6" s="47"/>
    </row>
    <row r="7" spans="1:21" s="42" customFormat="1" ht="51.75" customHeight="1" thickBot="1" x14ac:dyDescent="0.3">
      <c r="A7" s="119" t="s">
        <v>912</v>
      </c>
      <c r="B7" s="119" t="s">
        <v>913</v>
      </c>
      <c r="C7" s="120" t="s">
        <v>914</v>
      </c>
      <c r="D7" s="430"/>
      <c r="E7" s="431"/>
      <c r="F7" s="431"/>
      <c r="G7" s="431"/>
      <c r="H7" s="431"/>
      <c r="I7" s="431"/>
      <c r="J7" s="431"/>
      <c r="K7" s="431"/>
      <c r="L7" s="431"/>
      <c r="M7" s="431"/>
      <c r="N7" s="431"/>
      <c r="O7" s="121" t="s">
        <v>915</v>
      </c>
      <c r="P7" s="122" t="s">
        <v>916</v>
      </c>
      <c r="Q7" s="121" t="s">
        <v>917</v>
      </c>
      <c r="R7" s="121" t="s">
        <v>918</v>
      </c>
      <c r="S7" s="121"/>
      <c r="T7" s="119" t="s">
        <v>919</v>
      </c>
      <c r="U7" s="47"/>
    </row>
    <row r="8" spans="1:21" s="42" customFormat="1" ht="15.75" customHeight="1" thickBot="1" x14ac:dyDescent="0.3">
      <c r="A8" s="123"/>
      <c r="B8" s="123"/>
      <c r="C8" s="124"/>
      <c r="D8" s="432" t="s">
        <v>920</v>
      </c>
      <c r="E8" s="431"/>
      <c r="F8" s="431"/>
      <c r="G8" s="431"/>
      <c r="H8" s="431"/>
      <c r="I8" s="431"/>
      <c r="J8" s="431"/>
      <c r="K8" s="431"/>
      <c r="L8" s="431"/>
      <c r="M8" s="431"/>
      <c r="N8" s="433"/>
      <c r="O8" s="125"/>
      <c r="P8" s="124"/>
      <c r="Q8" s="124"/>
      <c r="R8" s="124"/>
      <c r="S8" s="124"/>
      <c r="T8" s="123"/>
      <c r="U8" s="47"/>
    </row>
    <row r="9" spans="1:21" s="42" customFormat="1" ht="120.75" customHeight="1" x14ac:dyDescent="0.25">
      <c r="A9" s="123"/>
      <c r="B9" s="123"/>
      <c r="C9" s="124"/>
      <c r="D9" s="127" t="s">
        <v>921</v>
      </c>
      <c r="E9" s="127" t="s">
        <v>922</v>
      </c>
      <c r="F9" s="46" t="s">
        <v>923</v>
      </c>
      <c r="G9" s="46" t="s">
        <v>924</v>
      </c>
      <c r="H9" s="46" t="s">
        <v>925</v>
      </c>
      <c r="I9" s="46" t="s">
        <v>926</v>
      </c>
      <c r="J9" s="46" t="s">
        <v>927</v>
      </c>
      <c r="K9" s="46" t="s">
        <v>928</v>
      </c>
      <c r="L9" s="46" t="s">
        <v>929</v>
      </c>
      <c r="M9" s="154" t="s">
        <v>930</v>
      </c>
      <c r="N9" s="126" t="s">
        <v>931</v>
      </c>
      <c r="O9" s="125"/>
      <c r="P9" s="124"/>
      <c r="Q9" s="124"/>
      <c r="R9" s="124"/>
      <c r="S9" s="124"/>
      <c r="T9" s="123"/>
      <c r="U9" s="47"/>
    </row>
    <row r="10" spans="1:21" s="32" customFormat="1" ht="12.75" customHeight="1" x14ac:dyDescent="0.2">
      <c r="A10" s="159"/>
      <c r="B10" s="30"/>
      <c r="C10" s="25"/>
      <c r="D10" s="25"/>
      <c r="E10" s="25"/>
      <c r="F10" s="25"/>
      <c r="G10" s="25"/>
      <c r="H10" s="25"/>
      <c r="I10" s="25"/>
      <c r="J10" s="25"/>
      <c r="K10" s="25"/>
      <c r="L10" s="25"/>
      <c r="M10" s="25"/>
      <c r="N10" s="25"/>
      <c r="O10" s="58"/>
      <c r="P10" s="26"/>
      <c r="Q10" s="26"/>
      <c r="R10" s="26"/>
      <c r="S10" s="26"/>
      <c r="T10" s="22"/>
      <c r="U10" s="37"/>
    </row>
    <row r="11" spans="1:21" s="32" customFormat="1" ht="12.75" customHeight="1" x14ac:dyDescent="0.2">
      <c r="A11" s="159"/>
      <c r="B11" s="31"/>
      <c r="C11" s="25"/>
      <c r="D11" s="25"/>
      <c r="E11" s="25"/>
      <c r="F11" s="25"/>
      <c r="G11" s="25"/>
      <c r="H11" s="25"/>
      <c r="I11" s="25"/>
      <c r="J11" s="25"/>
      <c r="K11" s="25"/>
      <c r="L11" s="25"/>
      <c r="M11" s="25"/>
      <c r="N11" s="25"/>
      <c r="O11" s="58"/>
      <c r="P11" s="26"/>
      <c r="Q11" s="26"/>
      <c r="R11" s="26"/>
      <c r="S11" s="26"/>
      <c r="T11" s="35"/>
      <c r="U11" s="37"/>
    </row>
    <row r="12" spans="1:21" s="117" customFormat="1" ht="15.75" customHeight="1" x14ac:dyDescent="0.25">
      <c r="A12" s="160" t="s">
        <v>932</v>
      </c>
      <c r="B12" s="39" t="s">
        <v>933</v>
      </c>
      <c r="C12" s="40"/>
      <c r="D12" s="40"/>
      <c r="E12" s="40"/>
      <c r="F12" s="40"/>
      <c r="G12" s="40"/>
      <c r="H12" s="40"/>
      <c r="I12" s="40"/>
      <c r="J12" s="40"/>
      <c r="K12" s="40"/>
      <c r="L12" s="40"/>
      <c r="M12" s="40"/>
      <c r="N12" s="40"/>
      <c r="O12" s="59"/>
      <c r="P12" s="40"/>
      <c r="Q12" s="40"/>
      <c r="R12" s="40"/>
      <c r="S12" s="40"/>
      <c r="T12" s="41"/>
      <c r="U12" s="149"/>
    </row>
    <row r="13" spans="1:21" s="200" customFormat="1" x14ac:dyDescent="0.25">
      <c r="A13" s="187" t="s">
        <v>934</v>
      </c>
      <c r="B13" s="196" t="s">
        <v>935</v>
      </c>
      <c r="C13" s="196"/>
      <c r="D13" s="196"/>
      <c r="E13" s="196"/>
      <c r="F13" s="196"/>
      <c r="G13" s="196"/>
      <c r="H13" s="196"/>
      <c r="I13" s="196"/>
      <c r="J13" s="196"/>
      <c r="K13" s="196"/>
      <c r="L13" s="196"/>
      <c r="M13" s="196"/>
      <c r="N13" s="196"/>
      <c r="O13" s="197"/>
      <c r="P13" s="198"/>
      <c r="Q13" s="198"/>
      <c r="R13" s="198"/>
      <c r="S13" s="198"/>
      <c r="T13" s="199"/>
    </row>
    <row r="14" spans="1:21" s="42" customFormat="1" ht="115.5" customHeight="1" thickBot="1" x14ac:dyDescent="0.3">
      <c r="A14" s="201"/>
      <c r="B14" s="202" t="s">
        <v>936</v>
      </c>
      <c r="C14" s="203"/>
      <c r="D14" s="204"/>
      <c r="E14" s="204"/>
      <c r="F14" s="204"/>
      <c r="G14" s="204"/>
      <c r="H14" s="204"/>
      <c r="I14" s="204"/>
      <c r="J14" s="204"/>
      <c r="K14" s="204"/>
      <c r="L14" s="204"/>
      <c r="M14" s="204"/>
      <c r="N14" s="204"/>
      <c r="O14" s="205"/>
      <c r="P14" s="206"/>
      <c r="Q14" s="206"/>
      <c r="R14" s="206"/>
      <c r="S14" s="206"/>
      <c r="T14" s="207"/>
      <c r="U14" s="152"/>
    </row>
    <row r="15" spans="1:21" s="200" customFormat="1" ht="26.25" customHeight="1" thickBot="1" x14ac:dyDescent="0.3">
      <c r="A15" s="187"/>
      <c r="B15" s="188" t="s">
        <v>937</v>
      </c>
      <c r="C15" s="189" t="s">
        <v>938</v>
      </c>
      <c r="D15" s="190">
        <f>D$4*47</f>
        <v>47</v>
      </c>
      <c r="E15" s="190">
        <f>E$4*16.6</f>
        <v>16.600000000000001</v>
      </c>
      <c r="F15" s="191">
        <f>F$4*48.9</f>
        <v>48.9</v>
      </c>
      <c r="G15" s="191">
        <f>G$4*16</f>
        <v>16</v>
      </c>
      <c r="H15" s="191">
        <f>(H$4*28.3)/2</f>
        <v>56.6</v>
      </c>
      <c r="I15" s="191">
        <f>I$4*52.8</f>
        <v>52.8</v>
      </c>
      <c r="J15" s="191">
        <f>J$4*18.8</f>
        <v>18.8</v>
      </c>
      <c r="K15" s="191">
        <f>K$4*28.2</f>
        <v>56.4</v>
      </c>
      <c r="L15" s="191">
        <f>L$4*96.9</f>
        <v>96.9</v>
      </c>
      <c r="M15" s="191">
        <f>M$4*0</f>
        <v>0</v>
      </c>
      <c r="N15" s="192">
        <f>N$4*0</f>
        <v>0</v>
      </c>
      <c r="O15" s="193">
        <f>SUM(D15:N15)</f>
        <v>410</v>
      </c>
      <c r="P15" s="194"/>
      <c r="Q15" s="194">
        <v>0</v>
      </c>
      <c r="R15" s="194">
        <f>P15+Q15</f>
        <v>0</v>
      </c>
      <c r="S15" s="194"/>
      <c r="T15" s="195">
        <f>R15*O15</f>
        <v>0</v>
      </c>
      <c r="U15" s="208"/>
    </row>
    <row r="17" spans="1:21" s="42" customFormat="1" x14ac:dyDescent="0.25">
      <c r="A17" s="166" t="s">
        <v>939</v>
      </c>
      <c r="B17" s="28" t="s">
        <v>940</v>
      </c>
      <c r="C17" s="28"/>
      <c r="D17" s="28"/>
      <c r="E17" s="28"/>
      <c r="F17" s="28"/>
      <c r="G17" s="28"/>
      <c r="H17" s="28"/>
      <c r="I17" s="28"/>
      <c r="J17" s="28"/>
      <c r="K17" s="28"/>
      <c r="L17" s="28"/>
      <c r="M17" s="28"/>
      <c r="N17" s="28"/>
      <c r="O17" s="60"/>
      <c r="P17" s="29"/>
      <c r="Q17" s="29"/>
      <c r="R17" s="29"/>
      <c r="S17" s="29"/>
      <c r="T17" s="23"/>
      <c r="U17" s="152"/>
    </row>
    <row r="18" spans="1:21" s="42" customFormat="1" ht="332.25" customHeight="1" thickBot="1" x14ac:dyDescent="0.3">
      <c r="A18" s="167"/>
      <c r="B18" s="30" t="s">
        <v>941</v>
      </c>
      <c r="C18" s="25"/>
      <c r="D18" s="31"/>
      <c r="E18" s="31"/>
      <c r="F18" s="31"/>
      <c r="G18" s="31"/>
      <c r="H18" s="31"/>
      <c r="I18" s="31"/>
      <c r="J18" s="31"/>
      <c r="K18" s="31"/>
      <c r="L18" s="31"/>
      <c r="M18" s="31"/>
      <c r="N18" s="31"/>
      <c r="O18" s="58"/>
      <c r="P18" s="26"/>
      <c r="Q18" s="26"/>
      <c r="R18" s="26"/>
      <c r="S18" s="26"/>
      <c r="T18" s="38"/>
      <c r="U18" s="152"/>
    </row>
    <row r="19" spans="1:21" s="42" customFormat="1" ht="26.25" customHeight="1" thickBot="1" x14ac:dyDescent="0.3">
      <c r="A19" s="168"/>
      <c r="B19" s="137" t="s">
        <v>937</v>
      </c>
      <c r="C19" s="135"/>
      <c r="D19" s="55"/>
      <c r="E19" s="55"/>
      <c r="F19" s="36"/>
      <c r="G19" s="36"/>
      <c r="H19" s="36"/>
      <c r="I19" s="36"/>
      <c r="J19" s="36"/>
      <c r="K19" s="36"/>
      <c r="L19" s="36"/>
      <c r="M19" s="36"/>
      <c r="N19" s="56"/>
      <c r="O19" s="62"/>
      <c r="P19" s="26"/>
      <c r="Q19" s="26"/>
      <c r="R19" s="26"/>
      <c r="S19" s="26"/>
      <c r="T19" s="22"/>
      <c r="U19" s="44"/>
    </row>
    <row r="20" spans="1:21" s="42" customFormat="1" ht="15.75" customHeight="1" thickBot="1" x14ac:dyDescent="0.3">
      <c r="A20" s="187"/>
      <c r="B20" s="188" t="s">
        <v>942</v>
      </c>
      <c r="C20" s="189" t="s">
        <v>938</v>
      </c>
      <c r="D20" s="190">
        <f>D$4*0</f>
        <v>0</v>
      </c>
      <c r="E20" s="190">
        <f>E$4*0.8</f>
        <v>0.8</v>
      </c>
      <c r="F20" s="191">
        <f>F$4*0</f>
        <v>0</v>
      </c>
      <c r="G20" s="191">
        <f>G$4*1.2</f>
        <v>1.2</v>
      </c>
      <c r="H20" s="191">
        <f>H$4*0.8</f>
        <v>3.2</v>
      </c>
      <c r="I20" s="191">
        <f>I$4*0</f>
        <v>0</v>
      </c>
      <c r="J20" s="191">
        <f>J$4*4.1</f>
        <v>4.0999999999999996</v>
      </c>
      <c r="K20" s="191">
        <f>K$4*0.76</f>
        <v>1.52</v>
      </c>
      <c r="L20" s="191">
        <f>L$4*26.3</f>
        <v>26.3</v>
      </c>
      <c r="M20" s="191">
        <f t="shared" ref="M20:N22" si="0">M$4*0</f>
        <v>0</v>
      </c>
      <c r="N20" s="192">
        <f t="shared" si="0"/>
        <v>0</v>
      </c>
      <c r="O20" s="193">
        <f>SUM(D20:N20)</f>
        <v>37.120000000000005</v>
      </c>
      <c r="P20" s="194">
        <v>0</v>
      </c>
      <c r="Q20" s="194">
        <v>0</v>
      </c>
      <c r="R20" s="194">
        <f>P20+Q20</f>
        <v>0</v>
      </c>
      <c r="S20" s="194"/>
      <c r="T20" s="195">
        <f>R20*O20</f>
        <v>0</v>
      </c>
      <c r="U20" s="44"/>
    </row>
    <row r="21" spans="1:21" s="42" customFormat="1" ht="15.75" customHeight="1" thickBot="1" x14ac:dyDescent="0.3">
      <c r="A21" s="187"/>
      <c r="B21" s="188" t="s">
        <v>943</v>
      </c>
      <c r="C21" s="189" t="s">
        <v>938</v>
      </c>
      <c r="D21" s="190">
        <f>D$4*36.35</f>
        <v>36.35</v>
      </c>
      <c r="E21" s="190">
        <f>E$4*4.6</f>
        <v>4.5999999999999996</v>
      </c>
      <c r="F21" s="191">
        <f>F$4*38.6</f>
        <v>38.6</v>
      </c>
      <c r="G21" s="191">
        <f>G$4*4.6</f>
        <v>4.5999999999999996</v>
      </c>
      <c r="H21" s="191">
        <f>H$4*6.35</f>
        <v>25.4</v>
      </c>
      <c r="I21" s="191">
        <f>I$4*42.1</f>
        <v>42.1</v>
      </c>
      <c r="J21" s="191">
        <f>J$4*4</f>
        <v>4</v>
      </c>
      <c r="K21" s="191">
        <f>K$4*6.35</f>
        <v>12.7</v>
      </c>
      <c r="L21" s="191">
        <f>L$4*19.1</f>
        <v>19.100000000000001</v>
      </c>
      <c r="M21" s="191">
        <f t="shared" si="0"/>
        <v>0</v>
      </c>
      <c r="N21" s="192">
        <f t="shared" si="0"/>
        <v>0</v>
      </c>
      <c r="O21" s="193">
        <f>SUM(D21:N21)</f>
        <v>187.45</v>
      </c>
      <c r="P21" s="194">
        <v>0</v>
      </c>
      <c r="Q21" s="194">
        <v>0</v>
      </c>
      <c r="R21" s="194">
        <f>P21+Q21</f>
        <v>0</v>
      </c>
      <c r="S21" s="194"/>
      <c r="T21" s="195">
        <f>R21*O21</f>
        <v>0</v>
      </c>
      <c r="U21" s="44"/>
    </row>
    <row r="22" spans="1:21" s="42" customFormat="1" ht="15.75" customHeight="1" thickBot="1" x14ac:dyDescent="0.3">
      <c r="A22" s="187"/>
      <c r="B22" s="188" t="s">
        <v>944</v>
      </c>
      <c r="C22" s="189" t="s">
        <v>938</v>
      </c>
      <c r="D22" s="190">
        <f>D$4*12</f>
        <v>12</v>
      </c>
      <c r="E22" s="190">
        <f>E$4*12</f>
        <v>12</v>
      </c>
      <c r="F22" s="191">
        <f>F$4*10.3</f>
        <v>10.3</v>
      </c>
      <c r="G22" s="191">
        <f>G$4*10.2</f>
        <v>10.199999999999999</v>
      </c>
      <c r="H22" s="191">
        <f>H$4*21.1</f>
        <v>84.4</v>
      </c>
      <c r="I22" s="191">
        <f>I$4*10.65</f>
        <v>10.65</v>
      </c>
      <c r="J22" s="191">
        <f>J$4*10.65</f>
        <v>10.65</v>
      </c>
      <c r="K22" s="191">
        <f>K$4*21.1</f>
        <v>42.2</v>
      </c>
      <c r="L22" s="191">
        <f>L$4*51.5</f>
        <v>51.5</v>
      </c>
      <c r="M22" s="191">
        <f t="shared" si="0"/>
        <v>0</v>
      </c>
      <c r="N22" s="192">
        <f t="shared" si="0"/>
        <v>0</v>
      </c>
      <c r="O22" s="193">
        <f>SUM(D22:N22)</f>
        <v>243.90000000000003</v>
      </c>
      <c r="P22" s="194">
        <v>0</v>
      </c>
      <c r="Q22" s="194">
        <v>0</v>
      </c>
      <c r="R22" s="194">
        <f>P22+Q22</f>
        <v>0</v>
      </c>
      <c r="S22" s="194"/>
      <c r="T22" s="195">
        <f>R22*O22</f>
        <v>0</v>
      </c>
      <c r="U22" s="44"/>
    </row>
    <row r="23" spans="1:21" s="42" customFormat="1" x14ac:dyDescent="0.25">
      <c r="A23" s="166"/>
      <c r="B23" s="28"/>
      <c r="C23" s="28"/>
      <c r="D23" s="28"/>
      <c r="E23" s="28"/>
      <c r="F23" s="28"/>
      <c r="G23" s="28"/>
      <c r="H23" s="28"/>
      <c r="I23" s="28"/>
      <c r="J23" s="28"/>
      <c r="K23" s="28"/>
      <c r="L23" s="28"/>
      <c r="M23" s="28"/>
      <c r="N23" s="28"/>
      <c r="O23" s="60"/>
      <c r="P23" s="29"/>
      <c r="Q23" s="29"/>
      <c r="R23" s="29"/>
      <c r="S23" s="29"/>
      <c r="T23" s="23">
        <f>SUM(T15:T22)</f>
        <v>0</v>
      </c>
      <c r="U23" s="152"/>
    </row>
    <row r="24" spans="1:21" s="42" customFormat="1" ht="15.75" customHeight="1" thickBot="1" x14ac:dyDescent="0.3">
      <c r="A24" s="167"/>
      <c r="B24" s="30"/>
      <c r="C24" s="25"/>
      <c r="D24" s="31"/>
      <c r="E24" s="31"/>
      <c r="F24" s="31"/>
      <c r="G24" s="31"/>
      <c r="H24" s="31"/>
      <c r="I24" s="31"/>
      <c r="J24" s="31"/>
      <c r="K24" s="31"/>
      <c r="L24" s="31"/>
      <c r="M24" s="31"/>
      <c r="N24" s="31"/>
      <c r="O24" s="58"/>
      <c r="P24" s="26"/>
      <c r="Q24" s="26"/>
      <c r="R24" s="26"/>
      <c r="S24" s="26"/>
      <c r="T24" s="38"/>
      <c r="U24" s="152"/>
    </row>
    <row r="25" spans="1:21" s="42" customFormat="1" ht="15.75" customHeight="1" thickBot="1" x14ac:dyDescent="0.3">
      <c r="A25" s="166"/>
      <c r="B25" s="137"/>
      <c r="C25" s="135"/>
      <c r="D25" s="55"/>
      <c r="E25" s="55"/>
      <c r="F25" s="36"/>
      <c r="G25" s="36"/>
      <c r="H25" s="36"/>
      <c r="I25" s="36"/>
      <c r="J25" s="36"/>
      <c r="K25" s="36"/>
      <c r="L25" s="36"/>
      <c r="M25" s="36"/>
      <c r="N25" s="56"/>
      <c r="O25" s="62"/>
      <c r="P25" s="26"/>
      <c r="Q25" s="26"/>
      <c r="R25" s="26"/>
      <c r="S25" s="26"/>
      <c r="T25" s="22"/>
      <c r="U25" s="44"/>
    </row>
    <row r="27" spans="1:21" s="132" customFormat="1" ht="15.75" customHeight="1" x14ac:dyDescent="0.25">
      <c r="A27" s="160" t="s">
        <v>939</v>
      </c>
      <c r="B27" s="130" t="s">
        <v>945</v>
      </c>
      <c r="C27" s="49"/>
      <c r="D27" s="49"/>
      <c r="E27" s="49"/>
      <c r="F27" s="49"/>
      <c r="G27" s="49"/>
      <c r="H27" s="49"/>
      <c r="I27" s="49"/>
      <c r="J27" s="49"/>
      <c r="K27" s="49"/>
      <c r="L27" s="49"/>
      <c r="M27" s="49"/>
      <c r="N27" s="49"/>
      <c r="O27" s="131"/>
      <c r="P27" s="49"/>
      <c r="Q27" s="49"/>
      <c r="R27" s="435" t="s">
        <v>946</v>
      </c>
      <c r="S27" s="388"/>
      <c r="T27" s="50">
        <f>SUM(T20:T22)</f>
        <v>0</v>
      </c>
      <c r="U27" s="151"/>
    </row>
    <row r="29" spans="1:21" s="132" customFormat="1" ht="15.75" customHeight="1" x14ac:dyDescent="0.25">
      <c r="A29" s="160" t="s">
        <v>939</v>
      </c>
      <c r="B29" s="130" t="s">
        <v>947</v>
      </c>
      <c r="C29" s="49"/>
      <c r="D29" s="49"/>
      <c r="E29" s="49"/>
      <c r="F29" s="49"/>
      <c r="G29" s="49"/>
      <c r="H29" s="49"/>
      <c r="I29" s="49"/>
      <c r="J29" s="49"/>
      <c r="K29" s="49"/>
      <c r="L29" s="49"/>
      <c r="M29" s="49"/>
      <c r="N29" s="49"/>
      <c r="O29" s="131"/>
      <c r="P29" s="49"/>
      <c r="Q29" s="49"/>
      <c r="R29" s="435" t="s">
        <v>946</v>
      </c>
      <c r="S29" s="388"/>
      <c r="T29" s="50">
        <f>T27*5</f>
        <v>0</v>
      </c>
      <c r="U29" s="151"/>
    </row>
    <row r="30" spans="1:21" ht="15.75" customHeight="1" thickBot="1" x14ac:dyDescent="0.3"/>
    <row r="31" spans="1:21" s="42" customFormat="1" ht="50.1" customHeight="1" thickBot="1" x14ac:dyDescent="0.3">
      <c r="A31" s="119" t="s">
        <v>912</v>
      </c>
      <c r="B31" s="119" t="s">
        <v>913</v>
      </c>
      <c r="C31" s="120" t="s">
        <v>914</v>
      </c>
      <c r="D31" s="430"/>
      <c r="E31" s="431"/>
      <c r="F31" s="431"/>
      <c r="G31" s="431"/>
      <c r="H31" s="431"/>
      <c r="I31" s="431"/>
      <c r="J31" s="431"/>
      <c r="K31" s="121" t="s">
        <v>915</v>
      </c>
      <c r="L31" s="122" t="s">
        <v>916</v>
      </c>
      <c r="M31" s="121" t="s">
        <v>917</v>
      </c>
      <c r="N31" s="121" t="s">
        <v>918</v>
      </c>
      <c r="O31" s="121"/>
      <c r="P31" s="119" t="s">
        <v>919</v>
      </c>
      <c r="Q31" s="47"/>
    </row>
    <row r="32" spans="1:21" s="42" customFormat="1" ht="23.65" customHeight="1" thickBot="1" x14ac:dyDescent="0.3">
      <c r="A32" s="123"/>
      <c r="B32" s="123"/>
      <c r="C32" s="124"/>
      <c r="D32" s="432" t="s">
        <v>948</v>
      </c>
      <c r="E32" s="431"/>
      <c r="F32" s="431"/>
      <c r="G32" s="431"/>
      <c r="H32" s="431"/>
      <c r="I32" s="431"/>
      <c r="J32" s="433"/>
      <c r="K32" s="125"/>
      <c r="L32" s="124"/>
      <c r="M32" s="124"/>
      <c r="N32" s="124"/>
      <c r="O32" s="124"/>
      <c r="P32" s="123"/>
      <c r="Q32" s="47"/>
    </row>
    <row r="33" spans="1:17" s="42" customFormat="1" ht="62.25" customHeight="1" x14ac:dyDescent="0.25">
      <c r="A33" s="123"/>
      <c r="B33" s="123"/>
      <c r="C33" s="124"/>
      <c r="D33" s="173" t="s">
        <v>949</v>
      </c>
      <c r="E33" s="46" t="s">
        <v>950</v>
      </c>
      <c r="F33" s="46" t="s">
        <v>951</v>
      </c>
      <c r="G33" s="46" t="s">
        <v>952</v>
      </c>
      <c r="H33" s="46" t="s">
        <v>953</v>
      </c>
      <c r="I33" s="154" t="s">
        <v>930</v>
      </c>
      <c r="J33" s="126" t="s">
        <v>931</v>
      </c>
      <c r="K33" s="125"/>
      <c r="L33" s="124"/>
      <c r="M33" s="124"/>
      <c r="N33" s="124"/>
      <c r="O33" s="124"/>
      <c r="P33" s="123"/>
      <c r="Q33" s="47"/>
    </row>
    <row r="35" spans="1:17" s="42" customFormat="1" x14ac:dyDescent="0.25">
      <c r="A35" s="168" t="s">
        <v>934</v>
      </c>
      <c r="B35" s="28" t="s">
        <v>935</v>
      </c>
      <c r="C35" s="28"/>
      <c r="D35" s="181"/>
      <c r="E35" s="28"/>
      <c r="F35" s="28"/>
      <c r="G35" s="28"/>
      <c r="H35" s="28"/>
      <c r="I35" s="28"/>
      <c r="J35" s="28"/>
      <c r="K35" s="60"/>
      <c r="L35" s="29"/>
      <c r="M35" s="29"/>
      <c r="N35" s="29"/>
      <c r="O35" s="29"/>
      <c r="P35" s="23"/>
    </row>
    <row r="36" spans="1:17" s="42" customFormat="1" ht="115.5" customHeight="1" thickBot="1" x14ac:dyDescent="0.3">
      <c r="A36" s="169"/>
      <c r="B36" s="30" t="s">
        <v>954</v>
      </c>
      <c r="C36" s="25"/>
      <c r="D36" s="182"/>
      <c r="E36" s="31"/>
      <c r="F36" s="31"/>
      <c r="G36" s="31"/>
      <c r="H36" s="31"/>
      <c r="I36" s="31"/>
      <c r="J36" s="31"/>
      <c r="K36" s="58"/>
      <c r="L36" s="26"/>
      <c r="M36" s="26"/>
      <c r="N36" s="26"/>
      <c r="O36" s="26"/>
      <c r="P36" s="38"/>
    </row>
    <row r="37" spans="1:17" s="200" customFormat="1" ht="26.25" customHeight="1" thickBot="1" x14ac:dyDescent="0.3">
      <c r="A37" s="187"/>
      <c r="B37" s="188" t="s">
        <v>937</v>
      </c>
      <c r="C37" s="189" t="s">
        <v>938</v>
      </c>
      <c r="D37" s="293">
        <v>0</v>
      </c>
      <c r="E37" s="191">
        <v>68.2</v>
      </c>
      <c r="F37" s="191">
        <v>85.2</v>
      </c>
      <c r="G37" s="191">
        <v>54</v>
      </c>
      <c r="H37" s="191">
        <v>93.8</v>
      </c>
      <c r="I37" s="191">
        <v>0</v>
      </c>
      <c r="J37" s="192">
        <v>0</v>
      </c>
      <c r="K37" s="193">
        <f>SUM(D37:J37)</f>
        <v>301.2</v>
      </c>
      <c r="L37" s="194">
        <v>0</v>
      </c>
      <c r="M37" s="194">
        <v>0</v>
      </c>
      <c r="N37" s="194">
        <f>L37+M37</f>
        <v>0</v>
      </c>
      <c r="O37" s="194"/>
      <c r="P37" s="195">
        <f>N37*K37</f>
        <v>0</v>
      </c>
      <c r="Q37" s="208"/>
    </row>
    <row r="38" spans="1:17" s="240" customFormat="1" x14ac:dyDescent="0.25">
      <c r="A38" s="225"/>
      <c r="B38" s="232"/>
      <c r="C38" s="233"/>
      <c r="D38" s="295"/>
      <c r="E38" s="229"/>
      <c r="F38" s="229"/>
      <c r="G38" s="229"/>
      <c r="H38" s="229"/>
      <c r="I38" s="229"/>
      <c r="J38" s="229"/>
      <c r="K38" s="205"/>
      <c r="L38" s="206"/>
      <c r="M38" s="206"/>
      <c r="N38" s="206"/>
      <c r="O38" s="206"/>
      <c r="P38" s="238"/>
      <c r="Q38" s="239"/>
    </row>
    <row r="39" spans="1:17" s="240" customFormat="1" x14ac:dyDescent="0.25">
      <c r="A39" s="225" t="s">
        <v>939</v>
      </c>
      <c r="B39" s="227" t="s">
        <v>955</v>
      </c>
      <c r="C39" s="227"/>
      <c r="D39" s="296"/>
      <c r="E39" s="227"/>
      <c r="F39" s="227"/>
      <c r="G39" s="227"/>
      <c r="H39" s="227"/>
      <c r="I39" s="227"/>
      <c r="J39" s="227"/>
      <c r="K39" s="228"/>
      <c r="L39" s="229"/>
      <c r="M39" s="229"/>
      <c r="N39" s="229"/>
      <c r="O39" s="229"/>
      <c r="P39" s="230"/>
      <c r="Q39" s="239"/>
    </row>
    <row r="40" spans="1:17" s="240" customFormat="1" ht="128.25" customHeight="1" thickBot="1" x14ac:dyDescent="0.3">
      <c r="A40" s="225"/>
      <c r="B40" s="281" t="s">
        <v>956</v>
      </c>
      <c r="C40" s="227"/>
      <c r="D40" s="296"/>
      <c r="E40" s="227"/>
      <c r="F40" s="227"/>
      <c r="G40" s="227"/>
      <c r="H40" s="227"/>
      <c r="I40" s="227"/>
      <c r="J40" s="227"/>
      <c r="K40" s="228"/>
      <c r="L40" s="229"/>
      <c r="M40" s="229"/>
      <c r="N40" s="229"/>
      <c r="O40" s="229"/>
      <c r="P40" s="230"/>
      <c r="Q40" s="239"/>
    </row>
    <row r="41" spans="1:17" s="240" customFormat="1" ht="26.25" customHeight="1" thickBot="1" x14ac:dyDescent="0.3">
      <c r="A41" s="225"/>
      <c r="B41" s="232" t="s">
        <v>937</v>
      </c>
      <c r="C41" s="233" t="s">
        <v>938</v>
      </c>
      <c r="D41" s="297">
        <v>120.2</v>
      </c>
      <c r="E41" s="235">
        <v>0</v>
      </c>
      <c r="F41" s="235">
        <v>85.2</v>
      </c>
      <c r="G41" s="235">
        <v>0</v>
      </c>
      <c r="H41" s="235">
        <v>0</v>
      </c>
      <c r="I41" s="235">
        <v>0</v>
      </c>
      <c r="J41" s="236">
        <v>0</v>
      </c>
      <c r="K41" s="237">
        <f>SUM(D41:J41)</f>
        <v>205.4</v>
      </c>
      <c r="L41" s="206">
        <v>0</v>
      </c>
      <c r="M41" s="206">
        <v>0</v>
      </c>
      <c r="N41" s="206">
        <f>L41+M41</f>
        <v>0</v>
      </c>
      <c r="O41" s="206"/>
      <c r="P41" s="238">
        <f>N41*K41</f>
        <v>0</v>
      </c>
      <c r="Q41" s="239"/>
    </row>
    <row r="42" spans="1:17" s="42" customFormat="1" x14ac:dyDescent="0.25">
      <c r="A42" s="166"/>
      <c r="B42" s="28"/>
      <c r="C42" s="28"/>
      <c r="D42" s="181"/>
      <c r="E42" s="28"/>
      <c r="F42" s="28"/>
      <c r="G42" s="28"/>
      <c r="H42" s="28"/>
      <c r="I42" s="28"/>
      <c r="J42" s="28"/>
      <c r="K42" s="60"/>
      <c r="L42" s="29"/>
      <c r="M42" s="29"/>
      <c r="N42" s="29"/>
      <c r="O42" s="29"/>
      <c r="P42" s="23"/>
      <c r="Q42" s="152"/>
    </row>
    <row r="43" spans="1:17" s="42" customFormat="1" x14ac:dyDescent="0.25">
      <c r="A43" s="166" t="s">
        <v>957</v>
      </c>
      <c r="B43" s="28" t="s">
        <v>940</v>
      </c>
      <c r="C43" s="28"/>
      <c r="D43" s="181"/>
      <c r="E43" s="28"/>
      <c r="F43" s="28"/>
      <c r="G43" s="28"/>
      <c r="H43" s="28"/>
      <c r="I43" s="28"/>
      <c r="J43" s="28"/>
      <c r="K43" s="60"/>
      <c r="L43" s="29"/>
      <c r="M43" s="29"/>
      <c r="N43" s="29"/>
      <c r="O43" s="29"/>
      <c r="P43" s="23"/>
      <c r="Q43" s="152"/>
    </row>
    <row r="44" spans="1:17" s="42" customFormat="1" ht="293.25" customHeight="1" x14ac:dyDescent="0.25">
      <c r="A44" s="167"/>
      <c r="B44" s="30" t="s">
        <v>958</v>
      </c>
      <c r="C44" s="25"/>
      <c r="D44" s="182"/>
      <c r="E44" s="31"/>
      <c r="F44" s="31"/>
      <c r="G44" s="31"/>
      <c r="H44" s="31"/>
      <c r="I44" s="31"/>
      <c r="J44" s="31"/>
      <c r="K44" s="58"/>
      <c r="L44" s="26"/>
      <c r="M44" s="26"/>
      <c r="N44" s="26"/>
      <c r="O44" s="26"/>
      <c r="P44" s="38"/>
      <c r="Q44" s="152"/>
    </row>
    <row r="45" spans="1:17" s="240" customFormat="1" ht="26.25" customHeight="1" thickBot="1" x14ac:dyDescent="0.3">
      <c r="A45" s="169"/>
      <c r="B45" s="137" t="s">
        <v>937</v>
      </c>
      <c r="C45" s="25"/>
      <c r="D45" s="182"/>
      <c r="E45" s="31"/>
      <c r="F45" s="31"/>
      <c r="G45" s="31"/>
      <c r="H45" s="31"/>
      <c r="I45" s="31"/>
      <c r="J45" s="31"/>
      <c r="K45" s="58"/>
      <c r="L45" s="26"/>
      <c r="M45" s="26"/>
      <c r="N45" s="26"/>
      <c r="O45" s="26"/>
      <c r="P45" s="38"/>
    </row>
    <row r="46" spans="1:17" s="240" customFormat="1" ht="26.25" customHeight="1" thickBot="1" x14ac:dyDescent="0.3">
      <c r="A46" s="225"/>
      <c r="B46" s="232" t="s">
        <v>959</v>
      </c>
      <c r="C46" s="233" t="s">
        <v>938</v>
      </c>
      <c r="D46" s="297">
        <v>0</v>
      </c>
      <c r="E46" s="235">
        <v>4</v>
      </c>
      <c r="F46" s="235">
        <v>20</v>
      </c>
      <c r="G46" s="235">
        <v>5</v>
      </c>
      <c r="H46" s="235">
        <v>12</v>
      </c>
      <c r="I46" s="235">
        <v>0</v>
      </c>
      <c r="J46" s="236">
        <v>0</v>
      </c>
      <c r="K46" s="237">
        <f>SUM(D46:J46)</f>
        <v>41</v>
      </c>
      <c r="L46" s="206">
        <v>0</v>
      </c>
      <c r="M46" s="206">
        <v>0</v>
      </c>
      <c r="N46" s="206">
        <f>L46+M46</f>
        <v>0</v>
      </c>
      <c r="O46" s="206"/>
      <c r="P46" s="238">
        <f>N46*K46</f>
        <v>0</v>
      </c>
      <c r="Q46" s="239"/>
    </row>
    <row r="47" spans="1:17" s="240" customFormat="1" ht="26.25" customHeight="1" thickBot="1" x14ac:dyDescent="0.3">
      <c r="A47" s="225"/>
      <c r="B47" s="232" t="s">
        <v>960</v>
      </c>
      <c r="C47" s="233" t="s">
        <v>938</v>
      </c>
      <c r="D47" s="297">
        <v>67.2</v>
      </c>
      <c r="E47" s="235">
        <v>11.2</v>
      </c>
      <c r="F47" s="235">
        <v>30.4</v>
      </c>
      <c r="G47" s="235">
        <v>13</v>
      </c>
      <c r="H47" s="235">
        <v>14.8</v>
      </c>
      <c r="I47" s="235">
        <v>0</v>
      </c>
      <c r="J47" s="236">
        <v>0</v>
      </c>
      <c r="K47" s="237">
        <f>SUM(D47:J47)</f>
        <v>136.60000000000002</v>
      </c>
      <c r="L47" s="206">
        <v>0</v>
      </c>
      <c r="M47" s="206">
        <v>0</v>
      </c>
      <c r="N47" s="206">
        <f>L47+M47</f>
        <v>0</v>
      </c>
      <c r="O47" s="206"/>
      <c r="P47" s="238">
        <f>N47*K47</f>
        <v>0</v>
      </c>
      <c r="Q47" s="239"/>
    </row>
    <row r="48" spans="1:17" s="240" customFormat="1" ht="26.25" customHeight="1" thickBot="1" x14ac:dyDescent="0.3">
      <c r="A48" s="225"/>
      <c r="B48" s="232" t="s">
        <v>961</v>
      </c>
      <c r="C48" s="233" t="s">
        <v>938</v>
      </c>
      <c r="D48" s="297">
        <v>53</v>
      </c>
      <c r="E48" s="235">
        <v>53</v>
      </c>
      <c r="F48" s="235">
        <v>120</v>
      </c>
      <c r="G48" s="235">
        <v>36</v>
      </c>
      <c r="H48" s="235">
        <v>67</v>
      </c>
      <c r="I48" s="235">
        <v>0</v>
      </c>
      <c r="J48" s="236">
        <v>0</v>
      </c>
      <c r="K48" s="237">
        <f>SUM(D48:J48)</f>
        <v>329</v>
      </c>
      <c r="L48" s="206">
        <v>0</v>
      </c>
      <c r="M48" s="206">
        <v>0</v>
      </c>
      <c r="N48" s="206">
        <f>L48+M48</f>
        <v>0</v>
      </c>
      <c r="O48" s="206"/>
      <c r="P48" s="238">
        <f>N48*K48</f>
        <v>0</v>
      </c>
      <c r="Q48" s="239"/>
    </row>
    <row r="50" spans="1:21" s="132" customFormat="1" ht="15.75" customHeight="1" x14ac:dyDescent="0.25">
      <c r="A50" s="160" t="s">
        <v>939</v>
      </c>
      <c r="B50" s="130" t="s">
        <v>945</v>
      </c>
      <c r="C50" s="49"/>
      <c r="D50" s="49"/>
      <c r="E50" s="49"/>
      <c r="F50" s="49"/>
      <c r="G50" s="49"/>
      <c r="H50" s="49"/>
      <c r="I50" s="49"/>
      <c r="J50" s="49"/>
      <c r="K50" s="49"/>
      <c r="L50" s="49"/>
      <c r="M50" s="49"/>
      <c r="N50" s="49"/>
      <c r="O50" s="131"/>
      <c r="P50" s="49"/>
      <c r="Q50" s="49"/>
      <c r="R50" s="435" t="s">
        <v>946</v>
      </c>
      <c r="S50" s="388"/>
      <c r="T50" s="50">
        <f>SUM(P36:P48)</f>
        <v>0</v>
      </c>
      <c r="U50" s="151"/>
    </row>
    <row r="52" spans="1:21" s="132" customFormat="1" ht="15.75" customHeight="1" x14ac:dyDescent="0.25">
      <c r="A52" s="160" t="s">
        <v>939</v>
      </c>
      <c r="B52" s="130" t="s">
        <v>962</v>
      </c>
      <c r="C52" s="49"/>
      <c r="D52" s="49"/>
      <c r="E52" s="49"/>
      <c r="F52" s="49"/>
      <c r="G52" s="49"/>
      <c r="H52" s="49"/>
      <c r="I52" s="49"/>
      <c r="J52" s="49"/>
      <c r="K52" s="49"/>
      <c r="L52" s="49"/>
      <c r="M52" s="49"/>
      <c r="N52" s="49"/>
      <c r="O52" s="131"/>
      <c r="P52" s="49"/>
      <c r="Q52" s="49"/>
      <c r="R52" s="435" t="s">
        <v>946</v>
      </c>
      <c r="S52" s="388"/>
      <c r="T52" s="50">
        <f>T50*6</f>
        <v>0</v>
      </c>
      <c r="U52" s="151"/>
    </row>
    <row r="54" spans="1:21" s="132" customFormat="1" ht="15.75" customHeight="1" x14ac:dyDescent="0.25">
      <c r="A54" s="160"/>
      <c r="B54" s="130" t="s">
        <v>963</v>
      </c>
      <c r="C54" s="49"/>
      <c r="D54" s="49"/>
      <c r="E54" s="49"/>
      <c r="F54" s="49"/>
      <c r="G54" s="49"/>
      <c r="H54" s="49"/>
      <c r="I54" s="49"/>
      <c r="J54" s="49"/>
      <c r="K54" s="49"/>
      <c r="L54" s="49"/>
      <c r="M54" s="49"/>
      <c r="N54" s="49"/>
      <c r="O54" s="131"/>
      <c r="P54" s="49"/>
      <c r="Q54" s="49"/>
      <c r="R54" s="435"/>
      <c r="S54" s="388"/>
      <c r="T54" s="50">
        <f>SUM(T52,T29)</f>
        <v>0</v>
      </c>
      <c r="U54" s="151"/>
    </row>
  </sheetData>
  <mergeCells count="11">
    <mergeCell ref="R54:S54"/>
    <mergeCell ref="R50:S50"/>
    <mergeCell ref="B2:R3"/>
    <mergeCell ref="R52:S52"/>
    <mergeCell ref="R27:S27"/>
    <mergeCell ref="D31:J31"/>
    <mergeCell ref="D32:J32"/>
    <mergeCell ref="B5:T5"/>
    <mergeCell ref="D8:N8"/>
    <mergeCell ref="R29:S29"/>
    <mergeCell ref="D7:N7"/>
  </mergeCells>
  <conditionalFormatting sqref="T11">
    <cfRule type="cellIs" dxfId="108" priority="6" stopIfTrue="1" operator="greaterThan">
      <formula>0</formula>
    </cfRule>
  </conditionalFormatting>
  <conditionalFormatting sqref="T27">
    <cfRule type="cellIs" dxfId="107" priority="5" stopIfTrue="1" operator="greaterThan">
      <formula>0</formula>
    </cfRule>
  </conditionalFormatting>
  <conditionalFormatting sqref="T29">
    <cfRule type="cellIs" dxfId="106" priority="4" stopIfTrue="1" operator="greaterThan">
      <formula>0</formula>
    </cfRule>
  </conditionalFormatting>
  <conditionalFormatting sqref="T50">
    <cfRule type="cellIs" dxfId="105" priority="3" stopIfTrue="1" operator="greaterThan">
      <formula>0</formula>
    </cfRule>
  </conditionalFormatting>
  <conditionalFormatting sqref="T52">
    <cfRule type="cellIs" dxfId="104" priority="2" stopIfTrue="1" operator="greaterThan">
      <formula>0</formula>
    </cfRule>
  </conditionalFormatting>
  <conditionalFormatting sqref="T54">
    <cfRule type="cellIs" dxfId="103" priority="1" stopIfTrue="1" operator="greaterThan">
      <formula>0</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U109"/>
  <sheetViews>
    <sheetView topLeftCell="A64" zoomScaleNormal="100" workbookViewId="0">
      <selection activeCell="Z52" sqref="Z52"/>
    </sheetView>
  </sheetViews>
  <sheetFormatPr defaultRowHeight="15" x14ac:dyDescent="0.25"/>
  <cols>
    <col min="2" max="2" width="48.7109375" customWidth="1"/>
  </cols>
  <sheetData>
    <row r="1" spans="1:21" s="42" customFormat="1" x14ac:dyDescent="0.25">
      <c r="A1" s="157"/>
      <c r="B1" s="112" t="s">
        <v>906</v>
      </c>
      <c r="C1" s="44"/>
      <c r="D1" s="53"/>
      <c r="E1" s="53"/>
      <c r="F1" s="53"/>
      <c r="G1" s="53"/>
      <c r="H1" s="53"/>
      <c r="I1" s="53"/>
      <c r="J1" s="53"/>
      <c r="K1" s="53"/>
      <c r="L1" s="53"/>
      <c r="M1" s="53"/>
      <c r="N1" s="53"/>
      <c r="O1" s="113"/>
      <c r="P1" s="44"/>
      <c r="Q1" s="44"/>
      <c r="R1" s="44"/>
      <c r="S1" s="44"/>
      <c r="T1" s="44"/>
      <c r="U1" s="47"/>
    </row>
    <row r="2" spans="1:21" s="42" customFormat="1" ht="15" customHeight="1" x14ac:dyDescent="0.25">
      <c r="A2" s="157"/>
      <c r="B2" s="436" t="s">
        <v>907</v>
      </c>
      <c r="C2" s="437"/>
      <c r="D2" s="437"/>
      <c r="E2" s="437"/>
      <c r="F2" s="437"/>
      <c r="G2" s="437"/>
      <c r="H2" s="437"/>
      <c r="I2" s="437"/>
      <c r="J2" s="437"/>
      <c r="K2" s="437"/>
      <c r="L2" s="437"/>
      <c r="M2" s="437"/>
      <c r="N2" s="437"/>
      <c r="O2" s="437"/>
      <c r="P2" s="437"/>
      <c r="Q2" s="437"/>
      <c r="R2" s="438"/>
      <c r="S2" s="7" t="s">
        <v>25</v>
      </c>
      <c r="T2" s="133">
        <v>0</v>
      </c>
      <c r="U2" s="47"/>
    </row>
    <row r="3" spans="1:21" s="42" customFormat="1" x14ac:dyDescent="0.25">
      <c r="A3" s="157"/>
      <c r="B3" s="439"/>
      <c r="C3" s="393"/>
      <c r="D3" s="393"/>
      <c r="E3" s="393"/>
      <c r="F3" s="393"/>
      <c r="G3" s="393"/>
      <c r="H3" s="393"/>
      <c r="I3" s="393"/>
      <c r="J3" s="393"/>
      <c r="K3" s="393"/>
      <c r="L3" s="393"/>
      <c r="M3" s="393"/>
      <c r="N3" s="393"/>
      <c r="O3" s="393"/>
      <c r="P3" s="393"/>
      <c r="Q3" s="393"/>
      <c r="R3" s="394"/>
      <c r="S3" s="7" t="s">
        <v>27</v>
      </c>
      <c r="T3" s="134" t="s">
        <v>22</v>
      </c>
      <c r="U3" s="47"/>
    </row>
    <row r="4" spans="1:21" s="42" customFormat="1" x14ac:dyDescent="0.25">
      <c r="A4" s="157"/>
      <c r="B4" s="114" t="s">
        <v>908</v>
      </c>
      <c r="C4" s="114" t="s">
        <v>909</v>
      </c>
      <c r="D4" s="115">
        <f>1*N4</f>
        <v>1</v>
      </c>
      <c r="E4" s="115">
        <f>1*N4</f>
        <v>1</v>
      </c>
      <c r="F4" s="115">
        <f>1*N4</f>
        <v>1</v>
      </c>
      <c r="G4" s="115">
        <f>1*N4</f>
        <v>1</v>
      </c>
      <c r="H4" s="115">
        <f>4*$N4</f>
        <v>4</v>
      </c>
      <c r="I4" s="115">
        <f>1*N4</f>
        <v>1</v>
      </c>
      <c r="J4" s="115">
        <f>1*N4</f>
        <v>1</v>
      </c>
      <c r="K4" s="115">
        <f>2*$N4</f>
        <v>2</v>
      </c>
      <c r="L4" s="115">
        <f>1*N4</f>
        <v>1</v>
      </c>
      <c r="M4" s="45">
        <v>1</v>
      </c>
      <c r="N4" s="57">
        <v>1</v>
      </c>
      <c r="O4" s="116">
        <v>13</v>
      </c>
      <c r="P4" s="114"/>
      <c r="Q4" s="114"/>
      <c r="R4" s="114"/>
      <c r="S4" s="44"/>
      <c r="T4" s="44"/>
      <c r="U4" s="47"/>
    </row>
    <row r="5" spans="1:21" s="117" customFormat="1" ht="15.75" customHeight="1" x14ac:dyDescent="0.25">
      <c r="A5" s="158" t="s">
        <v>910</v>
      </c>
      <c r="B5" s="434" t="s">
        <v>911</v>
      </c>
      <c r="C5" s="387"/>
      <c r="D5" s="387"/>
      <c r="E5" s="387"/>
      <c r="F5" s="387"/>
      <c r="G5" s="387"/>
      <c r="H5" s="387"/>
      <c r="I5" s="387"/>
      <c r="J5" s="387"/>
      <c r="K5" s="387"/>
      <c r="L5" s="387"/>
      <c r="M5" s="387"/>
      <c r="N5" s="387"/>
      <c r="O5" s="387"/>
      <c r="P5" s="387"/>
      <c r="Q5" s="387"/>
      <c r="R5" s="387"/>
      <c r="S5" s="387"/>
      <c r="T5" s="388"/>
      <c r="U5" s="149"/>
    </row>
    <row r="6" spans="1:21" s="42" customFormat="1" ht="15.75" customHeight="1" thickBot="1" x14ac:dyDescent="0.3">
      <c r="A6" s="157"/>
      <c r="B6" s="44"/>
      <c r="C6" s="44"/>
      <c r="D6" s="44"/>
      <c r="E6" s="44"/>
      <c r="F6" s="44"/>
      <c r="G6" s="44"/>
      <c r="H6" s="44"/>
      <c r="I6" s="44"/>
      <c r="J6" s="44"/>
      <c r="K6" s="44"/>
      <c r="L6" s="44"/>
      <c r="M6" s="44"/>
      <c r="N6" s="44"/>
      <c r="O6" s="118"/>
      <c r="P6" s="44"/>
      <c r="Q6" s="44"/>
      <c r="R6" s="44"/>
      <c r="S6" s="44"/>
      <c r="T6" s="44"/>
      <c r="U6" s="47"/>
    </row>
    <row r="7" spans="1:21" s="42" customFormat="1" ht="50.1" customHeight="1" thickBot="1" x14ac:dyDescent="0.3">
      <c r="A7" s="119" t="s">
        <v>912</v>
      </c>
      <c r="B7" s="119" t="s">
        <v>913</v>
      </c>
      <c r="C7" s="120" t="s">
        <v>914</v>
      </c>
      <c r="D7" s="430"/>
      <c r="E7" s="431"/>
      <c r="F7" s="431"/>
      <c r="G7" s="431"/>
      <c r="H7" s="431"/>
      <c r="I7" s="431"/>
      <c r="J7" s="431"/>
      <c r="K7" s="431"/>
      <c r="L7" s="431"/>
      <c r="M7" s="431"/>
      <c r="N7" s="431"/>
      <c r="O7" s="121" t="s">
        <v>915</v>
      </c>
      <c r="P7" s="122" t="s">
        <v>916</v>
      </c>
      <c r="Q7" s="121" t="s">
        <v>917</v>
      </c>
      <c r="R7" s="121" t="s">
        <v>918</v>
      </c>
      <c r="S7" s="121"/>
      <c r="T7" s="119" t="s">
        <v>919</v>
      </c>
      <c r="U7" s="47"/>
    </row>
    <row r="8" spans="1:21" s="42" customFormat="1" ht="50.1" customHeight="1" thickBot="1" x14ac:dyDescent="0.3">
      <c r="A8" s="123"/>
      <c r="B8" s="123"/>
      <c r="C8" s="124"/>
      <c r="D8" s="432" t="s">
        <v>920</v>
      </c>
      <c r="E8" s="431"/>
      <c r="F8" s="431"/>
      <c r="G8" s="431"/>
      <c r="H8" s="431"/>
      <c r="I8" s="431"/>
      <c r="J8" s="431"/>
      <c r="K8" s="431"/>
      <c r="L8" s="431"/>
      <c r="M8" s="431"/>
      <c r="N8" s="433"/>
      <c r="O8" s="125"/>
      <c r="P8" s="124"/>
      <c r="Q8" s="124"/>
      <c r="R8" s="124"/>
      <c r="S8" s="124"/>
      <c r="T8" s="123"/>
      <c r="U8" s="47"/>
    </row>
    <row r="9" spans="1:21" s="42" customFormat="1" ht="62.25" customHeight="1" x14ac:dyDescent="0.25">
      <c r="A9" s="123"/>
      <c r="B9" s="123"/>
      <c r="C9" s="124"/>
      <c r="D9" s="127" t="s">
        <v>921</v>
      </c>
      <c r="E9" s="127" t="s">
        <v>922</v>
      </c>
      <c r="F9" s="46" t="s">
        <v>923</v>
      </c>
      <c r="G9" s="46" t="s">
        <v>924</v>
      </c>
      <c r="H9" s="46" t="s">
        <v>925</v>
      </c>
      <c r="I9" s="46" t="s">
        <v>926</v>
      </c>
      <c r="J9" s="46" t="s">
        <v>927</v>
      </c>
      <c r="K9" s="46" t="s">
        <v>928</v>
      </c>
      <c r="L9" s="46" t="s">
        <v>929</v>
      </c>
      <c r="M9" s="154" t="s">
        <v>930</v>
      </c>
      <c r="N9" s="126" t="s">
        <v>931</v>
      </c>
      <c r="O9" s="125"/>
      <c r="P9" s="124"/>
      <c r="Q9" s="124"/>
      <c r="R9" s="124"/>
      <c r="S9" s="124"/>
      <c r="T9" s="123"/>
      <c r="U9" s="47"/>
    </row>
    <row r="10" spans="1:21" s="32" customFormat="1" ht="12.75" customHeight="1" x14ac:dyDescent="0.2">
      <c r="A10" s="159"/>
      <c r="B10" s="30"/>
      <c r="C10" s="25"/>
      <c r="D10" s="25"/>
      <c r="E10" s="25"/>
      <c r="F10" s="25"/>
      <c r="G10" s="25"/>
      <c r="H10" s="25"/>
      <c r="I10" s="25"/>
      <c r="J10" s="25"/>
      <c r="K10" s="25"/>
      <c r="L10" s="25"/>
      <c r="M10" s="25"/>
      <c r="N10" s="25"/>
      <c r="O10" s="58"/>
      <c r="P10" s="26"/>
      <c r="Q10" s="26"/>
      <c r="R10" s="26"/>
      <c r="S10" s="26"/>
      <c r="T10" s="22"/>
      <c r="U10" s="37"/>
    </row>
    <row r="11" spans="1:21" s="32" customFormat="1" ht="12.75" customHeight="1" x14ac:dyDescent="0.2">
      <c r="A11" s="159"/>
      <c r="B11" s="31"/>
      <c r="C11" s="25"/>
      <c r="D11" s="25"/>
      <c r="E11" s="25"/>
      <c r="F11" s="25"/>
      <c r="G11" s="25"/>
      <c r="H11" s="25"/>
      <c r="I11" s="25"/>
      <c r="J11" s="25"/>
      <c r="K11" s="25"/>
      <c r="L11" s="25"/>
      <c r="M11" s="25"/>
      <c r="N11" s="25"/>
      <c r="O11" s="58"/>
      <c r="P11" s="26"/>
      <c r="Q11" s="26"/>
      <c r="R11" s="26"/>
      <c r="S11" s="26"/>
      <c r="T11" s="35"/>
      <c r="U11" s="37"/>
    </row>
    <row r="12" spans="1:21" s="117" customFormat="1" ht="15.75" customHeight="1" x14ac:dyDescent="0.25">
      <c r="A12" s="160" t="s">
        <v>932</v>
      </c>
      <c r="B12" s="39" t="s">
        <v>964</v>
      </c>
      <c r="C12" s="40"/>
      <c r="D12" s="40"/>
      <c r="E12" s="40"/>
      <c r="F12" s="40"/>
      <c r="G12" s="40"/>
      <c r="H12" s="40"/>
      <c r="I12" s="40"/>
      <c r="J12" s="40"/>
      <c r="K12" s="40"/>
      <c r="L12" s="40"/>
      <c r="M12" s="40"/>
      <c r="N12" s="40"/>
      <c r="O12" s="59"/>
      <c r="P12" s="40"/>
      <c r="Q12" s="40"/>
      <c r="R12" s="40"/>
      <c r="S12" s="40"/>
      <c r="T12" s="41"/>
      <c r="U12" s="149"/>
    </row>
    <row r="14" spans="1:21" s="200" customFormat="1" x14ac:dyDescent="0.25">
      <c r="A14" s="282" t="s">
        <v>965</v>
      </c>
      <c r="B14" s="196" t="s">
        <v>966</v>
      </c>
      <c r="C14" s="196"/>
      <c r="D14" s="196"/>
      <c r="E14" s="196"/>
      <c r="F14" s="196"/>
      <c r="G14" s="196"/>
      <c r="H14" s="196"/>
      <c r="I14" s="196"/>
      <c r="J14" s="196"/>
      <c r="K14" s="196"/>
      <c r="L14" s="196"/>
      <c r="M14" s="196"/>
      <c r="N14" s="196"/>
      <c r="O14" s="197"/>
      <c r="P14" s="198"/>
      <c r="Q14" s="198"/>
      <c r="R14" s="198"/>
      <c r="S14" s="198"/>
      <c r="T14" s="199"/>
    </row>
    <row r="15" spans="1:21" s="42" customFormat="1" ht="128.25" customHeight="1" thickBot="1" x14ac:dyDescent="0.3">
      <c r="A15" s="167"/>
      <c r="B15" s="266" t="s">
        <v>967</v>
      </c>
      <c r="C15" s="25"/>
      <c r="D15" s="31"/>
      <c r="E15" s="31"/>
      <c r="F15" s="31"/>
      <c r="G15" s="31"/>
      <c r="H15" s="31"/>
      <c r="I15" s="31"/>
      <c r="J15" s="31"/>
      <c r="K15" s="31"/>
      <c r="L15" s="31"/>
      <c r="M15" s="31"/>
      <c r="N15" s="31"/>
      <c r="O15" s="58"/>
      <c r="P15" s="26"/>
      <c r="Q15" s="26"/>
      <c r="R15" s="26"/>
      <c r="S15" s="26"/>
      <c r="T15" s="38"/>
      <c r="U15" s="152"/>
    </row>
    <row r="16" spans="1:21" s="200" customFormat="1" ht="15.75" customHeight="1" thickBot="1" x14ac:dyDescent="0.3">
      <c r="A16" s="282"/>
      <c r="B16" s="188" t="s">
        <v>937</v>
      </c>
      <c r="C16" s="189" t="s">
        <v>938</v>
      </c>
      <c r="D16" s="190">
        <v>47</v>
      </c>
      <c r="E16" s="190">
        <v>0</v>
      </c>
      <c r="F16" s="191">
        <v>48.9</v>
      </c>
      <c r="G16" s="191">
        <v>0</v>
      </c>
      <c r="H16" s="191">
        <v>56.6</v>
      </c>
      <c r="I16" s="191">
        <v>52.8</v>
      </c>
      <c r="J16" s="191">
        <v>0</v>
      </c>
      <c r="K16" s="191">
        <v>0</v>
      </c>
      <c r="L16" s="191">
        <v>0</v>
      </c>
      <c r="M16" s="191">
        <v>0</v>
      </c>
      <c r="N16" s="192">
        <v>0</v>
      </c>
      <c r="O16" s="193">
        <f>SUM(D16:N16)</f>
        <v>205.3</v>
      </c>
      <c r="P16" s="194">
        <v>0</v>
      </c>
      <c r="Q16" s="194">
        <v>0</v>
      </c>
      <c r="R16" s="194">
        <f>P16+Q16</f>
        <v>0</v>
      </c>
      <c r="S16" s="194"/>
      <c r="T16" s="195">
        <f>R16*O16</f>
        <v>0</v>
      </c>
      <c r="U16" s="208"/>
    </row>
    <row r="17" spans="1:21" s="42" customFormat="1" ht="15.75" customHeight="1" thickBot="1" x14ac:dyDescent="0.3">
      <c r="A17" s="166"/>
      <c r="B17" s="137" t="s">
        <v>968</v>
      </c>
      <c r="C17" s="135" t="s">
        <v>969</v>
      </c>
      <c r="D17" s="55">
        <v>0</v>
      </c>
      <c r="E17" s="55">
        <v>0</v>
      </c>
      <c r="F17" s="36">
        <v>0</v>
      </c>
      <c r="G17" s="36">
        <v>0</v>
      </c>
      <c r="H17" s="36">
        <v>0</v>
      </c>
      <c r="I17" s="36">
        <v>0</v>
      </c>
      <c r="J17" s="36">
        <v>0</v>
      </c>
      <c r="K17" s="36">
        <v>0</v>
      </c>
      <c r="L17" s="36">
        <v>0</v>
      </c>
      <c r="M17" s="55">
        <v>42</v>
      </c>
      <c r="N17" s="56">
        <v>0</v>
      </c>
      <c r="O17" s="62">
        <f>SUM(D17:N17)</f>
        <v>42</v>
      </c>
      <c r="P17" s="26">
        <v>0</v>
      </c>
      <c r="Q17" s="26">
        <v>0</v>
      </c>
      <c r="R17" s="26">
        <f>P17+Q17</f>
        <v>0</v>
      </c>
      <c r="S17" s="26"/>
      <c r="T17" s="22">
        <f>R17*O17</f>
        <v>0</v>
      </c>
      <c r="U17" s="47"/>
    </row>
    <row r="18" spans="1:21" s="42" customFormat="1" x14ac:dyDescent="0.25">
      <c r="A18" s="166"/>
      <c r="B18" s="28"/>
      <c r="C18" s="28"/>
      <c r="D18" s="28"/>
      <c r="E18" s="28"/>
      <c r="F18" s="28"/>
      <c r="G18" s="28"/>
      <c r="H18" s="28"/>
      <c r="I18" s="28"/>
      <c r="J18" s="28"/>
      <c r="K18" s="28"/>
      <c r="L18" s="28"/>
      <c r="M18" s="28"/>
      <c r="N18" s="28"/>
      <c r="O18" s="60"/>
      <c r="P18" s="29"/>
      <c r="Q18" s="29"/>
      <c r="R18" s="29"/>
      <c r="S18" s="29"/>
      <c r="T18" s="23"/>
      <c r="U18" s="152"/>
    </row>
    <row r="20" spans="1:21" s="117" customFormat="1" ht="15.75" customHeight="1" x14ac:dyDescent="0.25">
      <c r="A20" s="158" t="s">
        <v>970</v>
      </c>
      <c r="B20" s="39" t="s">
        <v>971</v>
      </c>
      <c r="C20" s="40"/>
      <c r="D20" s="40"/>
      <c r="E20" s="40"/>
      <c r="F20" s="40"/>
      <c r="G20" s="40"/>
      <c r="H20" s="40"/>
      <c r="I20" s="40"/>
      <c r="J20" s="40"/>
      <c r="K20" s="40"/>
      <c r="L20" s="40"/>
      <c r="M20" s="40"/>
      <c r="N20" s="40"/>
      <c r="O20" s="59"/>
      <c r="P20" s="40"/>
      <c r="Q20" s="40"/>
      <c r="R20" s="40"/>
      <c r="S20" s="40"/>
      <c r="T20" s="41"/>
      <c r="U20" s="149"/>
    </row>
    <row r="21" spans="1:21" s="42" customFormat="1" x14ac:dyDescent="0.25">
      <c r="A21" s="157"/>
      <c r="B21" s="44"/>
      <c r="C21" s="44"/>
      <c r="D21" s="44"/>
      <c r="E21" s="44"/>
      <c r="F21" s="44"/>
      <c r="G21" s="44"/>
      <c r="H21" s="44"/>
      <c r="I21" s="44"/>
      <c r="J21" s="44"/>
      <c r="K21" s="44"/>
      <c r="L21" s="44"/>
      <c r="M21" s="44"/>
      <c r="N21" s="44"/>
      <c r="O21" s="118"/>
      <c r="P21" s="44"/>
      <c r="Q21" s="44"/>
      <c r="R21" s="44"/>
      <c r="S21" s="44"/>
      <c r="T21" s="44"/>
      <c r="U21" s="47"/>
    </row>
    <row r="22" spans="1:21" s="42" customFormat="1" x14ac:dyDescent="0.25">
      <c r="A22" s="166" t="s">
        <v>972</v>
      </c>
      <c r="B22" s="27" t="s">
        <v>973</v>
      </c>
      <c r="C22" s="28"/>
      <c r="D22" s="28"/>
      <c r="E22" s="28"/>
      <c r="F22" s="28"/>
      <c r="G22" s="28"/>
      <c r="H22" s="28"/>
      <c r="I22" s="28"/>
      <c r="J22" s="28"/>
      <c r="K22" s="28"/>
      <c r="L22" s="28"/>
      <c r="M22" s="28"/>
      <c r="N22" s="28"/>
      <c r="O22" s="60"/>
      <c r="P22" s="29"/>
      <c r="Q22" s="29"/>
      <c r="R22" s="29"/>
      <c r="S22" s="29"/>
      <c r="T22" s="23"/>
      <c r="U22" s="152"/>
    </row>
    <row r="23" spans="1:21" s="42" customFormat="1" ht="63.75" customHeight="1" x14ac:dyDescent="0.25">
      <c r="A23" s="167"/>
      <c r="B23" s="266" t="s">
        <v>974</v>
      </c>
      <c r="C23" s="31"/>
      <c r="D23" s="31"/>
      <c r="E23" s="31"/>
      <c r="F23" s="31"/>
      <c r="G23" s="31"/>
      <c r="H23" s="31"/>
      <c r="I23" s="31"/>
      <c r="J23" s="31"/>
      <c r="K23" s="31"/>
      <c r="L23" s="31"/>
      <c r="M23" s="31"/>
      <c r="N23" s="31"/>
      <c r="O23" s="58"/>
      <c r="P23" s="26"/>
      <c r="Q23" s="26"/>
      <c r="R23" s="26"/>
      <c r="S23" s="26"/>
      <c r="T23" s="38"/>
      <c r="U23" s="152"/>
    </row>
    <row r="24" spans="1:21" s="42" customFormat="1" ht="38.25" customHeight="1" x14ac:dyDescent="0.25">
      <c r="A24" s="167"/>
      <c r="B24" s="30" t="s">
        <v>975</v>
      </c>
      <c r="C24" s="31"/>
      <c r="D24" s="31"/>
      <c r="E24" s="31"/>
      <c r="F24" s="31"/>
      <c r="G24" s="31"/>
      <c r="H24" s="31"/>
      <c r="I24" s="31"/>
      <c r="J24" s="31"/>
      <c r="K24" s="31"/>
      <c r="L24" s="31"/>
      <c r="M24" s="31"/>
      <c r="N24" s="31"/>
      <c r="O24" s="58"/>
      <c r="P24" s="26"/>
      <c r="Q24" s="26"/>
      <c r="R24" s="26"/>
      <c r="S24" s="26"/>
      <c r="T24" s="38"/>
      <c r="U24" s="152"/>
    </row>
    <row r="25" spans="1:21" s="42" customFormat="1" ht="15.75" customHeight="1" thickBot="1" x14ac:dyDescent="0.3">
      <c r="A25" s="167"/>
      <c r="B25" s="30" t="s">
        <v>976</v>
      </c>
      <c r="C25" s="31"/>
      <c r="D25" s="31"/>
      <c r="E25" s="31"/>
      <c r="F25" s="31"/>
      <c r="G25" s="31"/>
      <c r="H25" s="31"/>
      <c r="I25" s="31"/>
      <c r="J25" s="31"/>
      <c r="K25" s="31"/>
      <c r="L25" s="31"/>
      <c r="M25" s="31"/>
      <c r="N25" s="31"/>
      <c r="O25" s="58"/>
      <c r="P25" s="26"/>
      <c r="Q25" s="26"/>
      <c r="R25" s="26"/>
      <c r="S25" s="26"/>
      <c r="T25" s="38"/>
      <c r="U25" s="152"/>
    </row>
    <row r="26" spans="1:21" s="42" customFormat="1" ht="15.75" customHeight="1" thickBot="1" x14ac:dyDescent="0.3">
      <c r="A26" s="166"/>
      <c r="B26" s="137" t="s">
        <v>937</v>
      </c>
      <c r="C26" s="135" t="s">
        <v>938</v>
      </c>
      <c r="D26" s="55">
        <v>0</v>
      </c>
      <c r="E26" s="55">
        <v>0</v>
      </c>
      <c r="F26" s="36">
        <v>0</v>
      </c>
      <c r="G26" s="36">
        <v>0</v>
      </c>
      <c r="H26" s="36">
        <v>0</v>
      </c>
      <c r="I26" s="36">
        <v>0</v>
      </c>
      <c r="J26" s="36">
        <v>0</v>
      </c>
      <c r="K26" s="36">
        <v>0</v>
      </c>
      <c r="L26" s="36">
        <v>0</v>
      </c>
      <c r="M26" s="36">
        <v>0</v>
      </c>
      <c r="N26" s="56">
        <v>54.25</v>
      </c>
      <c r="O26" s="62">
        <f>SUM(D26:N26)</f>
        <v>54.25</v>
      </c>
      <c r="P26" s="26">
        <v>0</v>
      </c>
      <c r="Q26" s="26">
        <v>0</v>
      </c>
      <c r="R26" s="26">
        <f>P26+Q26</f>
        <v>0</v>
      </c>
      <c r="S26" s="26"/>
      <c r="T26" s="22">
        <f>R26*O26</f>
        <v>0</v>
      </c>
      <c r="U26" s="47"/>
    </row>
    <row r="27" spans="1:21" s="42" customFormat="1" x14ac:dyDescent="0.25">
      <c r="A27" s="157"/>
      <c r="B27" s="44"/>
      <c r="C27" s="44"/>
      <c r="D27" s="44"/>
      <c r="E27" s="44"/>
      <c r="F27" s="44"/>
      <c r="G27" s="44"/>
      <c r="H27" s="44"/>
      <c r="I27" s="44"/>
      <c r="J27" s="44"/>
      <c r="K27" s="44"/>
      <c r="L27" s="44"/>
      <c r="M27" s="44"/>
      <c r="N27" s="44"/>
      <c r="O27" s="118"/>
      <c r="P27" s="44"/>
      <c r="Q27" s="44"/>
      <c r="R27" s="44"/>
      <c r="S27" s="44"/>
      <c r="T27" s="44"/>
      <c r="U27" s="47"/>
    </row>
    <row r="28" spans="1:21" s="42" customFormat="1" x14ac:dyDescent="0.25">
      <c r="A28" s="166" t="s">
        <v>977</v>
      </c>
      <c r="B28" s="27" t="s">
        <v>978</v>
      </c>
      <c r="C28" s="28"/>
      <c r="D28" s="28"/>
      <c r="E28" s="28"/>
      <c r="F28" s="28"/>
      <c r="G28" s="28"/>
      <c r="H28" s="28"/>
      <c r="I28" s="28"/>
      <c r="J28" s="28"/>
      <c r="K28" s="28"/>
      <c r="L28" s="28"/>
      <c r="M28" s="28"/>
      <c r="N28" s="28"/>
      <c r="O28" s="60"/>
      <c r="P28" s="29"/>
      <c r="Q28" s="29"/>
      <c r="R28" s="29"/>
      <c r="S28" s="29"/>
      <c r="T28" s="23"/>
      <c r="U28" s="152"/>
    </row>
    <row r="29" spans="1:21" s="42" customFormat="1" ht="90" customHeight="1" x14ac:dyDescent="0.25">
      <c r="A29" s="167"/>
      <c r="B29" s="266" t="s">
        <v>979</v>
      </c>
      <c r="C29" s="31"/>
      <c r="D29" s="31"/>
      <c r="E29" s="31"/>
      <c r="F29" s="31"/>
      <c r="G29" s="31"/>
      <c r="H29" s="31"/>
      <c r="I29" s="31"/>
      <c r="J29" s="31"/>
      <c r="K29" s="31"/>
      <c r="L29" s="31"/>
      <c r="M29" s="31"/>
      <c r="N29" s="31"/>
      <c r="O29" s="58"/>
      <c r="P29" s="26"/>
      <c r="Q29" s="26"/>
      <c r="R29" s="26"/>
      <c r="S29" s="26"/>
      <c r="T29" s="38"/>
      <c r="U29" s="152"/>
    </row>
    <row r="30" spans="1:21" s="42" customFormat="1" ht="39" customHeight="1" thickBot="1" x14ac:dyDescent="0.3">
      <c r="A30" s="167"/>
      <c r="B30" s="30" t="s">
        <v>980</v>
      </c>
      <c r="C30" s="31"/>
      <c r="D30" s="31"/>
      <c r="E30" s="31"/>
      <c r="F30" s="31"/>
      <c r="G30" s="31"/>
      <c r="H30" s="31"/>
      <c r="I30" s="31"/>
      <c r="J30" s="31"/>
      <c r="K30" s="31"/>
      <c r="L30" s="31"/>
      <c r="M30" s="31"/>
      <c r="N30" s="31"/>
      <c r="O30" s="58"/>
      <c r="P30" s="26"/>
      <c r="Q30" s="26"/>
      <c r="R30" s="26"/>
      <c r="S30" s="26"/>
      <c r="T30" s="38"/>
      <c r="U30" s="152"/>
    </row>
    <row r="31" spans="1:21" s="42" customFormat="1" ht="15.75" customHeight="1" thickBot="1" x14ac:dyDescent="0.3">
      <c r="A31" s="166"/>
      <c r="B31" s="137" t="s">
        <v>937</v>
      </c>
      <c r="C31" s="135" t="s">
        <v>938</v>
      </c>
      <c r="D31" s="55">
        <v>0</v>
      </c>
      <c r="E31" s="55">
        <v>0</v>
      </c>
      <c r="F31" s="36">
        <v>0</v>
      </c>
      <c r="G31" s="36">
        <v>0</v>
      </c>
      <c r="H31" s="36">
        <v>0</v>
      </c>
      <c r="I31" s="36">
        <v>0</v>
      </c>
      <c r="J31" s="36">
        <v>0</v>
      </c>
      <c r="K31" s="36">
        <v>0</v>
      </c>
      <c r="L31" s="36">
        <v>0</v>
      </c>
      <c r="M31" s="36">
        <v>0</v>
      </c>
      <c r="N31" s="54">
        <v>149.6</v>
      </c>
      <c r="O31" s="62">
        <f>SUM(D31:N31)</f>
        <v>149.6</v>
      </c>
      <c r="P31" s="26">
        <v>0</v>
      </c>
      <c r="Q31" s="26">
        <v>0</v>
      </c>
      <c r="R31" s="26">
        <f>P31+Q31</f>
        <v>0</v>
      </c>
      <c r="S31" s="26"/>
      <c r="T31" s="22">
        <f>R31*O31</f>
        <v>0</v>
      </c>
      <c r="U31" s="47"/>
    </row>
    <row r="32" spans="1:21" s="42" customFormat="1" x14ac:dyDescent="0.25">
      <c r="A32" s="157"/>
      <c r="B32" s="44"/>
      <c r="C32" s="44"/>
      <c r="D32" s="44"/>
      <c r="E32" s="44"/>
      <c r="F32" s="44"/>
      <c r="G32" s="44"/>
      <c r="H32" s="44"/>
      <c r="I32" s="44"/>
      <c r="J32" s="44"/>
      <c r="K32" s="44"/>
      <c r="L32" s="44"/>
      <c r="M32" s="44"/>
      <c r="N32" s="44"/>
      <c r="O32" s="118"/>
      <c r="P32" s="44"/>
      <c r="Q32" s="44"/>
      <c r="R32" s="44"/>
      <c r="S32" s="44"/>
      <c r="T32" s="44"/>
      <c r="U32" s="47"/>
    </row>
    <row r="33" spans="1:21" s="42" customFormat="1" x14ac:dyDescent="0.25">
      <c r="A33" s="166" t="s">
        <v>981</v>
      </c>
      <c r="B33" s="27" t="s">
        <v>978</v>
      </c>
      <c r="C33" s="28"/>
      <c r="D33" s="28"/>
      <c r="E33" s="28"/>
      <c r="F33" s="28"/>
      <c r="G33" s="28"/>
      <c r="H33" s="28"/>
      <c r="I33" s="28"/>
      <c r="J33" s="28"/>
      <c r="K33" s="28"/>
      <c r="L33" s="28"/>
      <c r="M33" s="28"/>
      <c r="N33" s="28"/>
      <c r="O33" s="60"/>
      <c r="P33" s="29"/>
      <c r="Q33" s="29"/>
      <c r="R33" s="29"/>
      <c r="S33" s="29"/>
      <c r="T33" s="23"/>
      <c r="U33" s="152"/>
    </row>
    <row r="34" spans="1:21" s="42" customFormat="1" ht="102.75" customHeight="1" thickBot="1" x14ac:dyDescent="0.3">
      <c r="A34" s="167"/>
      <c r="B34" s="266" t="s">
        <v>982</v>
      </c>
      <c r="C34" s="31"/>
      <c r="D34" s="31"/>
      <c r="E34" s="31"/>
      <c r="F34" s="31"/>
      <c r="G34" s="31"/>
      <c r="H34" s="31"/>
      <c r="I34" s="31"/>
      <c r="J34" s="31"/>
      <c r="K34" s="31"/>
      <c r="L34" s="31"/>
      <c r="M34" s="31"/>
      <c r="N34" s="31"/>
      <c r="O34" s="58"/>
      <c r="P34" s="26"/>
      <c r="Q34" s="26"/>
      <c r="R34" s="26"/>
      <c r="S34" s="26"/>
      <c r="T34" s="38"/>
      <c r="U34" s="152"/>
    </row>
    <row r="35" spans="1:21" s="42" customFormat="1" ht="15.75" customHeight="1" thickBot="1" x14ac:dyDescent="0.3">
      <c r="A35" s="166"/>
      <c r="B35" s="137" t="s">
        <v>937</v>
      </c>
      <c r="C35" s="135" t="s">
        <v>938</v>
      </c>
      <c r="D35" s="55">
        <v>0</v>
      </c>
      <c r="E35" s="55">
        <v>0</v>
      </c>
      <c r="F35" s="36">
        <v>0</v>
      </c>
      <c r="G35" s="36">
        <v>0</v>
      </c>
      <c r="H35" s="36">
        <v>0</v>
      </c>
      <c r="I35" s="36">
        <v>0</v>
      </c>
      <c r="J35" s="36">
        <v>0</v>
      </c>
      <c r="K35" s="36">
        <v>0</v>
      </c>
      <c r="L35" s="36">
        <v>0</v>
      </c>
      <c r="M35" s="36">
        <v>0</v>
      </c>
      <c r="N35" s="54">
        <v>149.6</v>
      </c>
      <c r="O35" s="62">
        <f>SUM(D35:N35)</f>
        <v>149.6</v>
      </c>
      <c r="P35" s="26">
        <v>0</v>
      </c>
      <c r="Q35" s="26">
        <v>0</v>
      </c>
      <c r="R35" s="26">
        <f>P35+Q35</f>
        <v>0</v>
      </c>
      <c r="S35" s="26"/>
      <c r="T35" s="22">
        <f>R35*O35</f>
        <v>0</v>
      </c>
      <c r="U35" s="47"/>
    </row>
    <row r="36" spans="1:21" s="42" customFormat="1" x14ac:dyDescent="0.25">
      <c r="A36" s="157"/>
      <c r="B36" s="44"/>
      <c r="C36" s="44"/>
      <c r="D36" s="44"/>
      <c r="E36" s="44"/>
      <c r="F36" s="44"/>
      <c r="G36" s="44"/>
      <c r="H36" s="44"/>
      <c r="I36" s="44"/>
      <c r="J36" s="44"/>
      <c r="K36" s="44"/>
      <c r="L36" s="44"/>
      <c r="M36" s="44"/>
      <c r="N36" s="44"/>
      <c r="O36" s="118"/>
      <c r="P36" s="44"/>
      <c r="Q36" s="44"/>
      <c r="R36" s="44"/>
      <c r="S36" s="44"/>
      <c r="T36" s="44"/>
      <c r="U36" s="47"/>
    </row>
    <row r="37" spans="1:21" s="42" customFormat="1" x14ac:dyDescent="0.25">
      <c r="A37" s="166" t="s">
        <v>983</v>
      </c>
      <c r="B37" s="147" t="s">
        <v>984</v>
      </c>
      <c r="C37" s="28"/>
      <c r="D37" s="28"/>
      <c r="E37" s="28"/>
      <c r="F37" s="28"/>
      <c r="G37" s="28"/>
      <c r="H37" s="28"/>
      <c r="I37" s="28"/>
      <c r="J37" s="28"/>
      <c r="K37" s="28"/>
      <c r="L37" s="28"/>
      <c r="M37" s="28"/>
      <c r="N37" s="28"/>
      <c r="O37" s="60"/>
      <c r="P37" s="29"/>
      <c r="Q37" s="29"/>
      <c r="R37" s="29"/>
      <c r="S37" s="29"/>
      <c r="T37" s="23"/>
      <c r="U37" s="152"/>
    </row>
    <row r="38" spans="1:21" s="42" customFormat="1" ht="63.75" customHeight="1" x14ac:dyDescent="0.25">
      <c r="A38" s="167"/>
      <c r="B38" s="141" t="s">
        <v>985</v>
      </c>
      <c r="C38" s="31"/>
      <c r="D38" s="31"/>
      <c r="E38" s="31"/>
      <c r="F38" s="31"/>
      <c r="G38" s="31"/>
      <c r="H38" s="31"/>
      <c r="I38" s="31"/>
      <c r="J38" s="31"/>
      <c r="K38" s="31"/>
      <c r="L38" s="31"/>
      <c r="M38" s="31"/>
      <c r="N38" s="31"/>
      <c r="O38" s="58"/>
      <c r="P38" s="26"/>
      <c r="Q38" s="26"/>
      <c r="R38" s="26"/>
      <c r="S38" s="26"/>
      <c r="T38" s="38"/>
      <c r="U38" s="152"/>
    </row>
    <row r="39" spans="1:21" s="42" customFormat="1" ht="38.25" customHeight="1" x14ac:dyDescent="0.25">
      <c r="A39" s="167"/>
      <c r="B39" s="141" t="s">
        <v>986</v>
      </c>
      <c r="C39" s="31"/>
      <c r="D39" s="31"/>
      <c r="E39" s="31"/>
      <c r="F39" s="31"/>
      <c r="G39" s="31"/>
      <c r="H39" s="31"/>
      <c r="I39" s="31"/>
      <c r="J39" s="31"/>
      <c r="K39" s="31"/>
      <c r="L39" s="31"/>
      <c r="M39" s="31"/>
      <c r="N39" s="31"/>
      <c r="O39" s="58"/>
      <c r="P39" s="26"/>
      <c r="Q39" s="26"/>
      <c r="R39" s="26"/>
      <c r="S39" s="26"/>
      <c r="T39" s="38"/>
      <c r="U39" s="152"/>
    </row>
    <row r="40" spans="1:21" s="42" customFormat="1" ht="38.25" customHeight="1" x14ac:dyDescent="0.25">
      <c r="A40" s="167"/>
      <c r="B40" s="141" t="s">
        <v>987</v>
      </c>
      <c r="C40" s="31"/>
      <c r="D40" s="31"/>
      <c r="E40" s="31"/>
      <c r="F40" s="31"/>
      <c r="G40" s="31"/>
      <c r="H40" s="31"/>
      <c r="I40" s="31"/>
      <c r="J40" s="31"/>
      <c r="K40" s="31"/>
      <c r="L40" s="31"/>
      <c r="M40" s="31"/>
      <c r="N40" s="31"/>
      <c r="O40" s="58"/>
      <c r="P40" s="26"/>
      <c r="Q40" s="26"/>
      <c r="R40" s="26"/>
      <c r="S40" s="26"/>
      <c r="T40" s="38"/>
      <c r="U40" s="152"/>
    </row>
    <row r="41" spans="1:21" s="42" customFormat="1" ht="25.5" customHeight="1" x14ac:dyDescent="0.25">
      <c r="A41" s="167"/>
      <c r="B41" s="141" t="s">
        <v>988</v>
      </c>
      <c r="C41" s="31"/>
      <c r="D41" s="31"/>
      <c r="E41" s="31"/>
      <c r="F41" s="31"/>
      <c r="G41" s="31"/>
      <c r="H41" s="31"/>
      <c r="I41" s="31"/>
      <c r="J41" s="31"/>
      <c r="K41" s="31"/>
      <c r="L41" s="31"/>
      <c r="M41" s="31"/>
      <c r="N41" s="31"/>
      <c r="O41" s="58"/>
      <c r="P41" s="26"/>
      <c r="Q41" s="26"/>
      <c r="R41" s="26"/>
      <c r="S41" s="26"/>
      <c r="T41" s="38"/>
      <c r="U41" s="152"/>
    </row>
    <row r="42" spans="1:21" s="42" customFormat="1" ht="89.25" customHeight="1" x14ac:dyDescent="0.25">
      <c r="A42" s="167"/>
      <c r="B42" s="141" t="s">
        <v>989</v>
      </c>
      <c r="C42" s="31"/>
      <c r="D42" s="31"/>
      <c r="E42" s="31"/>
      <c r="F42" s="31"/>
      <c r="G42" s="31"/>
      <c r="H42" s="31"/>
      <c r="I42" s="31"/>
      <c r="J42" s="31"/>
      <c r="K42" s="31"/>
      <c r="L42" s="31"/>
      <c r="M42" s="31"/>
      <c r="N42" s="31"/>
      <c r="O42" s="58"/>
      <c r="P42" s="26"/>
      <c r="Q42" s="26"/>
      <c r="R42" s="26"/>
      <c r="S42" s="26"/>
      <c r="T42" s="38"/>
      <c r="U42" s="152"/>
    </row>
    <row r="43" spans="1:21" s="42" customFormat="1" ht="15.75" customHeight="1" thickBot="1" x14ac:dyDescent="0.3">
      <c r="A43" s="167"/>
      <c r="B43" s="30" t="s">
        <v>937</v>
      </c>
      <c r="C43" s="31"/>
      <c r="D43" s="31"/>
      <c r="E43" s="31"/>
      <c r="F43" s="31"/>
      <c r="G43" s="31"/>
      <c r="H43" s="31"/>
      <c r="I43" s="31"/>
      <c r="J43" s="31"/>
      <c r="K43" s="31"/>
      <c r="L43" s="31"/>
      <c r="M43" s="31"/>
      <c r="N43" s="31"/>
      <c r="O43" s="58"/>
      <c r="P43" s="26"/>
      <c r="Q43" s="26"/>
      <c r="R43" s="26"/>
      <c r="S43" s="26"/>
      <c r="T43" s="38"/>
      <c r="U43" s="152"/>
    </row>
    <row r="44" spans="1:21" s="219" customFormat="1" ht="15.75" customHeight="1" thickBot="1" x14ac:dyDescent="0.3">
      <c r="A44" s="209" t="s">
        <v>990</v>
      </c>
      <c r="B44" s="210" t="s">
        <v>991</v>
      </c>
      <c r="C44" s="211" t="s">
        <v>938</v>
      </c>
      <c r="D44" s="212">
        <v>4.75</v>
      </c>
      <c r="E44" s="212">
        <v>4.5999999999999996</v>
      </c>
      <c r="F44" s="213">
        <v>4.8</v>
      </c>
      <c r="G44" s="213">
        <v>4.8</v>
      </c>
      <c r="H44" s="213">
        <v>26.4</v>
      </c>
      <c r="I44" s="213">
        <v>7.6</v>
      </c>
      <c r="J44" s="213">
        <v>7.6</v>
      </c>
      <c r="K44" s="213">
        <v>11</v>
      </c>
      <c r="L44" s="213">
        <v>20.399999999999999</v>
      </c>
      <c r="M44" s="213">
        <v>0</v>
      </c>
      <c r="N44" s="214">
        <v>0</v>
      </c>
      <c r="O44" s="215">
        <f>SUM(D44:N44)</f>
        <v>91.949999999999989</v>
      </c>
      <c r="P44" s="216">
        <v>0</v>
      </c>
      <c r="Q44" s="216">
        <v>0</v>
      </c>
      <c r="R44" s="216">
        <f>P44+Q44</f>
        <v>0</v>
      </c>
      <c r="S44" s="216"/>
      <c r="T44" s="217">
        <f>R44*O44</f>
        <v>0</v>
      </c>
      <c r="U44" s="218"/>
    </row>
    <row r="45" spans="1:21" s="42" customFormat="1" x14ac:dyDescent="0.25">
      <c r="A45" s="157"/>
      <c r="B45" s="44"/>
      <c r="C45" s="44"/>
      <c r="D45" s="44"/>
      <c r="E45" s="44"/>
      <c r="F45" s="44"/>
      <c r="G45" s="44"/>
      <c r="H45" s="44"/>
      <c r="I45" s="44"/>
      <c r="J45" s="44"/>
      <c r="K45" s="44"/>
      <c r="L45" s="44"/>
      <c r="M45" s="44"/>
      <c r="N45" s="44"/>
      <c r="O45" s="118"/>
      <c r="P45" s="44"/>
      <c r="Q45" s="44"/>
      <c r="R45" s="44"/>
      <c r="S45" s="44"/>
      <c r="T45" s="44"/>
      <c r="U45" s="47"/>
    </row>
    <row r="46" spans="1:21" s="42" customFormat="1" x14ac:dyDescent="0.25">
      <c r="A46" s="166" t="s">
        <v>992</v>
      </c>
      <c r="B46" s="147" t="s">
        <v>984</v>
      </c>
      <c r="C46" s="28"/>
      <c r="D46" s="28"/>
      <c r="E46" s="28"/>
      <c r="F46" s="28"/>
      <c r="G46" s="28"/>
      <c r="H46" s="28"/>
      <c r="I46" s="28"/>
      <c r="J46" s="28"/>
      <c r="K46" s="28"/>
      <c r="L46" s="28"/>
      <c r="M46" s="28"/>
      <c r="N46" s="28"/>
      <c r="O46" s="60"/>
      <c r="P46" s="29"/>
      <c r="Q46" s="29"/>
      <c r="R46" s="29"/>
      <c r="S46" s="29"/>
      <c r="T46" s="23"/>
      <c r="U46" s="152"/>
    </row>
    <row r="47" spans="1:21" s="42" customFormat="1" ht="243.75" customHeight="1" x14ac:dyDescent="0.25">
      <c r="A47" s="167"/>
      <c r="B47" s="141" t="s">
        <v>993</v>
      </c>
      <c r="C47" s="31"/>
      <c r="D47" s="31"/>
      <c r="E47" s="31"/>
      <c r="F47" s="31"/>
      <c r="G47" s="31"/>
      <c r="H47" s="31"/>
      <c r="I47" s="31"/>
      <c r="J47" s="31"/>
      <c r="K47" s="31"/>
      <c r="L47" s="31"/>
      <c r="M47" s="31"/>
      <c r="N47" s="31"/>
      <c r="O47" s="58"/>
      <c r="P47" s="26"/>
      <c r="Q47" s="26"/>
      <c r="R47" s="26"/>
      <c r="S47" s="26"/>
      <c r="T47" s="38"/>
      <c r="U47" s="152"/>
    </row>
    <row r="48" spans="1:21" s="42" customFormat="1" ht="15.75" customHeight="1" thickBot="1" x14ac:dyDescent="0.3">
      <c r="A48" s="167"/>
      <c r="B48" s="30" t="s">
        <v>937</v>
      </c>
      <c r="C48" s="31"/>
      <c r="D48" s="31"/>
      <c r="E48" s="31"/>
      <c r="F48" s="31"/>
      <c r="G48" s="31"/>
      <c r="H48" s="31"/>
      <c r="I48" s="31"/>
      <c r="J48" s="31"/>
      <c r="K48" s="31"/>
      <c r="L48" s="31"/>
      <c r="M48" s="31"/>
      <c r="N48" s="31"/>
      <c r="O48" s="58"/>
      <c r="P48" s="26"/>
      <c r="Q48" s="26"/>
      <c r="R48" s="26"/>
      <c r="S48" s="26"/>
      <c r="T48" s="38"/>
      <c r="U48" s="152"/>
    </row>
    <row r="49" spans="1:21" s="42" customFormat="1" ht="15.75" customHeight="1" thickBot="1" x14ac:dyDescent="0.3">
      <c r="A49" s="166" t="s">
        <v>994</v>
      </c>
      <c r="B49" s="137" t="s">
        <v>995</v>
      </c>
      <c r="C49" s="135" t="s">
        <v>938</v>
      </c>
      <c r="D49" s="55">
        <v>8.75</v>
      </c>
      <c r="E49" s="55">
        <v>8.75</v>
      </c>
      <c r="F49" s="36">
        <v>8.75</v>
      </c>
      <c r="G49" s="36">
        <v>8.75</v>
      </c>
      <c r="H49" s="36">
        <v>40</v>
      </c>
      <c r="I49" s="36">
        <v>8</v>
      </c>
      <c r="J49" s="36">
        <v>8</v>
      </c>
      <c r="K49" s="36">
        <v>16</v>
      </c>
      <c r="L49" s="36">
        <v>28.65</v>
      </c>
      <c r="M49" s="36">
        <v>0</v>
      </c>
      <c r="N49" s="56">
        <v>0</v>
      </c>
      <c r="O49" s="62">
        <f>SUM(D49:N49)</f>
        <v>135.65</v>
      </c>
      <c r="P49" s="26">
        <v>0</v>
      </c>
      <c r="Q49" s="26">
        <v>0</v>
      </c>
      <c r="R49" s="26">
        <f>P49+Q49</f>
        <v>0</v>
      </c>
      <c r="S49" s="26"/>
      <c r="T49" s="22">
        <f>R49*O49</f>
        <v>0</v>
      </c>
      <c r="U49" s="44"/>
    </row>
    <row r="50" spans="1:21" s="32" customFormat="1" ht="12.75" customHeight="1" x14ac:dyDescent="0.2">
      <c r="A50" s="159"/>
      <c r="B50" s="31"/>
      <c r="C50" s="25"/>
      <c r="D50" s="25"/>
      <c r="E50" s="25"/>
      <c r="F50" s="25"/>
      <c r="G50" s="25"/>
      <c r="H50" s="25"/>
      <c r="I50" s="25"/>
      <c r="J50" s="25"/>
      <c r="K50" s="25"/>
      <c r="L50" s="25"/>
      <c r="M50" s="25"/>
      <c r="N50" s="25"/>
      <c r="O50" s="58"/>
      <c r="P50" s="26"/>
      <c r="Q50" s="26"/>
      <c r="R50" s="26"/>
      <c r="S50" s="26"/>
      <c r="T50" s="35"/>
      <c r="U50" s="37"/>
    </row>
    <row r="51" spans="1:21" s="300" customFormat="1" ht="14.25" customHeight="1" x14ac:dyDescent="0.2">
      <c r="A51" s="289" t="s">
        <v>996</v>
      </c>
      <c r="B51" s="226" t="s">
        <v>997</v>
      </c>
      <c r="C51" s="227"/>
      <c r="D51" s="227"/>
      <c r="E51" s="227"/>
      <c r="F51" s="227"/>
      <c r="G51" s="227"/>
      <c r="H51" s="227"/>
      <c r="I51" s="227"/>
      <c r="J51" s="227"/>
      <c r="K51" s="227"/>
      <c r="L51" s="227"/>
      <c r="M51" s="227"/>
      <c r="N51" s="227"/>
      <c r="O51" s="228"/>
      <c r="P51" s="229"/>
      <c r="Q51" s="229"/>
      <c r="R51" s="229"/>
      <c r="S51" s="229"/>
      <c r="T51" s="230"/>
      <c r="U51" s="204"/>
    </row>
    <row r="52" spans="1:21" s="300" customFormat="1" ht="102" customHeight="1" x14ac:dyDescent="0.2">
      <c r="A52" s="339"/>
      <c r="B52" s="281" t="s">
        <v>998</v>
      </c>
      <c r="C52" s="204"/>
      <c r="D52" s="204"/>
      <c r="E52" s="204"/>
      <c r="F52" s="204"/>
      <c r="G52" s="204"/>
      <c r="H52" s="204"/>
      <c r="I52" s="204"/>
      <c r="J52" s="204"/>
      <c r="K52" s="204"/>
      <c r="L52" s="204"/>
      <c r="M52" s="204"/>
      <c r="N52" s="204"/>
      <c r="O52" s="205"/>
      <c r="P52" s="206"/>
      <c r="Q52" s="206"/>
      <c r="R52" s="206"/>
      <c r="S52" s="206"/>
      <c r="T52" s="207"/>
      <c r="U52" s="204"/>
    </row>
    <row r="53" spans="1:21" s="300" customFormat="1" ht="13.5" customHeight="1" thickBot="1" x14ac:dyDescent="0.25">
      <c r="A53" s="340"/>
      <c r="B53" s="204" t="s">
        <v>999</v>
      </c>
      <c r="C53" s="203"/>
      <c r="D53" s="203"/>
      <c r="E53" s="203"/>
      <c r="F53" s="203"/>
      <c r="G53" s="203"/>
      <c r="H53" s="203"/>
      <c r="I53" s="203"/>
      <c r="J53" s="203"/>
      <c r="K53" s="203"/>
      <c r="L53" s="203"/>
      <c r="M53" s="203"/>
      <c r="N53" s="203"/>
      <c r="O53" s="205"/>
      <c r="P53" s="206"/>
      <c r="Q53" s="206"/>
      <c r="R53" s="206"/>
      <c r="S53" s="206"/>
      <c r="T53" s="341"/>
      <c r="U53" s="204"/>
    </row>
    <row r="54" spans="1:21" s="300" customFormat="1" thickBot="1" x14ac:dyDescent="0.25">
      <c r="A54" s="289" t="s">
        <v>996</v>
      </c>
      <c r="B54" s="281" t="s">
        <v>1000</v>
      </c>
      <c r="C54" s="233" t="s">
        <v>1001</v>
      </c>
      <c r="D54" s="234">
        <v>0</v>
      </c>
      <c r="E54" s="234">
        <v>0</v>
      </c>
      <c r="F54" s="235">
        <v>0</v>
      </c>
      <c r="G54" s="235">
        <v>0</v>
      </c>
      <c r="H54" s="235">
        <v>0</v>
      </c>
      <c r="I54" s="235">
        <v>0</v>
      </c>
      <c r="J54" s="235">
        <v>0</v>
      </c>
      <c r="K54" s="235">
        <v>0</v>
      </c>
      <c r="L54" s="235">
        <v>0</v>
      </c>
      <c r="M54" s="235">
        <v>0</v>
      </c>
      <c r="N54" s="236">
        <v>22</v>
      </c>
      <c r="O54" s="237">
        <f>SUM(D54:N54)</f>
        <v>22</v>
      </c>
      <c r="P54" s="206">
        <v>0</v>
      </c>
      <c r="Q54" s="206">
        <v>0</v>
      </c>
      <c r="R54" s="206">
        <f>P54+Q54</f>
        <v>0</v>
      </c>
      <c r="S54" s="206"/>
      <c r="T54" s="238">
        <f>R54*O54</f>
        <v>0</v>
      </c>
      <c r="U54" s="204"/>
    </row>
    <row r="55" spans="1:21" s="32" customFormat="1" ht="12.75" customHeight="1" x14ac:dyDescent="0.2">
      <c r="A55" s="159"/>
      <c r="B55" s="31"/>
      <c r="C55" s="25"/>
      <c r="D55" s="25"/>
      <c r="E55" s="25"/>
      <c r="F55" s="25"/>
      <c r="G55" s="25"/>
      <c r="H55" s="25"/>
      <c r="I55" s="25"/>
      <c r="J55" s="25"/>
      <c r="K55" s="25"/>
      <c r="L55" s="25"/>
      <c r="M55" s="25"/>
      <c r="N55" s="25"/>
      <c r="O55" s="58"/>
      <c r="P55" s="26"/>
      <c r="Q55" s="26"/>
      <c r="R55" s="26"/>
      <c r="S55" s="26"/>
      <c r="T55" s="35"/>
      <c r="U55" s="37"/>
    </row>
    <row r="57" spans="1:21" s="132" customFormat="1" ht="15.75" customHeight="1" x14ac:dyDescent="0.25">
      <c r="A57" s="160" t="s">
        <v>972</v>
      </c>
      <c r="B57" s="130" t="s">
        <v>1002</v>
      </c>
      <c r="C57" s="49"/>
      <c r="D57" s="49"/>
      <c r="E57" s="49"/>
      <c r="F57" s="49"/>
      <c r="G57" s="49"/>
      <c r="H57" s="49"/>
      <c r="I57" s="49"/>
      <c r="J57" s="49"/>
      <c r="K57" s="49"/>
      <c r="L57" s="49"/>
      <c r="M57" s="49"/>
      <c r="N57" s="49"/>
      <c r="O57" s="131"/>
      <c r="P57" s="49"/>
      <c r="Q57" s="49"/>
      <c r="R57" s="435" t="s">
        <v>946</v>
      </c>
      <c r="S57" s="388"/>
      <c r="T57" s="50">
        <f>SUM(T16:T55)</f>
        <v>0</v>
      </c>
      <c r="U57" s="151"/>
    </row>
    <row r="59" spans="1:21" s="132" customFormat="1" ht="15.75" customHeight="1" x14ac:dyDescent="0.25">
      <c r="A59" s="160" t="s">
        <v>972</v>
      </c>
      <c r="B59" s="130" t="s">
        <v>1003</v>
      </c>
      <c r="C59" s="49"/>
      <c r="D59" s="49"/>
      <c r="E59" s="49"/>
      <c r="F59" s="49"/>
      <c r="G59" s="49"/>
      <c r="H59" s="49"/>
      <c r="I59" s="49"/>
      <c r="J59" s="49"/>
      <c r="K59" s="49"/>
      <c r="L59" s="49"/>
      <c r="M59" s="49"/>
      <c r="N59" s="49"/>
      <c r="O59" s="131"/>
      <c r="P59" s="49"/>
      <c r="Q59" s="49"/>
      <c r="R59" s="435" t="s">
        <v>946</v>
      </c>
      <c r="S59" s="388"/>
      <c r="T59" s="50">
        <f>T57*5</f>
        <v>0</v>
      </c>
      <c r="U59" s="151"/>
    </row>
    <row r="61" spans="1:21" ht="15.75" customHeight="1" thickBot="1" x14ac:dyDescent="0.3"/>
    <row r="62" spans="1:21" s="42" customFormat="1" ht="50.1" customHeight="1" thickBot="1" x14ac:dyDescent="0.3">
      <c r="A62" s="119" t="s">
        <v>912</v>
      </c>
      <c r="B62" s="119" t="s">
        <v>913</v>
      </c>
      <c r="C62" s="120" t="s">
        <v>914</v>
      </c>
      <c r="D62" s="430"/>
      <c r="E62" s="431"/>
      <c r="F62" s="431"/>
      <c r="G62" s="431"/>
      <c r="H62" s="431"/>
      <c r="I62" s="431"/>
      <c r="J62" s="431"/>
      <c r="K62" s="121" t="s">
        <v>915</v>
      </c>
      <c r="L62" s="122" t="s">
        <v>916</v>
      </c>
      <c r="M62" s="121" t="s">
        <v>917</v>
      </c>
      <c r="N62" s="121" t="s">
        <v>918</v>
      </c>
      <c r="O62" s="121"/>
      <c r="P62" s="119" t="s">
        <v>919</v>
      </c>
      <c r="Q62" s="47"/>
    </row>
    <row r="63" spans="1:21" s="42" customFormat="1" ht="50.1" customHeight="1" thickBot="1" x14ac:dyDescent="0.3">
      <c r="A63" s="123"/>
      <c r="B63" s="123"/>
      <c r="C63" s="124"/>
      <c r="D63" s="432" t="s">
        <v>948</v>
      </c>
      <c r="E63" s="431"/>
      <c r="F63" s="431"/>
      <c r="G63" s="431"/>
      <c r="H63" s="431"/>
      <c r="I63" s="431"/>
      <c r="J63" s="433"/>
      <c r="K63" s="125"/>
      <c r="L63" s="124"/>
      <c r="M63" s="124"/>
      <c r="N63" s="124"/>
      <c r="O63" s="124"/>
      <c r="P63" s="123"/>
      <c r="Q63" s="47"/>
    </row>
    <row r="64" spans="1:21" s="42" customFormat="1" ht="62.25" customHeight="1" x14ac:dyDescent="0.25">
      <c r="A64" s="123"/>
      <c r="B64" s="123"/>
      <c r="C64" s="124"/>
      <c r="D64" s="173" t="s">
        <v>949</v>
      </c>
      <c r="E64" s="46" t="s">
        <v>950</v>
      </c>
      <c r="F64" s="46" t="s">
        <v>951</v>
      </c>
      <c r="G64" s="46" t="s">
        <v>952</v>
      </c>
      <c r="H64" s="46" t="s">
        <v>953</v>
      </c>
      <c r="I64" s="154" t="s">
        <v>930</v>
      </c>
      <c r="J64" s="126" t="s">
        <v>931</v>
      </c>
      <c r="K64" s="125"/>
      <c r="L64" s="124"/>
      <c r="M64" s="124"/>
      <c r="N64" s="124"/>
      <c r="O64" s="124"/>
      <c r="P64" s="123"/>
      <c r="Q64" s="47"/>
    </row>
    <row r="66" spans="1:17" s="42" customFormat="1" x14ac:dyDescent="0.25">
      <c r="A66" s="166" t="s">
        <v>965</v>
      </c>
      <c r="B66" s="28" t="s">
        <v>966</v>
      </c>
      <c r="C66" s="28"/>
      <c r="D66" s="181"/>
      <c r="E66" s="28"/>
      <c r="F66" s="28"/>
      <c r="G66" s="28"/>
      <c r="H66" s="28"/>
      <c r="I66" s="28"/>
      <c r="J66" s="28"/>
      <c r="K66" s="60"/>
      <c r="L66" s="29"/>
      <c r="M66" s="29"/>
      <c r="N66" s="29"/>
      <c r="O66" s="29"/>
      <c r="P66" s="23"/>
      <c r="Q66" s="152"/>
    </row>
    <row r="67" spans="1:17" s="42" customFormat="1" ht="128.25" customHeight="1" thickBot="1" x14ac:dyDescent="0.3">
      <c r="A67" s="167"/>
      <c r="B67" s="30" t="s">
        <v>967</v>
      </c>
      <c r="C67" s="25"/>
      <c r="D67" s="182"/>
      <c r="E67" s="31"/>
      <c r="F67" s="31"/>
      <c r="G67" s="31"/>
      <c r="H67" s="31"/>
      <c r="I67" s="31"/>
      <c r="J67" s="31"/>
      <c r="K67" s="58"/>
      <c r="L67" s="26"/>
      <c r="M67" s="26"/>
      <c r="N67" s="26"/>
      <c r="O67" s="26"/>
      <c r="P67" s="38"/>
      <c r="Q67" s="152"/>
    </row>
    <row r="68" spans="1:17" s="42" customFormat="1" ht="15.75" customHeight="1" thickBot="1" x14ac:dyDescent="0.3">
      <c r="A68" s="166"/>
      <c r="B68" s="137" t="s">
        <v>937</v>
      </c>
      <c r="C68" s="135" t="s">
        <v>938</v>
      </c>
      <c r="D68" s="177">
        <v>120.2</v>
      </c>
      <c r="E68" s="36">
        <v>0</v>
      </c>
      <c r="F68" s="36">
        <v>85.2</v>
      </c>
      <c r="G68" s="36">
        <v>0</v>
      </c>
      <c r="H68" s="36">
        <v>0</v>
      </c>
      <c r="I68" s="36">
        <v>0</v>
      </c>
      <c r="J68" s="56">
        <v>0</v>
      </c>
      <c r="K68" s="62">
        <f>SUM(D68:J68)</f>
        <v>205.4</v>
      </c>
      <c r="L68" s="26">
        <v>0</v>
      </c>
      <c r="M68" s="26">
        <v>0</v>
      </c>
      <c r="N68" s="26">
        <f>L68+M68</f>
        <v>0</v>
      </c>
      <c r="O68" s="26"/>
      <c r="P68" s="22">
        <f>N68*K68</f>
        <v>0</v>
      </c>
      <c r="Q68" s="47"/>
    </row>
    <row r="69" spans="1:17" s="42" customFormat="1" ht="15.75" customHeight="1" thickBot="1" x14ac:dyDescent="0.3">
      <c r="A69" s="166"/>
      <c r="B69" s="137" t="s">
        <v>968</v>
      </c>
      <c r="C69" s="135" t="s">
        <v>969</v>
      </c>
      <c r="D69" s="177">
        <v>0</v>
      </c>
      <c r="E69" s="36">
        <v>0</v>
      </c>
      <c r="F69" s="36">
        <v>0</v>
      </c>
      <c r="G69" s="36">
        <v>0</v>
      </c>
      <c r="H69" s="36">
        <v>0</v>
      </c>
      <c r="I69" s="36">
        <v>56</v>
      </c>
      <c r="J69" s="56">
        <v>0</v>
      </c>
      <c r="K69" s="62">
        <f>SUM(D69:J69)</f>
        <v>56</v>
      </c>
      <c r="L69" s="26">
        <v>0</v>
      </c>
      <c r="M69" s="26">
        <v>0</v>
      </c>
      <c r="N69" s="26">
        <f>L69+M69</f>
        <v>0</v>
      </c>
      <c r="O69" s="26"/>
      <c r="P69" s="22">
        <f>N69*K69</f>
        <v>0</v>
      </c>
      <c r="Q69" s="47"/>
    </row>
    <row r="71" spans="1:17" s="42" customFormat="1" x14ac:dyDescent="0.25">
      <c r="A71" s="166" t="s">
        <v>972</v>
      </c>
      <c r="B71" s="27" t="s">
        <v>973</v>
      </c>
      <c r="C71" s="28"/>
      <c r="D71" s="181"/>
      <c r="E71" s="28"/>
      <c r="F71" s="28"/>
      <c r="G71" s="28"/>
      <c r="H71" s="28"/>
      <c r="I71" s="28"/>
      <c r="J71" s="28"/>
      <c r="K71" s="60"/>
      <c r="L71" s="29"/>
      <c r="M71" s="29"/>
      <c r="N71" s="29"/>
      <c r="O71" s="29"/>
      <c r="P71" s="23"/>
      <c r="Q71" s="152"/>
    </row>
    <row r="72" spans="1:17" s="42" customFormat="1" ht="63.75" customHeight="1" x14ac:dyDescent="0.25">
      <c r="A72" s="167"/>
      <c r="B72" s="202" t="s">
        <v>974</v>
      </c>
      <c r="C72" s="31"/>
      <c r="D72" s="182"/>
      <c r="E72" s="31"/>
      <c r="F72" s="31"/>
      <c r="G72" s="31"/>
      <c r="H72" s="31"/>
      <c r="I72" s="31"/>
      <c r="J72" s="31"/>
      <c r="K72" s="58"/>
      <c r="L72" s="26"/>
      <c r="M72" s="26"/>
      <c r="N72" s="26"/>
      <c r="O72" s="26"/>
      <c r="P72" s="38"/>
      <c r="Q72" s="152"/>
    </row>
    <row r="73" spans="1:17" s="42" customFormat="1" ht="38.25" customHeight="1" x14ac:dyDescent="0.25">
      <c r="A73" s="167"/>
      <c r="B73" s="30" t="s">
        <v>975</v>
      </c>
      <c r="C73" s="31"/>
      <c r="D73" s="182"/>
      <c r="E73" s="31"/>
      <c r="F73" s="31"/>
      <c r="G73" s="31"/>
      <c r="H73" s="31"/>
      <c r="I73" s="31"/>
      <c r="J73" s="31"/>
      <c r="K73" s="58"/>
      <c r="L73" s="26"/>
      <c r="M73" s="26"/>
      <c r="N73" s="26"/>
      <c r="O73" s="26"/>
      <c r="P73" s="38"/>
      <c r="Q73" s="152"/>
    </row>
    <row r="74" spans="1:17" s="42" customFormat="1" ht="15.75" customHeight="1" thickBot="1" x14ac:dyDescent="0.3">
      <c r="A74" s="167"/>
      <c r="B74" s="30" t="s">
        <v>976</v>
      </c>
      <c r="C74" s="31"/>
      <c r="D74" s="182"/>
      <c r="E74" s="31"/>
      <c r="F74" s="31"/>
      <c r="G74" s="31"/>
      <c r="H74" s="31"/>
      <c r="I74" s="31"/>
      <c r="J74" s="31"/>
      <c r="K74" s="58"/>
      <c r="L74" s="26"/>
      <c r="M74" s="26"/>
      <c r="N74" s="26"/>
      <c r="O74" s="26"/>
      <c r="P74" s="38"/>
      <c r="Q74" s="152"/>
    </row>
    <row r="75" spans="1:17" s="42" customFormat="1" ht="15.75" customHeight="1" thickBot="1" x14ac:dyDescent="0.3">
      <c r="A75" s="166"/>
      <c r="B75" s="137" t="s">
        <v>937</v>
      </c>
      <c r="C75" s="135" t="s">
        <v>938</v>
      </c>
      <c r="D75" s="177">
        <f t="shared" ref="D75:I75" si="0">D$4*0</f>
        <v>0</v>
      </c>
      <c r="E75" s="36">
        <f t="shared" si="0"/>
        <v>0</v>
      </c>
      <c r="F75" s="36">
        <f t="shared" si="0"/>
        <v>0</v>
      </c>
      <c r="G75" s="36">
        <f t="shared" si="0"/>
        <v>0</v>
      </c>
      <c r="H75" s="36">
        <f t="shared" si="0"/>
        <v>0</v>
      </c>
      <c r="I75" s="36">
        <f t="shared" si="0"/>
        <v>0</v>
      </c>
      <c r="J75" s="56">
        <f>J$4*53.8</f>
        <v>53.8</v>
      </c>
      <c r="K75" s="62">
        <f>SUM(D75:J75)</f>
        <v>53.8</v>
      </c>
      <c r="L75" s="26">
        <v>0</v>
      </c>
      <c r="M75" s="26">
        <v>0</v>
      </c>
      <c r="N75" s="26">
        <f>L75+M75</f>
        <v>0</v>
      </c>
      <c r="O75" s="26"/>
      <c r="P75" s="22">
        <f>N75*K75</f>
        <v>0</v>
      </c>
      <c r="Q75" s="47"/>
    </row>
    <row r="76" spans="1:17" s="42" customFormat="1" x14ac:dyDescent="0.25">
      <c r="A76" s="157"/>
      <c r="B76" s="44"/>
      <c r="C76" s="44"/>
      <c r="D76" s="172"/>
      <c r="E76" s="44"/>
      <c r="F76" s="44"/>
      <c r="G76" s="44"/>
      <c r="H76" s="44"/>
      <c r="I76" s="44"/>
      <c r="J76" s="44"/>
      <c r="K76" s="118"/>
      <c r="L76" s="44"/>
      <c r="M76" s="44"/>
      <c r="N76" s="44"/>
      <c r="O76" s="44"/>
      <c r="P76" s="44"/>
      <c r="Q76" s="47"/>
    </row>
    <row r="77" spans="1:17" s="42" customFormat="1" x14ac:dyDescent="0.25">
      <c r="A77" s="166" t="s">
        <v>977</v>
      </c>
      <c r="B77" s="27" t="s">
        <v>978</v>
      </c>
      <c r="C77" s="28"/>
      <c r="D77" s="181"/>
      <c r="E77" s="28"/>
      <c r="F77" s="28"/>
      <c r="G77" s="28"/>
      <c r="H77" s="28"/>
      <c r="I77" s="28"/>
      <c r="J77" s="28"/>
      <c r="K77" s="60"/>
      <c r="L77" s="29"/>
      <c r="M77" s="29"/>
      <c r="N77" s="29"/>
      <c r="O77" s="29"/>
      <c r="P77" s="23"/>
      <c r="Q77" s="152"/>
    </row>
    <row r="78" spans="1:17" s="42" customFormat="1" ht="105.75" customHeight="1" x14ac:dyDescent="0.25">
      <c r="A78" s="167"/>
      <c r="B78" s="202" t="s">
        <v>979</v>
      </c>
      <c r="C78" s="31"/>
      <c r="D78" s="182"/>
      <c r="E78" s="31"/>
      <c r="F78" s="31"/>
      <c r="G78" s="31"/>
      <c r="H78" s="31"/>
      <c r="I78" s="31"/>
      <c r="J78" s="31"/>
      <c r="K78" s="58"/>
      <c r="L78" s="26"/>
      <c r="M78" s="26"/>
      <c r="N78" s="26"/>
      <c r="O78" s="26"/>
      <c r="P78" s="38"/>
      <c r="Q78" s="152"/>
    </row>
    <row r="79" spans="1:17" s="42" customFormat="1" ht="39" customHeight="1" thickBot="1" x14ac:dyDescent="0.3">
      <c r="A79" s="167"/>
      <c r="B79" s="30" t="s">
        <v>980</v>
      </c>
      <c r="C79" s="31"/>
      <c r="D79" s="182"/>
      <c r="E79" s="31"/>
      <c r="F79" s="31"/>
      <c r="G79" s="31"/>
      <c r="H79" s="31"/>
      <c r="I79" s="31"/>
      <c r="J79" s="31"/>
      <c r="K79" s="58"/>
      <c r="L79" s="26"/>
      <c r="M79" s="26"/>
      <c r="N79" s="26"/>
      <c r="O79" s="26"/>
      <c r="P79" s="38"/>
      <c r="Q79" s="152"/>
    </row>
    <row r="80" spans="1:17" s="42" customFormat="1" ht="15.75" customHeight="1" thickBot="1" x14ac:dyDescent="0.3">
      <c r="A80" s="166"/>
      <c r="B80" s="137" t="s">
        <v>937</v>
      </c>
      <c r="C80" s="135" t="s">
        <v>938</v>
      </c>
      <c r="D80" s="177">
        <f t="shared" ref="D80:I80" si="1">D$4*0</f>
        <v>0</v>
      </c>
      <c r="E80" s="36">
        <f t="shared" si="1"/>
        <v>0</v>
      </c>
      <c r="F80" s="36">
        <f t="shared" si="1"/>
        <v>0</v>
      </c>
      <c r="G80" s="36">
        <f t="shared" si="1"/>
        <v>0</v>
      </c>
      <c r="H80" s="36">
        <f t="shared" si="1"/>
        <v>0</v>
      </c>
      <c r="I80" s="36">
        <f t="shared" si="1"/>
        <v>0</v>
      </c>
      <c r="J80" s="54">
        <v>129.19999999999999</v>
      </c>
      <c r="K80" s="62">
        <f>SUM(D80:J80)</f>
        <v>129.19999999999999</v>
      </c>
      <c r="L80" s="26">
        <v>0</v>
      </c>
      <c r="M80" s="26">
        <v>0</v>
      </c>
      <c r="N80" s="26">
        <f>L80+M80</f>
        <v>0</v>
      </c>
      <c r="O80" s="26"/>
      <c r="P80" s="22">
        <f>N80*K80</f>
        <v>0</v>
      </c>
      <c r="Q80" s="44"/>
    </row>
    <row r="81" spans="1:17" s="42" customFormat="1" x14ac:dyDescent="0.25">
      <c r="A81" s="157"/>
      <c r="B81" s="44"/>
      <c r="C81" s="44"/>
      <c r="D81" s="172"/>
      <c r="E81" s="44"/>
      <c r="F81" s="44"/>
      <c r="G81" s="44"/>
      <c r="H81" s="44"/>
      <c r="I81" s="44"/>
      <c r="J81" s="44"/>
      <c r="K81" s="118"/>
      <c r="L81" s="44"/>
      <c r="M81" s="44"/>
      <c r="N81" s="44"/>
      <c r="O81" s="44"/>
      <c r="P81" s="44"/>
      <c r="Q81" s="47"/>
    </row>
    <row r="82" spans="1:17" s="42" customFormat="1" x14ac:dyDescent="0.25">
      <c r="A82" s="166" t="s">
        <v>981</v>
      </c>
      <c r="B82" s="27" t="s">
        <v>978</v>
      </c>
      <c r="C82" s="28"/>
      <c r="D82" s="181"/>
      <c r="E82" s="28"/>
      <c r="F82" s="28"/>
      <c r="G82" s="28"/>
      <c r="H82" s="28"/>
      <c r="I82" s="28"/>
      <c r="J82" s="28"/>
      <c r="K82" s="60"/>
      <c r="L82" s="29"/>
      <c r="M82" s="29"/>
      <c r="N82" s="29"/>
      <c r="O82" s="29"/>
      <c r="P82" s="23"/>
      <c r="Q82" s="152"/>
    </row>
    <row r="83" spans="1:17" s="42" customFormat="1" ht="102.75" customHeight="1" thickBot="1" x14ac:dyDescent="0.3">
      <c r="A83" s="169"/>
      <c r="B83" s="202" t="s">
        <v>982</v>
      </c>
      <c r="C83" s="31"/>
      <c r="D83" s="182"/>
      <c r="E83" s="31"/>
      <c r="F83" s="31"/>
      <c r="G83" s="31"/>
      <c r="H83" s="31"/>
      <c r="I83" s="31"/>
      <c r="J83" s="31"/>
      <c r="K83" s="58"/>
      <c r="L83" s="26"/>
      <c r="M83" s="26"/>
      <c r="N83" s="26"/>
      <c r="O83" s="26"/>
      <c r="P83" s="38"/>
      <c r="Q83" s="152"/>
    </row>
    <row r="84" spans="1:17" s="299" customFormat="1" ht="15.75" customHeight="1" thickBot="1" x14ac:dyDescent="0.3">
      <c r="A84" s="168"/>
      <c r="B84" s="137" t="s">
        <v>937</v>
      </c>
      <c r="C84" s="135" t="s">
        <v>938</v>
      </c>
      <c r="D84" s="177">
        <f t="shared" ref="D84:I84" si="2">D$4*0</f>
        <v>0</v>
      </c>
      <c r="E84" s="36">
        <f t="shared" si="2"/>
        <v>0</v>
      </c>
      <c r="F84" s="36">
        <f t="shared" si="2"/>
        <v>0</v>
      </c>
      <c r="G84" s="36">
        <f t="shared" si="2"/>
        <v>0</v>
      </c>
      <c r="H84" s="36">
        <f t="shared" si="2"/>
        <v>0</v>
      </c>
      <c r="I84" s="36">
        <f t="shared" si="2"/>
        <v>0</v>
      </c>
      <c r="J84" s="54">
        <v>129.19999999999999</v>
      </c>
      <c r="K84" s="62">
        <f>SUM(D84:J84)</f>
        <v>129.19999999999999</v>
      </c>
      <c r="L84" s="26">
        <v>0</v>
      </c>
      <c r="M84" s="26">
        <v>0</v>
      </c>
      <c r="N84" s="26">
        <f>L84+M84</f>
        <v>0</v>
      </c>
      <c r="O84" s="26"/>
      <c r="P84" s="22">
        <f>N84*K84</f>
        <v>0</v>
      </c>
      <c r="Q84" s="298"/>
    </row>
    <row r="85" spans="1:17" s="42" customFormat="1" x14ac:dyDescent="0.25">
      <c r="A85" s="157"/>
      <c r="B85" s="44"/>
      <c r="C85" s="44"/>
      <c r="D85" s="172"/>
      <c r="E85" s="44"/>
      <c r="F85" s="44"/>
      <c r="G85" s="44"/>
      <c r="H85" s="44"/>
      <c r="I85" s="44"/>
      <c r="J85" s="44"/>
      <c r="K85" s="118"/>
      <c r="L85" s="44"/>
      <c r="M85" s="44"/>
      <c r="N85" s="44"/>
      <c r="O85" s="44"/>
      <c r="P85" s="44"/>
      <c r="Q85" s="47"/>
    </row>
    <row r="86" spans="1:17" s="42" customFormat="1" x14ac:dyDescent="0.25">
      <c r="A86" s="166" t="s">
        <v>983</v>
      </c>
      <c r="B86" s="147" t="s">
        <v>984</v>
      </c>
      <c r="C86" s="28"/>
      <c r="D86" s="181"/>
      <c r="E86" s="28"/>
      <c r="F86" s="28"/>
      <c r="G86" s="28"/>
      <c r="H86" s="28"/>
      <c r="I86" s="28"/>
      <c r="J86" s="28"/>
      <c r="K86" s="60"/>
      <c r="L86" s="29"/>
      <c r="M86" s="29"/>
      <c r="N86" s="29"/>
      <c r="O86" s="29"/>
      <c r="P86" s="23"/>
      <c r="Q86" s="152"/>
    </row>
    <row r="87" spans="1:17" s="42" customFormat="1" ht="63.75" customHeight="1" x14ac:dyDescent="0.25">
      <c r="A87" s="167"/>
      <c r="B87" s="141" t="s">
        <v>1004</v>
      </c>
      <c r="C87" s="31"/>
      <c r="D87" s="182"/>
      <c r="E87" s="31"/>
      <c r="F87" s="31"/>
      <c r="G87" s="31"/>
      <c r="H87" s="31"/>
      <c r="I87" s="31"/>
      <c r="J87" s="31"/>
      <c r="K87" s="58"/>
      <c r="L87" s="26"/>
      <c r="M87" s="26"/>
      <c r="N87" s="26"/>
      <c r="O87" s="26"/>
      <c r="P87" s="38"/>
      <c r="Q87" s="152"/>
    </row>
    <row r="88" spans="1:17" s="42" customFormat="1" ht="38.25" customHeight="1" x14ac:dyDescent="0.25">
      <c r="A88" s="167"/>
      <c r="B88" s="141" t="s">
        <v>1005</v>
      </c>
      <c r="C88" s="31"/>
      <c r="D88" s="182"/>
      <c r="E88" s="31"/>
      <c r="F88" s="31"/>
      <c r="G88" s="31"/>
      <c r="H88" s="31"/>
      <c r="I88" s="31"/>
      <c r="J88" s="31"/>
      <c r="K88" s="58"/>
      <c r="L88" s="26"/>
      <c r="M88" s="26"/>
      <c r="N88" s="26"/>
      <c r="O88" s="26"/>
      <c r="P88" s="38"/>
      <c r="Q88" s="152"/>
    </row>
    <row r="89" spans="1:17" s="42" customFormat="1" ht="38.25" customHeight="1" x14ac:dyDescent="0.25">
      <c r="A89" s="167"/>
      <c r="B89" s="141" t="s">
        <v>987</v>
      </c>
      <c r="C89" s="31"/>
      <c r="D89" s="182"/>
      <c r="E89" s="31"/>
      <c r="F89" s="31"/>
      <c r="G89" s="31"/>
      <c r="H89" s="31"/>
      <c r="I89" s="31"/>
      <c r="J89" s="31"/>
      <c r="K89" s="58"/>
      <c r="L89" s="26"/>
      <c r="M89" s="26"/>
      <c r="N89" s="26"/>
      <c r="O89" s="26"/>
      <c r="P89" s="38"/>
      <c r="Q89" s="152"/>
    </row>
    <row r="90" spans="1:17" s="42" customFormat="1" ht="25.5" customHeight="1" x14ac:dyDescent="0.25">
      <c r="A90" s="167"/>
      <c r="B90" s="141" t="s">
        <v>988</v>
      </c>
      <c r="C90" s="31"/>
      <c r="D90" s="182"/>
      <c r="E90" s="31"/>
      <c r="F90" s="31"/>
      <c r="G90" s="31"/>
      <c r="H90" s="31"/>
      <c r="I90" s="31"/>
      <c r="J90" s="31"/>
      <c r="K90" s="58"/>
      <c r="L90" s="26"/>
      <c r="M90" s="26"/>
      <c r="N90" s="26"/>
      <c r="O90" s="26"/>
      <c r="P90" s="38"/>
      <c r="Q90" s="152"/>
    </row>
    <row r="91" spans="1:17" s="42" customFormat="1" ht="89.25" customHeight="1" x14ac:dyDescent="0.25">
      <c r="A91" s="167"/>
      <c r="B91" s="141" t="s">
        <v>989</v>
      </c>
      <c r="C91" s="31"/>
      <c r="D91" s="182"/>
      <c r="E91" s="31"/>
      <c r="F91" s="31"/>
      <c r="G91" s="31"/>
      <c r="H91" s="31"/>
      <c r="I91" s="31"/>
      <c r="J91" s="31"/>
      <c r="K91" s="58"/>
      <c r="L91" s="26"/>
      <c r="M91" s="26"/>
      <c r="N91" s="26"/>
      <c r="O91" s="26"/>
      <c r="P91" s="38"/>
      <c r="Q91" s="152"/>
    </row>
    <row r="92" spans="1:17" s="42" customFormat="1" ht="15.75" customHeight="1" thickBot="1" x14ac:dyDescent="0.3">
      <c r="A92" s="167"/>
      <c r="B92" s="30" t="s">
        <v>937</v>
      </c>
      <c r="C92" s="31"/>
      <c r="D92" s="182"/>
      <c r="E92" s="31"/>
      <c r="F92" s="31"/>
      <c r="G92" s="31"/>
      <c r="H92" s="31"/>
      <c r="I92" s="31"/>
      <c r="J92" s="31"/>
      <c r="K92" s="58"/>
      <c r="L92" s="26"/>
      <c r="M92" s="26"/>
      <c r="N92" s="26"/>
      <c r="O92" s="26"/>
      <c r="P92" s="38"/>
      <c r="Q92" s="152"/>
    </row>
    <row r="93" spans="1:17" s="200" customFormat="1" ht="15.75" customHeight="1" thickBot="1" x14ac:dyDescent="0.3">
      <c r="A93" s="282" t="s">
        <v>990</v>
      </c>
      <c r="B93" s="188" t="s">
        <v>991</v>
      </c>
      <c r="C93" s="189" t="s">
        <v>938</v>
      </c>
      <c r="D93" s="293">
        <v>18.399999999999999</v>
      </c>
      <c r="E93" s="191">
        <v>18.399999999999999</v>
      </c>
      <c r="F93" s="191">
        <v>88</v>
      </c>
      <c r="G93" s="191">
        <v>10</v>
      </c>
      <c r="H93" s="191">
        <v>21.2</v>
      </c>
      <c r="I93" s="191">
        <v>0</v>
      </c>
      <c r="J93" s="192">
        <v>0</v>
      </c>
      <c r="K93" s="193">
        <f>SUM(D93:J93)</f>
        <v>156</v>
      </c>
      <c r="L93" s="194">
        <v>0</v>
      </c>
      <c r="M93" s="194">
        <v>0</v>
      </c>
      <c r="N93" s="194">
        <f>L93+M93</f>
        <v>0</v>
      </c>
      <c r="O93" s="194"/>
      <c r="P93" s="195">
        <f>N93*K93</f>
        <v>0</v>
      </c>
      <c r="Q93" s="208"/>
    </row>
    <row r="94" spans="1:17" s="42" customFormat="1" x14ac:dyDescent="0.25">
      <c r="A94" s="157"/>
      <c r="B94" s="44"/>
      <c r="C94" s="44"/>
      <c r="D94" s="172"/>
      <c r="E94" s="44"/>
      <c r="F94" s="44"/>
      <c r="G94" s="44"/>
      <c r="H94" s="44"/>
      <c r="I94" s="44"/>
      <c r="J94" s="44"/>
      <c r="K94" s="118"/>
      <c r="L94" s="44"/>
      <c r="M94" s="44"/>
      <c r="N94" s="44"/>
      <c r="O94" s="44"/>
      <c r="P94" s="44"/>
      <c r="Q94" s="47"/>
    </row>
    <row r="95" spans="1:17" s="42" customFormat="1" x14ac:dyDescent="0.25">
      <c r="A95" s="166" t="s">
        <v>992</v>
      </c>
      <c r="B95" s="147" t="s">
        <v>984</v>
      </c>
      <c r="C95" s="28"/>
      <c r="D95" s="181"/>
      <c r="E95" s="28"/>
      <c r="F95" s="28"/>
      <c r="G95" s="28"/>
      <c r="H95" s="28"/>
      <c r="I95" s="28"/>
      <c r="J95" s="28"/>
      <c r="K95" s="60"/>
      <c r="L95" s="29"/>
      <c r="M95" s="29"/>
      <c r="N95" s="29"/>
      <c r="O95" s="29"/>
      <c r="P95" s="23"/>
      <c r="Q95" s="152"/>
    </row>
    <row r="96" spans="1:17" s="42" customFormat="1" ht="243.75" customHeight="1" x14ac:dyDescent="0.25">
      <c r="A96" s="167"/>
      <c r="B96" s="141" t="s">
        <v>993</v>
      </c>
      <c r="C96" s="31"/>
      <c r="D96" s="182"/>
      <c r="E96" s="31"/>
      <c r="F96" s="31"/>
      <c r="G96" s="31"/>
      <c r="H96" s="31"/>
      <c r="I96" s="31"/>
      <c r="J96" s="31"/>
      <c r="K96" s="58"/>
      <c r="L96" s="26"/>
      <c r="M96" s="26"/>
      <c r="N96" s="26"/>
      <c r="O96" s="26"/>
      <c r="P96" s="38"/>
      <c r="Q96" s="152"/>
    </row>
    <row r="97" spans="1:21" s="42" customFormat="1" ht="15.75" customHeight="1" thickBot="1" x14ac:dyDescent="0.3">
      <c r="A97" s="167"/>
      <c r="B97" s="30" t="s">
        <v>937</v>
      </c>
      <c r="C97" s="31"/>
      <c r="D97" s="182"/>
      <c r="E97" s="31"/>
      <c r="F97" s="31"/>
      <c r="G97" s="31"/>
      <c r="H97" s="31"/>
      <c r="I97" s="31"/>
      <c r="J97" s="31"/>
      <c r="K97" s="58"/>
      <c r="L97" s="26"/>
      <c r="M97" s="26"/>
      <c r="N97" s="26"/>
      <c r="O97" s="26"/>
      <c r="P97" s="38"/>
      <c r="Q97" s="152"/>
    </row>
    <row r="98" spans="1:21" s="42" customFormat="1" ht="15.75" customHeight="1" thickBot="1" x14ac:dyDescent="0.3">
      <c r="A98" s="166" t="s">
        <v>994</v>
      </c>
      <c r="B98" s="137" t="s">
        <v>995</v>
      </c>
      <c r="C98" s="135" t="s">
        <v>938</v>
      </c>
      <c r="D98" s="177">
        <v>16</v>
      </c>
      <c r="E98" s="36">
        <v>16</v>
      </c>
      <c r="F98" s="36">
        <v>55</v>
      </c>
      <c r="G98" s="36">
        <v>17.5</v>
      </c>
      <c r="H98" s="36">
        <v>27.5</v>
      </c>
      <c r="I98" s="36">
        <v>0</v>
      </c>
      <c r="J98" s="56">
        <v>0</v>
      </c>
      <c r="K98" s="62">
        <f>SUM(D98:J98)</f>
        <v>132</v>
      </c>
      <c r="L98" s="26">
        <v>0</v>
      </c>
      <c r="M98" s="26">
        <v>0</v>
      </c>
      <c r="N98" s="26">
        <f>L98+M98</f>
        <v>0</v>
      </c>
      <c r="O98" s="26"/>
      <c r="P98" s="22">
        <f>N98*K98</f>
        <v>0</v>
      </c>
      <c r="Q98" s="47"/>
    </row>
    <row r="99" spans="1:21" s="32" customFormat="1" ht="12.75" customHeight="1" x14ac:dyDescent="0.2">
      <c r="A99" s="159"/>
      <c r="B99" s="31"/>
      <c r="C99" s="25"/>
      <c r="D99" s="174"/>
      <c r="E99" s="25"/>
      <c r="F99" s="25"/>
      <c r="G99" s="25"/>
      <c r="H99" s="25"/>
      <c r="I99" s="25"/>
      <c r="J99" s="25"/>
      <c r="K99" s="58"/>
      <c r="L99" s="26"/>
      <c r="M99" s="26"/>
      <c r="N99" s="26"/>
      <c r="O99" s="26"/>
      <c r="P99" s="35"/>
      <c r="Q99" s="37"/>
    </row>
    <row r="100" spans="1:21" s="32" customFormat="1" ht="14.25" customHeight="1" x14ac:dyDescent="0.2">
      <c r="A100" s="289" t="s">
        <v>996</v>
      </c>
      <c r="B100" s="226" t="s">
        <v>997</v>
      </c>
      <c r="C100" s="28"/>
      <c r="D100" s="181"/>
      <c r="E100" s="28"/>
      <c r="F100" s="28"/>
      <c r="G100" s="28"/>
      <c r="H100" s="28"/>
      <c r="I100" s="28"/>
      <c r="J100" s="28"/>
      <c r="K100" s="60"/>
      <c r="L100" s="29"/>
      <c r="M100" s="29"/>
      <c r="N100" s="29"/>
      <c r="O100" s="29"/>
      <c r="P100" s="23"/>
      <c r="Q100" s="37"/>
    </row>
    <row r="101" spans="1:21" s="32" customFormat="1" ht="102" customHeight="1" x14ac:dyDescent="0.2">
      <c r="A101" s="167"/>
      <c r="B101" s="281" t="s">
        <v>998</v>
      </c>
      <c r="C101" s="31"/>
      <c r="D101" s="182"/>
      <c r="E101" s="31"/>
      <c r="F101" s="31"/>
      <c r="G101" s="31"/>
      <c r="H101" s="31"/>
      <c r="I101" s="31"/>
      <c r="J101" s="31"/>
      <c r="K101" s="58"/>
      <c r="L101" s="26"/>
      <c r="M101" s="26"/>
      <c r="N101" s="26"/>
      <c r="O101" s="26"/>
      <c r="P101" s="38"/>
      <c r="Q101" s="37"/>
    </row>
    <row r="102" spans="1:21" s="32" customFormat="1" thickBot="1" x14ac:dyDescent="0.25">
      <c r="A102" s="167"/>
      <c r="B102" s="204" t="s">
        <v>999</v>
      </c>
      <c r="C102" s="31"/>
      <c r="D102" s="182"/>
      <c r="E102" s="31"/>
      <c r="F102" s="31"/>
      <c r="G102" s="31"/>
      <c r="H102" s="31"/>
      <c r="I102" s="31"/>
      <c r="J102" s="31"/>
      <c r="K102" s="58"/>
      <c r="L102" s="26"/>
      <c r="M102" s="26"/>
      <c r="N102" s="26"/>
      <c r="O102" s="26"/>
      <c r="P102" s="38"/>
      <c r="Q102" s="37"/>
    </row>
    <row r="103" spans="1:21" s="300" customFormat="1" thickBot="1" x14ac:dyDescent="0.25">
      <c r="A103" s="289" t="s">
        <v>996</v>
      </c>
      <c r="B103" s="232" t="s">
        <v>1000</v>
      </c>
      <c r="C103" s="233" t="s">
        <v>1001</v>
      </c>
      <c r="D103" s="297">
        <f t="shared" ref="D103:I103" si="3">D$4*0</f>
        <v>0</v>
      </c>
      <c r="E103" s="235">
        <f t="shared" si="3"/>
        <v>0</v>
      </c>
      <c r="F103" s="235">
        <f t="shared" si="3"/>
        <v>0</v>
      </c>
      <c r="G103" s="235">
        <f t="shared" si="3"/>
        <v>0</v>
      </c>
      <c r="H103" s="235">
        <f t="shared" si="3"/>
        <v>0</v>
      </c>
      <c r="I103" s="235">
        <f t="shared" si="3"/>
        <v>0</v>
      </c>
      <c r="J103" s="236">
        <f>J$4*16</f>
        <v>16</v>
      </c>
      <c r="K103" s="237">
        <f>SUM(D103:J103)</f>
        <v>16</v>
      </c>
      <c r="L103" s="206">
        <v>0</v>
      </c>
      <c r="M103" s="206">
        <v>0</v>
      </c>
      <c r="N103" s="206">
        <f>L103+M103</f>
        <v>0</v>
      </c>
      <c r="O103" s="206"/>
      <c r="P103" s="238">
        <f>N103*K103</f>
        <v>0</v>
      </c>
      <c r="Q103" s="204"/>
    </row>
    <row r="105" spans="1:21" s="132" customFormat="1" ht="15.75" customHeight="1" x14ac:dyDescent="0.25">
      <c r="A105" s="160" t="s">
        <v>972</v>
      </c>
      <c r="B105" s="130" t="s">
        <v>1002</v>
      </c>
      <c r="C105" s="49"/>
      <c r="D105" s="49"/>
      <c r="E105" s="49"/>
      <c r="F105" s="49"/>
      <c r="G105" s="49"/>
      <c r="H105" s="49"/>
      <c r="I105" s="49"/>
      <c r="J105" s="49"/>
      <c r="K105" s="49"/>
      <c r="L105" s="49"/>
      <c r="M105" s="49"/>
      <c r="N105" s="49"/>
      <c r="O105" s="131"/>
      <c r="P105" s="49"/>
      <c r="Q105" s="49"/>
      <c r="R105" s="435" t="s">
        <v>946</v>
      </c>
      <c r="S105" s="388"/>
      <c r="T105" s="50">
        <f>SUM(P66:P103)</f>
        <v>0</v>
      </c>
      <c r="U105" s="151"/>
    </row>
    <row r="107" spans="1:21" s="132" customFormat="1" ht="15.75" customHeight="1" x14ac:dyDescent="0.25">
      <c r="A107" s="160" t="s">
        <v>972</v>
      </c>
      <c r="B107" s="130" t="s">
        <v>1006</v>
      </c>
      <c r="C107" s="49"/>
      <c r="D107" s="49"/>
      <c r="E107" s="49"/>
      <c r="F107" s="49"/>
      <c r="G107" s="49"/>
      <c r="H107" s="49"/>
      <c r="I107" s="49"/>
      <c r="J107" s="49"/>
      <c r="K107" s="49"/>
      <c r="L107" s="49"/>
      <c r="M107" s="49"/>
      <c r="N107" s="49"/>
      <c r="O107" s="131"/>
      <c r="P107" s="49"/>
      <c r="Q107" s="49"/>
      <c r="R107" s="435" t="s">
        <v>946</v>
      </c>
      <c r="S107" s="388"/>
      <c r="T107" s="50">
        <f>T105*6</f>
        <v>0</v>
      </c>
      <c r="U107" s="151"/>
    </row>
    <row r="109" spans="1:21" s="132" customFormat="1" ht="15.75" customHeight="1" x14ac:dyDescent="0.25">
      <c r="A109" s="160"/>
      <c r="B109" s="130" t="s">
        <v>963</v>
      </c>
      <c r="C109" s="49"/>
      <c r="D109" s="49"/>
      <c r="E109" s="49"/>
      <c r="F109" s="49"/>
      <c r="G109" s="49"/>
      <c r="H109" s="49"/>
      <c r="I109" s="49"/>
      <c r="J109" s="49"/>
      <c r="K109" s="49"/>
      <c r="L109" s="49"/>
      <c r="M109" s="49"/>
      <c r="N109" s="49"/>
      <c r="O109" s="131"/>
      <c r="P109" s="49"/>
      <c r="Q109" s="49"/>
      <c r="R109" s="435"/>
      <c r="S109" s="388"/>
      <c r="T109" s="50">
        <f>SUM(T107,T59)</f>
        <v>0</v>
      </c>
      <c r="U109" s="151"/>
    </row>
  </sheetData>
  <mergeCells count="11">
    <mergeCell ref="R109:S109"/>
    <mergeCell ref="B2:R3"/>
    <mergeCell ref="R57:S57"/>
    <mergeCell ref="D63:J63"/>
    <mergeCell ref="R59:S59"/>
    <mergeCell ref="R107:S107"/>
    <mergeCell ref="D62:J62"/>
    <mergeCell ref="B5:T5"/>
    <mergeCell ref="D8:N8"/>
    <mergeCell ref="R105:S105"/>
    <mergeCell ref="D7:N7"/>
  </mergeCells>
  <conditionalFormatting sqref="P99">
    <cfRule type="cellIs" dxfId="102" priority="2" stopIfTrue="1" operator="greaterThan">
      <formula>0</formula>
    </cfRule>
  </conditionalFormatting>
  <conditionalFormatting sqref="T11">
    <cfRule type="cellIs" dxfId="101" priority="8" stopIfTrue="1" operator="greaterThan">
      <formula>0</formula>
    </cfRule>
  </conditionalFormatting>
  <conditionalFormatting sqref="T50 T53 T55">
    <cfRule type="cellIs" dxfId="100" priority="1" stopIfTrue="1" operator="greaterThan">
      <formula>0</formula>
    </cfRule>
  </conditionalFormatting>
  <conditionalFormatting sqref="T57">
    <cfRule type="cellIs" dxfId="99" priority="7" stopIfTrue="1" operator="greaterThan">
      <formula>0</formula>
    </cfRule>
  </conditionalFormatting>
  <conditionalFormatting sqref="T59">
    <cfRule type="cellIs" dxfId="98" priority="6" stopIfTrue="1" operator="greaterThan">
      <formula>0</formula>
    </cfRule>
  </conditionalFormatting>
  <conditionalFormatting sqref="T105">
    <cfRule type="cellIs" dxfId="97" priority="5" stopIfTrue="1" operator="greaterThan">
      <formula>0</formula>
    </cfRule>
  </conditionalFormatting>
  <conditionalFormatting sqref="T107">
    <cfRule type="cellIs" dxfId="96" priority="4" stopIfTrue="1" operator="greaterThan">
      <formula>0</formula>
    </cfRule>
  </conditionalFormatting>
  <conditionalFormatting sqref="T109">
    <cfRule type="cellIs" dxfId="95" priority="3" stopIfTrue="1" operator="greaterThan">
      <formula>0</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U166"/>
  <sheetViews>
    <sheetView topLeftCell="A70" zoomScale="115" zoomScaleNormal="115" workbookViewId="0"/>
  </sheetViews>
  <sheetFormatPr defaultRowHeight="15" x14ac:dyDescent="0.25"/>
  <cols>
    <col min="2" max="2" width="44.5703125" customWidth="1"/>
    <col min="20" max="20" width="11.28515625" bestFit="1" customWidth="1"/>
  </cols>
  <sheetData>
    <row r="1" spans="1:21" s="42" customFormat="1" x14ac:dyDescent="0.25">
      <c r="A1" s="157"/>
      <c r="B1" s="112" t="s">
        <v>906</v>
      </c>
      <c r="C1" s="44"/>
      <c r="D1" s="53"/>
      <c r="E1" s="53"/>
      <c r="F1" s="53"/>
      <c r="G1" s="53"/>
      <c r="H1" s="53"/>
      <c r="I1" s="53"/>
      <c r="J1" s="53"/>
      <c r="K1" s="53"/>
      <c r="L1" s="53"/>
      <c r="M1" s="53"/>
      <c r="N1" s="53"/>
      <c r="O1" s="113"/>
      <c r="P1" s="44"/>
      <c r="Q1" s="44"/>
      <c r="R1" s="44"/>
      <c r="S1" s="44"/>
      <c r="T1" s="44"/>
      <c r="U1" s="47"/>
    </row>
    <row r="2" spans="1:21" s="42" customFormat="1" x14ac:dyDescent="0.25">
      <c r="A2" s="157"/>
      <c r="B2" s="436" t="s">
        <v>907</v>
      </c>
      <c r="C2" s="437"/>
      <c r="D2" s="437"/>
      <c r="E2" s="437"/>
      <c r="F2" s="437"/>
      <c r="G2" s="437"/>
      <c r="H2" s="437"/>
      <c r="I2" s="437"/>
      <c r="J2" s="437"/>
      <c r="K2" s="437"/>
      <c r="L2" s="437"/>
      <c r="M2" s="437"/>
      <c r="N2" s="437"/>
      <c r="O2" s="437"/>
      <c r="P2" s="437"/>
      <c r="Q2" s="437"/>
      <c r="R2" s="438"/>
      <c r="S2" s="7" t="s">
        <v>25</v>
      </c>
      <c r="T2" s="133">
        <v>0</v>
      </c>
      <c r="U2" s="47"/>
    </row>
    <row r="3" spans="1:21" s="42" customFormat="1" x14ac:dyDescent="0.25">
      <c r="A3" s="157"/>
      <c r="B3" s="439"/>
      <c r="C3" s="393"/>
      <c r="D3" s="393"/>
      <c r="E3" s="393"/>
      <c r="F3" s="393"/>
      <c r="G3" s="393"/>
      <c r="H3" s="393"/>
      <c r="I3" s="393"/>
      <c r="J3" s="393"/>
      <c r="K3" s="393"/>
      <c r="L3" s="393"/>
      <c r="M3" s="393"/>
      <c r="N3" s="393"/>
      <c r="O3" s="393"/>
      <c r="P3" s="393"/>
      <c r="Q3" s="393"/>
      <c r="R3" s="394"/>
      <c r="S3" s="7" t="s">
        <v>27</v>
      </c>
      <c r="T3" s="134" t="s">
        <v>22</v>
      </c>
      <c r="U3" s="47"/>
    </row>
    <row r="4" spans="1:21" s="42" customFormat="1" x14ac:dyDescent="0.25">
      <c r="A4" s="157"/>
      <c r="B4" s="114" t="s">
        <v>908</v>
      </c>
      <c r="C4" s="114" t="s">
        <v>909</v>
      </c>
      <c r="D4" s="115">
        <f>1*N4</f>
        <v>1</v>
      </c>
      <c r="E4" s="115">
        <f>1*N4</f>
        <v>1</v>
      </c>
      <c r="F4" s="115">
        <f>1*N4</f>
        <v>1</v>
      </c>
      <c r="G4" s="115">
        <f>1*N4</f>
        <v>1</v>
      </c>
      <c r="H4" s="115">
        <f>4*$N4</f>
        <v>4</v>
      </c>
      <c r="I4" s="115">
        <f>1*N4</f>
        <v>1</v>
      </c>
      <c r="J4" s="115">
        <f>1*N4</f>
        <v>1</v>
      </c>
      <c r="K4" s="115">
        <f>2*$N4</f>
        <v>2</v>
      </c>
      <c r="L4" s="115">
        <f>1*N4</f>
        <v>1</v>
      </c>
      <c r="M4" s="45">
        <v>1</v>
      </c>
      <c r="N4" s="57">
        <v>1</v>
      </c>
      <c r="O4" s="116">
        <v>13</v>
      </c>
      <c r="P4" s="114"/>
      <c r="Q4" s="114"/>
      <c r="R4" s="114"/>
      <c r="S4" s="44"/>
      <c r="T4" s="44"/>
      <c r="U4" s="47"/>
    </row>
    <row r="5" spans="1:21" s="117" customFormat="1" ht="15.75" customHeight="1" x14ac:dyDescent="0.25">
      <c r="A5" s="158" t="s">
        <v>910</v>
      </c>
      <c r="B5" s="434" t="s">
        <v>911</v>
      </c>
      <c r="C5" s="387"/>
      <c r="D5" s="387"/>
      <c r="E5" s="387"/>
      <c r="F5" s="387"/>
      <c r="G5" s="387"/>
      <c r="H5" s="387"/>
      <c r="I5" s="387"/>
      <c r="J5" s="387"/>
      <c r="K5" s="387"/>
      <c r="L5" s="387"/>
      <c r="M5" s="387"/>
      <c r="N5" s="387"/>
      <c r="O5" s="387"/>
      <c r="P5" s="387"/>
      <c r="Q5" s="387"/>
      <c r="R5" s="387"/>
      <c r="S5" s="387"/>
      <c r="T5" s="388"/>
      <c r="U5" s="149"/>
    </row>
    <row r="6" spans="1:21" s="42" customFormat="1" ht="15.75" customHeight="1" thickBot="1" x14ac:dyDescent="0.3">
      <c r="A6" s="157"/>
      <c r="B6" s="44"/>
      <c r="C6" s="44"/>
      <c r="D6" s="44"/>
      <c r="E6" s="44"/>
      <c r="F6" s="44"/>
      <c r="G6" s="44"/>
      <c r="H6" s="44"/>
      <c r="I6" s="44"/>
      <c r="J6" s="44"/>
      <c r="K6" s="44"/>
      <c r="L6" s="44"/>
      <c r="M6" s="44"/>
      <c r="N6" s="44"/>
      <c r="O6" s="118"/>
      <c r="P6" s="44"/>
      <c r="Q6" s="44"/>
      <c r="R6" s="44"/>
      <c r="S6" s="44"/>
      <c r="T6" s="44"/>
      <c r="U6" s="47"/>
    </row>
    <row r="7" spans="1:21" s="42" customFormat="1" ht="51.75" customHeight="1" thickBot="1" x14ac:dyDescent="0.3">
      <c r="A7" s="119" t="s">
        <v>912</v>
      </c>
      <c r="B7" s="119" t="s">
        <v>913</v>
      </c>
      <c r="C7" s="120" t="s">
        <v>914</v>
      </c>
      <c r="D7" s="430"/>
      <c r="E7" s="431"/>
      <c r="F7" s="431"/>
      <c r="G7" s="431"/>
      <c r="H7" s="431"/>
      <c r="I7" s="431"/>
      <c r="J7" s="431"/>
      <c r="K7" s="431"/>
      <c r="L7" s="431"/>
      <c r="M7" s="431"/>
      <c r="N7" s="431"/>
      <c r="O7" s="121" t="s">
        <v>915</v>
      </c>
      <c r="P7" s="170" t="s">
        <v>916</v>
      </c>
      <c r="Q7" s="171" t="s">
        <v>917</v>
      </c>
      <c r="R7" s="121" t="s">
        <v>918</v>
      </c>
      <c r="S7" s="121"/>
      <c r="T7" s="119" t="s">
        <v>919</v>
      </c>
      <c r="U7" s="47"/>
    </row>
    <row r="8" spans="1:21" s="42" customFormat="1" ht="15.75" customHeight="1" thickBot="1" x14ac:dyDescent="0.3">
      <c r="A8" s="123"/>
      <c r="B8" s="123"/>
      <c r="C8" s="124"/>
      <c r="D8" s="432" t="s">
        <v>920</v>
      </c>
      <c r="E8" s="431"/>
      <c r="F8" s="431"/>
      <c r="G8" s="431"/>
      <c r="H8" s="431"/>
      <c r="I8" s="431"/>
      <c r="J8" s="431"/>
      <c r="K8" s="431"/>
      <c r="L8" s="431"/>
      <c r="M8" s="431"/>
      <c r="N8" s="433"/>
      <c r="O8" s="125"/>
      <c r="P8" s="124"/>
      <c r="Q8" s="124"/>
      <c r="R8" s="124"/>
      <c r="S8" s="124"/>
      <c r="T8" s="123"/>
      <c r="U8" s="47"/>
    </row>
    <row r="9" spans="1:21" s="42" customFormat="1" ht="60" customHeight="1" x14ac:dyDescent="0.25">
      <c r="A9" s="123"/>
      <c r="B9" s="123"/>
      <c r="C9" s="124"/>
      <c r="D9" s="127" t="s">
        <v>921</v>
      </c>
      <c r="E9" s="127" t="s">
        <v>922</v>
      </c>
      <c r="F9" s="46" t="s">
        <v>923</v>
      </c>
      <c r="G9" s="46" t="s">
        <v>924</v>
      </c>
      <c r="H9" s="46" t="s">
        <v>925</v>
      </c>
      <c r="I9" s="46" t="s">
        <v>926</v>
      </c>
      <c r="J9" s="46" t="s">
        <v>927</v>
      </c>
      <c r="K9" s="46" t="s">
        <v>928</v>
      </c>
      <c r="L9" s="46" t="s">
        <v>929</v>
      </c>
      <c r="M9" s="154" t="s">
        <v>930</v>
      </c>
      <c r="N9" s="126" t="s">
        <v>931</v>
      </c>
      <c r="O9" s="125"/>
      <c r="P9" s="124"/>
      <c r="Q9" s="124"/>
      <c r="R9" s="124"/>
      <c r="S9" s="124"/>
      <c r="T9" s="123"/>
      <c r="U9" s="47"/>
    </row>
    <row r="10" spans="1:21" s="32" customFormat="1" ht="12.75" customHeight="1" x14ac:dyDescent="0.2">
      <c r="A10" s="159"/>
      <c r="B10" s="30"/>
      <c r="C10" s="25"/>
      <c r="D10" s="25"/>
      <c r="E10" s="25"/>
      <c r="F10" s="25"/>
      <c r="G10" s="25"/>
      <c r="H10" s="25"/>
      <c r="I10" s="25"/>
      <c r="J10" s="25"/>
      <c r="K10" s="25"/>
      <c r="L10" s="25"/>
      <c r="M10" s="25"/>
      <c r="N10" s="25"/>
      <c r="O10" s="58"/>
      <c r="P10" s="26"/>
      <c r="Q10" s="26"/>
      <c r="R10" s="26"/>
      <c r="S10" s="26"/>
      <c r="T10" s="22"/>
      <c r="U10" s="37"/>
    </row>
    <row r="11" spans="1:21" s="32" customFormat="1" ht="12.75" customHeight="1" x14ac:dyDescent="0.2">
      <c r="A11" s="159"/>
      <c r="B11" s="31"/>
      <c r="C11" s="25"/>
      <c r="D11" s="25"/>
      <c r="E11" s="25"/>
      <c r="F11" s="25"/>
      <c r="G11" s="25"/>
      <c r="H11" s="25"/>
      <c r="I11" s="25"/>
      <c r="J11" s="25"/>
      <c r="K11" s="25"/>
      <c r="L11" s="25"/>
      <c r="M11" s="25"/>
      <c r="N11" s="25"/>
      <c r="O11" s="58"/>
      <c r="P11" s="26"/>
      <c r="Q11" s="26"/>
      <c r="R11" s="26"/>
      <c r="S11" s="26"/>
      <c r="T11" s="35"/>
      <c r="U11" s="37"/>
    </row>
    <row r="12" spans="1:21" s="117" customFormat="1" ht="15.75" customHeight="1" x14ac:dyDescent="0.25">
      <c r="A12" s="160" t="s">
        <v>932</v>
      </c>
      <c r="B12" s="39" t="s">
        <v>933</v>
      </c>
      <c r="C12" s="40"/>
      <c r="D12" s="40"/>
      <c r="E12" s="40"/>
      <c r="F12" s="40"/>
      <c r="G12" s="40"/>
      <c r="H12" s="40"/>
      <c r="I12" s="40"/>
      <c r="J12" s="40"/>
      <c r="K12" s="40"/>
      <c r="L12" s="40"/>
      <c r="M12" s="40"/>
      <c r="N12" s="40"/>
      <c r="O12" s="59"/>
      <c r="P12" s="40"/>
      <c r="Q12" s="40"/>
      <c r="R12" s="40"/>
      <c r="S12" s="40"/>
      <c r="T12" s="41"/>
      <c r="U12" s="149"/>
    </row>
    <row r="14" spans="1:21" s="117" customFormat="1" ht="15.75" customHeight="1" x14ac:dyDescent="0.25">
      <c r="A14" s="158" t="s">
        <v>1007</v>
      </c>
      <c r="B14" s="39" t="s">
        <v>1008</v>
      </c>
      <c r="C14" s="40"/>
      <c r="D14" s="40"/>
      <c r="E14" s="40"/>
      <c r="F14" s="40"/>
      <c r="G14" s="40"/>
      <c r="H14" s="40"/>
      <c r="I14" s="40"/>
      <c r="J14" s="40"/>
      <c r="K14" s="40"/>
      <c r="L14" s="40"/>
      <c r="M14" s="40"/>
      <c r="N14" s="40"/>
      <c r="O14" s="59"/>
      <c r="P14" s="40"/>
      <c r="Q14" s="40"/>
      <c r="R14" s="40"/>
      <c r="S14" s="40"/>
      <c r="T14" s="41"/>
      <c r="U14" s="149"/>
    </row>
    <row r="15" spans="1:21" s="42" customFormat="1" x14ac:dyDescent="0.25">
      <c r="A15" s="157"/>
      <c r="B15" s="44"/>
      <c r="C15" s="44"/>
      <c r="D15" s="44"/>
      <c r="E15" s="44"/>
      <c r="F15" s="44"/>
      <c r="G15" s="44"/>
      <c r="H15" s="44"/>
      <c r="I15" s="44"/>
      <c r="J15" s="44"/>
      <c r="K15" s="44"/>
      <c r="L15" s="44"/>
      <c r="M15" s="44"/>
      <c r="N15" s="44"/>
      <c r="O15" s="118"/>
      <c r="P15" s="44"/>
      <c r="Q15" s="44"/>
      <c r="R15" s="44"/>
      <c r="S15" s="44"/>
      <c r="T15" s="44"/>
      <c r="U15" s="47"/>
    </row>
    <row r="16" spans="1:21" s="42" customFormat="1" x14ac:dyDescent="0.25">
      <c r="A16" s="166" t="s">
        <v>1009</v>
      </c>
      <c r="B16" s="147" t="s">
        <v>1010</v>
      </c>
      <c r="C16" s="28"/>
      <c r="D16" s="28"/>
      <c r="E16" s="28"/>
      <c r="F16" s="28"/>
      <c r="G16" s="28"/>
      <c r="H16" s="28"/>
      <c r="I16" s="28"/>
      <c r="J16" s="28"/>
      <c r="K16" s="28"/>
      <c r="L16" s="28"/>
      <c r="M16" s="28"/>
      <c r="N16" s="28"/>
      <c r="O16" s="60"/>
      <c r="P16" s="29"/>
      <c r="Q16" s="29"/>
      <c r="R16" s="29"/>
      <c r="S16" s="29"/>
      <c r="T16" s="23"/>
      <c r="U16" s="152"/>
    </row>
    <row r="17" spans="1:21" s="42" customFormat="1" ht="54" customHeight="1" x14ac:dyDescent="0.25">
      <c r="A17" s="167"/>
      <c r="B17" s="141" t="s">
        <v>1011</v>
      </c>
      <c r="C17" s="31"/>
      <c r="D17" s="31"/>
      <c r="E17" s="31"/>
      <c r="F17" s="31"/>
      <c r="G17" s="31"/>
      <c r="H17" s="31"/>
      <c r="I17" s="31"/>
      <c r="J17" s="31"/>
      <c r="K17" s="31"/>
      <c r="L17" s="31"/>
      <c r="M17" s="31"/>
      <c r="N17" s="31"/>
      <c r="O17" s="58"/>
      <c r="P17" s="26"/>
      <c r="Q17" s="26"/>
      <c r="R17" s="26"/>
      <c r="S17" s="26"/>
      <c r="T17" s="38"/>
      <c r="U17" s="152"/>
    </row>
    <row r="18" spans="1:21" s="42" customFormat="1" ht="27.75" customHeight="1" thickBot="1" x14ac:dyDescent="0.3">
      <c r="A18" s="167"/>
      <c r="B18" s="141" t="s">
        <v>1012</v>
      </c>
      <c r="C18" s="31"/>
      <c r="D18" s="31"/>
      <c r="E18" s="31"/>
      <c r="F18" s="31"/>
      <c r="G18" s="31"/>
      <c r="H18" s="31"/>
      <c r="I18" s="31"/>
      <c r="J18" s="31"/>
      <c r="K18" s="31"/>
      <c r="L18" s="31"/>
      <c r="M18" s="31"/>
      <c r="N18" s="31"/>
      <c r="O18" s="58"/>
      <c r="P18" s="26"/>
      <c r="Q18" s="26"/>
      <c r="R18" s="26"/>
      <c r="S18" s="26"/>
      <c r="T18" s="38"/>
      <c r="U18" s="152"/>
    </row>
    <row r="19" spans="1:21" s="219" customFormat="1" ht="15.75" customHeight="1" thickBot="1" x14ac:dyDescent="0.3">
      <c r="A19" s="209"/>
      <c r="B19" s="210" t="s">
        <v>1013</v>
      </c>
      <c r="C19" s="211" t="s">
        <v>938</v>
      </c>
      <c r="D19" s="212">
        <f>D$4*42.9</f>
        <v>42.9</v>
      </c>
      <c r="E19" s="212">
        <f>E$4*42.9</f>
        <v>42.9</v>
      </c>
      <c r="F19" s="213">
        <f>F$4*44.6</f>
        <v>44.6</v>
      </c>
      <c r="G19" s="213">
        <f>G$4*44.6</f>
        <v>44.6</v>
      </c>
      <c r="H19" s="213">
        <f>H$4*51.3</f>
        <v>205.2</v>
      </c>
      <c r="I19" s="213">
        <f>I$4*48.2</f>
        <v>48.2</v>
      </c>
      <c r="J19" s="213">
        <f>J$4*48.2</f>
        <v>48.2</v>
      </c>
      <c r="K19" s="213">
        <f>K$4*36.3</f>
        <v>72.599999999999994</v>
      </c>
      <c r="L19" s="213">
        <f>L$4*107</f>
        <v>107</v>
      </c>
      <c r="M19" s="213">
        <f>M$4*61</f>
        <v>61</v>
      </c>
      <c r="N19" s="214">
        <f>N$4*0</f>
        <v>0</v>
      </c>
      <c r="O19" s="215">
        <f>SUM(D19:N19)</f>
        <v>717.19999999999993</v>
      </c>
      <c r="P19" s="216">
        <v>0</v>
      </c>
      <c r="Q19" s="216">
        <v>0</v>
      </c>
      <c r="R19" s="216">
        <f>P19+Q19</f>
        <v>0</v>
      </c>
      <c r="S19" s="216"/>
      <c r="T19" s="217">
        <f>R19*O19</f>
        <v>0</v>
      </c>
      <c r="U19" s="218"/>
    </row>
    <row r="20" spans="1:21" s="42" customFormat="1" x14ac:dyDescent="0.25">
      <c r="A20" s="157"/>
      <c r="B20" s="44"/>
      <c r="C20" s="44"/>
      <c r="D20" s="44"/>
      <c r="E20" s="44"/>
      <c r="F20" s="44"/>
      <c r="G20" s="44"/>
      <c r="H20" s="44"/>
      <c r="I20" s="44"/>
      <c r="J20" s="44"/>
      <c r="K20" s="44"/>
      <c r="L20" s="44"/>
      <c r="M20" s="44"/>
      <c r="N20" s="44"/>
      <c r="O20" s="118"/>
      <c r="P20" s="44"/>
      <c r="Q20" s="44"/>
      <c r="R20" s="44"/>
      <c r="S20" s="44"/>
      <c r="T20" s="44"/>
      <c r="U20" s="47"/>
    </row>
    <row r="21" spans="1:21" s="42" customFormat="1" x14ac:dyDescent="0.25">
      <c r="A21" s="166" t="s">
        <v>1014</v>
      </c>
      <c r="B21" s="147" t="s">
        <v>1015</v>
      </c>
      <c r="C21" s="28"/>
      <c r="D21" s="28"/>
      <c r="E21" s="28"/>
      <c r="F21" s="28"/>
      <c r="G21" s="28"/>
      <c r="H21" s="28"/>
      <c r="I21" s="28"/>
      <c r="J21" s="28"/>
      <c r="K21" s="28"/>
      <c r="L21" s="28"/>
      <c r="M21" s="28"/>
      <c r="N21" s="28"/>
      <c r="O21" s="60"/>
      <c r="P21" s="29"/>
      <c r="Q21" s="29"/>
      <c r="R21" s="29"/>
      <c r="S21" s="29"/>
      <c r="T21" s="23"/>
      <c r="U21" s="152"/>
    </row>
    <row r="22" spans="1:21" s="42" customFormat="1" ht="76.5" customHeight="1" x14ac:dyDescent="0.25">
      <c r="A22" s="167"/>
      <c r="B22" s="141" t="s">
        <v>1016</v>
      </c>
      <c r="C22" s="31"/>
      <c r="D22" s="31"/>
      <c r="E22" s="31"/>
      <c r="F22" s="31"/>
      <c r="G22" s="31"/>
      <c r="H22" s="31"/>
      <c r="I22" s="31"/>
      <c r="J22" s="31"/>
      <c r="K22" s="31"/>
      <c r="L22" s="31"/>
      <c r="M22" s="31"/>
      <c r="N22" s="31"/>
      <c r="O22" s="58"/>
      <c r="P22" s="26"/>
      <c r="Q22" s="26"/>
      <c r="R22" s="26"/>
      <c r="S22" s="26"/>
      <c r="T22" s="38"/>
      <c r="U22" s="152"/>
    </row>
    <row r="23" spans="1:21" s="42" customFormat="1" ht="27.75" customHeight="1" thickBot="1" x14ac:dyDescent="0.3">
      <c r="A23" s="167"/>
      <c r="B23" s="141" t="s">
        <v>1012</v>
      </c>
      <c r="C23" s="31"/>
      <c r="D23" s="31"/>
      <c r="E23" s="31"/>
      <c r="F23" s="31"/>
      <c r="G23" s="31"/>
      <c r="H23" s="31"/>
      <c r="I23" s="31"/>
      <c r="J23" s="31"/>
      <c r="K23" s="31"/>
      <c r="L23" s="31"/>
      <c r="M23" s="31"/>
      <c r="N23" s="31"/>
      <c r="O23" s="58"/>
      <c r="P23" s="26"/>
      <c r="Q23" s="26"/>
      <c r="R23" s="26"/>
      <c r="S23" s="26"/>
      <c r="T23" s="38"/>
      <c r="U23" s="152"/>
    </row>
    <row r="24" spans="1:21" s="219" customFormat="1" ht="15.75" customHeight="1" thickBot="1" x14ac:dyDescent="0.3">
      <c r="A24" s="209" t="s">
        <v>1017</v>
      </c>
      <c r="B24" s="210" t="s">
        <v>1018</v>
      </c>
      <c r="C24" s="211" t="s">
        <v>938</v>
      </c>
      <c r="D24" s="212">
        <f>D$4*4.85</f>
        <v>4.8499999999999996</v>
      </c>
      <c r="E24" s="212">
        <f>E$4*4.85</f>
        <v>4.8499999999999996</v>
      </c>
      <c r="F24" s="213">
        <f>F$4*4.8</f>
        <v>4.8</v>
      </c>
      <c r="G24" s="213">
        <f>G$4*4.8</f>
        <v>4.8</v>
      </c>
      <c r="H24" s="213">
        <f>H$4*6.4</f>
        <v>25.6</v>
      </c>
      <c r="I24" s="213">
        <f>I$4*3.9</f>
        <v>3.9</v>
      </c>
      <c r="J24" s="213">
        <f>J$4*3.9</f>
        <v>3.9</v>
      </c>
      <c r="K24" s="213">
        <f>K$4*5.3</f>
        <v>10.6</v>
      </c>
      <c r="L24" s="213">
        <f>L$4*18.8</f>
        <v>18.8</v>
      </c>
      <c r="M24" s="213">
        <f>M$4*0</f>
        <v>0</v>
      </c>
      <c r="N24" s="214">
        <f>N$4*0</f>
        <v>0</v>
      </c>
      <c r="O24" s="215">
        <f>SUM(D24:N24)</f>
        <v>82.100000000000009</v>
      </c>
      <c r="P24" s="216">
        <v>0</v>
      </c>
      <c r="Q24" s="216">
        <v>0</v>
      </c>
      <c r="R24" s="216">
        <f>P24+Q24</f>
        <v>0</v>
      </c>
      <c r="S24" s="216"/>
      <c r="T24" s="217">
        <f>R24*O24</f>
        <v>0</v>
      </c>
      <c r="U24" s="218"/>
    </row>
    <row r="25" spans="1:21" s="42" customFormat="1" x14ac:dyDescent="0.25">
      <c r="A25" s="157"/>
      <c r="B25" s="44"/>
      <c r="C25" s="44"/>
      <c r="D25" s="44"/>
      <c r="E25" s="44"/>
      <c r="F25" s="44"/>
      <c r="G25" s="44"/>
      <c r="H25" s="44"/>
      <c r="I25" s="44"/>
      <c r="J25" s="44"/>
      <c r="K25" s="44"/>
      <c r="L25" s="44"/>
      <c r="M25" s="44"/>
      <c r="N25" s="44"/>
      <c r="O25" s="118"/>
      <c r="P25" s="44"/>
      <c r="Q25" s="44"/>
      <c r="R25" s="44"/>
      <c r="S25" s="44"/>
      <c r="T25" s="44"/>
      <c r="U25" s="47"/>
    </row>
    <row r="26" spans="1:21" s="219" customFormat="1" x14ac:dyDescent="0.25">
      <c r="A26" s="209" t="s">
        <v>1019</v>
      </c>
      <c r="B26" s="220" t="s">
        <v>1020</v>
      </c>
      <c r="C26" s="221"/>
      <c r="D26" s="221"/>
      <c r="E26" s="221"/>
      <c r="F26" s="221"/>
      <c r="G26" s="221"/>
      <c r="H26" s="221"/>
      <c r="I26" s="221"/>
      <c r="J26" s="221"/>
      <c r="K26" s="221"/>
      <c r="L26" s="221"/>
      <c r="M26" s="221"/>
      <c r="N26" s="221"/>
      <c r="O26" s="222"/>
      <c r="P26" s="223"/>
      <c r="Q26" s="223"/>
      <c r="R26" s="223"/>
      <c r="S26" s="223"/>
      <c r="T26" s="224"/>
    </row>
    <row r="27" spans="1:21" s="42" customFormat="1" ht="165.75" customHeight="1" x14ac:dyDescent="0.25">
      <c r="A27" s="167"/>
      <c r="B27" s="145" t="s">
        <v>1021</v>
      </c>
      <c r="C27" s="31"/>
      <c r="D27" s="31"/>
      <c r="E27" s="31"/>
      <c r="F27" s="31"/>
      <c r="G27" s="31"/>
      <c r="H27" s="31"/>
      <c r="I27" s="31"/>
      <c r="J27" s="31"/>
      <c r="K27" s="31"/>
      <c r="L27" s="31"/>
      <c r="M27" s="31"/>
      <c r="N27" s="31"/>
      <c r="O27" s="58"/>
      <c r="P27" s="26"/>
      <c r="Q27" s="26"/>
      <c r="R27" s="26"/>
      <c r="S27" s="26"/>
      <c r="T27" s="38"/>
      <c r="U27" s="152"/>
    </row>
    <row r="28" spans="1:21" s="42" customFormat="1" ht="15.75" customHeight="1" thickBot="1" x14ac:dyDescent="0.3">
      <c r="A28" s="167"/>
      <c r="B28" s="31" t="s">
        <v>1022</v>
      </c>
      <c r="C28" s="31"/>
      <c r="D28" s="31"/>
      <c r="E28" s="31"/>
      <c r="F28" s="31"/>
      <c r="G28" s="31"/>
      <c r="H28" s="31"/>
      <c r="I28" s="31"/>
      <c r="J28" s="31"/>
      <c r="K28" s="31"/>
      <c r="L28" s="31"/>
      <c r="M28" s="31"/>
      <c r="N28" s="31"/>
      <c r="O28" s="58"/>
      <c r="P28" s="26"/>
      <c r="Q28" s="26"/>
      <c r="R28" s="26"/>
      <c r="S28" s="26"/>
      <c r="T28" s="38"/>
      <c r="U28" s="152"/>
    </row>
    <row r="29" spans="1:21" s="219" customFormat="1" ht="15.75" customHeight="1" thickBot="1" x14ac:dyDescent="0.3">
      <c r="A29" s="209" t="s">
        <v>1023</v>
      </c>
      <c r="B29" s="210" t="s">
        <v>1024</v>
      </c>
      <c r="C29" s="211" t="s">
        <v>938</v>
      </c>
      <c r="D29" s="212">
        <f>D$4*0</f>
        <v>0</v>
      </c>
      <c r="E29" s="212">
        <f>E$4*0</f>
        <v>0</v>
      </c>
      <c r="F29" s="213">
        <f>F$4*0</f>
        <v>0</v>
      </c>
      <c r="G29" s="213">
        <f>G$4*0</f>
        <v>0</v>
      </c>
      <c r="H29" s="213">
        <f>H$4*7.3</f>
        <v>29.2</v>
      </c>
      <c r="I29" s="213">
        <f>I$4*7.2</f>
        <v>7.2</v>
      </c>
      <c r="J29" s="213">
        <f>J$4*7.2</f>
        <v>7.2</v>
      </c>
      <c r="K29" s="213">
        <f>K$4*20.5</f>
        <v>41</v>
      </c>
      <c r="L29" s="213">
        <f>L$4*26</f>
        <v>26</v>
      </c>
      <c r="M29" s="213">
        <f>M$4*0</f>
        <v>0</v>
      </c>
      <c r="N29" s="214">
        <f>N$4*0</f>
        <v>0</v>
      </c>
      <c r="O29" s="215">
        <f>SUM(D29:N29)</f>
        <v>110.6</v>
      </c>
      <c r="P29" s="216">
        <v>0</v>
      </c>
      <c r="Q29" s="216">
        <v>0</v>
      </c>
      <c r="R29" s="216">
        <f>P29+Q29</f>
        <v>0</v>
      </c>
      <c r="S29" s="216"/>
      <c r="T29" s="217">
        <f>R29*O29</f>
        <v>0</v>
      </c>
      <c r="U29" s="218"/>
    </row>
    <row r="30" spans="1:21" s="42" customFormat="1" x14ac:dyDescent="0.25">
      <c r="A30" s="157"/>
      <c r="B30" s="44"/>
      <c r="C30" s="44"/>
      <c r="D30" s="44"/>
      <c r="E30" s="44"/>
      <c r="F30" s="44"/>
      <c r="G30" s="44"/>
      <c r="H30" s="44"/>
      <c r="I30" s="44"/>
      <c r="J30" s="44"/>
      <c r="K30" s="44"/>
      <c r="L30" s="44"/>
      <c r="M30" s="44"/>
      <c r="N30" s="44"/>
      <c r="O30" s="118"/>
      <c r="P30" s="44"/>
      <c r="Q30" s="44"/>
      <c r="R30" s="44"/>
      <c r="S30" s="44"/>
      <c r="T30" s="44"/>
      <c r="U30" s="47"/>
    </row>
    <row r="31" spans="1:21" s="219" customFormat="1" ht="25.5" customHeight="1" x14ac:dyDescent="0.25">
      <c r="A31" s="209" t="s">
        <v>1025</v>
      </c>
      <c r="B31" s="220" t="s">
        <v>1026</v>
      </c>
      <c r="C31" s="221"/>
      <c r="D31" s="221"/>
      <c r="E31" s="221"/>
      <c r="F31" s="221"/>
      <c r="G31" s="221"/>
      <c r="H31" s="221"/>
      <c r="I31" s="221"/>
      <c r="J31" s="221"/>
      <c r="K31" s="221"/>
      <c r="L31" s="221"/>
      <c r="M31" s="221"/>
      <c r="N31" s="221"/>
      <c r="O31" s="222"/>
      <c r="P31" s="223"/>
      <c r="Q31" s="223"/>
      <c r="R31" s="223"/>
      <c r="S31" s="223"/>
      <c r="T31" s="224"/>
    </row>
    <row r="32" spans="1:21" s="42" customFormat="1" ht="165.75" customHeight="1" x14ac:dyDescent="0.25">
      <c r="A32" s="167"/>
      <c r="B32" s="145" t="s">
        <v>1027</v>
      </c>
      <c r="C32" s="31"/>
      <c r="D32" s="31"/>
      <c r="E32" s="31"/>
      <c r="F32" s="31"/>
      <c r="G32" s="31"/>
      <c r="H32" s="31"/>
      <c r="I32" s="31"/>
      <c r="J32" s="31"/>
      <c r="K32" s="31"/>
      <c r="L32" s="31"/>
      <c r="M32" s="31"/>
      <c r="N32" s="31"/>
      <c r="O32" s="58"/>
      <c r="P32" s="26"/>
      <c r="Q32" s="26"/>
      <c r="R32" s="26"/>
      <c r="S32" s="26"/>
      <c r="T32" s="38"/>
      <c r="U32" s="152"/>
    </row>
    <row r="33" spans="1:21" s="42" customFormat="1" ht="15.75" customHeight="1" thickBot="1" x14ac:dyDescent="0.3">
      <c r="A33" s="167"/>
      <c r="B33" s="31" t="s">
        <v>1022</v>
      </c>
      <c r="C33" s="31"/>
      <c r="D33" s="31"/>
      <c r="E33" s="31"/>
      <c r="F33" s="31"/>
      <c r="G33" s="31"/>
      <c r="H33" s="31"/>
      <c r="I33" s="31"/>
      <c r="J33" s="31"/>
      <c r="K33" s="31"/>
      <c r="L33" s="31"/>
      <c r="M33" s="31"/>
      <c r="N33" s="31"/>
      <c r="O33" s="58"/>
      <c r="P33" s="26"/>
      <c r="Q33" s="26"/>
      <c r="R33" s="26"/>
      <c r="S33" s="26"/>
      <c r="T33" s="38"/>
      <c r="U33" s="152"/>
    </row>
    <row r="34" spans="1:21" s="219" customFormat="1" ht="15.75" customHeight="1" thickBot="1" x14ac:dyDescent="0.3">
      <c r="A34" s="209" t="s">
        <v>1028</v>
      </c>
      <c r="B34" s="210" t="s">
        <v>1024</v>
      </c>
      <c r="C34" s="211" t="s">
        <v>938</v>
      </c>
      <c r="D34" s="212">
        <f>D$4*7.7</f>
        <v>7.7</v>
      </c>
      <c r="E34" s="212">
        <f>E$4*7.7</f>
        <v>7.7</v>
      </c>
      <c r="F34" s="213">
        <f>F$4*18</f>
        <v>18</v>
      </c>
      <c r="G34" s="213">
        <f>G$4*18</f>
        <v>18</v>
      </c>
      <c r="H34" s="213">
        <f>H$4*19.6</f>
        <v>78.400000000000006</v>
      </c>
      <c r="I34" s="213">
        <f>I$4*16.55</f>
        <v>16.55</v>
      </c>
      <c r="J34" s="213">
        <f>J$4*16.55</f>
        <v>16.55</v>
      </c>
      <c r="K34" s="213">
        <f>K$4*5</f>
        <v>10</v>
      </c>
      <c r="L34" s="213">
        <f>L$4*89.6</f>
        <v>89.6</v>
      </c>
      <c r="M34" s="213">
        <f>M$4*0</f>
        <v>0</v>
      </c>
      <c r="N34" s="214">
        <f>N$4*0</f>
        <v>0</v>
      </c>
      <c r="O34" s="215">
        <f>SUM(D34:N34)</f>
        <v>262.5</v>
      </c>
      <c r="P34" s="216">
        <v>0</v>
      </c>
      <c r="Q34" s="216">
        <v>0</v>
      </c>
      <c r="R34" s="216">
        <f>P34+Q34</f>
        <v>0</v>
      </c>
      <c r="S34" s="216"/>
      <c r="T34" s="217">
        <f>R34*O34</f>
        <v>0</v>
      </c>
      <c r="U34" s="218"/>
    </row>
    <row r="35" spans="1:21" s="42" customFormat="1" x14ac:dyDescent="0.25">
      <c r="A35" s="157"/>
      <c r="B35" s="44"/>
      <c r="C35" s="44"/>
      <c r="D35" s="44"/>
      <c r="E35" s="44"/>
      <c r="F35" s="44"/>
      <c r="G35" s="44"/>
      <c r="H35" s="44"/>
      <c r="I35" s="44"/>
      <c r="J35" s="44"/>
      <c r="K35" s="44"/>
      <c r="L35" s="44"/>
      <c r="M35" s="44"/>
      <c r="N35" s="44"/>
      <c r="O35" s="118"/>
      <c r="P35" s="44"/>
      <c r="Q35" s="44"/>
      <c r="R35" s="44"/>
      <c r="S35" s="44"/>
      <c r="T35" s="44"/>
      <c r="U35" s="47"/>
    </row>
    <row r="36" spans="1:21" s="219" customFormat="1" x14ac:dyDescent="0.25">
      <c r="A36" s="209" t="s">
        <v>1029</v>
      </c>
      <c r="B36" s="220" t="s">
        <v>1030</v>
      </c>
      <c r="C36" s="221"/>
      <c r="D36" s="221"/>
      <c r="E36" s="221"/>
      <c r="F36" s="221"/>
      <c r="G36" s="221"/>
      <c r="H36" s="221"/>
      <c r="I36" s="221"/>
      <c r="J36" s="221"/>
      <c r="K36" s="221"/>
      <c r="L36" s="221"/>
      <c r="M36" s="221"/>
      <c r="N36" s="221"/>
      <c r="O36" s="222"/>
      <c r="P36" s="223"/>
      <c r="Q36" s="223"/>
      <c r="R36" s="223"/>
      <c r="S36" s="223"/>
      <c r="T36" s="224"/>
    </row>
    <row r="37" spans="1:21" s="42" customFormat="1" ht="143.25" customHeight="1" x14ac:dyDescent="0.25">
      <c r="A37" s="167"/>
      <c r="B37" s="145" t="s">
        <v>1031</v>
      </c>
      <c r="C37" s="31"/>
      <c r="D37" s="31"/>
      <c r="E37" s="31"/>
      <c r="F37" s="31"/>
      <c r="G37" s="31"/>
      <c r="H37" s="31"/>
      <c r="I37" s="31"/>
      <c r="J37" s="31"/>
      <c r="K37" s="31"/>
      <c r="L37" s="31"/>
      <c r="M37" s="31"/>
      <c r="N37" s="31"/>
      <c r="O37" s="58"/>
      <c r="P37" s="26"/>
      <c r="Q37" s="26"/>
      <c r="R37" s="26"/>
      <c r="S37" s="26"/>
      <c r="T37" s="38"/>
      <c r="U37" s="152"/>
    </row>
    <row r="38" spans="1:21" s="42" customFormat="1" ht="15.75" customHeight="1" thickBot="1" x14ac:dyDescent="0.3">
      <c r="A38" s="167"/>
      <c r="B38" s="31" t="s">
        <v>1022</v>
      </c>
      <c r="C38" s="31"/>
      <c r="D38" s="31"/>
      <c r="E38" s="31"/>
      <c r="F38" s="31"/>
      <c r="G38" s="31"/>
      <c r="H38" s="31"/>
      <c r="I38" s="31"/>
      <c r="J38" s="31"/>
      <c r="K38" s="31"/>
      <c r="L38" s="31"/>
      <c r="M38" s="31"/>
      <c r="N38" s="31"/>
      <c r="O38" s="58"/>
      <c r="P38" s="26"/>
      <c r="Q38" s="26"/>
      <c r="R38" s="26"/>
      <c r="S38" s="26"/>
      <c r="T38" s="38"/>
      <c r="U38" s="152"/>
    </row>
    <row r="39" spans="1:21" s="219" customFormat="1" ht="15.75" customHeight="1" thickBot="1" x14ac:dyDescent="0.3">
      <c r="A39" s="209" t="s">
        <v>1032</v>
      </c>
      <c r="B39" s="210" t="s">
        <v>1024</v>
      </c>
      <c r="C39" s="211" t="s">
        <v>938</v>
      </c>
      <c r="D39" s="212">
        <f t="shared" ref="D39:J39" si="0">D$4*0</f>
        <v>0</v>
      </c>
      <c r="E39" s="212">
        <f t="shared" si="0"/>
        <v>0</v>
      </c>
      <c r="F39" s="213">
        <f t="shared" si="0"/>
        <v>0</v>
      </c>
      <c r="G39" s="213">
        <f t="shared" si="0"/>
        <v>0</v>
      </c>
      <c r="H39" s="213">
        <f t="shared" si="0"/>
        <v>0</v>
      </c>
      <c r="I39" s="213">
        <f t="shared" si="0"/>
        <v>0</v>
      </c>
      <c r="J39" s="213">
        <f t="shared" si="0"/>
        <v>0</v>
      </c>
      <c r="K39" s="213">
        <f>K$4*3.5</f>
        <v>7</v>
      </c>
      <c r="L39" s="213">
        <f>L$4*0</f>
        <v>0</v>
      </c>
      <c r="M39" s="213">
        <f>M$4*0</f>
        <v>0</v>
      </c>
      <c r="N39" s="214">
        <f>N$4*0</f>
        <v>0</v>
      </c>
      <c r="O39" s="215">
        <f>SUM(D39:N39)</f>
        <v>7</v>
      </c>
      <c r="P39" s="216">
        <v>0</v>
      </c>
      <c r="Q39" s="216">
        <v>0</v>
      </c>
      <c r="R39" s="216">
        <f>P39+Q39</f>
        <v>0</v>
      </c>
      <c r="S39" s="216"/>
      <c r="T39" s="217">
        <f>R39*O39</f>
        <v>0</v>
      </c>
      <c r="U39" s="218"/>
    </row>
    <row r="40" spans="1:21" s="42" customFormat="1" x14ac:dyDescent="0.25">
      <c r="A40" s="157"/>
      <c r="B40" s="44"/>
      <c r="C40" s="44"/>
      <c r="D40" s="44"/>
      <c r="E40" s="44"/>
      <c r="F40" s="44"/>
      <c r="G40" s="44"/>
      <c r="H40" s="44"/>
      <c r="I40" s="44"/>
      <c r="J40" s="44"/>
      <c r="K40" s="44"/>
      <c r="L40" s="44"/>
      <c r="M40" s="44"/>
      <c r="N40" s="44"/>
      <c r="O40" s="118"/>
      <c r="P40" s="44"/>
      <c r="Q40" s="44"/>
      <c r="R40" s="44"/>
      <c r="S40" s="44"/>
      <c r="T40" s="44"/>
      <c r="U40" s="47"/>
    </row>
    <row r="41" spans="1:21" s="42" customFormat="1" x14ac:dyDescent="0.25">
      <c r="A41" s="225" t="s">
        <v>1033</v>
      </c>
      <c r="B41" s="226" t="s">
        <v>1034</v>
      </c>
      <c r="C41" s="227"/>
      <c r="D41" s="227"/>
      <c r="E41" s="227"/>
      <c r="F41" s="227"/>
      <c r="G41" s="227"/>
      <c r="H41" s="227"/>
      <c r="I41" s="227"/>
      <c r="J41" s="227"/>
      <c r="K41" s="227"/>
      <c r="L41" s="227"/>
      <c r="M41" s="227"/>
      <c r="N41" s="227"/>
      <c r="O41" s="228"/>
      <c r="P41" s="229"/>
      <c r="Q41" s="229"/>
      <c r="R41" s="229"/>
      <c r="S41" s="229"/>
      <c r="T41" s="230"/>
      <c r="U41" s="152"/>
    </row>
    <row r="42" spans="1:21" s="42" customFormat="1" ht="143.25" customHeight="1" x14ac:dyDescent="0.25">
      <c r="A42" s="201"/>
      <c r="B42" s="231" t="s">
        <v>1035</v>
      </c>
      <c r="C42" s="204"/>
      <c r="D42" s="204"/>
      <c r="E42" s="204"/>
      <c r="F42" s="204"/>
      <c r="G42" s="204"/>
      <c r="H42" s="204"/>
      <c r="I42" s="204"/>
      <c r="J42" s="204"/>
      <c r="K42" s="204"/>
      <c r="L42" s="204"/>
      <c r="M42" s="204"/>
      <c r="N42" s="204"/>
      <c r="O42" s="205"/>
      <c r="P42" s="206"/>
      <c r="Q42" s="206"/>
      <c r="R42" s="206"/>
      <c r="S42" s="206"/>
      <c r="T42" s="207"/>
      <c r="U42" s="152"/>
    </row>
    <row r="43" spans="1:21" s="42" customFormat="1" ht="15.75" customHeight="1" thickBot="1" x14ac:dyDescent="0.3">
      <c r="A43" s="201"/>
      <c r="B43" s="204" t="s">
        <v>1022</v>
      </c>
      <c r="C43" s="204"/>
      <c r="D43" s="204"/>
      <c r="E43" s="204"/>
      <c r="F43" s="204"/>
      <c r="G43" s="204"/>
      <c r="H43" s="204"/>
      <c r="I43" s="204"/>
      <c r="J43" s="204"/>
      <c r="K43" s="204"/>
      <c r="L43" s="204"/>
      <c r="M43" s="204"/>
      <c r="N43" s="204"/>
      <c r="O43" s="205"/>
      <c r="P43" s="206"/>
      <c r="Q43" s="206"/>
      <c r="R43" s="206"/>
      <c r="S43" s="206"/>
      <c r="T43" s="207"/>
      <c r="U43" s="152"/>
    </row>
    <row r="44" spans="1:21" s="240" customFormat="1" ht="15.75" customHeight="1" thickBot="1" x14ac:dyDescent="0.3">
      <c r="A44" s="225" t="s">
        <v>1036</v>
      </c>
      <c r="B44" s="232" t="s">
        <v>1037</v>
      </c>
      <c r="C44" s="233" t="s">
        <v>938</v>
      </c>
      <c r="D44" s="234">
        <f>D$4*0</f>
        <v>0</v>
      </c>
      <c r="E44" s="234">
        <f>E$4*0</f>
        <v>0</v>
      </c>
      <c r="F44" s="235">
        <f>F$4*1.6</f>
        <v>1.6</v>
      </c>
      <c r="G44" s="235">
        <f>G$4*1.6</f>
        <v>1.6</v>
      </c>
      <c r="H44" s="235">
        <f>H$4*1.8</f>
        <v>7.2</v>
      </c>
      <c r="I44" s="235">
        <f t="shared" ref="I44:N44" si="1">I$4*0</f>
        <v>0</v>
      </c>
      <c r="J44" s="235">
        <f t="shared" si="1"/>
        <v>0</v>
      </c>
      <c r="K44" s="235">
        <f t="shared" si="1"/>
        <v>0</v>
      </c>
      <c r="L44" s="235">
        <f t="shared" si="1"/>
        <v>0</v>
      </c>
      <c r="M44" s="235">
        <f t="shared" si="1"/>
        <v>0</v>
      </c>
      <c r="N44" s="236">
        <f t="shared" si="1"/>
        <v>0</v>
      </c>
      <c r="O44" s="237">
        <f>SUM(D44:N44)</f>
        <v>10.4</v>
      </c>
      <c r="P44" s="206">
        <v>0</v>
      </c>
      <c r="Q44" s="206">
        <v>0</v>
      </c>
      <c r="R44" s="206">
        <f>P44+Q44</f>
        <v>0</v>
      </c>
      <c r="S44" s="206"/>
      <c r="T44" s="238">
        <f>R44*O44</f>
        <v>0</v>
      </c>
      <c r="U44" s="239"/>
    </row>
    <row r="45" spans="1:21" s="42" customFormat="1" x14ac:dyDescent="0.25">
      <c r="A45" s="157"/>
      <c r="B45" s="44"/>
      <c r="C45" s="44"/>
      <c r="D45" s="44"/>
      <c r="E45" s="44"/>
      <c r="F45" s="44"/>
      <c r="G45" s="44"/>
      <c r="H45" s="44"/>
      <c r="I45" s="44"/>
      <c r="J45" s="44"/>
      <c r="K45" s="44"/>
      <c r="L45" s="44"/>
      <c r="M45" s="44"/>
      <c r="N45" s="44"/>
      <c r="O45" s="118"/>
      <c r="P45" s="44"/>
      <c r="Q45" s="44"/>
      <c r="R45" s="44"/>
      <c r="S45" s="44"/>
      <c r="T45" s="44"/>
      <c r="U45" s="47"/>
    </row>
    <row r="46" spans="1:21" s="219" customFormat="1" x14ac:dyDescent="0.25">
      <c r="A46" s="209" t="s">
        <v>1038</v>
      </c>
      <c r="B46" s="220" t="s">
        <v>1039</v>
      </c>
      <c r="C46" s="221"/>
      <c r="D46" s="221"/>
      <c r="E46" s="221"/>
      <c r="F46" s="221"/>
      <c r="G46" s="221"/>
      <c r="H46" s="221"/>
      <c r="I46" s="221"/>
      <c r="J46" s="221"/>
      <c r="K46" s="221"/>
      <c r="L46" s="221"/>
      <c r="M46" s="221"/>
      <c r="N46" s="221"/>
      <c r="O46" s="222"/>
      <c r="P46" s="223"/>
      <c r="Q46" s="223"/>
      <c r="R46" s="223"/>
      <c r="S46" s="223"/>
      <c r="T46" s="224"/>
    </row>
    <row r="47" spans="1:21" s="42" customFormat="1" ht="117.75" customHeight="1" x14ac:dyDescent="0.25">
      <c r="A47" s="167"/>
      <c r="B47" s="241" t="s">
        <v>1040</v>
      </c>
      <c r="C47" s="31"/>
      <c r="D47" s="31"/>
      <c r="E47" s="31"/>
      <c r="F47" s="31"/>
      <c r="G47" s="31"/>
      <c r="H47" s="31"/>
      <c r="I47" s="31"/>
      <c r="J47" s="31"/>
      <c r="K47" s="31"/>
      <c r="L47" s="31"/>
      <c r="M47" s="31"/>
      <c r="N47" s="31"/>
      <c r="O47" s="58"/>
      <c r="P47" s="26"/>
      <c r="Q47" s="26"/>
      <c r="R47" s="26"/>
      <c r="S47" s="26"/>
      <c r="T47" s="38"/>
      <c r="U47" s="152"/>
    </row>
    <row r="48" spans="1:21" s="42" customFormat="1" ht="39" customHeight="1" thickBot="1" x14ac:dyDescent="0.3">
      <c r="A48" s="167"/>
      <c r="B48" s="241" t="s">
        <v>1041</v>
      </c>
      <c r="C48" s="31"/>
      <c r="D48" s="31"/>
      <c r="E48" s="31"/>
      <c r="F48" s="31"/>
      <c r="G48" s="31"/>
      <c r="H48" s="31"/>
      <c r="I48" s="31"/>
      <c r="J48" s="31"/>
      <c r="K48" s="31"/>
      <c r="L48" s="31"/>
      <c r="M48" s="31"/>
      <c r="N48" s="31"/>
      <c r="O48" s="58"/>
      <c r="P48" s="26"/>
      <c r="Q48" s="26"/>
      <c r="R48" s="26"/>
      <c r="S48" s="26"/>
      <c r="T48" s="38"/>
      <c r="U48" s="152"/>
    </row>
    <row r="49" spans="1:21" s="219" customFormat="1" ht="15.75" customHeight="1" thickBot="1" x14ac:dyDescent="0.3">
      <c r="A49" s="209"/>
      <c r="B49" s="210" t="s">
        <v>1022</v>
      </c>
      <c r="C49" s="211" t="s">
        <v>938</v>
      </c>
      <c r="D49" s="212">
        <f>D$4*8.7</f>
        <v>8.6999999999999993</v>
      </c>
      <c r="E49" s="212">
        <f>E$4*8.7</f>
        <v>8.6999999999999993</v>
      </c>
      <c r="F49" s="213">
        <f>F$4*7.7</f>
        <v>7.7</v>
      </c>
      <c r="G49" s="213">
        <f>G$4*7.7</f>
        <v>7.7</v>
      </c>
      <c r="H49" s="213">
        <f>H$4*13</f>
        <v>52</v>
      </c>
      <c r="I49" s="213">
        <f>I$4*14.85</f>
        <v>14.85</v>
      </c>
      <c r="J49" s="213">
        <f>J$4*14.85</f>
        <v>14.85</v>
      </c>
      <c r="K49" s="213">
        <f>K$4*12.7</f>
        <v>25.4</v>
      </c>
      <c r="L49" s="213">
        <f>L$4*53.8</f>
        <v>53.8</v>
      </c>
      <c r="M49" s="213">
        <f>M$4*0</f>
        <v>0</v>
      </c>
      <c r="N49" s="214">
        <f>N$4*0</f>
        <v>0</v>
      </c>
      <c r="O49" s="215">
        <f>SUM(D49:N49)</f>
        <v>193.7</v>
      </c>
      <c r="P49" s="216">
        <v>0</v>
      </c>
      <c r="Q49" s="216">
        <v>0</v>
      </c>
      <c r="R49" s="216">
        <f>P49+Q49</f>
        <v>0</v>
      </c>
      <c r="S49" s="216"/>
      <c r="T49" s="217">
        <f>R49*O49</f>
        <v>0</v>
      </c>
      <c r="U49" s="218"/>
    </row>
    <row r="50" spans="1:21" s="42" customFormat="1" x14ac:dyDescent="0.25">
      <c r="A50" s="157"/>
      <c r="B50" s="44"/>
      <c r="C50" s="44"/>
      <c r="D50" s="44"/>
      <c r="E50" s="44"/>
      <c r="F50" s="44"/>
      <c r="G50" s="44"/>
      <c r="H50" s="44"/>
      <c r="I50" s="44"/>
      <c r="J50" s="44"/>
      <c r="K50" s="44"/>
      <c r="L50" s="44"/>
      <c r="M50" s="44"/>
      <c r="N50" s="44"/>
      <c r="O50" s="118"/>
      <c r="P50" s="44"/>
      <c r="Q50" s="44"/>
      <c r="R50" s="44"/>
      <c r="S50" s="44"/>
      <c r="T50" s="44"/>
      <c r="U50" s="47"/>
    </row>
    <row r="51" spans="1:21" s="42" customFormat="1" x14ac:dyDescent="0.25">
      <c r="A51" s="166" t="s">
        <v>1042</v>
      </c>
      <c r="B51" s="147" t="s">
        <v>1043</v>
      </c>
      <c r="C51" s="28"/>
      <c r="D51" s="28"/>
      <c r="E51" s="28"/>
      <c r="F51" s="28"/>
      <c r="G51" s="28"/>
      <c r="H51" s="28"/>
      <c r="I51" s="28"/>
      <c r="J51" s="28"/>
      <c r="K51" s="28"/>
      <c r="L51" s="28"/>
      <c r="M51" s="28"/>
      <c r="N51" s="28"/>
      <c r="O51" s="60"/>
      <c r="P51" s="29"/>
      <c r="Q51" s="29"/>
      <c r="R51" s="29"/>
      <c r="S51" s="29"/>
      <c r="T51" s="23"/>
      <c r="U51" s="152"/>
    </row>
    <row r="52" spans="1:21" s="42" customFormat="1" ht="140.25" customHeight="1" x14ac:dyDescent="0.25">
      <c r="A52" s="167"/>
      <c r="B52" s="145" t="s">
        <v>1044</v>
      </c>
      <c r="C52" s="31"/>
      <c r="D52" s="31"/>
      <c r="E52" s="31"/>
      <c r="F52" s="31"/>
      <c r="G52" s="31"/>
      <c r="H52" s="31"/>
      <c r="I52" s="31"/>
      <c r="J52" s="31"/>
      <c r="K52" s="31"/>
      <c r="L52" s="31"/>
      <c r="M52" s="31"/>
      <c r="N52" s="31"/>
      <c r="O52" s="58"/>
      <c r="P52" s="26"/>
      <c r="Q52" s="26"/>
      <c r="R52" s="26"/>
      <c r="S52" s="26"/>
      <c r="T52" s="38"/>
      <c r="U52" s="152"/>
    </row>
    <row r="53" spans="1:21" s="42" customFormat="1" ht="38.25" customHeight="1" x14ac:dyDescent="0.25">
      <c r="A53" s="167"/>
      <c r="B53" s="24" t="s">
        <v>1045</v>
      </c>
      <c r="C53" s="31"/>
      <c r="D53" s="31"/>
      <c r="E53" s="31"/>
      <c r="F53" s="31"/>
      <c r="G53" s="31"/>
      <c r="H53" s="31"/>
      <c r="I53" s="31"/>
      <c r="J53" s="31"/>
      <c r="K53" s="31"/>
      <c r="L53" s="31"/>
      <c r="M53" s="31"/>
      <c r="N53" s="31"/>
      <c r="O53" s="58"/>
      <c r="P53" s="26"/>
      <c r="Q53" s="26"/>
      <c r="R53" s="26"/>
      <c r="S53" s="26"/>
      <c r="T53" s="38"/>
      <c r="U53" s="152"/>
    </row>
    <row r="54" spans="1:21" s="42" customFormat="1" ht="15.75" customHeight="1" thickBot="1" x14ac:dyDescent="0.3">
      <c r="A54" s="167"/>
      <c r="B54" s="24" t="s">
        <v>1022</v>
      </c>
      <c r="C54" s="31"/>
      <c r="D54" s="31"/>
      <c r="E54" s="31"/>
      <c r="F54" s="31"/>
      <c r="G54" s="31"/>
      <c r="H54" s="31"/>
      <c r="I54" s="31"/>
      <c r="J54" s="31"/>
      <c r="K54" s="31"/>
      <c r="L54" s="31"/>
      <c r="M54" s="31"/>
      <c r="N54" s="31"/>
      <c r="O54" s="58"/>
      <c r="P54" s="26"/>
      <c r="Q54" s="26"/>
      <c r="R54" s="26"/>
      <c r="S54" s="26"/>
      <c r="T54" s="38"/>
      <c r="U54" s="152"/>
    </row>
    <row r="55" spans="1:21" s="219" customFormat="1" ht="15.75" customHeight="1" thickBot="1" x14ac:dyDescent="0.3">
      <c r="A55" s="242" t="s">
        <v>1046</v>
      </c>
      <c r="B55" s="210" t="s">
        <v>1047</v>
      </c>
      <c r="C55" s="211" t="s">
        <v>938</v>
      </c>
      <c r="D55" s="212">
        <f>D$4*94</f>
        <v>94</v>
      </c>
      <c r="E55" s="212">
        <f>E$4*94</f>
        <v>94</v>
      </c>
      <c r="F55" s="213">
        <f>F$4*88</f>
        <v>88</v>
      </c>
      <c r="G55" s="213">
        <f>G$4*88</f>
        <v>88</v>
      </c>
      <c r="H55" s="213">
        <f>H$4*107.8</f>
        <v>431.2</v>
      </c>
      <c r="I55" s="213">
        <f>I$4*82.2</f>
        <v>82.2</v>
      </c>
      <c r="J55" s="213">
        <f>J$4*82.2</f>
        <v>82.2</v>
      </c>
      <c r="K55" s="213">
        <f>K$4*132</f>
        <v>264</v>
      </c>
      <c r="L55" s="213">
        <f>L$4*206</f>
        <v>206</v>
      </c>
      <c r="M55" s="213">
        <f>M$4*45</f>
        <v>45</v>
      </c>
      <c r="N55" s="214">
        <f>N$4*0</f>
        <v>0</v>
      </c>
      <c r="O55" s="215">
        <f>SUM(D55:N55)</f>
        <v>1474.6000000000001</v>
      </c>
      <c r="P55" s="216">
        <v>0</v>
      </c>
      <c r="Q55" s="216">
        <v>0</v>
      </c>
      <c r="R55" s="216">
        <f>P55+Q55</f>
        <v>0</v>
      </c>
      <c r="S55" s="216"/>
      <c r="T55" s="217">
        <f>R55*O55</f>
        <v>0</v>
      </c>
      <c r="U55" s="218"/>
    </row>
    <row r="56" spans="1:21" s="219" customFormat="1" ht="15.75" customHeight="1" thickBot="1" x14ac:dyDescent="0.3">
      <c r="A56" s="242" t="s">
        <v>1048</v>
      </c>
      <c r="B56" s="210" t="s">
        <v>1049</v>
      </c>
      <c r="C56" s="211" t="s">
        <v>938</v>
      </c>
      <c r="D56" s="212">
        <f>D$4*15</f>
        <v>15</v>
      </c>
      <c r="E56" s="212">
        <f>E$4*15</f>
        <v>15</v>
      </c>
      <c r="F56" s="213">
        <f>F$4*7.4</f>
        <v>7.4</v>
      </c>
      <c r="G56" s="213">
        <f>G$4*7.4</f>
        <v>7.4</v>
      </c>
      <c r="H56" s="213">
        <f>H$4*10.6</f>
        <v>42.4</v>
      </c>
      <c r="I56" s="213">
        <f>I$4*4.1</f>
        <v>4.0999999999999996</v>
      </c>
      <c r="J56" s="213">
        <f>J$4*4.1</f>
        <v>4.0999999999999996</v>
      </c>
      <c r="K56" s="213">
        <f>K$4*31.2</f>
        <v>62.4</v>
      </c>
      <c r="L56" s="213">
        <f>L$4*62.4</f>
        <v>62.4</v>
      </c>
      <c r="M56" s="213">
        <f>M$4*0</f>
        <v>0</v>
      </c>
      <c r="N56" s="214">
        <f>N$4*0</f>
        <v>0</v>
      </c>
      <c r="O56" s="215">
        <f>SUM(D56:N56)</f>
        <v>220.2</v>
      </c>
      <c r="P56" s="216">
        <v>0</v>
      </c>
      <c r="Q56" s="216">
        <v>0</v>
      </c>
      <c r="R56" s="216">
        <f>P56+Q56</f>
        <v>0</v>
      </c>
      <c r="S56" s="216"/>
      <c r="T56" s="217">
        <f>R56*O56</f>
        <v>0</v>
      </c>
      <c r="U56" s="218"/>
    </row>
    <row r="57" spans="1:21" s="246" customFormat="1" x14ac:dyDescent="0.25">
      <c r="A57" s="243"/>
      <c r="B57" s="244"/>
      <c r="C57" s="244"/>
      <c r="D57" s="244"/>
      <c r="E57" s="244"/>
      <c r="F57" s="244"/>
      <c r="G57" s="244"/>
      <c r="H57" s="244"/>
      <c r="I57" s="244"/>
      <c r="J57" s="244"/>
      <c r="K57" s="244"/>
      <c r="L57" s="244"/>
      <c r="M57" s="244"/>
      <c r="N57" s="244"/>
      <c r="O57" s="245"/>
      <c r="P57" s="244"/>
      <c r="Q57" s="244"/>
      <c r="R57" s="244"/>
      <c r="S57" s="244"/>
      <c r="T57" s="244"/>
      <c r="U57" s="244"/>
    </row>
    <row r="58" spans="1:21" s="246" customFormat="1" x14ac:dyDescent="0.25">
      <c r="A58" s="247" t="s">
        <v>1050</v>
      </c>
      <c r="B58" s="248" t="s">
        <v>1051</v>
      </c>
      <c r="C58" s="249"/>
      <c r="D58" s="249"/>
      <c r="E58" s="249"/>
      <c r="F58" s="249"/>
      <c r="G58" s="249"/>
      <c r="H58" s="249"/>
      <c r="I58" s="249"/>
      <c r="J58" s="249"/>
      <c r="K58" s="249"/>
      <c r="L58" s="249"/>
      <c r="M58" s="249"/>
      <c r="N58" s="249"/>
      <c r="O58" s="250"/>
      <c r="P58" s="251"/>
      <c r="Q58" s="251"/>
      <c r="R58" s="251"/>
      <c r="S58" s="251"/>
      <c r="T58" s="252"/>
    </row>
    <row r="59" spans="1:21" s="246" customFormat="1" ht="114.75" customHeight="1" x14ac:dyDescent="0.25">
      <c r="A59" s="253"/>
      <c r="B59" s="254" t="s">
        <v>1052</v>
      </c>
      <c r="C59" s="255"/>
      <c r="D59" s="255"/>
      <c r="E59" s="255"/>
      <c r="F59" s="255"/>
      <c r="G59" s="255"/>
      <c r="H59" s="255"/>
      <c r="I59" s="255"/>
      <c r="J59" s="255"/>
      <c r="K59" s="255"/>
      <c r="L59" s="255"/>
      <c r="M59" s="255"/>
      <c r="N59" s="255"/>
      <c r="O59" s="256"/>
      <c r="P59" s="257"/>
      <c r="Q59" s="257"/>
      <c r="R59" s="257"/>
      <c r="S59" s="257"/>
      <c r="T59" s="258"/>
    </row>
    <row r="60" spans="1:21" s="246" customFormat="1" ht="38.25" customHeight="1" x14ac:dyDescent="0.25">
      <c r="A60" s="253"/>
      <c r="B60" s="254" t="s">
        <v>1045</v>
      </c>
      <c r="C60" s="255"/>
      <c r="D60" s="255"/>
      <c r="E60" s="255"/>
      <c r="F60" s="255"/>
      <c r="G60" s="255"/>
      <c r="H60" s="255"/>
      <c r="I60" s="255"/>
      <c r="J60" s="255"/>
      <c r="K60" s="255"/>
      <c r="L60" s="255"/>
      <c r="M60" s="255"/>
      <c r="N60" s="255"/>
      <c r="O60" s="256"/>
      <c r="P60" s="257"/>
      <c r="Q60" s="257"/>
      <c r="R60" s="257"/>
      <c r="S60" s="257"/>
      <c r="T60" s="258"/>
    </row>
    <row r="61" spans="1:21" s="246" customFormat="1" ht="15.75" customHeight="1" thickBot="1" x14ac:dyDescent="0.3">
      <c r="A61" s="253"/>
      <c r="B61" s="254" t="s">
        <v>1022</v>
      </c>
      <c r="C61" s="255"/>
      <c r="D61" s="255"/>
      <c r="E61" s="255"/>
      <c r="F61" s="255"/>
      <c r="G61" s="255"/>
      <c r="H61" s="255"/>
      <c r="I61" s="255"/>
      <c r="J61" s="255"/>
      <c r="K61" s="255"/>
      <c r="L61" s="255"/>
      <c r="M61" s="255"/>
      <c r="N61" s="255"/>
      <c r="O61" s="256"/>
      <c r="P61" s="257"/>
      <c r="Q61" s="257"/>
      <c r="R61" s="257"/>
      <c r="S61" s="257"/>
      <c r="T61" s="258"/>
    </row>
    <row r="62" spans="1:21" s="246" customFormat="1" ht="15.75" customHeight="1" thickBot="1" x14ac:dyDescent="0.3">
      <c r="A62" s="247" t="s">
        <v>1053</v>
      </c>
      <c r="B62" s="259" t="s">
        <v>1054</v>
      </c>
      <c r="C62" s="260" t="s">
        <v>938</v>
      </c>
      <c r="D62" s="261">
        <f>D$4*0</f>
        <v>0</v>
      </c>
      <c r="E62" s="261">
        <f>E$4*7.6</f>
        <v>7.6</v>
      </c>
      <c r="F62" s="262">
        <f>F$4*0</f>
        <v>0</v>
      </c>
      <c r="G62" s="262">
        <f>G$4*13</f>
        <v>13</v>
      </c>
      <c r="H62" s="262">
        <f>H$4*20</f>
        <v>80</v>
      </c>
      <c r="I62" s="262">
        <f>I$4*0</f>
        <v>0</v>
      </c>
      <c r="J62" s="262">
        <f>J$4*6.3*3</f>
        <v>18.899999999999999</v>
      </c>
      <c r="K62" s="262">
        <f t="shared" ref="K62:N63" si="2">K$4*0</f>
        <v>0</v>
      </c>
      <c r="L62" s="262">
        <f t="shared" si="2"/>
        <v>0</v>
      </c>
      <c r="M62" s="262">
        <f t="shared" si="2"/>
        <v>0</v>
      </c>
      <c r="N62" s="263">
        <f t="shared" si="2"/>
        <v>0</v>
      </c>
      <c r="O62" s="264">
        <f>SUM(D62:N62)</f>
        <v>119.5</v>
      </c>
      <c r="P62" s="257">
        <v>0</v>
      </c>
      <c r="Q62" s="257">
        <v>0</v>
      </c>
      <c r="R62" s="257">
        <f>P62+Q62</f>
        <v>0</v>
      </c>
      <c r="S62" s="257"/>
      <c r="T62" s="265">
        <f>R62*O62</f>
        <v>0</v>
      </c>
      <c r="U62" s="244"/>
    </row>
    <row r="63" spans="1:21" s="246" customFormat="1" ht="15.75" customHeight="1" thickBot="1" x14ac:dyDescent="0.3">
      <c r="A63" s="247" t="s">
        <v>1055</v>
      </c>
      <c r="B63" s="259" t="s">
        <v>1056</v>
      </c>
      <c r="C63" s="260" t="s">
        <v>938</v>
      </c>
      <c r="D63" s="261">
        <f>D$4*0</f>
        <v>0</v>
      </c>
      <c r="E63" s="261">
        <f>E$4*7.6</f>
        <v>7.6</v>
      </c>
      <c r="F63" s="262">
        <f>F$4*0</f>
        <v>0</v>
      </c>
      <c r="G63" s="262">
        <f>G$4*13</f>
        <v>13</v>
      </c>
      <c r="H63" s="262">
        <f>H$4*22.4</f>
        <v>89.6</v>
      </c>
      <c r="I63" s="262">
        <f>I$4*0</f>
        <v>0</v>
      </c>
      <c r="J63" s="262">
        <f>J$4*0</f>
        <v>0</v>
      </c>
      <c r="K63" s="262">
        <f t="shared" si="2"/>
        <v>0</v>
      </c>
      <c r="L63" s="262">
        <f t="shared" si="2"/>
        <v>0</v>
      </c>
      <c r="M63" s="262">
        <f t="shared" si="2"/>
        <v>0</v>
      </c>
      <c r="N63" s="263">
        <f t="shared" si="2"/>
        <v>0</v>
      </c>
      <c r="O63" s="264">
        <f>SUM(D63:N63)</f>
        <v>110.19999999999999</v>
      </c>
      <c r="P63" s="257">
        <v>0</v>
      </c>
      <c r="Q63" s="257">
        <v>0</v>
      </c>
      <c r="R63" s="257">
        <f>P63+Q63</f>
        <v>0</v>
      </c>
      <c r="S63" s="257"/>
      <c r="T63" s="265">
        <f>R63*O63</f>
        <v>0</v>
      </c>
      <c r="U63" s="244"/>
    </row>
    <row r="64" spans="1:21" s="42" customFormat="1" x14ac:dyDescent="0.25">
      <c r="A64" s="157"/>
      <c r="B64" s="44"/>
      <c r="C64" s="44"/>
      <c r="D64" s="44"/>
      <c r="E64" s="44"/>
      <c r="F64" s="44"/>
      <c r="G64" s="44"/>
      <c r="H64" s="44"/>
      <c r="I64" s="44"/>
      <c r="J64" s="44"/>
      <c r="K64" s="44"/>
      <c r="L64" s="44"/>
      <c r="M64" s="44"/>
      <c r="N64" s="44"/>
      <c r="O64" s="118"/>
      <c r="P64" s="44"/>
      <c r="Q64" s="44"/>
      <c r="R64" s="44"/>
      <c r="S64" s="44"/>
      <c r="T64" s="44"/>
      <c r="U64" s="47"/>
    </row>
    <row r="65" spans="1:21" s="42" customFormat="1" x14ac:dyDescent="0.25">
      <c r="A65" s="166" t="s">
        <v>1057</v>
      </c>
      <c r="B65" s="147" t="s">
        <v>1058</v>
      </c>
      <c r="C65" s="28"/>
      <c r="D65" s="28"/>
      <c r="E65" s="28"/>
      <c r="F65" s="28"/>
      <c r="G65" s="28"/>
      <c r="H65" s="28"/>
      <c r="I65" s="28"/>
      <c r="J65" s="28"/>
      <c r="K65" s="28"/>
      <c r="L65" s="28"/>
      <c r="M65" s="28"/>
      <c r="N65" s="28"/>
      <c r="O65" s="60"/>
      <c r="P65" s="29"/>
      <c r="Q65" s="29"/>
      <c r="R65" s="29"/>
      <c r="S65" s="29"/>
      <c r="T65" s="23"/>
      <c r="U65" s="152"/>
    </row>
    <row r="66" spans="1:21" s="42" customFormat="1" ht="51" customHeight="1" x14ac:dyDescent="0.25">
      <c r="A66" s="167"/>
      <c r="B66" s="145" t="s">
        <v>1059</v>
      </c>
      <c r="C66" s="31"/>
      <c r="D66" s="31"/>
      <c r="E66" s="31"/>
      <c r="F66" s="31"/>
      <c r="G66" s="31"/>
      <c r="H66" s="31"/>
      <c r="I66" s="31"/>
      <c r="J66" s="31"/>
      <c r="K66" s="31"/>
      <c r="L66" s="31"/>
      <c r="M66" s="31"/>
      <c r="N66" s="31"/>
      <c r="O66" s="58"/>
      <c r="P66" s="26"/>
      <c r="Q66" s="26"/>
      <c r="R66" s="26"/>
      <c r="S66" s="26"/>
      <c r="T66" s="38"/>
      <c r="U66" s="152"/>
    </row>
    <row r="67" spans="1:21" s="42" customFormat="1" ht="15.75" customHeight="1" thickBot="1" x14ac:dyDescent="0.3">
      <c r="A67" s="167"/>
      <c r="B67" s="145" t="s">
        <v>1060</v>
      </c>
      <c r="C67" s="31"/>
      <c r="D67" s="31"/>
      <c r="E67" s="31"/>
      <c r="F67" s="31"/>
      <c r="G67" s="31"/>
      <c r="H67" s="31"/>
      <c r="I67" s="31"/>
      <c r="J67" s="31"/>
      <c r="K67" s="31"/>
      <c r="L67" s="31"/>
      <c r="M67" s="31"/>
      <c r="N67" s="31"/>
      <c r="O67" s="58"/>
      <c r="P67" s="26"/>
      <c r="Q67" s="26"/>
      <c r="R67" s="26"/>
      <c r="S67" s="26"/>
      <c r="T67" s="38"/>
      <c r="U67" s="152"/>
    </row>
    <row r="68" spans="1:21" s="42" customFormat="1" ht="15.75" customHeight="1" thickBot="1" x14ac:dyDescent="0.3">
      <c r="A68" s="166"/>
      <c r="B68" s="137" t="s">
        <v>1061</v>
      </c>
      <c r="C68" s="135" t="s">
        <v>969</v>
      </c>
      <c r="D68" s="55">
        <f>D$4*30.25</f>
        <v>30.25</v>
      </c>
      <c r="E68" s="55">
        <f>E$4*30.25</f>
        <v>30.25</v>
      </c>
      <c r="F68" s="36">
        <f>F$4*32.15</f>
        <v>32.15</v>
      </c>
      <c r="G68" s="36">
        <f>G$4*32.15</f>
        <v>32.15</v>
      </c>
      <c r="H68" s="36">
        <f>H$4*41.45</f>
        <v>165.8</v>
      </c>
      <c r="I68" s="36">
        <f>I$4*32.1</f>
        <v>32.1</v>
      </c>
      <c r="J68" s="36">
        <f>J$4*0</f>
        <v>0</v>
      </c>
      <c r="K68" s="36">
        <f>K$4*30.1</f>
        <v>60.2</v>
      </c>
      <c r="L68" s="36">
        <f>L$4*53.4</f>
        <v>53.4</v>
      </c>
      <c r="M68" s="36">
        <f>M$4*0</f>
        <v>0</v>
      </c>
      <c r="N68" s="56">
        <f>N$4*0</f>
        <v>0</v>
      </c>
      <c r="O68" s="62">
        <f>SUM(D68:N68)</f>
        <v>436.3</v>
      </c>
      <c r="P68" s="26">
        <v>0</v>
      </c>
      <c r="Q68" s="26">
        <v>0</v>
      </c>
      <c r="R68" s="26">
        <f>P68+Q68</f>
        <v>0</v>
      </c>
      <c r="S68" s="26"/>
      <c r="T68" s="22">
        <f>R68*O68</f>
        <v>0</v>
      </c>
      <c r="U68" s="47"/>
    </row>
    <row r="69" spans="1:21" s="42" customFormat="1" x14ac:dyDescent="0.25">
      <c r="A69" s="157"/>
      <c r="B69" s="44"/>
      <c r="C69" s="44"/>
      <c r="D69" s="44"/>
      <c r="E69" s="44"/>
      <c r="F69" s="44"/>
      <c r="G69" s="44"/>
      <c r="H69" s="44"/>
      <c r="I69" s="44"/>
      <c r="J69" s="44"/>
      <c r="K69" s="44"/>
      <c r="L69" s="44"/>
      <c r="M69" s="44"/>
      <c r="N69" s="44"/>
      <c r="O69" s="118"/>
      <c r="P69" s="44"/>
      <c r="Q69" s="44"/>
      <c r="R69" s="44"/>
      <c r="S69" s="44"/>
      <c r="T69" s="44"/>
      <c r="U69" s="47"/>
    </row>
    <row r="70" spans="1:21" s="42" customFormat="1" x14ac:dyDescent="0.25">
      <c r="A70" s="166" t="s">
        <v>1062</v>
      </c>
      <c r="B70" s="147" t="s">
        <v>1063</v>
      </c>
      <c r="C70" s="28"/>
      <c r="D70" s="28"/>
      <c r="E70" s="28"/>
      <c r="F70" s="28"/>
      <c r="G70" s="28"/>
      <c r="H70" s="28"/>
      <c r="I70" s="28"/>
      <c r="J70" s="28"/>
      <c r="K70" s="28"/>
      <c r="L70" s="28"/>
      <c r="M70" s="28"/>
      <c r="N70" s="28"/>
      <c r="O70" s="60"/>
      <c r="P70" s="29"/>
      <c r="Q70" s="29"/>
      <c r="R70" s="29"/>
      <c r="S70" s="29"/>
      <c r="T70" s="23"/>
      <c r="U70" s="152"/>
    </row>
    <row r="71" spans="1:21" s="42" customFormat="1" ht="89.25" customHeight="1" x14ac:dyDescent="0.25">
      <c r="A71" s="167"/>
      <c r="B71" s="145" t="s">
        <v>1064</v>
      </c>
      <c r="C71" s="31"/>
      <c r="D71" s="31"/>
      <c r="E71" s="31"/>
      <c r="F71" s="31"/>
      <c r="G71" s="31"/>
      <c r="H71" s="31"/>
      <c r="I71" s="31"/>
      <c r="J71" s="31"/>
      <c r="K71" s="31"/>
      <c r="L71" s="31"/>
      <c r="M71" s="31"/>
      <c r="N71" s="31"/>
      <c r="O71" s="58"/>
      <c r="P71" s="26"/>
      <c r="Q71" s="26"/>
      <c r="R71" s="26"/>
      <c r="S71" s="26"/>
      <c r="T71" s="38"/>
      <c r="U71" s="152"/>
    </row>
    <row r="72" spans="1:21" s="42" customFormat="1" ht="15.75" customHeight="1" thickBot="1" x14ac:dyDescent="0.3">
      <c r="A72" s="167"/>
      <c r="B72" s="145" t="s">
        <v>1065</v>
      </c>
      <c r="C72" s="31"/>
      <c r="D72" s="31"/>
      <c r="E72" s="31"/>
      <c r="F72" s="31"/>
      <c r="G72" s="31"/>
      <c r="H72" s="31"/>
      <c r="I72" s="31"/>
      <c r="J72" s="31"/>
      <c r="K72" s="31"/>
      <c r="L72" s="31"/>
      <c r="M72" s="31"/>
      <c r="N72" s="31"/>
      <c r="O72" s="58"/>
      <c r="P72" s="26"/>
      <c r="Q72" s="26"/>
      <c r="R72" s="26"/>
      <c r="S72" s="26"/>
      <c r="T72" s="38"/>
      <c r="U72" s="152"/>
    </row>
    <row r="73" spans="1:21" s="42" customFormat="1" ht="15.75" customHeight="1" thickBot="1" x14ac:dyDescent="0.3">
      <c r="A73" s="166"/>
      <c r="B73" s="137" t="s">
        <v>1061</v>
      </c>
      <c r="C73" s="135" t="s">
        <v>969</v>
      </c>
      <c r="D73" s="55">
        <f>D$4*11.55</f>
        <v>11.55</v>
      </c>
      <c r="E73" s="55">
        <f>E$4*11.55</f>
        <v>11.55</v>
      </c>
      <c r="F73" s="36">
        <f>F$4*13.2</f>
        <v>13.2</v>
      </c>
      <c r="G73" s="36">
        <f>G$4*13.2</f>
        <v>13.2</v>
      </c>
      <c r="H73" s="36">
        <f>H$4*10.5</f>
        <v>42</v>
      </c>
      <c r="I73" s="36">
        <f>I$4*12.45</f>
        <v>12.45</v>
      </c>
      <c r="J73" s="36">
        <f>J$4*12.45</f>
        <v>12.45</v>
      </c>
      <c r="K73" s="36">
        <f>K$4*6.8</f>
        <v>13.6</v>
      </c>
      <c r="L73" s="36">
        <f>L$4*17.15</f>
        <v>17.149999999999999</v>
      </c>
      <c r="M73" s="36">
        <f>M$4*0</f>
        <v>0</v>
      </c>
      <c r="N73" s="56">
        <f>N$4*0</f>
        <v>0</v>
      </c>
      <c r="O73" s="62">
        <f>SUM(D73:N73)</f>
        <v>147.15</v>
      </c>
      <c r="P73" s="26">
        <v>0</v>
      </c>
      <c r="Q73" s="26">
        <v>0</v>
      </c>
      <c r="R73" s="26">
        <f>P73+Q73</f>
        <v>0</v>
      </c>
      <c r="S73" s="26"/>
      <c r="T73" s="22">
        <f>R73*O73</f>
        <v>0</v>
      </c>
      <c r="U73" s="47"/>
    </row>
    <row r="74" spans="1:21" s="42" customFormat="1" x14ac:dyDescent="0.25">
      <c r="A74" s="157"/>
      <c r="B74" s="44"/>
      <c r="C74" s="44"/>
      <c r="D74" s="44"/>
      <c r="E74" s="44"/>
      <c r="F74" s="44"/>
      <c r="G74" s="44"/>
      <c r="H74" s="44"/>
      <c r="I74" s="44"/>
      <c r="J74" s="44"/>
      <c r="K74" s="44"/>
      <c r="L74" s="44"/>
      <c r="M74" s="44"/>
      <c r="N74" s="44"/>
      <c r="O74" s="118"/>
      <c r="P74" s="44"/>
      <c r="Q74" s="44"/>
      <c r="R74" s="44"/>
      <c r="S74" s="44"/>
      <c r="T74" s="44"/>
      <c r="U74" s="47"/>
    </row>
    <row r="75" spans="1:21" s="42" customFormat="1" ht="25.5" customHeight="1" x14ac:dyDescent="0.25">
      <c r="A75" s="166" t="s">
        <v>1066</v>
      </c>
      <c r="B75" s="27" t="s">
        <v>1067</v>
      </c>
      <c r="C75" s="28"/>
      <c r="D75" s="28"/>
      <c r="E75" s="28"/>
      <c r="F75" s="28"/>
      <c r="G75" s="28"/>
      <c r="H75" s="28"/>
      <c r="I75" s="28"/>
      <c r="J75" s="28"/>
      <c r="K75" s="28"/>
      <c r="L75" s="28"/>
      <c r="M75" s="28"/>
      <c r="N75" s="28"/>
      <c r="O75" s="60"/>
      <c r="P75" s="29"/>
      <c r="Q75" s="29"/>
      <c r="R75" s="29"/>
      <c r="S75" s="29"/>
      <c r="T75" s="23"/>
      <c r="U75" s="152"/>
    </row>
    <row r="76" spans="1:21" s="42" customFormat="1" ht="141" customHeight="1" thickBot="1" x14ac:dyDescent="0.3">
      <c r="A76" s="167"/>
      <c r="B76" s="24" t="s">
        <v>1068</v>
      </c>
      <c r="C76" s="31"/>
      <c r="D76" s="31"/>
      <c r="E76" s="31"/>
      <c r="F76" s="31"/>
      <c r="G76" s="31"/>
      <c r="H76" s="31"/>
      <c r="I76" s="31"/>
      <c r="J76" s="31"/>
      <c r="K76" s="31"/>
      <c r="L76" s="31"/>
      <c r="M76" s="31"/>
      <c r="N76" s="31"/>
      <c r="O76" s="58"/>
      <c r="P76" s="26"/>
      <c r="Q76" s="26"/>
      <c r="R76" s="26"/>
      <c r="S76" s="26"/>
      <c r="T76" s="38"/>
      <c r="U76" s="152"/>
    </row>
    <row r="77" spans="1:21" s="42" customFormat="1" ht="15.75" customHeight="1" thickBot="1" x14ac:dyDescent="0.3">
      <c r="A77" s="166"/>
      <c r="B77" s="137" t="s">
        <v>1069</v>
      </c>
      <c r="C77" s="135" t="s">
        <v>1001</v>
      </c>
      <c r="D77" s="55">
        <f t="shared" ref="D77:K77" si="3">D$4*1</f>
        <v>1</v>
      </c>
      <c r="E77" s="55">
        <f t="shared" si="3"/>
        <v>1</v>
      </c>
      <c r="F77" s="36">
        <f t="shared" si="3"/>
        <v>1</v>
      </c>
      <c r="G77" s="36">
        <f t="shared" si="3"/>
        <v>1</v>
      </c>
      <c r="H77" s="36">
        <f t="shared" si="3"/>
        <v>4</v>
      </c>
      <c r="I77" s="36">
        <f t="shared" si="3"/>
        <v>1</v>
      </c>
      <c r="J77" s="36">
        <f t="shared" si="3"/>
        <v>1</v>
      </c>
      <c r="K77" s="36">
        <f t="shared" si="3"/>
        <v>2</v>
      </c>
      <c r="L77" s="36">
        <f>L$4*3</f>
        <v>3</v>
      </c>
      <c r="M77" s="36">
        <f>M$4*0</f>
        <v>0</v>
      </c>
      <c r="N77" s="56">
        <f>N$4*0</f>
        <v>0</v>
      </c>
      <c r="O77" s="62">
        <f>SUM(D77:N77)</f>
        <v>15</v>
      </c>
      <c r="P77" s="26">
        <v>0</v>
      </c>
      <c r="Q77" s="26">
        <v>0</v>
      </c>
      <c r="R77" s="26">
        <f>P77+Q77</f>
        <v>0</v>
      </c>
      <c r="S77" s="26"/>
      <c r="T77" s="22">
        <f>R77*O77</f>
        <v>0</v>
      </c>
      <c r="U77" s="47"/>
    </row>
    <row r="78" spans="1:21" s="32" customFormat="1" ht="12.75" customHeight="1" x14ac:dyDescent="0.2">
      <c r="A78" s="159"/>
      <c r="B78" s="31"/>
      <c r="C78" s="25"/>
      <c r="D78" s="25"/>
      <c r="E78" s="25"/>
      <c r="F78" s="25"/>
      <c r="G78" s="25"/>
      <c r="H78" s="25"/>
      <c r="I78" s="25"/>
      <c r="J78" s="25"/>
      <c r="K78" s="25"/>
      <c r="L78" s="25"/>
      <c r="M78" s="25"/>
      <c r="N78" s="25"/>
      <c r="O78" s="58"/>
      <c r="P78" s="26"/>
      <c r="Q78" s="26"/>
      <c r="R78" s="26"/>
      <c r="S78" s="26"/>
      <c r="T78" s="35"/>
      <c r="U78" s="37"/>
    </row>
    <row r="79" spans="1:21" s="132" customFormat="1" ht="15.75" customHeight="1" x14ac:dyDescent="0.25">
      <c r="A79" s="160" t="s">
        <v>1070</v>
      </c>
      <c r="B79" s="130" t="s">
        <v>1008</v>
      </c>
      <c r="C79" s="49"/>
      <c r="D79" s="49"/>
      <c r="E79" s="49"/>
      <c r="F79" s="49"/>
      <c r="G79" s="49"/>
      <c r="H79" s="49"/>
      <c r="I79" s="49"/>
      <c r="J79" s="49"/>
      <c r="K79" s="49"/>
      <c r="L79" s="49"/>
      <c r="M79" s="49"/>
      <c r="N79" s="49"/>
      <c r="O79" s="131"/>
      <c r="P79" s="49"/>
      <c r="Q79" s="49"/>
      <c r="R79" s="435" t="s">
        <v>946</v>
      </c>
      <c r="S79" s="388"/>
      <c r="T79" s="50">
        <f>SUM(T15:T78)</f>
        <v>0</v>
      </c>
      <c r="U79" s="151"/>
    </row>
    <row r="81" spans="1:21" s="132" customFormat="1" ht="15.75" customHeight="1" x14ac:dyDescent="0.25">
      <c r="A81" s="160" t="s">
        <v>1070</v>
      </c>
      <c r="B81" s="130" t="s">
        <v>1071</v>
      </c>
      <c r="C81" s="49"/>
      <c r="D81" s="49"/>
      <c r="E81" s="49"/>
      <c r="F81" s="49"/>
      <c r="G81" s="49"/>
      <c r="H81" s="49"/>
      <c r="I81" s="49"/>
      <c r="J81" s="49"/>
      <c r="K81" s="49"/>
      <c r="L81" s="49"/>
      <c r="M81" s="49"/>
      <c r="N81" s="49"/>
      <c r="O81" s="131"/>
      <c r="P81" s="49"/>
      <c r="Q81" s="49"/>
      <c r="R81" s="435" t="s">
        <v>946</v>
      </c>
      <c r="S81" s="388"/>
      <c r="T81" s="50">
        <f>T79*5</f>
        <v>0</v>
      </c>
      <c r="U81" s="151"/>
    </row>
    <row r="83" spans="1:21" ht="15.75" customHeight="1" thickBot="1" x14ac:dyDescent="0.3"/>
    <row r="84" spans="1:21" s="42" customFormat="1" ht="50.1" customHeight="1" thickBot="1" x14ac:dyDescent="0.3">
      <c r="A84" s="119" t="s">
        <v>912</v>
      </c>
      <c r="B84" s="119" t="s">
        <v>913</v>
      </c>
      <c r="C84" s="120" t="s">
        <v>914</v>
      </c>
      <c r="D84" s="430"/>
      <c r="E84" s="431"/>
      <c r="F84" s="431"/>
      <c r="G84" s="431"/>
      <c r="H84" s="431"/>
      <c r="I84" s="431"/>
      <c r="J84" s="431"/>
      <c r="K84" s="121" t="s">
        <v>915</v>
      </c>
      <c r="L84" s="122" t="s">
        <v>916</v>
      </c>
      <c r="M84" s="121" t="s">
        <v>917</v>
      </c>
      <c r="N84" s="121" t="s">
        <v>918</v>
      </c>
      <c r="O84" s="121"/>
      <c r="P84" s="119" t="s">
        <v>919</v>
      </c>
      <c r="Q84" s="47"/>
    </row>
    <row r="85" spans="1:21" s="42" customFormat="1" ht="50.1" customHeight="1" thickBot="1" x14ac:dyDescent="0.3">
      <c r="A85" s="123"/>
      <c r="B85" s="123"/>
      <c r="C85" s="124"/>
      <c r="D85" s="432" t="s">
        <v>948</v>
      </c>
      <c r="E85" s="431"/>
      <c r="F85" s="431"/>
      <c r="G85" s="431"/>
      <c r="H85" s="431"/>
      <c r="I85" s="431"/>
      <c r="J85" s="433"/>
      <c r="K85" s="125"/>
      <c r="L85" s="124"/>
      <c r="M85" s="124"/>
      <c r="N85" s="124"/>
      <c r="O85" s="124"/>
      <c r="P85" s="123"/>
      <c r="Q85" s="47"/>
    </row>
    <row r="86" spans="1:21" s="42" customFormat="1" ht="62.25" customHeight="1" x14ac:dyDescent="0.25">
      <c r="A86" s="123"/>
      <c r="B86" s="123"/>
      <c r="C86" s="124"/>
      <c r="D86" s="173" t="s">
        <v>949</v>
      </c>
      <c r="E86" s="46" t="s">
        <v>950</v>
      </c>
      <c r="F86" s="46" t="s">
        <v>951</v>
      </c>
      <c r="G86" s="46" t="s">
        <v>952</v>
      </c>
      <c r="H86" s="46" t="s">
        <v>953</v>
      </c>
      <c r="I86" s="154" t="s">
        <v>930</v>
      </c>
      <c r="J86" s="126" t="s">
        <v>931</v>
      </c>
      <c r="K86" s="125"/>
      <c r="L86" s="124"/>
      <c r="M86" s="124"/>
      <c r="N86" s="124"/>
      <c r="O86" s="124"/>
      <c r="P86" s="123"/>
      <c r="Q86" s="47"/>
    </row>
    <row r="88" spans="1:21" s="117" customFormat="1" ht="15.75" customHeight="1" x14ac:dyDescent="0.25">
      <c r="A88" s="158" t="s">
        <v>1007</v>
      </c>
      <c r="B88" s="39" t="s">
        <v>1008</v>
      </c>
      <c r="C88" s="40"/>
      <c r="D88" s="175"/>
      <c r="E88" s="40"/>
      <c r="F88" s="40"/>
      <c r="G88" s="40"/>
      <c r="H88" s="40"/>
      <c r="I88" s="40"/>
      <c r="J88" s="40"/>
      <c r="K88" s="59"/>
      <c r="L88" s="40"/>
      <c r="M88" s="40"/>
      <c r="N88" s="40"/>
      <c r="O88" s="40"/>
      <c r="P88" s="41"/>
      <c r="Q88" s="149"/>
    </row>
    <row r="89" spans="1:21" s="42" customFormat="1" x14ac:dyDescent="0.25">
      <c r="A89" s="166" t="s">
        <v>1009</v>
      </c>
      <c r="B89" s="147" t="s">
        <v>1010</v>
      </c>
      <c r="C89" s="28"/>
      <c r="D89" s="181"/>
      <c r="E89" s="28"/>
      <c r="F89" s="28"/>
      <c r="G89" s="28"/>
      <c r="H89" s="28"/>
      <c r="I89" s="28"/>
      <c r="J89" s="28"/>
      <c r="K89" s="60"/>
      <c r="L89" s="29"/>
      <c r="M89" s="29"/>
      <c r="N89" s="29"/>
      <c r="O89" s="29"/>
      <c r="P89" s="23"/>
      <c r="Q89" s="152"/>
    </row>
    <row r="90" spans="1:21" s="42" customFormat="1" ht="62.25" customHeight="1" x14ac:dyDescent="0.25">
      <c r="A90" s="167"/>
      <c r="B90" s="141" t="s">
        <v>1011</v>
      </c>
      <c r="C90" s="31"/>
      <c r="D90" s="182"/>
      <c r="E90" s="31"/>
      <c r="F90" s="31"/>
      <c r="G90" s="31"/>
      <c r="H90" s="31"/>
      <c r="I90" s="31"/>
      <c r="J90" s="31"/>
      <c r="K90" s="58"/>
      <c r="L90" s="26"/>
      <c r="M90" s="26"/>
      <c r="N90" s="26"/>
      <c r="O90" s="26"/>
      <c r="P90" s="38"/>
      <c r="Q90" s="152"/>
    </row>
    <row r="91" spans="1:21" s="42" customFormat="1" ht="27.75" customHeight="1" thickBot="1" x14ac:dyDescent="0.3">
      <c r="A91" s="167"/>
      <c r="B91" s="141" t="s">
        <v>1012</v>
      </c>
      <c r="C91" s="31"/>
      <c r="D91" s="182"/>
      <c r="E91" s="31"/>
      <c r="F91" s="31"/>
      <c r="G91" s="31"/>
      <c r="H91" s="31"/>
      <c r="I91" s="31"/>
      <c r="J91" s="31"/>
      <c r="K91" s="58"/>
      <c r="L91" s="26"/>
      <c r="M91" s="26"/>
      <c r="N91" s="26"/>
      <c r="O91" s="26"/>
      <c r="P91" s="38"/>
      <c r="Q91" s="152"/>
    </row>
    <row r="92" spans="1:21" s="200" customFormat="1" ht="15.75" customHeight="1" thickBot="1" x14ac:dyDescent="0.3">
      <c r="A92" s="282"/>
      <c r="B92" s="188" t="s">
        <v>1013</v>
      </c>
      <c r="C92" s="189" t="s">
        <v>938</v>
      </c>
      <c r="D92" s="293">
        <v>94</v>
      </c>
      <c r="E92" s="191">
        <v>94</v>
      </c>
      <c r="F92" s="191">
        <v>249.2</v>
      </c>
      <c r="G92" s="191">
        <v>89.2</v>
      </c>
      <c r="H92" s="191">
        <v>115.8</v>
      </c>
      <c r="I92" s="191">
        <v>39</v>
      </c>
      <c r="J92" s="192">
        <v>0</v>
      </c>
      <c r="K92" s="193">
        <f>SUM(D92:J92)</f>
        <v>681.19999999999993</v>
      </c>
      <c r="L92" s="194">
        <v>0</v>
      </c>
      <c r="M92" s="194">
        <v>0</v>
      </c>
      <c r="N92" s="194">
        <f>L92+M92</f>
        <v>0</v>
      </c>
      <c r="O92" s="194"/>
      <c r="P92" s="195">
        <f>N92*K92</f>
        <v>0</v>
      </c>
      <c r="Q92" s="208"/>
    </row>
    <row r="93" spans="1:21" s="42" customFormat="1" x14ac:dyDescent="0.25">
      <c r="A93" s="157"/>
      <c r="B93" s="44"/>
      <c r="C93" s="44"/>
      <c r="D93" s="172"/>
      <c r="E93" s="44"/>
      <c r="F93" s="44"/>
      <c r="G93" s="44"/>
      <c r="H93" s="44"/>
      <c r="I93" s="44"/>
      <c r="J93" s="44"/>
      <c r="K93" s="118"/>
      <c r="L93" s="44"/>
      <c r="M93" s="44"/>
      <c r="N93" s="44"/>
      <c r="O93" s="44"/>
      <c r="P93" s="44"/>
      <c r="Q93" s="47"/>
    </row>
    <row r="94" spans="1:21" s="42" customFormat="1" x14ac:dyDescent="0.25">
      <c r="A94" s="166" t="s">
        <v>1014</v>
      </c>
      <c r="B94" s="147" t="s">
        <v>1015</v>
      </c>
      <c r="C94" s="28"/>
      <c r="D94" s="181"/>
      <c r="E94" s="28"/>
      <c r="F94" s="28"/>
      <c r="G94" s="28"/>
      <c r="H94" s="28"/>
      <c r="I94" s="28"/>
      <c r="J94" s="28"/>
      <c r="K94" s="60"/>
      <c r="L94" s="29"/>
      <c r="M94" s="29"/>
      <c r="N94" s="29"/>
      <c r="O94" s="29"/>
      <c r="P94" s="23"/>
      <c r="Q94" s="152"/>
    </row>
    <row r="95" spans="1:21" s="42" customFormat="1" ht="76.5" customHeight="1" x14ac:dyDescent="0.25">
      <c r="A95" s="167"/>
      <c r="B95" s="141" t="s">
        <v>1016</v>
      </c>
      <c r="C95" s="31"/>
      <c r="D95" s="182"/>
      <c r="E95" s="31"/>
      <c r="F95" s="31"/>
      <c r="G95" s="31"/>
      <c r="H95" s="31"/>
      <c r="I95" s="31"/>
      <c r="J95" s="31"/>
      <c r="K95" s="58"/>
      <c r="L95" s="26"/>
      <c r="M95" s="26"/>
      <c r="N95" s="26"/>
      <c r="O95" s="26"/>
      <c r="P95" s="38"/>
      <c r="Q95" s="152"/>
    </row>
    <row r="96" spans="1:21" s="42" customFormat="1" ht="27.75" customHeight="1" thickBot="1" x14ac:dyDescent="0.3">
      <c r="A96" s="167"/>
      <c r="B96" s="141" t="s">
        <v>1012</v>
      </c>
      <c r="C96" s="31"/>
      <c r="D96" s="182"/>
      <c r="E96" s="31"/>
      <c r="F96" s="31"/>
      <c r="G96" s="31"/>
      <c r="H96" s="31"/>
      <c r="I96" s="31"/>
      <c r="J96" s="31"/>
      <c r="K96" s="58"/>
      <c r="L96" s="26"/>
      <c r="M96" s="26"/>
      <c r="N96" s="26"/>
      <c r="O96" s="26"/>
      <c r="P96" s="38"/>
      <c r="Q96" s="152"/>
    </row>
    <row r="97" spans="1:17" s="200" customFormat="1" ht="15.75" customHeight="1" thickBot="1" x14ac:dyDescent="0.3">
      <c r="A97" s="282" t="s">
        <v>1017</v>
      </c>
      <c r="B97" s="188" t="s">
        <v>1018</v>
      </c>
      <c r="C97" s="189" t="s">
        <v>938</v>
      </c>
      <c r="D97" s="293">
        <v>11.2</v>
      </c>
      <c r="E97" s="191">
        <v>11.2</v>
      </c>
      <c r="F97" s="191">
        <v>30</v>
      </c>
      <c r="G97" s="191">
        <v>12.15</v>
      </c>
      <c r="H97" s="191">
        <v>15</v>
      </c>
      <c r="I97" s="191">
        <v>0</v>
      </c>
      <c r="J97" s="192">
        <v>0</v>
      </c>
      <c r="K97" s="193">
        <f>SUM(D97:J97)</f>
        <v>79.55</v>
      </c>
      <c r="L97" s="194">
        <v>0</v>
      </c>
      <c r="M97" s="194">
        <v>0</v>
      </c>
      <c r="N97" s="194">
        <f>L97+M97</f>
        <v>0</v>
      </c>
      <c r="O97" s="194"/>
      <c r="P97" s="195">
        <f>N97*K97</f>
        <v>0</v>
      </c>
      <c r="Q97" s="208"/>
    </row>
    <row r="98" spans="1:17" s="42" customFormat="1" x14ac:dyDescent="0.25">
      <c r="A98" s="157"/>
      <c r="B98" s="44"/>
      <c r="C98" s="44"/>
      <c r="D98" s="172"/>
      <c r="E98" s="44"/>
      <c r="F98" s="44"/>
      <c r="G98" s="44"/>
      <c r="H98" s="44"/>
      <c r="I98" s="44"/>
      <c r="J98" s="44"/>
      <c r="K98" s="118"/>
      <c r="L98" s="44"/>
      <c r="M98" s="44"/>
      <c r="N98" s="44"/>
      <c r="O98" s="44"/>
      <c r="P98" s="44"/>
      <c r="Q98" s="47"/>
    </row>
    <row r="99" spans="1:17" s="42" customFormat="1" x14ac:dyDescent="0.25">
      <c r="A99" s="166" t="s">
        <v>1019</v>
      </c>
      <c r="B99" s="147" t="s">
        <v>1020</v>
      </c>
      <c r="C99" s="28"/>
      <c r="D99" s="181"/>
      <c r="E99" s="28"/>
      <c r="F99" s="28"/>
      <c r="G99" s="28"/>
      <c r="H99" s="28"/>
      <c r="I99" s="28"/>
      <c r="J99" s="28"/>
      <c r="K99" s="60"/>
      <c r="L99" s="29"/>
      <c r="M99" s="29"/>
      <c r="N99" s="29"/>
      <c r="O99" s="29"/>
      <c r="P99" s="23"/>
      <c r="Q99" s="152"/>
    </row>
    <row r="100" spans="1:17" s="42" customFormat="1" ht="163.5" customHeight="1" x14ac:dyDescent="0.25">
      <c r="A100" s="167"/>
      <c r="B100" s="145" t="s">
        <v>1021</v>
      </c>
      <c r="C100" s="31"/>
      <c r="D100" s="182"/>
      <c r="E100" s="31"/>
      <c r="F100" s="31"/>
      <c r="G100" s="31"/>
      <c r="H100" s="31"/>
      <c r="I100" s="31"/>
      <c r="J100" s="31"/>
      <c r="K100" s="58"/>
      <c r="L100" s="26"/>
      <c r="M100" s="26"/>
      <c r="N100" s="26"/>
      <c r="O100" s="26"/>
      <c r="P100" s="38"/>
      <c r="Q100" s="152"/>
    </row>
    <row r="101" spans="1:17" s="42" customFormat="1" ht="15.75" customHeight="1" thickBot="1" x14ac:dyDescent="0.3">
      <c r="A101" s="167"/>
      <c r="B101" s="31" t="s">
        <v>1022</v>
      </c>
      <c r="C101" s="31"/>
      <c r="D101" s="182"/>
      <c r="E101" s="31"/>
      <c r="F101" s="31"/>
      <c r="G101" s="31"/>
      <c r="H101" s="31"/>
      <c r="I101" s="31"/>
      <c r="J101" s="31"/>
      <c r="K101" s="58"/>
      <c r="L101" s="26"/>
      <c r="M101" s="26"/>
      <c r="N101" s="26"/>
      <c r="O101" s="26"/>
      <c r="P101" s="38"/>
      <c r="Q101" s="152"/>
    </row>
    <row r="102" spans="1:17" s="200" customFormat="1" ht="15.75" customHeight="1" thickBot="1" x14ac:dyDescent="0.3">
      <c r="A102" s="282" t="s">
        <v>1023</v>
      </c>
      <c r="B102" s="188" t="s">
        <v>1024</v>
      </c>
      <c r="C102" s="189" t="s">
        <v>938</v>
      </c>
      <c r="D102" s="293">
        <v>24</v>
      </c>
      <c r="E102" s="191">
        <v>24</v>
      </c>
      <c r="F102" s="191">
        <v>107.4</v>
      </c>
      <c r="G102" s="191">
        <v>22.1</v>
      </c>
      <c r="H102" s="191">
        <v>73</v>
      </c>
      <c r="I102" s="191">
        <v>0</v>
      </c>
      <c r="J102" s="192">
        <v>0</v>
      </c>
      <c r="K102" s="193">
        <f>SUM(D102:J102)</f>
        <v>250.5</v>
      </c>
      <c r="L102" s="194">
        <v>0</v>
      </c>
      <c r="M102" s="194">
        <v>0</v>
      </c>
      <c r="N102" s="194">
        <f>L102+M102</f>
        <v>0</v>
      </c>
      <c r="O102" s="194"/>
      <c r="P102" s="195">
        <f>N102*K102</f>
        <v>0</v>
      </c>
      <c r="Q102" s="208"/>
    </row>
    <row r="103" spans="1:17" s="42" customFormat="1" x14ac:dyDescent="0.25">
      <c r="A103" s="157"/>
      <c r="B103" s="44"/>
      <c r="C103" s="44"/>
      <c r="D103" s="172"/>
      <c r="E103" s="44"/>
      <c r="F103" s="44"/>
      <c r="G103" s="44"/>
      <c r="H103" s="44"/>
      <c r="I103" s="44"/>
      <c r="J103" s="44"/>
      <c r="K103" s="118"/>
      <c r="L103" s="44"/>
      <c r="M103" s="44"/>
      <c r="N103" s="44"/>
      <c r="O103" s="44"/>
      <c r="P103" s="44"/>
      <c r="Q103" s="47"/>
    </row>
    <row r="104" spans="1:17" s="42" customFormat="1" ht="25.5" customHeight="1" x14ac:dyDescent="0.25">
      <c r="A104" s="166" t="s">
        <v>1025</v>
      </c>
      <c r="B104" s="147" t="s">
        <v>1026</v>
      </c>
      <c r="C104" s="28"/>
      <c r="D104" s="181"/>
      <c r="E104" s="28"/>
      <c r="F104" s="28"/>
      <c r="G104" s="28"/>
      <c r="H104" s="28"/>
      <c r="I104" s="28"/>
      <c r="J104" s="28"/>
      <c r="K104" s="60"/>
      <c r="L104" s="29"/>
      <c r="M104" s="29"/>
      <c r="N104" s="29"/>
      <c r="O104" s="29"/>
      <c r="P104" s="23"/>
      <c r="Q104" s="152"/>
    </row>
    <row r="105" spans="1:17" s="42" customFormat="1" ht="165.75" customHeight="1" x14ac:dyDescent="0.25">
      <c r="A105" s="167"/>
      <c r="B105" s="145" t="s">
        <v>1027</v>
      </c>
      <c r="C105" s="31"/>
      <c r="D105" s="182"/>
      <c r="E105" s="31"/>
      <c r="F105" s="31"/>
      <c r="G105" s="31"/>
      <c r="H105" s="31"/>
      <c r="I105" s="31"/>
      <c r="J105" s="31"/>
      <c r="K105" s="58"/>
      <c r="L105" s="26"/>
      <c r="M105" s="26"/>
      <c r="N105" s="26"/>
      <c r="O105" s="26"/>
      <c r="P105" s="38"/>
      <c r="Q105" s="152"/>
    </row>
    <row r="106" spans="1:17" s="42" customFormat="1" ht="15.75" customHeight="1" thickBot="1" x14ac:dyDescent="0.3">
      <c r="A106" s="167"/>
      <c r="B106" s="31" t="s">
        <v>1022</v>
      </c>
      <c r="C106" s="31"/>
      <c r="D106" s="182"/>
      <c r="E106" s="31"/>
      <c r="F106" s="31"/>
      <c r="G106" s="31"/>
      <c r="H106" s="31"/>
      <c r="I106" s="31"/>
      <c r="J106" s="31"/>
      <c r="K106" s="58"/>
      <c r="L106" s="26"/>
      <c r="M106" s="26"/>
      <c r="N106" s="26"/>
      <c r="O106" s="26"/>
      <c r="P106" s="38"/>
      <c r="Q106" s="152"/>
    </row>
    <row r="107" spans="1:17" s="200" customFormat="1" ht="15.75" customHeight="1" thickBot="1" x14ac:dyDescent="0.3">
      <c r="A107" s="282" t="s">
        <v>1023</v>
      </c>
      <c r="B107" s="188" t="s">
        <v>1024</v>
      </c>
      <c r="C107" s="189" t="s">
        <v>938</v>
      </c>
      <c r="D107" s="293">
        <v>38</v>
      </c>
      <c r="E107" s="191">
        <v>38</v>
      </c>
      <c r="F107" s="191">
        <v>131</v>
      </c>
      <c r="G107" s="191">
        <v>50.8</v>
      </c>
      <c r="H107" s="191">
        <v>101.7</v>
      </c>
      <c r="I107" s="191">
        <v>0</v>
      </c>
      <c r="J107" s="192">
        <v>0</v>
      </c>
      <c r="K107" s="193">
        <f>SUM(D107:J107)</f>
        <v>359.5</v>
      </c>
      <c r="L107" s="194">
        <v>0</v>
      </c>
      <c r="M107" s="194">
        <v>0</v>
      </c>
      <c r="N107" s="194">
        <f>L107+M107</f>
        <v>0</v>
      </c>
      <c r="O107" s="194"/>
      <c r="P107" s="195">
        <f>N107*K107</f>
        <v>0</v>
      </c>
      <c r="Q107" s="208"/>
    </row>
    <row r="108" spans="1:17" s="42" customFormat="1" x14ac:dyDescent="0.25">
      <c r="A108" s="157"/>
      <c r="B108" s="44"/>
      <c r="C108" s="44"/>
      <c r="D108" s="172"/>
      <c r="E108" s="44"/>
      <c r="F108" s="44"/>
      <c r="G108" s="44"/>
      <c r="H108" s="44"/>
      <c r="I108" s="44"/>
      <c r="J108" s="44"/>
      <c r="K108" s="118"/>
      <c r="L108" s="44"/>
      <c r="M108" s="44"/>
      <c r="N108" s="44"/>
      <c r="O108" s="44"/>
      <c r="P108" s="44"/>
      <c r="Q108" s="47"/>
    </row>
    <row r="109" spans="1:17" s="42" customFormat="1" x14ac:dyDescent="0.25">
      <c r="A109" s="166" t="s">
        <v>1029</v>
      </c>
      <c r="B109" s="147" t="s">
        <v>1030</v>
      </c>
      <c r="C109" s="28"/>
      <c r="D109" s="181"/>
      <c r="E109" s="28"/>
      <c r="F109" s="28"/>
      <c r="G109" s="28"/>
      <c r="H109" s="28"/>
      <c r="I109" s="28"/>
      <c r="J109" s="28"/>
      <c r="K109" s="60"/>
      <c r="L109" s="29"/>
      <c r="M109" s="29"/>
      <c r="N109" s="29"/>
      <c r="O109" s="29"/>
      <c r="P109" s="23"/>
      <c r="Q109" s="152"/>
    </row>
    <row r="110" spans="1:17" s="42" customFormat="1" ht="143.25" customHeight="1" x14ac:dyDescent="0.25">
      <c r="A110" s="167"/>
      <c r="B110" s="145" t="s">
        <v>1031</v>
      </c>
      <c r="C110" s="31"/>
      <c r="D110" s="182"/>
      <c r="E110" s="31"/>
      <c r="F110" s="31"/>
      <c r="G110" s="31"/>
      <c r="H110" s="31"/>
      <c r="I110" s="31"/>
      <c r="J110" s="31"/>
      <c r="K110" s="58"/>
      <c r="L110" s="26"/>
      <c r="M110" s="26"/>
      <c r="N110" s="26"/>
      <c r="O110" s="26"/>
      <c r="P110" s="38"/>
      <c r="Q110" s="152"/>
    </row>
    <row r="111" spans="1:17" s="42" customFormat="1" ht="15.75" customHeight="1" thickBot="1" x14ac:dyDescent="0.3">
      <c r="A111" s="167"/>
      <c r="B111" s="31" t="s">
        <v>1022</v>
      </c>
      <c r="C111" s="31"/>
      <c r="D111" s="182"/>
      <c r="E111" s="31"/>
      <c r="F111" s="31"/>
      <c r="G111" s="31"/>
      <c r="H111" s="31"/>
      <c r="I111" s="31"/>
      <c r="J111" s="31"/>
      <c r="K111" s="58"/>
      <c r="L111" s="26"/>
      <c r="M111" s="26"/>
      <c r="N111" s="26"/>
      <c r="O111" s="26"/>
      <c r="P111" s="38"/>
      <c r="Q111" s="152"/>
    </row>
    <row r="112" spans="1:17" s="200" customFormat="1" ht="15.75" customHeight="1" thickBot="1" x14ac:dyDescent="0.3">
      <c r="A112" s="282" t="s">
        <v>1023</v>
      </c>
      <c r="B112" s="188" t="s">
        <v>1024</v>
      </c>
      <c r="C112" s="189" t="s">
        <v>938</v>
      </c>
      <c r="D112" s="293">
        <v>0</v>
      </c>
      <c r="E112" s="191">
        <v>0</v>
      </c>
      <c r="F112" s="191">
        <v>0</v>
      </c>
      <c r="G112" s="191">
        <v>0</v>
      </c>
      <c r="H112" s="191">
        <v>0</v>
      </c>
      <c r="I112" s="191">
        <v>0</v>
      </c>
      <c r="J112" s="192">
        <v>0</v>
      </c>
      <c r="K112" s="193">
        <f>SUM(D112:J112)</f>
        <v>0</v>
      </c>
      <c r="L112" s="194">
        <v>0</v>
      </c>
      <c r="M112" s="194">
        <v>0</v>
      </c>
      <c r="N112" s="194">
        <f>L112+M112</f>
        <v>0</v>
      </c>
      <c r="O112" s="194"/>
      <c r="P112" s="195">
        <f>N112*K112</f>
        <v>0</v>
      </c>
      <c r="Q112" s="208"/>
    </row>
    <row r="113" spans="1:17" s="42" customFormat="1" x14ac:dyDescent="0.25">
      <c r="A113" s="157"/>
      <c r="B113" s="44"/>
      <c r="C113" s="44"/>
      <c r="D113" s="172"/>
      <c r="E113" s="44"/>
      <c r="F113" s="44"/>
      <c r="G113" s="44"/>
      <c r="H113" s="44"/>
      <c r="I113" s="44"/>
      <c r="J113" s="44"/>
      <c r="K113" s="118"/>
      <c r="L113" s="44"/>
      <c r="M113" s="44"/>
      <c r="N113" s="44"/>
      <c r="O113" s="44"/>
      <c r="P113" s="44"/>
      <c r="Q113" s="47"/>
    </row>
    <row r="114" spans="1:17" s="240" customFormat="1" x14ac:dyDescent="0.25">
      <c r="A114" s="301" t="s">
        <v>1033</v>
      </c>
      <c r="B114" s="302" t="s">
        <v>1034</v>
      </c>
      <c r="C114" s="303"/>
      <c r="D114" s="304"/>
      <c r="E114" s="303"/>
      <c r="F114" s="303"/>
      <c r="G114" s="303"/>
      <c r="H114" s="303"/>
      <c r="I114" s="303"/>
      <c r="J114" s="303"/>
      <c r="K114" s="305"/>
      <c r="L114" s="306"/>
      <c r="M114" s="306"/>
      <c r="N114" s="306"/>
      <c r="O114" s="306"/>
      <c r="P114" s="307"/>
    </row>
    <row r="115" spans="1:17" s="240" customFormat="1" ht="165.75" customHeight="1" x14ac:dyDescent="0.25">
      <c r="A115" s="308"/>
      <c r="B115" s="309" t="s">
        <v>1035</v>
      </c>
      <c r="C115" s="310"/>
      <c r="D115" s="311"/>
      <c r="E115" s="310"/>
      <c r="F115" s="310"/>
      <c r="G115" s="310"/>
      <c r="H115" s="310"/>
      <c r="I115" s="310"/>
      <c r="J115" s="310"/>
      <c r="K115" s="312"/>
      <c r="L115" s="313"/>
      <c r="M115" s="313"/>
      <c r="N115" s="313"/>
      <c r="O115" s="313"/>
      <c r="P115" s="314"/>
    </row>
    <row r="116" spans="1:17" s="240" customFormat="1" ht="15.75" customHeight="1" thickBot="1" x14ac:dyDescent="0.3">
      <c r="A116" s="308"/>
      <c r="B116" s="310" t="s">
        <v>1022</v>
      </c>
      <c r="C116" s="310"/>
      <c r="D116" s="311"/>
      <c r="E116" s="310"/>
      <c r="F116" s="310"/>
      <c r="G116" s="310"/>
      <c r="H116" s="310"/>
      <c r="I116" s="310"/>
      <c r="J116" s="310"/>
      <c r="K116" s="312"/>
      <c r="L116" s="313"/>
      <c r="M116" s="313"/>
      <c r="N116" s="313"/>
      <c r="O116" s="313"/>
      <c r="P116" s="314"/>
    </row>
    <row r="117" spans="1:17" s="240" customFormat="1" ht="15.75" customHeight="1" thickBot="1" x14ac:dyDescent="0.3">
      <c r="A117" s="301" t="s">
        <v>1036</v>
      </c>
      <c r="B117" s="315" t="s">
        <v>1037</v>
      </c>
      <c r="C117" s="316" t="s">
        <v>938</v>
      </c>
      <c r="D117" s="317">
        <v>0</v>
      </c>
      <c r="E117" s="318">
        <v>0</v>
      </c>
      <c r="F117" s="318">
        <v>0</v>
      </c>
      <c r="G117" s="318">
        <v>0</v>
      </c>
      <c r="H117" s="318">
        <v>0</v>
      </c>
      <c r="I117" s="318">
        <v>0</v>
      </c>
      <c r="J117" s="319">
        <v>0</v>
      </c>
      <c r="K117" s="320">
        <f>SUM(D117:J117)</f>
        <v>0</v>
      </c>
      <c r="L117" s="313">
        <v>0</v>
      </c>
      <c r="M117" s="313">
        <v>0</v>
      </c>
      <c r="N117" s="313">
        <f>L117+M117</f>
        <v>0</v>
      </c>
      <c r="O117" s="313"/>
      <c r="P117" s="321">
        <f>N117*K117</f>
        <v>0</v>
      </c>
      <c r="Q117" s="239"/>
    </row>
    <row r="118" spans="1:17" s="240" customFormat="1" x14ac:dyDescent="0.25">
      <c r="A118" s="322"/>
      <c r="B118" s="323"/>
      <c r="C118" s="323"/>
      <c r="D118" s="324"/>
      <c r="E118" s="323"/>
      <c r="F118" s="323"/>
      <c r="G118" s="323"/>
      <c r="H118" s="323"/>
      <c r="I118" s="323"/>
      <c r="J118" s="323"/>
      <c r="K118" s="325"/>
      <c r="L118" s="323"/>
      <c r="M118" s="323"/>
      <c r="N118" s="323"/>
      <c r="O118" s="323"/>
      <c r="P118" s="323"/>
      <c r="Q118" s="239"/>
    </row>
    <row r="119" spans="1:17" s="240" customFormat="1" ht="25.5" customHeight="1" x14ac:dyDescent="0.25">
      <c r="A119" s="301" t="s">
        <v>1072</v>
      </c>
      <c r="B119" s="302" t="s">
        <v>1073</v>
      </c>
      <c r="C119" s="303"/>
      <c r="D119" s="304"/>
      <c r="E119" s="303"/>
      <c r="F119" s="303"/>
      <c r="G119" s="303"/>
      <c r="H119" s="303"/>
      <c r="I119" s="303"/>
      <c r="J119" s="303"/>
      <c r="K119" s="305"/>
      <c r="L119" s="306"/>
      <c r="M119" s="306"/>
      <c r="N119" s="306"/>
      <c r="O119" s="306"/>
      <c r="P119" s="307"/>
    </row>
    <row r="120" spans="1:17" s="240" customFormat="1" ht="165.75" customHeight="1" x14ac:dyDescent="0.25">
      <c r="A120" s="308"/>
      <c r="B120" s="309" t="s">
        <v>1074</v>
      </c>
      <c r="C120" s="310"/>
      <c r="D120" s="311"/>
      <c r="E120" s="310"/>
      <c r="F120" s="310"/>
      <c r="G120" s="310"/>
      <c r="H120" s="310"/>
      <c r="I120" s="310"/>
      <c r="J120" s="310"/>
      <c r="K120" s="312"/>
      <c r="L120" s="313"/>
      <c r="M120" s="313"/>
      <c r="N120" s="313"/>
      <c r="O120" s="313"/>
      <c r="P120" s="314"/>
    </row>
    <row r="121" spans="1:17" s="240" customFormat="1" ht="15.75" customHeight="1" thickBot="1" x14ac:dyDescent="0.3">
      <c r="A121" s="308"/>
      <c r="B121" s="310" t="s">
        <v>1022</v>
      </c>
      <c r="C121" s="310"/>
      <c r="D121" s="311"/>
      <c r="E121" s="310"/>
      <c r="F121" s="310"/>
      <c r="G121" s="310"/>
      <c r="H121" s="310"/>
      <c r="I121" s="310"/>
      <c r="J121" s="310"/>
      <c r="K121" s="312"/>
      <c r="L121" s="313"/>
      <c r="M121" s="313"/>
      <c r="N121" s="313"/>
      <c r="O121" s="313"/>
      <c r="P121" s="314"/>
    </row>
    <row r="122" spans="1:17" s="240" customFormat="1" ht="15.75" customHeight="1" thickBot="1" x14ac:dyDescent="0.3">
      <c r="A122" s="301" t="s">
        <v>1075</v>
      </c>
      <c r="B122" s="315" t="s">
        <v>1037</v>
      </c>
      <c r="C122" s="316" t="s">
        <v>938</v>
      </c>
      <c r="D122" s="317">
        <v>0</v>
      </c>
      <c r="E122" s="318">
        <v>0</v>
      </c>
      <c r="F122" s="318">
        <v>0</v>
      </c>
      <c r="G122" s="318">
        <v>0</v>
      </c>
      <c r="H122" s="318">
        <v>0</v>
      </c>
      <c r="I122" s="318">
        <v>0</v>
      </c>
      <c r="J122" s="319">
        <v>0</v>
      </c>
      <c r="K122" s="320">
        <f>SUM(D122:J122)</f>
        <v>0</v>
      </c>
      <c r="L122" s="313">
        <v>0</v>
      </c>
      <c r="M122" s="313">
        <v>0</v>
      </c>
      <c r="N122" s="313">
        <f>L122+M122</f>
        <v>0</v>
      </c>
      <c r="O122" s="313"/>
      <c r="P122" s="321">
        <f>N122*K122</f>
        <v>0</v>
      </c>
      <c r="Q122" s="239"/>
    </row>
    <row r="123" spans="1:17" s="240" customFormat="1" x14ac:dyDescent="0.25">
      <c r="A123" s="322"/>
      <c r="B123" s="323"/>
      <c r="C123" s="323"/>
      <c r="D123" s="324"/>
      <c r="E123" s="323"/>
      <c r="F123" s="323"/>
      <c r="G123" s="323"/>
      <c r="H123" s="323"/>
      <c r="I123" s="323"/>
      <c r="J123" s="323"/>
      <c r="K123" s="325"/>
      <c r="L123" s="323"/>
      <c r="M123" s="323"/>
      <c r="N123" s="323"/>
      <c r="O123" s="323"/>
      <c r="P123" s="323"/>
      <c r="Q123" s="239"/>
    </row>
    <row r="124" spans="1:17" s="240" customFormat="1" x14ac:dyDescent="0.25">
      <c r="A124" s="301" t="s">
        <v>1076</v>
      </c>
      <c r="B124" s="302" t="s">
        <v>1077</v>
      </c>
      <c r="C124" s="303"/>
      <c r="D124" s="304"/>
      <c r="E124" s="303"/>
      <c r="F124" s="303"/>
      <c r="G124" s="303"/>
      <c r="H124" s="303"/>
      <c r="I124" s="303"/>
      <c r="J124" s="303"/>
      <c r="K124" s="305"/>
      <c r="L124" s="306"/>
      <c r="M124" s="306"/>
      <c r="N124" s="306"/>
      <c r="O124" s="306"/>
      <c r="P124" s="307"/>
    </row>
    <row r="125" spans="1:17" s="240" customFormat="1" ht="165.75" customHeight="1" x14ac:dyDescent="0.25">
      <c r="A125" s="308"/>
      <c r="B125" s="309" t="s">
        <v>1078</v>
      </c>
      <c r="C125" s="310"/>
      <c r="D125" s="311"/>
      <c r="E125" s="310"/>
      <c r="F125" s="310"/>
      <c r="G125" s="310"/>
      <c r="H125" s="310"/>
      <c r="I125" s="310"/>
      <c r="J125" s="310"/>
      <c r="K125" s="312"/>
      <c r="L125" s="313"/>
      <c r="M125" s="313"/>
      <c r="N125" s="313"/>
      <c r="O125" s="313"/>
      <c r="P125" s="314"/>
    </row>
    <row r="126" spans="1:17" s="240" customFormat="1" ht="15.75" customHeight="1" thickBot="1" x14ac:dyDescent="0.3">
      <c r="A126" s="308"/>
      <c r="B126" s="310" t="s">
        <v>1022</v>
      </c>
      <c r="C126" s="310"/>
      <c r="D126" s="311"/>
      <c r="E126" s="310"/>
      <c r="F126" s="310"/>
      <c r="G126" s="310"/>
      <c r="H126" s="310"/>
      <c r="I126" s="310"/>
      <c r="J126" s="310"/>
      <c r="K126" s="312"/>
      <c r="L126" s="313"/>
      <c r="M126" s="313"/>
      <c r="N126" s="313"/>
      <c r="O126" s="313"/>
      <c r="P126" s="314"/>
    </row>
    <row r="127" spans="1:17" s="240" customFormat="1" ht="15.75" customHeight="1" thickBot="1" x14ac:dyDescent="0.3">
      <c r="A127" s="301" t="s">
        <v>1079</v>
      </c>
      <c r="B127" s="315" t="s">
        <v>1037</v>
      </c>
      <c r="C127" s="316" t="s">
        <v>938</v>
      </c>
      <c r="D127" s="317">
        <v>5.5</v>
      </c>
      <c r="E127" s="318">
        <v>5.5</v>
      </c>
      <c r="F127" s="318">
        <v>0</v>
      </c>
      <c r="G127" s="318">
        <v>0</v>
      </c>
      <c r="H127" s="318">
        <v>0</v>
      </c>
      <c r="I127" s="318">
        <v>0</v>
      </c>
      <c r="J127" s="319">
        <v>0</v>
      </c>
      <c r="K127" s="320">
        <f>SUM(D127:J127)</f>
        <v>11</v>
      </c>
      <c r="L127" s="313">
        <v>0</v>
      </c>
      <c r="M127" s="313">
        <v>0</v>
      </c>
      <c r="N127" s="313">
        <f>L127+M127</f>
        <v>0</v>
      </c>
      <c r="O127" s="313"/>
      <c r="P127" s="321">
        <f>N127*K127</f>
        <v>0</v>
      </c>
      <c r="Q127" s="239"/>
    </row>
    <row r="128" spans="1:17" s="240" customFormat="1" x14ac:dyDescent="0.25">
      <c r="A128" s="322"/>
      <c r="B128" s="323"/>
      <c r="C128" s="323"/>
      <c r="D128" s="324"/>
      <c r="E128" s="323"/>
      <c r="F128" s="323"/>
      <c r="G128" s="323"/>
      <c r="H128" s="323"/>
      <c r="I128" s="323"/>
      <c r="J128" s="323"/>
      <c r="K128" s="325"/>
      <c r="L128" s="323"/>
      <c r="M128" s="323"/>
      <c r="N128" s="323"/>
      <c r="O128" s="323"/>
      <c r="P128" s="323"/>
      <c r="Q128" s="239"/>
    </row>
    <row r="129" spans="1:17" s="240" customFormat="1" x14ac:dyDescent="0.25">
      <c r="A129" s="301" t="s">
        <v>1080</v>
      </c>
      <c r="B129" s="302" t="s">
        <v>1081</v>
      </c>
      <c r="C129" s="303"/>
      <c r="D129" s="304"/>
      <c r="E129" s="303"/>
      <c r="F129" s="303"/>
      <c r="G129" s="303"/>
      <c r="H129" s="303"/>
      <c r="I129" s="303"/>
      <c r="J129" s="303"/>
      <c r="K129" s="305"/>
      <c r="L129" s="306"/>
      <c r="M129" s="306"/>
      <c r="N129" s="306"/>
      <c r="O129" s="306"/>
      <c r="P129" s="307"/>
    </row>
    <row r="130" spans="1:17" s="240" customFormat="1" ht="163.5" customHeight="1" x14ac:dyDescent="0.25">
      <c r="A130" s="308"/>
      <c r="B130" s="309" t="s">
        <v>1082</v>
      </c>
      <c r="C130" s="310"/>
      <c r="D130" s="311"/>
      <c r="E130" s="310"/>
      <c r="F130" s="310"/>
      <c r="G130" s="310"/>
      <c r="H130" s="310"/>
      <c r="I130" s="310"/>
      <c r="J130" s="310"/>
      <c r="K130" s="312"/>
      <c r="L130" s="313"/>
      <c r="M130" s="313"/>
      <c r="N130" s="313"/>
      <c r="O130" s="313"/>
      <c r="P130" s="314"/>
    </row>
    <row r="131" spans="1:17" s="240" customFormat="1" ht="15.75" customHeight="1" thickBot="1" x14ac:dyDescent="0.3">
      <c r="A131" s="308"/>
      <c r="B131" s="310" t="s">
        <v>1022</v>
      </c>
      <c r="C131" s="310"/>
      <c r="D131" s="311"/>
      <c r="E131" s="310"/>
      <c r="F131" s="310"/>
      <c r="G131" s="310"/>
      <c r="H131" s="310"/>
      <c r="I131" s="310"/>
      <c r="J131" s="310"/>
      <c r="K131" s="312"/>
      <c r="L131" s="313"/>
      <c r="M131" s="313"/>
      <c r="N131" s="313"/>
      <c r="O131" s="313"/>
      <c r="P131" s="314"/>
    </row>
    <row r="132" spans="1:17" s="240" customFormat="1" ht="15.75" customHeight="1" thickBot="1" x14ac:dyDescent="0.3">
      <c r="A132" s="301" t="s">
        <v>1083</v>
      </c>
      <c r="B132" s="315" t="s">
        <v>1084</v>
      </c>
      <c r="C132" s="316" t="s">
        <v>938</v>
      </c>
      <c r="D132" s="317">
        <v>0</v>
      </c>
      <c r="E132" s="318">
        <v>0</v>
      </c>
      <c r="F132" s="318">
        <v>0</v>
      </c>
      <c r="G132" s="318">
        <v>0</v>
      </c>
      <c r="H132" s="318">
        <v>0</v>
      </c>
      <c r="I132" s="318">
        <v>0</v>
      </c>
      <c r="J132" s="319">
        <v>0</v>
      </c>
      <c r="K132" s="320">
        <f>SUM(D132:J132)</f>
        <v>0</v>
      </c>
      <c r="L132" s="313">
        <v>0</v>
      </c>
      <c r="M132" s="313">
        <v>0</v>
      </c>
      <c r="N132" s="313">
        <f>L132+M132</f>
        <v>0</v>
      </c>
      <c r="O132" s="313"/>
      <c r="P132" s="321">
        <f>N132*K132</f>
        <v>0</v>
      </c>
      <c r="Q132" s="239"/>
    </row>
    <row r="133" spans="1:17" s="42" customFormat="1" x14ac:dyDescent="0.25">
      <c r="A133" s="157"/>
      <c r="B133" s="44"/>
      <c r="C133" s="44"/>
      <c r="D133" s="172"/>
      <c r="E133" s="44"/>
      <c r="F133" s="44"/>
      <c r="G133" s="44"/>
      <c r="H133" s="44"/>
      <c r="I133" s="44"/>
      <c r="J133" s="44"/>
      <c r="K133" s="118"/>
      <c r="L133" s="44"/>
      <c r="M133" s="44"/>
      <c r="N133" s="44"/>
      <c r="O133" s="44"/>
      <c r="P133" s="44"/>
      <c r="Q133" s="47"/>
    </row>
    <row r="134" spans="1:17" s="42" customFormat="1" x14ac:dyDescent="0.25">
      <c r="A134" s="166" t="s">
        <v>1038</v>
      </c>
      <c r="B134" s="147" t="s">
        <v>1039</v>
      </c>
      <c r="C134" s="28"/>
      <c r="D134" s="181"/>
      <c r="E134" s="28"/>
      <c r="F134" s="28"/>
      <c r="G134" s="28"/>
      <c r="H134" s="28"/>
      <c r="I134" s="28"/>
      <c r="J134" s="28"/>
      <c r="K134" s="60"/>
      <c r="L134" s="29"/>
      <c r="M134" s="29"/>
      <c r="N134" s="29"/>
      <c r="O134" s="29"/>
      <c r="P134" s="23"/>
      <c r="Q134" s="152"/>
    </row>
    <row r="135" spans="1:17" s="42" customFormat="1" ht="140.25" customHeight="1" x14ac:dyDescent="0.25">
      <c r="A135" s="167"/>
      <c r="B135" s="145" t="s">
        <v>1040</v>
      </c>
      <c r="C135" s="31"/>
      <c r="D135" s="182"/>
      <c r="E135" s="31"/>
      <c r="F135" s="31"/>
      <c r="G135" s="31"/>
      <c r="H135" s="31"/>
      <c r="I135" s="31"/>
      <c r="J135" s="31"/>
      <c r="K135" s="58"/>
      <c r="L135" s="26"/>
      <c r="M135" s="26"/>
      <c r="N135" s="26"/>
      <c r="O135" s="26"/>
      <c r="P135" s="38"/>
      <c r="Q135" s="152"/>
    </row>
    <row r="136" spans="1:17" s="42" customFormat="1" ht="39" customHeight="1" thickBot="1" x14ac:dyDescent="0.3">
      <c r="A136" s="167"/>
      <c r="B136" s="24" t="s">
        <v>1041</v>
      </c>
      <c r="C136" s="31"/>
      <c r="D136" s="182"/>
      <c r="E136" s="31"/>
      <c r="F136" s="31"/>
      <c r="G136" s="31"/>
      <c r="H136" s="31"/>
      <c r="I136" s="31"/>
      <c r="J136" s="31"/>
      <c r="K136" s="58"/>
      <c r="L136" s="26"/>
      <c r="M136" s="26"/>
      <c r="N136" s="26"/>
      <c r="O136" s="26"/>
      <c r="P136" s="38"/>
      <c r="Q136" s="152"/>
    </row>
    <row r="137" spans="1:17" s="200" customFormat="1" ht="15.75" customHeight="1" thickBot="1" x14ac:dyDescent="0.3">
      <c r="A137" s="282"/>
      <c r="B137" s="188" t="s">
        <v>1022</v>
      </c>
      <c r="C137" s="189" t="s">
        <v>938</v>
      </c>
      <c r="D137" s="293">
        <v>22.4</v>
      </c>
      <c r="E137" s="191">
        <v>22.4</v>
      </c>
      <c r="F137" s="191">
        <v>64</v>
      </c>
      <c r="G137" s="191">
        <v>24.2</v>
      </c>
      <c r="H137" s="191">
        <v>47.6</v>
      </c>
      <c r="I137" s="191">
        <v>0</v>
      </c>
      <c r="J137" s="192">
        <v>0</v>
      </c>
      <c r="K137" s="193">
        <f>SUM(D137:J137)</f>
        <v>180.6</v>
      </c>
      <c r="L137" s="194">
        <v>0</v>
      </c>
      <c r="M137" s="194">
        <v>0</v>
      </c>
      <c r="N137" s="194">
        <f>L137+M137</f>
        <v>0</v>
      </c>
      <c r="O137" s="194"/>
      <c r="P137" s="195">
        <f>N137*K137</f>
        <v>0</v>
      </c>
      <c r="Q137" s="208"/>
    </row>
    <row r="138" spans="1:17" s="42" customFormat="1" x14ac:dyDescent="0.25">
      <c r="A138" s="157"/>
      <c r="B138" s="44"/>
      <c r="C138" s="44"/>
      <c r="D138" s="172"/>
      <c r="E138" s="44"/>
      <c r="F138" s="44"/>
      <c r="G138" s="44"/>
      <c r="H138" s="44"/>
      <c r="I138" s="44"/>
      <c r="J138" s="44"/>
      <c r="K138" s="118"/>
      <c r="L138" s="44"/>
      <c r="M138" s="44"/>
      <c r="N138" s="44"/>
      <c r="O138" s="44"/>
      <c r="P138" s="44"/>
      <c r="Q138" s="47"/>
    </row>
    <row r="139" spans="1:17" s="42" customFormat="1" x14ac:dyDescent="0.25">
      <c r="A139" s="166" t="s">
        <v>1042</v>
      </c>
      <c r="B139" s="147" t="s">
        <v>1043</v>
      </c>
      <c r="C139" s="28"/>
      <c r="D139" s="181"/>
      <c r="E139" s="28"/>
      <c r="F139" s="28"/>
      <c r="G139" s="28"/>
      <c r="H139" s="28"/>
      <c r="I139" s="28"/>
      <c r="J139" s="28"/>
      <c r="K139" s="60"/>
      <c r="L139" s="29"/>
      <c r="M139" s="29"/>
      <c r="N139" s="29"/>
      <c r="O139" s="29"/>
      <c r="P139" s="23"/>
      <c r="Q139" s="152"/>
    </row>
    <row r="140" spans="1:17" s="42" customFormat="1" ht="140.25" customHeight="1" x14ac:dyDescent="0.25">
      <c r="A140" s="167"/>
      <c r="B140" s="145" t="s">
        <v>1044</v>
      </c>
      <c r="C140" s="31"/>
      <c r="D140" s="182"/>
      <c r="E140" s="31"/>
      <c r="F140" s="31"/>
      <c r="G140" s="31"/>
      <c r="H140" s="31"/>
      <c r="I140" s="31"/>
      <c r="J140" s="31"/>
      <c r="K140" s="58"/>
      <c r="L140" s="26"/>
      <c r="M140" s="26"/>
      <c r="N140" s="26"/>
      <c r="O140" s="26"/>
      <c r="P140" s="38"/>
      <c r="Q140" s="152"/>
    </row>
    <row r="141" spans="1:17" s="42" customFormat="1" ht="38.25" customHeight="1" x14ac:dyDescent="0.25">
      <c r="A141" s="167"/>
      <c r="B141" s="24" t="s">
        <v>1045</v>
      </c>
      <c r="C141" s="31"/>
      <c r="D141" s="182"/>
      <c r="E141" s="31"/>
      <c r="F141" s="31"/>
      <c r="G141" s="31"/>
      <c r="H141" s="31"/>
      <c r="I141" s="31"/>
      <c r="J141" s="31"/>
      <c r="K141" s="58"/>
      <c r="L141" s="26"/>
      <c r="M141" s="26"/>
      <c r="N141" s="26"/>
      <c r="O141" s="26"/>
      <c r="P141" s="38"/>
      <c r="Q141" s="152"/>
    </row>
    <row r="142" spans="1:17" s="42" customFormat="1" ht="15.75" customHeight="1" thickBot="1" x14ac:dyDescent="0.3">
      <c r="A142" s="167"/>
      <c r="B142" s="24" t="s">
        <v>1022</v>
      </c>
      <c r="C142" s="31"/>
      <c r="D142" s="182"/>
      <c r="E142" s="31"/>
      <c r="F142" s="31"/>
      <c r="G142" s="31"/>
      <c r="H142" s="31"/>
      <c r="I142" s="31"/>
      <c r="J142" s="31"/>
      <c r="K142" s="58"/>
      <c r="L142" s="26"/>
      <c r="M142" s="26"/>
      <c r="N142" s="26"/>
      <c r="O142" s="26"/>
      <c r="P142" s="38"/>
      <c r="Q142" s="152"/>
    </row>
    <row r="143" spans="1:17" s="200" customFormat="1" ht="15.75" customHeight="1" thickBot="1" x14ac:dyDescent="0.3">
      <c r="A143" s="187" t="s">
        <v>1046</v>
      </c>
      <c r="B143" s="188" t="s">
        <v>1047</v>
      </c>
      <c r="C143" s="189" t="s">
        <v>938</v>
      </c>
      <c r="D143" s="293">
        <v>172.7</v>
      </c>
      <c r="E143" s="191">
        <v>172.7</v>
      </c>
      <c r="F143" s="191">
        <v>344.4</v>
      </c>
      <c r="G143" s="191">
        <v>165</v>
      </c>
      <c r="H143" s="191">
        <v>196.8</v>
      </c>
      <c r="I143" s="191">
        <v>67</v>
      </c>
      <c r="J143" s="192">
        <v>0</v>
      </c>
      <c r="K143" s="193">
        <f>SUM(D143:J143)</f>
        <v>1118.5999999999999</v>
      </c>
      <c r="L143" s="194">
        <v>0</v>
      </c>
      <c r="M143" s="194">
        <v>0</v>
      </c>
      <c r="N143" s="194">
        <f>L143+M143</f>
        <v>0</v>
      </c>
      <c r="O143" s="194"/>
      <c r="P143" s="195">
        <f>N143*K143</f>
        <v>0</v>
      </c>
      <c r="Q143" s="208"/>
    </row>
    <row r="144" spans="1:17" s="200" customFormat="1" ht="15.75" customHeight="1" thickBot="1" x14ac:dyDescent="0.3">
      <c r="A144" s="187" t="s">
        <v>1048</v>
      </c>
      <c r="B144" s="188" t="s">
        <v>1049</v>
      </c>
      <c r="C144" s="189" t="s">
        <v>938</v>
      </c>
      <c r="D144" s="293">
        <v>12.4</v>
      </c>
      <c r="E144" s="191">
        <v>12.4</v>
      </c>
      <c r="F144" s="191">
        <v>44.6</v>
      </c>
      <c r="G144" s="191">
        <v>31.1</v>
      </c>
      <c r="H144" s="191">
        <v>33.6</v>
      </c>
      <c r="I144" s="191">
        <v>0</v>
      </c>
      <c r="J144" s="192">
        <v>0</v>
      </c>
      <c r="K144" s="193">
        <f>SUM(D144:J144)</f>
        <v>134.1</v>
      </c>
      <c r="L144" s="194">
        <v>0</v>
      </c>
      <c r="M144" s="194">
        <v>0</v>
      </c>
      <c r="N144" s="194">
        <f>L144+M144</f>
        <v>0</v>
      </c>
      <c r="O144" s="194"/>
      <c r="P144" s="195">
        <f>N144*K144</f>
        <v>0</v>
      </c>
      <c r="Q144" s="208"/>
    </row>
    <row r="145" spans="1:17" s="246" customFormat="1" x14ac:dyDescent="0.25">
      <c r="A145" s="243"/>
      <c r="B145" s="244"/>
      <c r="C145" s="244"/>
      <c r="D145" s="326"/>
      <c r="E145" s="244"/>
      <c r="F145" s="244"/>
      <c r="G145" s="244"/>
      <c r="H145" s="244"/>
      <c r="I145" s="244"/>
      <c r="J145" s="244"/>
      <c r="K145" s="245"/>
      <c r="L145" s="244"/>
      <c r="M145" s="244"/>
      <c r="N145" s="244"/>
      <c r="O145" s="244"/>
      <c r="P145" s="244"/>
      <c r="Q145" s="244"/>
    </row>
    <row r="146" spans="1:17" s="42" customFormat="1" x14ac:dyDescent="0.25">
      <c r="A146" s="157"/>
      <c r="B146" s="44"/>
      <c r="C146" s="44"/>
      <c r="D146" s="172"/>
      <c r="E146" s="44"/>
      <c r="F146" s="44"/>
      <c r="G146" s="44"/>
      <c r="H146" s="44"/>
      <c r="I146" s="44"/>
      <c r="J146" s="44"/>
      <c r="K146" s="118"/>
      <c r="L146" s="44"/>
      <c r="M146" s="44"/>
      <c r="N146" s="44"/>
      <c r="O146" s="44"/>
      <c r="P146" s="44"/>
      <c r="Q146" s="47"/>
    </row>
    <row r="147" spans="1:17" s="42" customFormat="1" x14ac:dyDescent="0.25">
      <c r="A147" s="166" t="s">
        <v>1057</v>
      </c>
      <c r="B147" s="147" t="s">
        <v>1058</v>
      </c>
      <c r="C147" s="28"/>
      <c r="D147" s="181"/>
      <c r="E147" s="28"/>
      <c r="F147" s="28"/>
      <c r="G147" s="28"/>
      <c r="H147" s="28"/>
      <c r="I147" s="28"/>
      <c r="J147" s="28"/>
      <c r="K147" s="60"/>
      <c r="L147" s="29"/>
      <c r="M147" s="29"/>
      <c r="N147" s="29"/>
      <c r="O147" s="29"/>
      <c r="P147" s="23"/>
      <c r="Q147" s="152"/>
    </row>
    <row r="148" spans="1:17" s="42" customFormat="1" ht="51" customHeight="1" x14ac:dyDescent="0.25">
      <c r="A148" s="167"/>
      <c r="B148" s="145" t="s">
        <v>1059</v>
      </c>
      <c r="C148" s="31"/>
      <c r="D148" s="182"/>
      <c r="E148" s="31"/>
      <c r="F148" s="31"/>
      <c r="G148" s="31"/>
      <c r="H148" s="31"/>
      <c r="I148" s="31"/>
      <c r="J148" s="31"/>
      <c r="K148" s="58"/>
      <c r="L148" s="26"/>
      <c r="M148" s="26"/>
      <c r="N148" s="26"/>
      <c r="O148" s="26"/>
      <c r="P148" s="38"/>
      <c r="Q148" s="152"/>
    </row>
    <row r="149" spans="1:17" s="42" customFormat="1" ht="15.75" customHeight="1" thickBot="1" x14ac:dyDescent="0.3">
      <c r="A149" s="167"/>
      <c r="B149" s="145" t="s">
        <v>1060</v>
      </c>
      <c r="C149" s="31"/>
      <c r="D149" s="182"/>
      <c r="E149" s="31"/>
      <c r="F149" s="31"/>
      <c r="G149" s="31"/>
      <c r="H149" s="31"/>
      <c r="I149" s="31"/>
      <c r="J149" s="31"/>
      <c r="K149" s="58"/>
      <c r="L149" s="26"/>
      <c r="M149" s="26"/>
      <c r="N149" s="26"/>
      <c r="O149" s="26"/>
      <c r="P149" s="38"/>
      <c r="Q149" s="152"/>
    </row>
    <row r="150" spans="1:17" s="42" customFormat="1" ht="15.75" customHeight="1" thickBot="1" x14ac:dyDescent="0.3">
      <c r="A150" s="166"/>
      <c r="B150" s="137" t="s">
        <v>1061</v>
      </c>
      <c r="C150" s="135" t="s">
        <v>969</v>
      </c>
      <c r="D150" s="177">
        <v>76.7</v>
      </c>
      <c r="E150" s="36">
        <v>76.7</v>
      </c>
      <c r="F150" s="36">
        <v>222.4</v>
      </c>
      <c r="G150" s="36">
        <v>34</v>
      </c>
      <c r="H150" s="36">
        <v>103.9</v>
      </c>
      <c r="I150" s="36">
        <v>0</v>
      </c>
      <c r="J150" s="56">
        <v>0</v>
      </c>
      <c r="K150" s="62">
        <f>SUM(D150:J150)</f>
        <v>513.70000000000005</v>
      </c>
      <c r="L150" s="26"/>
      <c r="M150" s="26">
        <v>0</v>
      </c>
      <c r="N150" s="26">
        <f>L150+M150</f>
        <v>0</v>
      </c>
      <c r="O150" s="26"/>
      <c r="P150" s="22">
        <f>N150*K150</f>
        <v>0</v>
      </c>
      <c r="Q150" s="47"/>
    </row>
    <row r="151" spans="1:17" s="42" customFormat="1" x14ac:dyDescent="0.25">
      <c r="A151" s="157"/>
      <c r="B151" s="44"/>
      <c r="C151" s="44"/>
      <c r="D151" s="172"/>
      <c r="E151" s="44"/>
      <c r="F151" s="44"/>
      <c r="G151" s="44"/>
      <c r="H151" s="44"/>
      <c r="I151" s="44"/>
      <c r="J151" s="44"/>
      <c r="K151" s="118"/>
      <c r="L151" s="44"/>
      <c r="M151" s="44"/>
      <c r="N151" s="44"/>
      <c r="O151" s="44"/>
      <c r="P151" s="44"/>
      <c r="Q151" s="47"/>
    </row>
    <row r="152" spans="1:17" s="42" customFormat="1" x14ac:dyDescent="0.25">
      <c r="A152" s="166" t="s">
        <v>1062</v>
      </c>
      <c r="B152" s="147" t="s">
        <v>1063</v>
      </c>
      <c r="C152" s="28"/>
      <c r="D152" s="181"/>
      <c r="E152" s="28"/>
      <c r="F152" s="28"/>
      <c r="G152" s="28"/>
      <c r="H152" s="28"/>
      <c r="I152" s="28"/>
      <c r="J152" s="28"/>
      <c r="K152" s="60"/>
      <c r="L152" s="29"/>
      <c r="M152" s="29"/>
      <c r="N152" s="29"/>
      <c r="O152" s="29"/>
      <c r="P152" s="23"/>
      <c r="Q152" s="152"/>
    </row>
    <row r="153" spans="1:17" s="42" customFormat="1" ht="89.25" customHeight="1" x14ac:dyDescent="0.25">
      <c r="A153" s="167"/>
      <c r="B153" s="145" t="s">
        <v>1064</v>
      </c>
      <c r="C153" s="31"/>
      <c r="D153" s="182"/>
      <c r="E153" s="31"/>
      <c r="F153" s="31"/>
      <c r="G153" s="31"/>
      <c r="H153" s="31"/>
      <c r="I153" s="31"/>
      <c r="J153" s="31"/>
      <c r="K153" s="58"/>
      <c r="L153" s="26"/>
      <c r="M153" s="26"/>
      <c r="N153" s="26"/>
      <c r="O153" s="26"/>
      <c r="P153" s="38"/>
      <c r="Q153" s="152"/>
    </row>
    <row r="154" spans="1:17" s="42" customFormat="1" ht="15.75" customHeight="1" thickBot="1" x14ac:dyDescent="0.3">
      <c r="A154" s="167"/>
      <c r="B154" s="145" t="s">
        <v>1065</v>
      </c>
      <c r="C154" s="31"/>
      <c r="D154" s="182"/>
      <c r="E154" s="31"/>
      <c r="F154" s="31"/>
      <c r="G154" s="31"/>
      <c r="H154" s="31"/>
      <c r="I154" s="31"/>
      <c r="J154" s="31"/>
      <c r="K154" s="58"/>
      <c r="L154" s="26"/>
      <c r="M154" s="26"/>
      <c r="N154" s="26"/>
      <c r="O154" s="26"/>
      <c r="P154" s="38"/>
      <c r="Q154" s="152"/>
    </row>
    <row r="155" spans="1:17" s="42" customFormat="1" ht="15.75" customHeight="1" thickBot="1" x14ac:dyDescent="0.3">
      <c r="A155" s="166"/>
      <c r="B155" s="137" t="s">
        <v>1061</v>
      </c>
      <c r="C155" s="135" t="s">
        <v>969</v>
      </c>
      <c r="D155" s="177">
        <v>21.3</v>
      </c>
      <c r="E155" s="36">
        <v>21.3</v>
      </c>
      <c r="F155" s="36">
        <v>48</v>
      </c>
      <c r="G155" s="36">
        <v>14.95</v>
      </c>
      <c r="H155" s="36">
        <v>24</v>
      </c>
      <c r="I155" s="36">
        <v>0</v>
      </c>
      <c r="J155" s="56">
        <v>0</v>
      </c>
      <c r="K155" s="62">
        <f>SUM(D155:J155)</f>
        <v>129.55000000000001</v>
      </c>
      <c r="L155" s="26">
        <v>0</v>
      </c>
      <c r="M155" s="26">
        <v>0</v>
      </c>
      <c r="N155" s="26">
        <f>L155+M155</f>
        <v>0</v>
      </c>
      <c r="O155" s="26"/>
      <c r="P155" s="22">
        <f>N155*K155</f>
        <v>0</v>
      </c>
      <c r="Q155" s="47"/>
    </row>
    <row r="156" spans="1:17" s="42" customFormat="1" x14ac:dyDescent="0.25">
      <c r="A156" s="157"/>
      <c r="B156" s="44"/>
      <c r="C156" s="44"/>
      <c r="D156" s="172"/>
      <c r="E156" s="44"/>
      <c r="F156" s="44"/>
      <c r="G156" s="44"/>
      <c r="H156" s="44"/>
      <c r="I156" s="44"/>
      <c r="J156" s="44"/>
      <c r="K156" s="118"/>
      <c r="L156" s="44"/>
      <c r="M156" s="44"/>
      <c r="N156" s="44"/>
      <c r="O156" s="44"/>
      <c r="P156" s="44"/>
      <c r="Q156" s="47"/>
    </row>
    <row r="157" spans="1:17" s="42" customFormat="1" ht="25.5" customHeight="1" x14ac:dyDescent="0.25">
      <c r="A157" s="166" t="s">
        <v>1066</v>
      </c>
      <c r="B157" s="27" t="s">
        <v>1067</v>
      </c>
      <c r="C157" s="28"/>
      <c r="D157" s="181"/>
      <c r="E157" s="28"/>
      <c r="F157" s="28"/>
      <c r="G157" s="28"/>
      <c r="H157" s="28"/>
      <c r="I157" s="28"/>
      <c r="J157" s="28"/>
      <c r="K157" s="60"/>
      <c r="L157" s="29"/>
      <c r="M157" s="29"/>
      <c r="N157" s="29"/>
      <c r="O157" s="29"/>
      <c r="P157" s="23"/>
      <c r="Q157" s="152"/>
    </row>
    <row r="158" spans="1:17" s="42" customFormat="1" ht="141" customHeight="1" thickBot="1" x14ac:dyDescent="0.3">
      <c r="A158" s="167"/>
      <c r="B158" s="24" t="s">
        <v>1068</v>
      </c>
      <c r="C158" s="31"/>
      <c r="D158" s="182"/>
      <c r="E158" s="31"/>
      <c r="F158" s="31"/>
      <c r="G158" s="31"/>
      <c r="H158" s="31"/>
      <c r="I158" s="31"/>
      <c r="J158" s="31"/>
      <c r="K158" s="58"/>
      <c r="L158" s="26"/>
      <c r="M158" s="26"/>
      <c r="N158" s="26"/>
      <c r="O158" s="26"/>
      <c r="P158" s="38"/>
      <c r="Q158" s="152"/>
    </row>
    <row r="159" spans="1:17" s="42" customFormat="1" ht="15.75" customHeight="1" thickBot="1" x14ac:dyDescent="0.3">
      <c r="A159" s="166"/>
      <c r="B159" s="137" t="s">
        <v>1069</v>
      </c>
      <c r="C159" s="135" t="s">
        <v>1001</v>
      </c>
      <c r="D159" s="177">
        <v>2</v>
      </c>
      <c r="E159" s="36">
        <v>2</v>
      </c>
      <c r="F159" s="36">
        <v>4</v>
      </c>
      <c r="G159" s="36">
        <v>1</v>
      </c>
      <c r="H159" s="36">
        <v>2</v>
      </c>
      <c r="I159" s="36">
        <v>0</v>
      </c>
      <c r="J159" s="56">
        <v>0</v>
      </c>
      <c r="K159" s="62">
        <f>SUM(D159:J159)</f>
        <v>11</v>
      </c>
      <c r="L159" s="26">
        <v>0</v>
      </c>
      <c r="M159" s="26">
        <v>0</v>
      </c>
      <c r="N159" s="26">
        <f>L159+M159</f>
        <v>0</v>
      </c>
      <c r="O159" s="26"/>
      <c r="P159" s="22">
        <f>N159*K159</f>
        <v>0</v>
      </c>
      <c r="Q159" s="47"/>
    </row>
    <row r="160" spans="1:17" s="42" customFormat="1" x14ac:dyDescent="0.25">
      <c r="A160" s="157"/>
      <c r="B160" s="44"/>
      <c r="C160" s="44"/>
      <c r="D160" s="172"/>
      <c r="E160" s="44"/>
      <c r="F160" s="44"/>
      <c r="G160" s="44"/>
      <c r="H160" s="44"/>
      <c r="I160" s="44"/>
      <c r="J160" s="44"/>
      <c r="K160" s="118"/>
      <c r="L160" s="44"/>
      <c r="M160" s="44"/>
      <c r="N160" s="44"/>
      <c r="O160" s="44"/>
      <c r="P160" s="44"/>
      <c r="Q160" s="47"/>
    </row>
    <row r="161" spans="1:21" s="32" customFormat="1" ht="12.75" customHeight="1" x14ac:dyDescent="0.2">
      <c r="A161" s="159"/>
      <c r="B161" s="31"/>
      <c r="C161" s="25"/>
      <c r="D161" s="174"/>
      <c r="E161" s="25"/>
      <c r="F161" s="25"/>
      <c r="G161" s="25"/>
      <c r="H161" s="25"/>
      <c r="I161" s="25"/>
      <c r="J161" s="25"/>
      <c r="K161" s="58"/>
      <c r="L161" s="26"/>
      <c r="M161" s="26"/>
      <c r="N161" s="26"/>
      <c r="O161" s="26"/>
      <c r="P161" s="35"/>
      <c r="Q161" s="37"/>
    </row>
    <row r="162" spans="1:21" s="132" customFormat="1" ht="15.75" customHeight="1" x14ac:dyDescent="0.25">
      <c r="A162" s="160" t="s">
        <v>1070</v>
      </c>
      <c r="B162" s="130" t="s">
        <v>1008</v>
      </c>
      <c r="C162" s="49"/>
      <c r="D162" s="180"/>
      <c r="E162" s="49"/>
      <c r="F162" s="49"/>
      <c r="G162" s="49"/>
      <c r="H162" s="49"/>
      <c r="I162" s="49"/>
      <c r="J162" s="49"/>
      <c r="K162" s="131"/>
      <c r="L162" s="49"/>
      <c r="M162" s="49"/>
      <c r="Q162" s="151"/>
      <c r="R162" s="435" t="s">
        <v>946</v>
      </c>
      <c r="S162" s="388"/>
      <c r="T162" s="50">
        <f>SUM(P90:P159)</f>
        <v>0</v>
      </c>
    </row>
    <row r="164" spans="1:21" s="132" customFormat="1" ht="15.75" customHeight="1" x14ac:dyDescent="0.25">
      <c r="A164" s="160" t="s">
        <v>972</v>
      </c>
      <c r="B164" s="130" t="s">
        <v>1085</v>
      </c>
      <c r="C164" s="49"/>
      <c r="D164" s="49"/>
      <c r="E164" s="49"/>
      <c r="F164" s="49"/>
      <c r="G164" s="49"/>
      <c r="H164" s="49"/>
      <c r="I164" s="49"/>
      <c r="J164" s="49"/>
      <c r="K164" s="49"/>
      <c r="L164" s="49"/>
      <c r="M164" s="49"/>
      <c r="N164" s="49"/>
      <c r="O164" s="131"/>
      <c r="P164" s="49"/>
      <c r="Q164" s="49"/>
      <c r="R164" s="435" t="s">
        <v>946</v>
      </c>
      <c r="S164" s="388"/>
      <c r="T164" s="50">
        <f>T162*6</f>
        <v>0</v>
      </c>
      <c r="U164" s="151"/>
    </row>
    <row r="166" spans="1:21" s="132" customFormat="1" ht="15.75" customHeight="1" x14ac:dyDescent="0.25">
      <c r="A166" s="160"/>
      <c r="B166" s="130" t="s">
        <v>963</v>
      </c>
      <c r="C166" s="49"/>
      <c r="D166" s="49"/>
      <c r="E166" s="49"/>
      <c r="F166" s="49"/>
      <c r="G166" s="49"/>
      <c r="H166" s="49"/>
      <c r="I166" s="49"/>
      <c r="J166" s="49"/>
      <c r="K166" s="49"/>
      <c r="L166" s="49"/>
      <c r="M166" s="49"/>
      <c r="N166" s="49"/>
      <c r="O166" s="131"/>
      <c r="P166" s="49"/>
      <c r="Q166" s="49"/>
      <c r="R166" s="435"/>
      <c r="S166" s="388"/>
      <c r="T166" s="50">
        <f>SUM(T164,T81)</f>
        <v>0</v>
      </c>
      <c r="U166" s="151"/>
    </row>
  </sheetData>
  <mergeCells count="11">
    <mergeCell ref="B2:R3"/>
    <mergeCell ref="R79:S79"/>
    <mergeCell ref="R162:S162"/>
    <mergeCell ref="D84:J84"/>
    <mergeCell ref="D85:J85"/>
    <mergeCell ref="B5:T5"/>
    <mergeCell ref="D8:N8"/>
    <mergeCell ref="R166:S166"/>
    <mergeCell ref="R81:S81"/>
    <mergeCell ref="D7:N7"/>
    <mergeCell ref="R164:S164"/>
  </mergeCells>
  <conditionalFormatting sqref="P161 T162">
    <cfRule type="cellIs" dxfId="94" priority="5" stopIfTrue="1" operator="greaterThan">
      <formula>0</formula>
    </cfRule>
  </conditionalFormatting>
  <conditionalFormatting sqref="T11">
    <cfRule type="cellIs" dxfId="93" priority="7" stopIfTrue="1" operator="greaterThan">
      <formula>0</formula>
    </cfRule>
  </conditionalFormatting>
  <conditionalFormatting sqref="T78:T79">
    <cfRule type="cellIs" dxfId="92" priority="6" stopIfTrue="1" operator="greaterThan">
      <formula>0</formula>
    </cfRule>
  </conditionalFormatting>
  <conditionalFormatting sqref="T81">
    <cfRule type="cellIs" dxfId="91" priority="3" stopIfTrue="1" operator="greaterThan">
      <formula>0</formula>
    </cfRule>
  </conditionalFormatting>
  <conditionalFormatting sqref="T164">
    <cfRule type="cellIs" dxfId="90" priority="2" stopIfTrue="1" operator="greaterThan">
      <formula>0</formula>
    </cfRule>
  </conditionalFormatting>
  <conditionalFormatting sqref="T166">
    <cfRule type="cellIs" dxfId="89" priority="1" stopIfTrue="1" operator="greaterThan">
      <formula>0</formula>
    </cfRule>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U128"/>
  <sheetViews>
    <sheetView topLeftCell="A136" zoomScale="115" zoomScaleNormal="115" workbookViewId="0">
      <selection activeCell="T127" sqref="T127"/>
    </sheetView>
  </sheetViews>
  <sheetFormatPr defaultRowHeight="15" x14ac:dyDescent="0.25"/>
  <cols>
    <col min="2" max="2" width="41.42578125" customWidth="1"/>
    <col min="16" max="16" width="12.7109375" bestFit="1" customWidth="1"/>
    <col min="20" max="20" width="13.7109375" bestFit="1" customWidth="1"/>
  </cols>
  <sheetData>
    <row r="1" spans="1:21" s="42" customFormat="1" x14ac:dyDescent="0.25">
      <c r="A1" s="157"/>
      <c r="B1" s="112" t="s">
        <v>906</v>
      </c>
      <c r="C1" s="44"/>
      <c r="D1" s="53"/>
      <c r="E1" s="53"/>
      <c r="F1" s="53"/>
      <c r="G1" s="53"/>
      <c r="H1" s="53"/>
      <c r="I1" s="53"/>
      <c r="J1" s="53"/>
      <c r="K1" s="53"/>
      <c r="L1" s="53"/>
      <c r="M1" s="53"/>
      <c r="N1" s="53"/>
      <c r="O1" s="113"/>
      <c r="P1" s="44"/>
      <c r="Q1" s="44"/>
      <c r="R1" s="44"/>
      <c r="S1" s="44"/>
      <c r="T1" s="44"/>
      <c r="U1" s="47"/>
    </row>
    <row r="2" spans="1:21" s="42" customFormat="1" x14ac:dyDescent="0.25">
      <c r="A2" s="157"/>
      <c r="B2" s="436" t="s">
        <v>907</v>
      </c>
      <c r="C2" s="437"/>
      <c r="D2" s="437"/>
      <c r="E2" s="437"/>
      <c r="F2" s="437"/>
      <c r="G2" s="437"/>
      <c r="H2" s="437"/>
      <c r="I2" s="437"/>
      <c r="J2" s="437"/>
      <c r="K2" s="437"/>
      <c r="L2" s="437"/>
      <c r="M2" s="437"/>
      <c r="N2" s="437"/>
      <c r="O2" s="437"/>
      <c r="P2" s="437"/>
      <c r="Q2" s="437"/>
      <c r="R2" s="438"/>
      <c r="S2" s="7" t="s">
        <v>25</v>
      </c>
      <c r="T2" s="133">
        <v>0</v>
      </c>
      <c r="U2" s="47"/>
    </row>
    <row r="3" spans="1:21" s="42" customFormat="1" x14ac:dyDescent="0.25">
      <c r="A3" s="157"/>
      <c r="B3" s="439"/>
      <c r="C3" s="393"/>
      <c r="D3" s="393"/>
      <c r="E3" s="393"/>
      <c r="F3" s="393"/>
      <c r="G3" s="393"/>
      <c r="H3" s="393"/>
      <c r="I3" s="393"/>
      <c r="J3" s="393"/>
      <c r="K3" s="393"/>
      <c r="L3" s="393"/>
      <c r="M3" s="393"/>
      <c r="N3" s="393"/>
      <c r="O3" s="393"/>
      <c r="P3" s="393"/>
      <c r="Q3" s="393"/>
      <c r="R3" s="394"/>
      <c r="S3" s="7" t="s">
        <v>27</v>
      </c>
      <c r="T3" s="134" t="s">
        <v>22</v>
      </c>
      <c r="U3" s="47"/>
    </row>
    <row r="4" spans="1:21" s="42" customFormat="1" x14ac:dyDescent="0.25">
      <c r="A4" s="157"/>
      <c r="B4" s="114" t="s">
        <v>908</v>
      </c>
      <c r="C4" s="114" t="s">
        <v>909</v>
      </c>
      <c r="D4" s="115">
        <f>1*N4</f>
        <v>1</v>
      </c>
      <c r="E4" s="115">
        <f>1*N4</f>
        <v>1</v>
      </c>
      <c r="F4" s="115">
        <f>1*N4</f>
        <v>1</v>
      </c>
      <c r="G4" s="115">
        <f>1*N4</f>
        <v>1</v>
      </c>
      <c r="H4" s="115">
        <f>4*$N4</f>
        <v>4</v>
      </c>
      <c r="I4" s="115">
        <f>1*N4</f>
        <v>1</v>
      </c>
      <c r="J4" s="115">
        <f>1*N4</f>
        <v>1</v>
      </c>
      <c r="K4" s="115">
        <f>2*$N4</f>
        <v>2</v>
      </c>
      <c r="L4" s="115">
        <f>1*N4</f>
        <v>1</v>
      </c>
      <c r="M4" s="45">
        <v>1</v>
      </c>
      <c r="N4" s="57">
        <v>1</v>
      </c>
      <c r="O4" s="116">
        <v>13</v>
      </c>
      <c r="P4" s="114"/>
      <c r="Q4" s="114"/>
      <c r="R4" s="114"/>
      <c r="S4" s="44"/>
      <c r="T4" s="44"/>
      <c r="U4" s="47"/>
    </row>
    <row r="5" spans="1:21" s="117" customFormat="1" ht="15.75" customHeight="1" x14ac:dyDescent="0.25">
      <c r="A5" s="158" t="s">
        <v>910</v>
      </c>
      <c r="B5" s="434" t="s">
        <v>911</v>
      </c>
      <c r="C5" s="387"/>
      <c r="D5" s="387"/>
      <c r="E5" s="387"/>
      <c r="F5" s="387"/>
      <c r="G5" s="387"/>
      <c r="H5" s="387"/>
      <c r="I5" s="387"/>
      <c r="J5" s="387"/>
      <c r="K5" s="387"/>
      <c r="L5" s="387"/>
      <c r="M5" s="387"/>
      <c r="N5" s="387"/>
      <c r="O5" s="387"/>
      <c r="P5" s="387"/>
      <c r="Q5" s="387"/>
      <c r="R5" s="387"/>
      <c r="S5" s="387"/>
      <c r="T5" s="388"/>
      <c r="U5" s="149"/>
    </row>
    <row r="6" spans="1:21" s="42" customFormat="1" ht="15.75" customHeight="1" thickBot="1" x14ac:dyDescent="0.3">
      <c r="A6" s="157"/>
      <c r="B6" s="44"/>
      <c r="C6" s="44"/>
      <c r="D6" s="44"/>
      <c r="E6" s="44"/>
      <c r="F6" s="44"/>
      <c r="G6" s="44"/>
      <c r="H6" s="44"/>
      <c r="I6" s="44"/>
      <c r="J6" s="44"/>
      <c r="K6" s="44"/>
      <c r="L6" s="44"/>
      <c r="M6" s="44"/>
      <c r="N6" s="44"/>
      <c r="O6" s="118"/>
      <c r="P6" s="44"/>
      <c r="Q6" s="44"/>
      <c r="R6" s="44"/>
      <c r="S6" s="44"/>
      <c r="T6" s="44"/>
      <c r="U6" s="47"/>
    </row>
    <row r="7" spans="1:21" s="42" customFormat="1" ht="51.75" customHeight="1" thickBot="1" x14ac:dyDescent="0.3">
      <c r="A7" s="119" t="s">
        <v>912</v>
      </c>
      <c r="B7" s="119" t="s">
        <v>913</v>
      </c>
      <c r="C7" s="120" t="s">
        <v>914</v>
      </c>
      <c r="D7" s="430"/>
      <c r="E7" s="431"/>
      <c r="F7" s="431"/>
      <c r="G7" s="431"/>
      <c r="H7" s="431"/>
      <c r="I7" s="431"/>
      <c r="J7" s="431"/>
      <c r="K7" s="431"/>
      <c r="L7" s="431"/>
      <c r="M7" s="431"/>
      <c r="N7" s="431"/>
      <c r="O7" s="121" t="s">
        <v>915</v>
      </c>
      <c r="P7" s="170" t="s">
        <v>916</v>
      </c>
      <c r="Q7" s="171" t="s">
        <v>917</v>
      </c>
      <c r="R7" s="121" t="s">
        <v>918</v>
      </c>
      <c r="S7" s="121"/>
      <c r="T7" s="119" t="s">
        <v>919</v>
      </c>
      <c r="U7" s="47"/>
    </row>
    <row r="8" spans="1:21" s="42" customFormat="1" ht="15.75" customHeight="1" thickBot="1" x14ac:dyDescent="0.3">
      <c r="A8" s="123"/>
      <c r="B8" s="123"/>
      <c r="C8" s="124"/>
      <c r="D8" s="432" t="s">
        <v>920</v>
      </c>
      <c r="E8" s="431"/>
      <c r="F8" s="431"/>
      <c r="G8" s="431"/>
      <c r="H8" s="431"/>
      <c r="I8" s="431"/>
      <c r="J8" s="431"/>
      <c r="K8" s="431"/>
      <c r="L8" s="431"/>
      <c r="M8" s="431"/>
      <c r="N8" s="433"/>
      <c r="O8" s="125"/>
      <c r="P8" s="124"/>
      <c r="Q8" s="124"/>
      <c r="R8" s="124"/>
      <c r="S8" s="124"/>
      <c r="T8" s="123"/>
      <c r="U8" s="47"/>
    </row>
    <row r="9" spans="1:21" s="42" customFormat="1" ht="60" customHeight="1" x14ac:dyDescent="0.25">
      <c r="A9" s="123"/>
      <c r="B9" s="123"/>
      <c r="C9" s="124"/>
      <c r="D9" s="127" t="s">
        <v>921</v>
      </c>
      <c r="E9" s="127" t="s">
        <v>922</v>
      </c>
      <c r="F9" s="46" t="s">
        <v>923</v>
      </c>
      <c r="G9" s="46" t="s">
        <v>924</v>
      </c>
      <c r="H9" s="46" t="s">
        <v>925</v>
      </c>
      <c r="I9" s="46" t="s">
        <v>926</v>
      </c>
      <c r="J9" s="46" t="s">
        <v>927</v>
      </c>
      <c r="K9" s="46" t="s">
        <v>928</v>
      </c>
      <c r="L9" s="46" t="s">
        <v>929</v>
      </c>
      <c r="M9" s="154" t="s">
        <v>930</v>
      </c>
      <c r="N9" s="126" t="s">
        <v>931</v>
      </c>
      <c r="O9" s="125"/>
      <c r="P9" s="124"/>
      <c r="Q9" s="124"/>
      <c r="R9" s="124"/>
      <c r="S9" s="124"/>
      <c r="T9" s="123"/>
      <c r="U9" s="47"/>
    </row>
    <row r="10" spans="1:21" s="32" customFormat="1" ht="12.75" customHeight="1" x14ac:dyDescent="0.2">
      <c r="A10" s="159"/>
      <c r="B10" s="30"/>
      <c r="C10" s="25"/>
      <c r="D10" s="25"/>
      <c r="E10" s="25"/>
      <c r="F10" s="25"/>
      <c r="G10" s="25"/>
      <c r="H10" s="25"/>
      <c r="I10" s="25"/>
      <c r="J10" s="25"/>
      <c r="K10" s="25"/>
      <c r="L10" s="25"/>
      <c r="M10" s="25"/>
      <c r="N10" s="25"/>
      <c r="O10" s="58"/>
      <c r="P10" s="26"/>
      <c r="Q10" s="26"/>
      <c r="R10" s="26"/>
      <c r="S10" s="26"/>
      <c r="T10" s="22"/>
      <c r="U10" s="37"/>
    </row>
    <row r="11" spans="1:21" s="32" customFormat="1" ht="12.75" customHeight="1" x14ac:dyDescent="0.2">
      <c r="A11" s="159"/>
      <c r="B11" s="31"/>
      <c r="C11" s="25"/>
      <c r="D11" s="25"/>
      <c r="E11" s="25"/>
      <c r="F11" s="25"/>
      <c r="G11" s="25"/>
      <c r="H11" s="25"/>
      <c r="I11" s="25"/>
      <c r="J11" s="25"/>
      <c r="K11" s="25"/>
      <c r="L11" s="25"/>
      <c r="M11" s="25"/>
      <c r="N11" s="25"/>
      <c r="O11" s="58"/>
      <c r="P11" s="26"/>
      <c r="Q11" s="26"/>
      <c r="R11" s="26"/>
      <c r="S11" s="26"/>
      <c r="T11" s="35"/>
      <c r="U11" s="37"/>
    </row>
    <row r="12" spans="1:21" s="117" customFormat="1" ht="15.75" customHeight="1" x14ac:dyDescent="0.25">
      <c r="A12" s="160" t="s">
        <v>932</v>
      </c>
      <c r="B12" s="39" t="s">
        <v>933</v>
      </c>
      <c r="C12" s="40"/>
      <c r="D12" s="40"/>
      <c r="E12" s="40"/>
      <c r="F12" s="40"/>
      <c r="G12" s="40"/>
      <c r="H12" s="40"/>
      <c r="I12" s="40"/>
      <c r="J12" s="40"/>
      <c r="K12" s="40"/>
      <c r="L12" s="40"/>
      <c r="M12" s="40"/>
      <c r="N12" s="40"/>
      <c r="O12" s="59"/>
      <c r="P12" s="40"/>
      <c r="Q12" s="40"/>
      <c r="R12" s="40"/>
      <c r="S12" s="40"/>
      <c r="T12" s="41"/>
      <c r="U12" s="149"/>
    </row>
    <row r="14" spans="1:21" s="32" customFormat="1" ht="12.75" customHeight="1" x14ac:dyDescent="0.2">
      <c r="A14" s="162" t="s">
        <v>1086</v>
      </c>
      <c r="B14" s="144" t="s">
        <v>1087</v>
      </c>
      <c r="C14" s="135"/>
      <c r="D14" s="135"/>
      <c r="E14" s="135"/>
      <c r="F14" s="135"/>
      <c r="G14" s="135"/>
      <c r="H14" s="135"/>
      <c r="I14" s="135"/>
      <c r="J14" s="135"/>
      <c r="K14" s="135"/>
      <c r="L14" s="135"/>
      <c r="M14" s="135"/>
      <c r="N14" s="135"/>
      <c r="O14" s="60"/>
      <c r="P14" s="29"/>
      <c r="Q14" s="29"/>
      <c r="R14" s="29"/>
      <c r="S14" s="29"/>
      <c r="T14" s="136"/>
      <c r="U14" s="37"/>
    </row>
    <row r="15" spans="1:21" s="32" customFormat="1" ht="204" customHeight="1" x14ac:dyDescent="0.2">
      <c r="A15" s="163"/>
      <c r="B15" s="138" t="s">
        <v>1088</v>
      </c>
      <c r="C15" s="25"/>
      <c r="D15" s="25"/>
      <c r="E15" s="25"/>
      <c r="F15" s="25"/>
      <c r="G15" s="25"/>
      <c r="H15" s="25"/>
      <c r="I15" s="25"/>
      <c r="J15" s="25"/>
      <c r="K15" s="25"/>
      <c r="L15" s="25"/>
      <c r="M15" s="25"/>
      <c r="N15" s="25"/>
      <c r="O15" s="58"/>
      <c r="P15" s="26"/>
      <c r="Q15" s="26"/>
      <c r="R15" s="26"/>
      <c r="S15" s="26"/>
      <c r="T15" s="35"/>
      <c r="U15" s="37"/>
    </row>
    <row r="16" spans="1:21" s="32" customFormat="1" ht="140.25" customHeight="1" x14ac:dyDescent="0.2">
      <c r="A16" s="163"/>
      <c r="B16" s="141" t="s">
        <v>1089</v>
      </c>
      <c r="C16" s="25"/>
      <c r="D16" s="25"/>
      <c r="E16" s="25"/>
      <c r="F16" s="25"/>
      <c r="G16" s="25"/>
      <c r="H16" s="25"/>
      <c r="I16" s="25"/>
      <c r="J16" s="25"/>
      <c r="K16" s="25"/>
      <c r="L16" s="25"/>
      <c r="M16" s="25"/>
      <c r="N16" s="25"/>
      <c r="O16" s="58"/>
      <c r="P16" s="26"/>
      <c r="Q16" s="26"/>
      <c r="R16" s="26"/>
      <c r="S16" s="26"/>
      <c r="T16" s="35"/>
      <c r="U16" s="37"/>
    </row>
    <row r="17" spans="1:21" s="32" customFormat="1" ht="26.25" customHeight="1" thickBot="1" x14ac:dyDescent="0.25">
      <c r="A17" s="164"/>
      <c r="B17" s="138" t="s">
        <v>1090</v>
      </c>
      <c r="C17" s="25"/>
      <c r="D17" s="25"/>
      <c r="E17" s="25"/>
      <c r="F17" s="25"/>
      <c r="G17" s="25"/>
      <c r="H17" s="25"/>
      <c r="I17" s="25"/>
      <c r="J17" s="25"/>
      <c r="K17" s="25"/>
      <c r="L17" s="25"/>
      <c r="M17" s="25"/>
      <c r="N17" s="25"/>
      <c r="O17" s="58"/>
      <c r="P17" s="26"/>
      <c r="Q17" s="26"/>
      <c r="R17" s="26"/>
      <c r="S17" s="26"/>
      <c r="T17" s="35"/>
      <c r="U17" s="37"/>
    </row>
    <row r="18" spans="1:21" s="32" customFormat="1" ht="26.25" customHeight="1" thickBot="1" x14ac:dyDescent="0.25">
      <c r="A18" s="164"/>
      <c r="B18" s="146" t="s">
        <v>1091</v>
      </c>
      <c r="C18" s="135" t="s">
        <v>938</v>
      </c>
      <c r="D18" s="55">
        <f t="shared" ref="D18:M18" si="0">D$4*0</f>
        <v>0</v>
      </c>
      <c r="E18" s="55">
        <f t="shared" si="0"/>
        <v>0</v>
      </c>
      <c r="F18" s="36">
        <f t="shared" si="0"/>
        <v>0</v>
      </c>
      <c r="G18" s="36">
        <f t="shared" si="0"/>
        <v>0</v>
      </c>
      <c r="H18" s="36">
        <f t="shared" si="0"/>
        <v>0</v>
      </c>
      <c r="I18" s="36">
        <f t="shared" si="0"/>
        <v>0</v>
      </c>
      <c r="J18" s="36">
        <f t="shared" si="0"/>
        <v>0</v>
      </c>
      <c r="K18" s="36">
        <f t="shared" si="0"/>
        <v>0</v>
      </c>
      <c r="L18" s="36">
        <f t="shared" si="0"/>
        <v>0</v>
      </c>
      <c r="M18" s="36">
        <f t="shared" si="0"/>
        <v>0</v>
      </c>
      <c r="N18" s="56">
        <f>N$4*600</f>
        <v>600</v>
      </c>
      <c r="O18" s="62">
        <f>SUM(D18:N18)</f>
        <v>600</v>
      </c>
      <c r="P18" s="55">
        <v>13</v>
      </c>
      <c r="Q18" s="36">
        <v>0</v>
      </c>
      <c r="R18" s="36">
        <f>P18+Q18</f>
        <v>13</v>
      </c>
      <c r="S18" s="36"/>
      <c r="T18" s="51">
        <f>R18*O18</f>
        <v>7800</v>
      </c>
      <c r="U18" s="37"/>
    </row>
    <row r="19" spans="1:21" ht="12.6" customHeight="1" x14ac:dyDescent="0.25"/>
    <row r="20" spans="1:21" s="42" customFormat="1" x14ac:dyDescent="0.25">
      <c r="A20" s="161" t="s">
        <v>1092</v>
      </c>
      <c r="B20" s="441" t="s">
        <v>1093</v>
      </c>
      <c r="C20" s="387"/>
      <c r="D20" s="387"/>
      <c r="E20" s="387"/>
      <c r="F20" s="387"/>
      <c r="G20" s="387"/>
      <c r="H20" s="387"/>
      <c r="I20" s="387"/>
      <c r="J20" s="387"/>
      <c r="K20" s="387"/>
      <c r="L20" s="387"/>
      <c r="M20" s="387"/>
      <c r="N20" s="387"/>
      <c r="O20" s="387"/>
      <c r="P20" s="387"/>
      <c r="Q20" s="387"/>
      <c r="R20" s="387"/>
      <c r="S20" s="43"/>
      <c r="T20" s="33"/>
      <c r="U20" s="47"/>
    </row>
    <row r="21" spans="1:21" s="32" customFormat="1" ht="12.75" customHeight="1" x14ac:dyDescent="0.2">
      <c r="A21" s="159"/>
      <c r="B21" s="31"/>
      <c r="C21" s="25"/>
      <c r="D21" s="25"/>
      <c r="E21" s="25"/>
      <c r="F21" s="25"/>
      <c r="G21" s="25"/>
      <c r="H21" s="25"/>
      <c r="I21" s="25"/>
      <c r="J21" s="25"/>
      <c r="K21" s="25"/>
      <c r="L21" s="25"/>
      <c r="M21" s="25"/>
      <c r="N21" s="25"/>
      <c r="O21" s="58"/>
      <c r="P21" s="26"/>
      <c r="Q21" s="26"/>
      <c r="R21" s="26"/>
      <c r="S21" s="26"/>
      <c r="T21" s="35"/>
      <c r="U21" s="37"/>
    </row>
    <row r="22" spans="1:21" s="32" customFormat="1" ht="25.5" customHeight="1" x14ac:dyDescent="0.2">
      <c r="A22" s="166" t="s">
        <v>1094</v>
      </c>
      <c r="B22" s="61" t="s">
        <v>1095</v>
      </c>
      <c r="C22" s="135"/>
      <c r="D22" s="135"/>
      <c r="E22" s="135"/>
      <c r="F22" s="135"/>
      <c r="G22" s="135"/>
      <c r="H22" s="135"/>
      <c r="I22" s="135"/>
      <c r="J22" s="135"/>
      <c r="K22" s="135"/>
      <c r="L22" s="135"/>
      <c r="M22" s="135"/>
      <c r="N22" s="135"/>
      <c r="O22" s="60"/>
      <c r="P22" s="29"/>
      <c r="Q22" s="29"/>
      <c r="R22" s="29"/>
      <c r="S22" s="29"/>
      <c r="T22" s="136"/>
      <c r="U22" s="37"/>
    </row>
    <row r="23" spans="1:21" s="32" customFormat="1" ht="14.25" customHeight="1" x14ac:dyDescent="0.2">
      <c r="A23" s="290" t="s">
        <v>1096</v>
      </c>
      <c r="B23" s="291" t="s">
        <v>1097</v>
      </c>
      <c r="C23" s="25"/>
      <c r="D23" s="25"/>
      <c r="E23" s="25"/>
      <c r="F23" s="25"/>
      <c r="G23" s="25"/>
      <c r="H23" s="25"/>
      <c r="I23" s="25"/>
      <c r="J23" s="25"/>
      <c r="K23" s="25"/>
      <c r="L23" s="25"/>
      <c r="M23" s="25"/>
      <c r="N23" s="25"/>
      <c r="O23" s="58"/>
      <c r="P23" s="26"/>
      <c r="Q23" s="26"/>
      <c r="R23" s="26"/>
      <c r="S23" s="26"/>
      <c r="T23" s="35"/>
      <c r="U23" s="37"/>
    </row>
    <row r="24" spans="1:21" s="32" customFormat="1" ht="54.75" customHeight="1" x14ac:dyDescent="0.25">
      <c r="A24" s="167"/>
      <c r="B24" s="24" t="s">
        <v>1098</v>
      </c>
      <c r="C24" s="25"/>
      <c r="D24" s="42"/>
      <c r="E24" s="42"/>
      <c r="F24" s="42"/>
      <c r="G24" s="42"/>
      <c r="H24" s="42"/>
      <c r="I24" s="42"/>
      <c r="J24" s="42"/>
      <c r="K24" s="42"/>
      <c r="L24" s="42"/>
      <c r="M24" s="42"/>
      <c r="N24" s="42"/>
      <c r="O24" s="128"/>
      <c r="P24" s="42"/>
      <c r="Q24" s="42"/>
      <c r="R24" s="42"/>
      <c r="S24" s="42"/>
      <c r="T24" s="42"/>
      <c r="U24" s="37"/>
    </row>
    <row r="25" spans="1:21" s="32" customFormat="1" ht="114.75" customHeight="1" x14ac:dyDescent="0.25">
      <c r="A25" s="167"/>
      <c r="B25" s="241" t="s">
        <v>1099</v>
      </c>
      <c r="C25" s="25"/>
      <c r="D25" s="42"/>
      <c r="E25" s="42"/>
      <c r="F25" s="42"/>
      <c r="G25" s="42"/>
      <c r="H25" s="42"/>
      <c r="I25" s="42"/>
      <c r="J25" s="42"/>
      <c r="K25" s="42"/>
      <c r="L25" s="42"/>
      <c r="M25" s="42"/>
      <c r="N25" s="42"/>
      <c r="O25" s="128"/>
      <c r="P25" s="42"/>
      <c r="Q25" s="42"/>
      <c r="R25" s="42"/>
      <c r="S25" s="42"/>
      <c r="T25" s="42"/>
      <c r="U25" s="37"/>
    </row>
    <row r="26" spans="1:21" s="32" customFormat="1" ht="39" customHeight="1" thickBot="1" x14ac:dyDescent="0.3">
      <c r="A26" s="167"/>
      <c r="B26" s="24" t="s">
        <v>1100</v>
      </c>
      <c r="C26" s="25"/>
      <c r="D26" s="42"/>
      <c r="E26" s="42"/>
      <c r="F26" s="42"/>
      <c r="G26" s="42"/>
      <c r="H26" s="42"/>
      <c r="I26" s="42"/>
      <c r="J26" s="42"/>
      <c r="K26" s="42"/>
      <c r="L26" s="42"/>
      <c r="M26" s="42"/>
      <c r="N26" s="42"/>
      <c r="O26" s="128"/>
      <c r="P26" s="42"/>
      <c r="Q26" s="42"/>
      <c r="R26" s="42"/>
      <c r="S26" s="42"/>
      <c r="T26" s="42"/>
      <c r="U26" s="37"/>
    </row>
    <row r="27" spans="1:21" s="288" customFormat="1" ht="26.25" customHeight="1" thickBot="1" x14ac:dyDescent="0.25">
      <c r="A27" s="282"/>
      <c r="B27" s="220" t="s">
        <v>1101</v>
      </c>
      <c r="C27" s="189" t="s">
        <v>938</v>
      </c>
      <c r="D27" s="190">
        <f t="shared" ref="D27:M27" si="1">D$4*0</f>
        <v>0</v>
      </c>
      <c r="E27" s="190">
        <f t="shared" si="1"/>
        <v>0</v>
      </c>
      <c r="F27" s="191">
        <f t="shared" si="1"/>
        <v>0</v>
      </c>
      <c r="G27" s="191">
        <f t="shared" si="1"/>
        <v>0</v>
      </c>
      <c r="H27" s="191">
        <f t="shared" si="1"/>
        <v>0</v>
      </c>
      <c r="I27" s="191">
        <f t="shared" si="1"/>
        <v>0</v>
      </c>
      <c r="J27" s="191">
        <f t="shared" si="1"/>
        <v>0</v>
      </c>
      <c r="K27" s="191">
        <f t="shared" si="1"/>
        <v>0</v>
      </c>
      <c r="L27" s="191">
        <f t="shared" si="1"/>
        <v>0</v>
      </c>
      <c r="M27" s="191">
        <f t="shared" si="1"/>
        <v>0</v>
      </c>
      <c r="N27" s="192">
        <f>N$4*(671.2+62.85)*0.4</f>
        <v>293.62000000000006</v>
      </c>
      <c r="O27" s="193">
        <f>SUM(D27:N27)</f>
        <v>293.62000000000006</v>
      </c>
      <c r="P27" s="190">
        <v>20</v>
      </c>
      <c r="Q27" s="191">
        <v>0</v>
      </c>
      <c r="R27" s="191">
        <f>P27+Q27</f>
        <v>20</v>
      </c>
      <c r="S27" s="191"/>
      <c r="T27" s="294">
        <f>R27*O27</f>
        <v>5872.4000000000015</v>
      </c>
      <c r="U27" s="287"/>
    </row>
    <row r="28" spans="1:21" s="32" customFormat="1" ht="14.25" customHeight="1" x14ac:dyDescent="0.2">
      <c r="A28" s="290" t="s">
        <v>1102</v>
      </c>
      <c r="B28" s="291" t="s">
        <v>1103</v>
      </c>
      <c r="C28" s="25"/>
      <c r="D28" s="26"/>
      <c r="E28" s="26"/>
      <c r="F28" s="26"/>
      <c r="G28" s="26"/>
      <c r="H28" s="26"/>
      <c r="I28" s="26"/>
      <c r="J28" s="26"/>
      <c r="K28" s="26"/>
      <c r="L28" s="26"/>
      <c r="M28" s="26"/>
      <c r="N28" s="26"/>
      <c r="O28" s="58"/>
      <c r="P28" s="26"/>
      <c r="Q28" s="26"/>
      <c r="R28" s="26"/>
      <c r="S28" s="26"/>
      <c r="T28" s="22"/>
      <c r="U28" s="37"/>
    </row>
    <row r="29" spans="1:21" s="32" customFormat="1" ht="38.25" customHeight="1" x14ac:dyDescent="0.25">
      <c r="A29" s="167"/>
      <c r="B29" s="24" t="s">
        <v>1104</v>
      </c>
      <c r="C29" s="25"/>
      <c r="D29" s="42"/>
      <c r="E29" s="42"/>
      <c r="F29" s="42"/>
      <c r="G29" s="42"/>
      <c r="H29" s="42"/>
      <c r="I29" s="42"/>
      <c r="J29" s="42"/>
      <c r="K29" s="42"/>
      <c r="L29" s="42"/>
      <c r="M29" s="42"/>
      <c r="N29" s="42"/>
      <c r="O29" s="128"/>
      <c r="P29" s="42"/>
      <c r="Q29" s="42"/>
      <c r="R29" s="42"/>
      <c r="S29" s="42"/>
      <c r="T29" s="42"/>
      <c r="U29" s="37"/>
    </row>
    <row r="30" spans="1:21" s="32" customFormat="1" ht="39" customHeight="1" thickBot="1" x14ac:dyDescent="0.3">
      <c r="A30" s="167"/>
      <c r="B30" s="24" t="s">
        <v>1100</v>
      </c>
      <c r="C30" s="25"/>
      <c r="D30" s="42"/>
      <c r="E30" s="42"/>
      <c r="F30" s="42"/>
      <c r="G30" s="42"/>
      <c r="H30" s="42"/>
      <c r="I30" s="42"/>
      <c r="J30" s="42"/>
      <c r="K30" s="42"/>
      <c r="L30" s="42"/>
      <c r="M30" s="42"/>
      <c r="N30" s="42"/>
      <c r="O30" s="128"/>
      <c r="P30" s="42"/>
      <c r="Q30" s="42"/>
      <c r="R30" s="42"/>
      <c r="S30" s="42"/>
      <c r="T30" s="42"/>
      <c r="U30" s="37"/>
    </row>
    <row r="31" spans="1:21" s="32" customFormat="1" thickBot="1" x14ac:dyDescent="0.25">
      <c r="A31" s="166"/>
      <c r="B31" s="27" t="s">
        <v>1105</v>
      </c>
      <c r="C31" s="135" t="s">
        <v>938</v>
      </c>
      <c r="D31" s="55">
        <f t="shared" ref="D31:M31" si="2">D$4*0</f>
        <v>0</v>
      </c>
      <c r="E31" s="55">
        <f t="shared" si="2"/>
        <v>0</v>
      </c>
      <c r="F31" s="36">
        <f t="shared" si="2"/>
        <v>0</v>
      </c>
      <c r="G31" s="36">
        <f t="shared" si="2"/>
        <v>0</v>
      </c>
      <c r="H31" s="36">
        <f t="shared" si="2"/>
        <v>0</v>
      </c>
      <c r="I31" s="36">
        <f t="shared" si="2"/>
        <v>0</v>
      </c>
      <c r="J31" s="36">
        <f t="shared" si="2"/>
        <v>0</v>
      </c>
      <c r="K31" s="36">
        <f t="shared" si="2"/>
        <v>0</v>
      </c>
      <c r="L31" s="36">
        <f t="shared" si="2"/>
        <v>0</v>
      </c>
      <c r="M31" s="36">
        <f t="shared" si="2"/>
        <v>0</v>
      </c>
      <c r="N31" s="56">
        <f>N$4*19.78</f>
        <v>19.78</v>
      </c>
      <c r="O31" s="62">
        <f>SUM(D31:N31)</f>
        <v>19.78</v>
      </c>
      <c r="P31" s="55">
        <v>25</v>
      </c>
      <c r="Q31" s="36">
        <v>0</v>
      </c>
      <c r="R31" s="36">
        <f>P31+Q31</f>
        <v>25</v>
      </c>
      <c r="S31" s="36"/>
      <c r="T31" s="51">
        <f>R31*O31</f>
        <v>494.5</v>
      </c>
      <c r="U31" s="37"/>
    </row>
    <row r="32" spans="1:21" s="32" customFormat="1" ht="12.75" customHeight="1" x14ac:dyDescent="0.2">
      <c r="A32" s="159"/>
      <c r="B32" s="31"/>
      <c r="C32" s="25"/>
      <c r="D32" s="25"/>
      <c r="E32" s="25"/>
      <c r="F32" s="25"/>
      <c r="G32" s="25"/>
      <c r="H32" s="25"/>
      <c r="I32" s="25"/>
      <c r="J32" s="25"/>
      <c r="K32" s="25"/>
      <c r="L32" s="25"/>
      <c r="M32" s="25"/>
      <c r="N32" s="25"/>
      <c r="O32" s="58"/>
      <c r="P32" s="26"/>
      <c r="Q32" s="26"/>
      <c r="R32" s="26"/>
      <c r="S32" s="26"/>
      <c r="T32" s="35"/>
      <c r="U32" s="37"/>
    </row>
    <row r="33" spans="1:21" s="32" customFormat="1" ht="12.75" customHeight="1" x14ac:dyDescent="0.2">
      <c r="A33" s="159"/>
      <c r="B33" s="31"/>
      <c r="C33" s="25"/>
      <c r="D33" s="25"/>
      <c r="E33" s="25"/>
      <c r="F33" s="25"/>
      <c r="G33" s="25"/>
      <c r="H33" s="25"/>
      <c r="I33" s="25"/>
      <c r="J33" s="25"/>
      <c r="K33" s="25"/>
      <c r="L33" s="25"/>
      <c r="M33" s="25"/>
      <c r="N33" s="25"/>
      <c r="O33" s="58"/>
      <c r="P33" s="26"/>
      <c r="Q33" s="26"/>
      <c r="R33" s="26"/>
      <c r="S33" s="26"/>
      <c r="T33" s="22"/>
      <c r="U33" s="37"/>
    </row>
    <row r="34" spans="1:21" s="129" customFormat="1" x14ac:dyDescent="0.25">
      <c r="A34" s="165" t="s">
        <v>1106</v>
      </c>
      <c r="B34" s="440" t="s">
        <v>1093</v>
      </c>
      <c r="C34" s="387"/>
      <c r="D34" s="387"/>
      <c r="E34" s="387"/>
      <c r="F34" s="387"/>
      <c r="G34" s="387"/>
      <c r="H34" s="387"/>
      <c r="I34" s="387"/>
      <c r="J34" s="387"/>
      <c r="K34" s="387"/>
      <c r="L34" s="387"/>
      <c r="M34" s="387"/>
      <c r="N34" s="387"/>
      <c r="O34" s="387"/>
      <c r="P34" s="387"/>
      <c r="Q34" s="388"/>
      <c r="R34" s="34" t="s">
        <v>1107</v>
      </c>
      <c r="S34" s="34"/>
      <c r="T34" s="9">
        <f>SUM(T21:T33)</f>
        <v>6366.9000000000015</v>
      </c>
      <c r="U34" s="150"/>
    </row>
    <row r="35" spans="1:21" s="42" customFormat="1" x14ac:dyDescent="0.25">
      <c r="A35" s="161" t="s">
        <v>1108</v>
      </c>
      <c r="B35" s="441" t="s">
        <v>1109</v>
      </c>
      <c r="C35" s="387"/>
      <c r="D35" s="387"/>
      <c r="E35" s="387"/>
      <c r="F35" s="387"/>
      <c r="G35" s="387"/>
      <c r="H35" s="387"/>
      <c r="I35" s="387"/>
      <c r="J35" s="387"/>
      <c r="K35" s="387"/>
      <c r="L35" s="387"/>
      <c r="M35" s="387"/>
      <c r="N35" s="387"/>
      <c r="O35" s="387"/>
      <c r="P35" s="387"/>
      <c r="Q35" s="387"/>
      <c r="R35" s="387"/>
      <c r="S35" s="43"/>
      <c r="T35" s="33"/>
      <c r="U35" s="47"/>
    </row>
    <row r="36" spans="1:21" s="42" customFormat="1" x14ac:dyDescent="0.25">
      <c r="A36" s="157"/>
      <c r="B36" s="44"/>
      <c r="C36" s="44"/>
      <c r="D36" s="44"/>
      <c r="E36" s="44"/>
      <c r="F36" s="44"/>
      <c r="G36" s="44"/>
      <c r="H36" s="44"/>
      <c r="I36" s="44"/>
      <c r="J36" s="44"/>
      <c r="K36" s="44"/>
      <c r="L36" s="44"/>
      <c r="M36" s="44"/>
      <c r="N36" s="44"/>
      <c r="O36" s="118"/>
      <c r="P36" s="44"/>
      <c r="Q36" s="44"/>
      <c r="R36" s="44"/>
      <c r="S36" s="44"/>
      <c r="T36" s="44"/>
      <c r="U36" s="47"/>
    </row>
    <row r="37" spans="1:21" s="42" customFormat="1" ht="25.5" customHeight="1" x14ac:dyDescent="0.25">
      <c r="A37" s="166" t="s">
        <v>1110</v>
      </c>
      <c r="B37" s="27" t="s">
        <v>1111</v>
      </c>
      <c r="C37" s="28"/>
      <c r="D37" s="28"/>
      <c r="E37" s="28"/>
      <c r="F37" s="28"/>
      <c r="G37" s="28"/>
      <c r="H37" s="28"/>
      <c r="I37" s="28"/>
      <c r="J37" s="28"/>
      <c r="K37" s="28"/>
      <c r="L37" s="28"/>
      <c r="M37" s="28"/>
      <c r="N37" s="28"/>
      <c r="O37" s="60"/>
      <c r="P37" s="29"/>
      <c r="Q37" s="29"/>
      <c r="R37" s="29"/>
      <c r="S37" s="29"/>
      <c r="T37" s="23"/>
      <c r="U37" s="152"/>
    </row>
    <row r="38" spans="1:21" s="42" customFormat="1" ht="358.5" customHeight="1" x14ac:dyDescent="0.25">
      <c r="A38" s="167"/>
      <c r="B38" s="266" t="s">
        <v>1112</v>
      </c>
      <c r="C38" s="31"/>
      <c r="D38" s="31"/>
      <c r="E38" s="31"/>
      <c r="F38" s="31"/>
      <c r="G38" s="31"/>
      <c r="H38" s="31"/>
      <c r="I38" s="31"/>
      <c r="J38" s="31"/>
      <c r="K38" s="31"/>
      <c r="L38" s="31"/>
      <c r="M38" s="31"/>
      <c r="N38" s="31"/>
      <c r="O38" s="58"/>
      <c r="P38" s="26"/>
      <c r="Q38" s="26"/>
      <c r="R38" s="26"/>
      <c r="S38" s="26"/>
      <c r="T38" s="38"/>
      <c r="U38" s="152"/>
    </row>
    <row r="39" spans="1:21" s="42" customFormat="1" ht="153" customHeight="1" x14ac:dyDescent="0.25">
      <c r="A39" s="167"/>
      <c r="B39" s="266" t="s">
        <v>1113</v>
      </c>
      <c r="C39" s="31"/>
      <c r="D39" s="31"/>
      <c r="E39" s="31"/>
      <c r="F39" s="31"/>
      <c r="G39" s="31"/>
      <c r="H39" s="31"/>
      <c r="I39" s="31"/>
      <c r="J39" s="31"/>
      <c r="K39" s="31"/>
      <c r="L39" s="31"/>
      <c r="M39" s="31"/>
      <c r="N39" s="31"/>
      <c r="O39" s="58"/>
      <c r="P39" s="26"/>
      <c r="Q39" s="26"/>
      <c r="R39" s="26"/>
      <c r="S39" s="26"/>
      <c r="T39" s="38"/>
      <c r="U39" s="152"/>
    </row>
    <row r="40" spans="1:21" s="42" customFormat="1" ht="63.75" customHeight="1" x14ac:dyDescent="0.25">
      <c r="A40" s="167"/>
      <c r="B40" s="266" t="s">
        <v>1114</v>
      </c>
      <c r="C40" s="31"/>
      <c r="D40" s="31"/>
      <c r="E40" s="31"/>
      <c r="F40" s="31"/>
      <c r="G40" s="31"/>
      <c r="H40" s="31"/>
      <c r="I40" s="31"/>
      <c r="J40" s="31"/>
      <c r="K40" s="31"/>
      <c r="L40" s="31"/>
      <c r="M40" s="31"/>
      <c r="N40" s="31"/>
      <c r="O40" s="58"/>
      <c r="P40" s="26"/>
      <c r="Q40" s="26"/>
      <c r="R40" s="26"/>
      <c r="S40" s="26"/>
      <c r="T40" s="38"/>
      <c r="U40" s="152"/>
    </row>
    <row r="41" spans="1:21" s="42" customFormat="1" ht="63.75" customHeight="1" x14ac:dyDescent="0.25">
      <c r="A41" s="167"/>
      <c r="B41" s="266" t="s">
        <v>1115</v>
      </c>
      <c r="C41" s="31"/>
      <c r="D41" s="31"/>
      <c r="E41" s="31"/>
      <c r="F41" s="31"/>
      <c r="G41" s="31"/>
      <c r="H41" s="31"/>
      <c r="I41" s="31"/>
      <c r="J41" s="31"/>
      <c r="K41" s="31"/>
      <c r="L41" s="31"/>
      <c r="M41" s="31"/>
      <c r="N41" s="31"/>
      <c r="O41" s="58"/>
      <c r="P41" s="26"/>
      <c r="Q41" s="26"/>
      <c r="R41" s="26"/>
      <c r="S41" s="26"/>
      <c r="T41" s="38"/>
      <c r="U41" s="152"/>
    </row>
    <row r="42" spans="1:21" s="42" customFormat="1" ht="179.25" customHeight="1" thickBot="1" x14ac:dyDescent="0.3">
      <c r="A42" s="167"/>
      <c r="B42" s="266" t="s">
        <v>1116</v>
      </c>
      <c r="C42" s="31"/>
      <c r="D42" s="31"/>
      <c r="E42" s="31"/>
      <c r="F42" s="31"/>
      <c r="G42" s="31"/>
      <c r="H42" s="31"/>
      <c r="I42" s="31"/>
      <c r="J42" s="31"/>
      <c r="K42" s="31"/>
      <c r="L42" s="31"/>
      <c r="M42" s="31"/>
      <c r="N42" s="31"/>
      <c r="O42" s="58"/>
      <c r="P42" s="26"/>
      <c r="Q42" s="26"/>
      <c r="R42" s="26"/>
      <c r="S42" s="26"/>
      <c r="T42" s="38"/>
      <c r="U42" s="152"/>
    </row>
    <row r="43" spans="1:21" s="219" customFormat="1" ht="15.75" customHeight="1" thickBot="1" x14ac:dyDescent="0.3">
      <c r="A43" s="209"/>
      <c r="B43" s="210" t="s">
        <v>937</v>
      </c>
      <c r="C43" s="211" t="s">
        <v>938</v>
      </c>
      <c r="D43" s="212">
        <f t="shared" ref="D43:M43" si="3">D$4*0</f>
        <v>0</v>
      </c>
      <c r="E43" s="212">
        <f t="shared" si="3"/>
        <v>0</v>
      </c>
      <c r="F43" s="213">
        <f t="shared" si="3"/>
        <v>0</v>
      </c>
      <c r="G43" s="213">
        <f t="shared" si="3"/>
        <v>0</v>
      </c>
      <c r="H43" s="213">
        <f t="shared" si="3"/>
        <v>0</v>
      </c>
      <c r="I43" s="213">
        <f t="shared" si="3"/>
        <v>0</v>
      </c>
      <c r="J43" s="213">
        <f t="shared" si="3"/>
        <v>0</v>
      </c>
      <c r="K43" s="213">
        <f t="shared" si="3"/>
        <v>0</v>
      </c>
      <c r="L43" s="213">
        <f t="shared" si="3"/>
        <v>0</v>
      </c>
      <c r="M43" s="213">
        <f t="shared" si="3"/>
        <v>0</v>
      </c>
      <c r="N43" s="214">
        <f>N$4*700</f>
        <v>700</v>
      </c>
      <c r="O43" s="215">
        <f>SUM(D43:N43)</f>
        <v>700</v>
      </c>
      <c r="P43" s="216">
        <v>74</v>
      </c>
      <c r="Q43" s="216">
        <v>0</v>
      </c>
      <c r="R43" s="216">
        <f>P43+Q43</f>
        <v>74</v>
      </c>
      <c r="S43" s="216"/>
      <c r="T43" s="217">
        <f>R43*O43</f>
        <v>51800</v>
      </c>
      <c r="U43" s="218"/>
    </row>
    <row r="44" spans="1:21" s="42" customFormat="1" x14ac:dyDescent="0.25">
      <c r="A44" s="157"/>
      <c r="B44" s="44"/>
      <c r="C44" s="44"/>
      <c r="D44" s="44"/>
      <c r="E44" s="44"/>
      <c r="F44" s="44"/>
      <c r="G44" s="44"/>
      <c r="H44" s="44"/>
      <c r="I44" s="44"/>
      <c r="J44" s="44"/>
      <c r="K44" s="44"/>
      <c r="L44" s="44"/>
      <c r="M44" s="44"/>
      <c r="N44" s="44"/>
      <c r="O44" s="118"/>
      <c r="P44" s="44"/>
      <c r="Q44" s="44"/>
      <c r="R44" s="44"/>
      <c r="S44" s="44"/>
      <c r="T44" s="44"/>
      <c r="U44" s="47"/>
    </row>
    <row r="45" spans="1:21" s="42" customFormat="1" ht="38.25" customHeight="1" x14ac:dyDescent="0.25">
      <c r="A45" s="166" t="s">
        <v>1117</v>
      </c>
      <c r="B45" s="27" t="s">
        <v>1118</v>
      </c>
      <c r="C45" s="28"/>
      <c r="D45" s="28"/>
      <c r="E45" s="28"/>
      <c r="F45" s="28"/>
      <c r="G45" s="28"/>
      <c r="H45" s="28"/>
      <c r="I45" s="28"/>
      <c r="J45" s="28"/>
      <c r="K45" s="28"/>
      <c r="L45" s="28"/>
      <c r="M45" s="28"/>
      <c r="N45" s="28"/>
      <c r="O45" s="60"/>
      <c r="P45" s="29"/>
      <c r="Q45" s="29"/>
      <c r="R45" s="29"/>
      <c r="S45" s="29"/>
      <c r="T45" s="23"/>
      <c r="U45" s="152"/>
    </row>
    <row r="46" spans="1:21" s="42" customFormat="1" ht="230.25" customHeight="1" x14ac:dyDescent="0.25">
      <c r="A46" s="167"/>
      <c r="B46" s="266" t="s">
        <v>1119</v>
      </c>
      <c r="C46" s="31"/>
      <c r="D46" s="31"/>
      <c r="E46" s="31"/>
      <c r="F46" s="31"/>
      <c r="G46" s="31"/>
      <c r="H46" s="31"/>
      <c r="I46" s="31"/>
      <c r="J46" s="31"/>
      <c r="K46" s="31"/>
      <c r="L46" s="31"/>
      <c r="M46" s="31"/>
      <c r="N46" s="31"/>
      <c r="O46" s="58"/>
      <c r="P46" s="26"/>
      <c r="Q46" s="26"/>
      <c r="R46" s="26"/>
      <c r="S46" s="26"/>
      <c r="T46" s="38"/>
      <c r="U46" s="152"/>
    </row>
    <row r="47" spans="1:21" s="42" customFormat="1" ht="63.75" customHeight="1" x14ac:dyDescent="0.25">
      <c r="A47" s="167"/>
      <c r="B47" s="266" t="s">
        <v>1120</v>
      </c>
      <c r="C47" s="31"/>
      <c r="D47" s="31"/>
      <c r="E47" s="31"/>
      <c r="F47" s="31"/>
      <c r="G47" s="31"/>
      <c r="H47" s="31"/>
      <c r="I47" s="31"/>
      <c r="J47" s="31"/>
      <c r="K47" s="31"/>
      <c r="L47" s="31"/>
      <c r="M47" s="31"/>
      <c r="N47" s="31"/>
      <c r="O47" s="58"/>
      <c r="P47" s="26"/>
      <c r="Q47" s="26"/>
      <c r="R47" s="26"/>
      <c r="S47" s="26"/>
      <c r="T47" s="38"/>
      <c r="U47" s="152"/>
    </row>
    <row r="48" spans="1:21" s="42" customFormat="1" ht="64.5" customHeight="1" thickBot="1" x14ac:dyDescent="0.3">
      <c r="A48" s="167"/>
      <c r="B48" s="266" t="s">
        <v>1121</v>
      </c>
      <c r="C48" s="31"/>
      <c r="D48" s="31"/>
      <c r="E48" s="31"/>
      <c r="F48" s="31"/>
      <c r="G48" s="31"/>
      <c r="H48" s="31"/>
      <c r="I48" s="31"/>
      <c r="J48" s="31"/>
      <c r="K48" s="31"/>
      <c r="L48" s="31"/>
      <c r="M48" s="31"/>
      <c r="N48" s="31"/>
      <c r="O48" s="58"/>
      <c r="P48" s="26"/>
      <c r="Q48" s="26"/>
      <c r="R48" s="26"/>
      <c r="S48" s="26"/>
      <c r="T48" s="38"/>
      <c r="U48" s="152"/>
    </row>
    <row r="49" spans="1:21" s="219" customFormat="1" ht="15.75" customHeight="1" thickBot="1" x14ac:dyDescent="0.3">
      <c r="A49" s="209"/>
      <c r="B49" s="210" t="s">
        <v>937</v>
      </c>
      <c r="C49" s="211" t="s">
        <v>938</v>
      </c>
      <c r="D49" s="212">
        <f t="shared" ref="D49:M49" si="4">D$4*0</f>
        <v>0</v>
      </c>
      <c r="E49" s="212">
        <f t="shared" si="4"/>
        <v>0</v>
      </c>
      <c r="F49" s="213">
        <f t="shared" si="4"/>
        <v>0</v>
      </c>
      <c r="G49" s="213">
        <f t="shared" si="4"/>
        <v>0</v>
      </c>
      <c r="H49" s="213">
        <f t="shared" si="4"/>
        <v>0</v>
      </c>
      <c r="I49" s="213">
        <f t="shared" si="4"/>
        <v>0</v>
      </c>
      <c r="J49" s="213">
        <f t="shared" si="4"/>
        <v>0</v>
      </c>
      <c r="K49" s="213">
        <f t="shared" si="4"/>
        <v>0</v>
      </c>
      <c r="L49" s="213">
        <f t="shared" si="4"/>
        <v>0</v>
      </c>
      <c r="M49" s="213">
        <f t="shared" si="4"/>
        <v>0</v>
      </c>
      <c r="N49" s="214">
        <v>55</v>
      </c>
      <c r="O49" s="215">
        <f>SUM(D49:N49)</f>
        <v>55</v>
      </c>
      <c r="P49" s="216">
        <v>55</v>
      </c>
      <c r="Q49" s="216">
        <v>0</v>
      </c>
      <c r="R49" s="216">
        <f>P49+Q49</f>
        <v>55</v>
      </c>
      <c r="S49" s="216"/>
      <c r="T49" s="217">
        <f>R49*O49</f>
        <v>3025</v>
      </c>
      <c r="U49" s="218"/>
    </row>
    <row r="50" spans="1:21" s="42" customFormat="1" x14ac:dyDescent="0.25">
      <c r="A50" s="157"/>
      <c r="B50" s="44"/>
      <c r="C50" s="44"/>
      <c r="D50" s="44"/>
      <c r="E50" s="44"/>
      <c r="F50" s="44"/>
      <c r="G50" s="44"/>
      <c r="H50" s="44"/>
      <c r="I50" s="44"/>
      <c r="J50" s="44"/>
      <c r="K50" s="44"/>
      <c r="L50" s="44"/>
      <c r="M50" s="44"/>
      <c r="N50" s="44"/>
      <c r="O50" s="118"/>
      <c r="P50" s="44"/>
      <c r="Q50" s="44"/>
      <c r="R50" s="44"/>
      <c r="S50" s="44"/>
      <c r="T50" s="44"/>
      <c r="U50" s="47"/>
    </row>
    <row r="51" spans="1:21" s="42" customFormat="1" ht="25.5" customHeight="1" x14ac:dyDescent="0.25">
      <c r="A51" s="166" t="s">
        <v>1122</v>
      </c>
      <c r="B51" s="27" t="s">
        <v>1123</v>
      </c>
      <c r="C51" s="28"/>
      <c r="D51" s="28"/>
      <c r="E51" s="28"/>
      <c r="F51" s="28"/>
      <c r="G51" s="28"/>
      <c r="H51" s="28"/>
      <c r="I51" s="28"/>
      <c r="J51" s="28"/>
      <c r="K51" s="28"/>
      <c r="L51" s="28"/>
      <c r="M51" s="28"/>
      <c r="N51" s="28"/>
      <c r="O51" s="60"/>
      <c r="P51" s="29"/>
      <c r="Q51" s="29"/>
      <c r="R51" s="29"/>
      <c r="S51" s="29"/>
      <c r="T51" s="23"/>
      <c r="U51" s="152"/>
    </row>
    <row r="52" spans="1:21" s="42" customFormat="1" ht="51.75" customHeight="1" thickBot="1" x14ac:dyDescent="0.3">
      <c r="A52" s="167"/>
      <c r="B52" s="266" t="s">
        <v>1124</v>
      </c>
      <c r="C52" s="31"/>
      <c r="D52" s="31"/>
      <c r="E52" s="31"/>
      <c r="F52" s="31"/>
      <c r="G52" s="31"/>
      <c r="H52" s="31"/>
      <c r="I52" s="31"/>
      <c r="J52" s="31"/>
      <c r="K52" s="31"/>
      <c r="L52" s="31"/>
      <c r="M52" s="31"/>
      <c r="N52" s="31"/>
      <c r="O52" s="58"/>
      <c r="P52" s="26"/>
      <c r="Q52" s="26"/>
      <c r="R52" s="26"/>
      <c r="S52" s="26"/>
      <c r="T52" s="38"/>
      <c r="U52" s="152"/>
    </row>
    <row r="53" spans="1:21" s="219" customFormat="1" ht="15.75" customHeight="1" thickBot="1" x14ac:dyDescent="0.3">
      <c r="A53" s="209"/>
      <c r="B53" s="210" t="s">
        <v>937</v>
      </c>
      <c r="C53" s="211" t="s">
        <v>938</v>
      </c>
      <c r="D53" s="212">
        <f t="shared" ref="D53:M53" si="5">D$4*0</f>
        <v>0</v>
      </c>
      <c r="E53" s="212">
        <f t="shared" si="5"/>
        <v>0</v>
      </c>
      <c r="F53" s="213">
        <f t="shared" si="5"/>
        <v>0</v>
      </c>
      <c r="G53" s="213">
        <f t="shared" si="5"/>
        <v>0</v>
      </c>
      <c r="H53" s="213">
        <f t="shared" si="5"/>
        <v>0</v>
      </c>
      <c r="I53" s="213">
        <f t="shared" si="5"/>
        <v>0</v>
      </c>
      <c r="J53" s="213">
        <f t="shared" si="5"/>
        <v>0</v>
      </c>
      <c r="K53" s="213">
        <f t="shared" si="5"/>
        <v>0</v>
      </c>
      <c r="L53" s="213">
        <f t="shared" si="5"/>
        <v>0</v>
      </c>
      <c r="M53" s="213">
        <f t="shared" si="5"/>
        <v>0</v>
      </c>
      <c r="N53" s="214">
        <f>N$4*55</f>
        <v>55</v>
      </c>
      <c r="O53" s="215">
        <f>SUM(D53:N53)</f>
        <v>55</v>
      </c>
      <c r="P53" s="216">
        <v>0</v>
      </c>
      <c r="Q53" s="216">
        <v>0</v>
      </c>
      <c r="R53" s="216">
        <f>P53+Q53</f>
        <v>0</v>
      </c>
      <c r="S53" s="216"/>
      <c r="T53" s="217">
        <f>R53*O53</f>
        <v>0</v>
      </c>
      <c r="U53" s="218"/>
    </row>
    <row r="54" spans="1:21" s="42" customFormat="1" x14ac:dyDescent="0.25">
      <c r="A54" s="157"/>
      <c r="B54" s="44"/>
      <c r="C54" s="44"/>
      <c r="D54" s="44"/>
      <c r="E54" s="44"/>
      <c r="F54" s="44"/>
      <c r="G54" s="44"/>
      <c r="H54" s="44"/>
      <c r="I54" s="44"/>
      <c r="J54" s="44"/>
      <c r="K54" s="44"/>
      <c r="L54" s="44"/>
      <c r="M54" s="44"/>
      <c r="N54" s="44"/>
      <c r="O54" s="118"/>
      <c r="P54" s="44"/>
      <c r="Q54" s="44"/>
      <c r="R54" s="44"/>
      <c r="S54" s="44"/>
      <c r="T54" s="44"/>
      <c r="U54" s="47"/>
    </row>
    <row r="55" spans="1:21" s="42" customFormat="1" ht="38.25" customHeight="1" x14ac:dyDescent="0.25">
      <c r="A55" s="166" t="s">
        <v>1125</v>
      </c>
      <c r="B55" s="27" t="s">
        <v>1126</v>
      </c>
      <c r="C55" s="28"/>
      <c r="D55" s="28"/>
      <c r="E55" s="28"/>
      <c r="F55" s="28"/>
      <c r="G55" s="28"/>
      <c r="H55" s="28"/>
      <c r="I55" s="28"/>
      <c r="J55" s="28"/>
      <c r="K55" s="28"/>
      <c r="L55" s="28"/>
      <c r="M55" s="28"/>
      <c r="N55" s="28"/>
      <c r="O55" s="60"/>
      <c r="P55" s="29"/>
      <c r="Q55" s="29"/>
      <c r="R55" s="29"/>
      <c r="S55" s="29"/>
      <c r="T55" s="23"/>
      <c r="U55" s="152"/>
    </row>
    <row r="56" spans="1:21" s="42" customFormat="1" ht="355.5" customHeight="1" x14ac:dyDescent="0.25">
      <c r="A56" s="167"/>
      <c r="B56" s="30" t="s">
        <v>1127</v>
      </c>
      <c r="C56" s="31"/>
      <c r="D56" s="31"/>
      <c r="E56" s="31"/>
      <c r="F56" s="31"/>
      <c r="G56" s="31"/>
      <c r="H56" s="31"/>
      <c r="I56" s="31"/>
      <c r="J56" s="31"/>
      <c r="K56" s="31"/>
      <c r="L56" s="31"/>
      <c r="M56" s="31"/>
      <c r="N56" s="31"/>
      <c r="O56" s="58"/>
      <c r="P56" s="26"/>
      <c r="Q56" s="26"/>
      <c r="R56" s="26"/>
      <c r="S56" s="26"/>
      <c r="T56" s="38"/>
      <c r="U56" s="152"/>
    </row>
    <row r="57" spans="1:21" s="42" customFormat="1" ht="26.25" customHeight="1" thickBot="1" x14ac:dyDescent="0.3">
      <c r="A57" s="167"/>
      <c r="B57" s="30" t="s">
        <v>1128</v>
      </c>
      <c r="C57" s="31"/>
      <c r="D57" s="31"/>
      <c r="E57" s="31"/>
      <c r="F57" s="31"/>
      <c r="G57" s="31"/>
      <c r="H57" s="31"/>
      <c r="I57" s="31"/>
      <c r="J57" s="31"/>
      <c r="K57" s="31"/>
      <c r="L57" s="31"/>
      <c r="M57" s="31"/>
      <c r="N57" s="31"/>
      <c r="O57" s="58"/>
      <c r="P57" s="26"/>
      <c r="Q57" s="26"/>
      <c r="R57" s="26"/>
      <c r="S57" s="26"/>
      <c r="T57" s="38"/>
      <c r="U57" s="152"/>
    </row>
    <row r="58" spans="1:21" s="219" customFormat="1" ht="15.75" customHeight="1" thickBot="1" x14ac:dyDescent="0.3">
      <c r="A58" s="209"/>
      <c r="B58" s="210" t="s">
        <v>937</v>
      </c>
      <c r="C58" s="211" t="s">
        <v>938</v>
      </c>
      <c r="D58" s="212">
        <f t="shared" ref="D58:M58" si="6">D$4*0</f>
        <v>0</v>
      </c>
      <c r="E58" s="212">
        <f t="shared" si="6"/>
        <v>0</v>
      </c>
      <c r="F58" s="213">
        <f t="shared" si="6"/>
        <v>0</v>
      </c>
      <c r="G58" s="213">
        <f t="shared" si="6"/>
        <v>0</v>
      </c>
      <c r="H58" s="213">
        <f t="shared" si="6"/>
        <v>0</v>
      </c>
      <c r="I58" s="213">
        <f t="shared" si="6"/>
        <v>0</v>
      </c>
      <c r="J58" s="213">
        <f t="shared" si="6"/>
        <v>0</v>
      </c>
      <c r="K58" s="213">
        <f t="shared" si="6"/>
        <v>0</v>
      </c>
      <c r="L58" s="213">
        <f t="shared" si="6"/>
        <v>0</v>
      </c>
      <c r="M58" s="213">
        <f t="shared" si="6"/>
        <v>0</v>
      </c>
      <c r="N58" s="214">
        <f>N$4*20</f>
        <v>20</v>
      </c>
      <c r="O58" s="215">
        <f>SUM(D58:N58)</f>
        <v>20</v>
      </c>
      <c r="P58" s="216">
        <v>90</v>
      </c>
      <c r="Q58" s="216">
        <v>0</v>
      </c>
      <c r="R58" s="216">
        <f>P58+Q58</f>
        <v>90</v>
      </c>
      <c r="S58" s="216"/>
      <c r="T58" s="217">
        <f>R58*O58</f>
        <v>1800</v>
      </c>
      <c r="U58" s="218"/>
    </row>
    <row r="59" spans="1:21" s="32" customFormat="1" ht="12.75" customHeight="1" x14ac:dyDescent="0.2">
      <c r="A59" s="159"/>
      <c r="B59" s="31"/>
      <c r="C59" s="25"/>
      <c r="D59" s="25"/>
      <c r="E59" s="25"/>
      <c r="F59" s="25"/>
      <c r="G59" s="25"/>
      <c r="H59" s="25"/>
      <c r="I59" s="25"/>
      <c r="J59" s="25"/>
      <c r="K59" s="25"/>
      <c r="L59" s="25"/>
      <c r="M59" s="25"/>
      <c r="N59" s="25"/>
      <c r="O59" s="58"/>
      <c r="P59" s="26"/>
      <c r="Q59" s="26"/>
      <c r="R59" s="26"/>
      <c r="S59" s="26"/>
      <c r="T59" s="35"/>
      <c r="U59" s="37"/>
    </row>
    <row r="60" spans="1:21" s="32" customFormat="1" ht="12.75" customHeight="1" x14ac:dyDescent="0.2">
      <c r="A60" s="159"/>
      <c r="B60" s="31"/>
      <c r="C60" s="25"/>
      <c r="D60" s="25"/>
      <c r="E60" s="25"/>
      <c r="F60" s="25"/>
      <c r="G60" s="25"/>
      <c r="H60" s="25"/>
      <c r="I60" s="25"/>
      <c r="J60" s="25"/>
      <c r="K60" s="25"/>
      <c r="L60" s="25"/>
      <c r="M60" s="25"/>
      <c r="N60" s="25"/>
      <c r="O60" s="58"/>
      <c r="P60" s="26"/>
      <c r="Q60" s="26"/>
      <c r="R60" s="26"/>
      <c r="S60" s="26"/>
      <c r="T60" s="35"/>
      <c r="U60" s="37"/>
    </row>
    <row r="61" spans="1:21" s="129" customFormat="1" x14ac:dyDescent="0.25">
      <c r="A61" s="165" t="s">
        <v>1129</v>
      </c>
      <c r="B61" s="440" t="s">
        <v>1109</v>
      </c>
      <c r="C61" s="387"/>
      <c r="D61" s="387"/>
      <c r="E61" s="387"/>
      <c r="F61" s="387"/>
      <c r="G61" s="387"/>
      <c r="H61" s="387"/>
      <c r="I61" s="387"/>
      <c r="J61" s="387"/>
      <c r="K61" s="387"/>
      <c r="L61" s="387"/>
      <c r="M61" s="387"/>
      <c r="N61" s="387"/>
      <c r="O61" s="387"/>
      <c r="P61" s="387"/>
      <c r="Q61" s="388"/>
      <c r="R61" s="34" t="s">
        <v>1107</v>
      </c>
      <c r="S61" s="34"/>
      <c r="T61" s="9">
        <f>SUM(T8:T60)</f>
        <v>77158.8</v>
      </c>
      <c r="U61" s="150"/>
    </row>
    <row r="63" spans="1:21" s="132" customFormat="1" ht="15.75" customHeight="1" x14ac:dyDescent="0.25">
      <c r="A63" s="165" t="s">
        <v>1129</v>
      </c>
      <c r="B63" s="130" t="s">
        <v>1130</v>
      </c>
      <c r="C63" s="49"/>
      <c r="D63" s="49"/>
      <c r="E63" s="49"/>
      <c r="F63" s="49"/>
      <c r="G63" s="49"/>
      <c r="H63" s="49"/>
      <c r="I63" s="49"/>
      <c r="J63" s="49"/>
      <c r="K63" s="49"/>
      <c r="L63" s="49"/>
      <c r="M63" s="49"/>
      <c r="N63" s="49"/>
      <c r="O63" s="131"/>
      <c r="P63" s="49"/>
      <c r="Q63" s="49"/>
      <c r="R63" s="435" t="s">
        <v>946</v>
      </c>
      <c r="S63" s="388"/>
      <c r="T63" s="50">
        <f>T61*5</f>
        <v>385794</v>
      </c>
      <c r="U63" s="151"/>
    </row>
    <row r="65" spans="1:17" s="42" customFormat="1" ht="15.75" customHeight="1" thickBot="1" x14ac:dyDescent="0.3">
      <c r="A65" s="157"/>
      <c r="B65" s="44"/>
      <c r="C65" s="44"/>
      <c r="D65" s="172"/>
      <c r="E65" s="44"/>
      <c r="F65" s="44"/>
      <c r="G65" s="44"/>
      <c r="H65" s="44"/>
      <c r="I65" s="44"/>
      <c r="J65" s="44"/>
      <c r="K65" s="118"/>
      <c r="L65" s="44"/>
      <c r="M65" s="44"/>
      <c r="N65" s="44"/>
      <c r="O65" s="44"/>
      <c r="P65" s="44"/>
      <c r="Q65" s="47"/>
    </row>
    <row r="66" spans="1:17" s="42" customFormat="1" ht="50.1" customHeight="1" thickBot="1" x14ac:dyDescent="0.3">
      <c r="A66" s="119" t="s">
        <v>912</v>
      </c>
      <c r="B66" s="119" t="s">
        <v>913</v>
      </c>
      <c r="C66" s="120" t="s">
        <v>914</v>
      </c>
      <c r="D66" s="430"/>
      <c r="E66" s="431"/>
      <c r="F66" s="431"/>
      <c r="G66" s="431"/>
      <c r="H66" s="431"/>
      <c r="I66" s="431"/>
      <c r="J66" s="431"/>
      <c r="K66" s="121" t="s">
        <v>915</v>
      </c>
      <c r="L66" s="122" t="s">
        <v>916</v>
      </c>
      <c r="M66" s="121" t="s">
        <v>917</v>
      </c>
      <c r="N66" s="121" t="s">
        <v>918</v>
      </c>
      <c r="O66" s="121"/>
      <c r="P66" s="119" t="s">
        <v>919</v>
      </c>
      <c r="Q66" s="47"/>
    </row>
    <row r="67" spans="1:17" s="42" customFormat="1" ht="50.1" customHeight="1" thickBot="1" x14ac:dyDescent="0.3">
      <c r="A67" s="123"/>
      <c r="B67" s="123"/>
      <c r="C67" s="124"/>
      <c r="D67" s="432" t="s">
        <v>948</v>
      </c>
      <c r="E67" s="431"/>
      <c r="F67" s="431"/>
      <c r="G67" s="431"/>
      <c r="H67" s="431"/>
      <c r="I67" s="431"/>
      <c r="J67" s="433"/>
      <c r="K67" s="125"/>
      <c r="L67" s="124"/>
      <c r="M67" s="124"/>
      <c r="N67" s="124"/>
      <c r="O67" s="124"/>
      <c r="P67" s="123"/>
      <c r="Q67" s="47"/>
    </row>
    <row r="68" spans="1:17" s="42" customFormat="1" ht="62.25" customHeight="1" x14ac:dyDescent="0.25">
      <c r="A68" s="123"/>
      <c r="B68" s="123"/>
      <c r="C68" s="124"/>
      <c r="D68" s="173" t="s">
        <v>949</v>
      </c>
      <c r="E68" s="46" t="s">
        <v>950</v>
      </c>
      <c r="F68" s="46" t="s">
        <v>951</v>
      </c>
      <c r="G68" s="46" t="s">
        <v>952</v>
      </c>
      <c r="H68" s="46" t="s">
        <v>953</v>
      </c>
      <c r="I68" s="154" t="s">
        <v>930</v>
      </c>
      <c r="J68" s="126" t="s">
        <v>931</v>
      </c>
      <c r="K68" s="125"/>
      <c r="L68" s="124"/>
      <c r="M68" s="124"/>
      <c r="N68" s="124"/>
      <c r="O68" s="124"/>
      <c r="P68" s="123"/>
      <c r="Q68" s="47"/>
    </row>
    <row r="69" spans="1:17" s="32" customFormat="1" ht="12.75" customHeight="1" x14ac:dyDescent="0.2">
      <c r="A69" s="159"/>
      <c r="B69" s="30"/>
      <c r="C69" s="25"/>
      <c r="D69" s="174"/>
      <c r="E69" s="25"/>
      <c r="F69" s="25"/>
      <c r="G69" s="25"/>
      <c r="H69" s="25"/>
      <c r="I69" s="25"/>
      <c r="J69" s="25"/>
      <c r="K69" s="58"/>
      <c r="L69" s="26"/>
      <c r="M69" s="26"/>
      <c r="N69" s="26"/>
      <c r="O69" s="26"/>
      <c r="P69" s="22"/>
      <c r="Q69" s="37"/>
    </row>
    <row r="70" spans="1:17" s="32" customFormat="1" ht="12.75" customHeight="1" x14ac:dyDescent="0.2">
      <c r="A70" s="159"/>
      <c r="B70" s="31"/>
      <c r="C70" s="25"/>
      <c r="D70" s="174"/>
      <c r="E70" s="25"/>
      <c r="F70" s="25"/>
      <c r="G70" s="25"/>
      <c r="H70" s="25"/>
      <c r="I70" s="25"/>
      <c r="J70" s="25"/>
      <c r="K70" s="58"/>
      <c r="L70" s="26"/>
      <c r="M70" s="26"/>
      <c r="N70" s="26"/>
      <c r="O70" s="26"/>
      <c r="P70" s="35"/>
      <c r="Q70" s="37"/>
    </row>
    <row r="71" spans="1:17" s="117" customFormat="1" ht="15.75" customHeight="1" x14ac:dyDescent="0.25">
      <c r="A71" s="160" t="s">
        <v>932</v>
      </c>
      <c r="B71" s="39" t="s">
        <v>1131</v>
      </c>
      <c r="C71" s="40"/>
      <c r="D71" s="175"/>
      <c r="E71" s="40"/>
      <c r="F71" s="40"/>
      <c r="G71" s="40"/>
      <c r="H71" s="40"/>
      <c r="I71" s="40"/>
      <c r="J71" s="40"/>
      <c r="K71" s="59"/>
      <c r="L71" s="40"/>
      <c r="M71" s="40"/>
      <c r="N71" s="40"/>
      <c r="O71" s="40"/>
      <c r="P71" s="41"/>
      <c r="Q71" s="149"/>
    </row>
    <row r="72" spans="1:17" s="32" customFormat="1" ht="12.75" customHeight="1" x14ac:dyDescent="0.2">
      <c r="A72" s="159"/>
      <c r="B72" s="31"/>
      <c r="C72" s="25"/>
      <c r="D72" s="174"/>
      <c r="E72" s="25"/>
      <c r="F72" s="25"/>
      <c r="G72" s="25"/>
      <c r="H72" s="25"/>
      <c r="I72" s="25"/>
      <c r="J72" s="25"/>
      <c r="K72" s="58"/>
      <c r="L72" s="26"/>
      <c r="M72" s="26"/>
      <c r="N72" s="26"/>
      <c r="O72" s="26"/>
      <c r="P72" s="35"/>
      <c r="Q72" s="37"/>
    </row>
    <row r="73" spans="1:17" s="32" customFormat="1" ht="12.75" customHeight="1" x14ac:dyDescent="0.2">
      <c r="A73" s="163"/>
      <c r="B73" s="5"/>
      <c r="C73" s="25"/>
      <c r="D73" s="178"/>
      <c r="E73" s="26"/>
      <c r="F73" s="26"/>
      <c r="G73" s="26"/>
      <c r="H73" s="26"/>
      <c r="I73" s="26"/>
      <c r="J73" s="26"/>
      <c r="K73" s="58"/>
      <c r="L73" s="26"/>
      <c r="M73" s="26"/>
      <c r="N73" s="26"/>
      <c r="O73" s="26"/>
      <c r="P73" s="22"/>
      <c r="Q73" s="37"/>
    </row>
    <row r="74" spans="1:17" s="32" customFormat="1" ht="12.75" customHeight="1" x14ac:dyDescent="0.2">
      <c r="A74" s="162" t="s">
        <v>1086</v>
      </c>
      <c r="B74" s="144" t="s">
        <v>1087</v>
      </c>
      <c r="C74" s="135"/>
      <c r="D74" s="176"/>
      <c r="E74" s="135"/>
      <c r="F74" s="135"/>
      <c r="G74" s="135"/>
      <c r="H74" s="135"/>
      <c r="I74" s="135"/>
      <c r="J74" s="135"/>
      <c r="K74" s="60"/>
      <c r="L74" s="29"/>
      <c r="M74" s="29"/>
      <c r="N74" s="29"/>
      <c r="O74" s="29"/>
      <c r="P74" s="136"/>
      <c r="Q74" s="37"/>
    </row>
    <row r="75" spans="1:17" s="32" customFormat="1" ht="204" customHeight="1" x14ac:dyDescent="0.2">
      <c r="A75" s="163"/>
      <c r="B75" s="138" t="s">
        <v>1088</v>
      </c>
      <c r="C75" s="25"/>
      <c r="D75" s="174"/>
      <c r="E75" s="25"/>
      <c r="F75" s="25"/>
      <c r="G75" s="25"/>
      <c r="H75" s="25"/>
      <c r="I75" s="25"/>
      <c r="J75" s="25"/>
      <c r="K75" s="58"/>
      <c r="L75" s="26"/>
      <c r="M75" s="26"/>
      <c r="N75" s="26"/>
      <c r="O75" s="26"/>
      <c r="P75" s="35"/>
      <c r="Q75" s="37"/>
    </row>
    <row r="76" spans="1:17" s="32" customFormat="1" ht="140.25" customHeight="1" x14ac:dyDescent="0.2">
      <c r="A76" s="163"/>
      <c r="B76" s="141" t="s">
        <v>1089</v>
      </c>
      <c r="C76" s="25"/>
      <c r="D76" s="174"/>
      <c r="E76" s="25"/>
      <c r="F76" s="25"/>
      <c r="G76" s="25"/>
      <c r="H76" s="25"/>
      <c r="I76" s="25"/>
      <c r="J76" s="25"/>
      <c r="K76" s="58"/>
      <c r="L76" s="26"/>
      <c r="M76" s="26"/>
      <c r="N76" s="26"/>
      <c r="O76" s="26"/>
      <c r="P76" s="35"/>
      <c r="Q76" s="37"/>
    </row>
    <row r="77" spans="1:17" s="32" customFormat="1" ht="25.5" customHeight="1" x14ac:dyDescent="0.2">
      <c r="A77" s="164"/>
      <c r="B77" s="138" t="s">
        <v>1090</v>
      </c>
      <c r="C77" s="25"/>
      <c r="D77" s="174"/>
      <c r="E77" s="25"/>
      <c r="F77" s="25"/>
      <c r="G77" s="25"/>
      <c r="H77" s="25"/>
      <c r="I77" s="25"/>
      <c r="J77" s="25"/>
      <c r="K77" s="58"/>
      <c r="L77" s="26"/>
      <c r="M77" s="26"/>
      <c r="N77" s="26"/>
      <c r="O77" s="26"/>
      <c r="P77" s="35"/>
      <c r="Q77" s="37"/>
    </row>
    <row r="78" spans="1:17" s="32" customFormat="1" ht="26.25" customHeight="1" thickBot="1" x14ac:dyDescent="0.25">
      <c r="A78" s="164"/>
      <c r="B78" s="146" t="s">
        <v>1091</v>
      </c>
      <c r="C78" s="135" t="s">
        <v>1132</v>
      </c>
      <c r="D78" s="177">
        <f t="shared" ref="D78:I78" si="7">D$4*0</f>
        <v>0</v>
      </c>
      <c r="E78" s="36">
        <f t="shared" si="7"/>
        <v>0</v>
      </c>
      <c r="F78" s="36">
        <f t="shared" si="7"/>
        <v>0</v>
      </c>
      <c r="G78" s="36">
        <f t="shared" si="7"/>
        <v>0</v>
      </c>
      <c r="H78" s="36">
        <f t="shared" si="7"/>
        <v>0</v>
      </c>
      <c r="I78" s="36">
        <f t="shared" si="7"/>
        <v>0</v>
      </c>
      <c r="J78" s="56">
        <f>J$4*680</f>
        <v>680</v>
      </c>
      <c r="K78" s="62">
        <f>SUM(D78:J78)</f>
        <v>680</v>
      </c>
      <c r="L78" s="55">
        <v>13</v>
      </c>
      <c r="M78" s="36">
        <v>0</v>
      </c>
      <c r="N78" s="36">
        <f>L78+M78</f>
        <v>13</v>
      </c>
      <c r="O78" s="36"/>
      <c r="P78" s="51">
        <f>N78*K78</f>
        <v>8840</v>
      </c>
      <c r="Q78" s="37"/>
    </row>
    <row r="79" spans="1:17" s="32" customFormat="1" ht="12.75" customHeight="1" x14ac:dyDescent="0.2">
      <c r="A79" s="163"/>
      <c r="B79" s="5"/>
      <c r="C79" s="25"/>
      <c r="D79" s="178"/>
      <c r="E79" s="26"/>
      <c r="F79" s="26"/>
      <c r="G79" s="26"/>
      <c r="H79" s="26"/>
      <c r="I79" s="26"/>
      <c r="J79" s="26"/>
      <c r="K79" s="58"/>
      <c r="L79" s="26"/>
      <c r="M79" s="26"/>
      <c r="N79" s="26"/>
      <c r="O79" s="26"/>
      <c r="P79" s="22"/>
      <c r="Q79" s="37"/>
    </row>
    <row r="80" spans="1:17" s="32" customFormat="1" ht="12.75" customHeight="1" x14ac:dyDescent="0.2">
      <c r="A80" s="159"/>
      <c r="B80" s="31"/>
      <c r="C80" s="25"/>
      <c r="D80" s="174"/>
      <c r="E80" s="25"/>
      <c r="F80" s="25"/>
      <c r="G80" s="25"/>
      <c r="H80" s="25"/>
      <c r="I80" s="25"/>
      <c r="J80" s="25"/>
      <c r="K80" s="58"/>
      <c r="L80" s="26"/>
      <c r="M80" s="26"/>
      <c r="N80" s="26"/>
      <c r="O80" s="26"/>
      <c r="P80" s="22"/>
      <c r="Q80" s="37"/>
    </row>
    <row r="81" spans="1:17" s="129" customFormat="1" x14ac:dyDescent="0.25">
      <c r="A81" s="165" t="s">
        <v>1133</v>
      </c>
      <c r="B81" s="440" t="s">
        <v>1134</v>
      </c>
      <c r="C81" s="387"/>
      <c r="D81" s="387"/>
      <c r="E81" s="387"/>
      <c r="F81" s="387"/>
      <c r="G81" s="387"/>
      <c r="H81" s="387"/>
      <c r="I81" s="387"/>
      <c r="J81" s="387"/>
      <c r="K81" s="387"/>
      <c r="L81" s="387"/>
      <c r="M81" s="388"/>
      <c r="N81" s="34" t="s">
        <v>1107</v>
      </c>
      <c r="O81" s="34"/>
      <c r="P81" s="9">
        <f>SUM(P73:P80)</f>
        <v>8840</v>
      </c>
      <c r="Q81" s="150"/>
    </row>
    <row r="83" spans="1:17" s="42" customFormat="1" x14ac:dyDescent="0.25">
      <c r="A83" s="161" t="s">
        <v>1092</v>
      </c>
      <c r="B83" s="441" t="s">
        <v>1093</v>
      </c>
      <c r="C83" s="387"/>
      <c r="D83" s="387"/>
      <c r="E83" s="387"/>
      <c r="F83" s="387"/>
      <c r="G83" s="387"/>
      <c r="H83" s="387"/>
      <c r="I83" s="387"/>
      <c r="J83" s="387"/>
      <c r="K83" s="387"/>
      <c r="L83" s="387"/>
      <c r="M83" s="387"/>
      <c r="N83" s="387"/>
      <c r="O83" s="43"/>
      <c r="P83" s="33"/>
      <c r="Q83" s="47"/>
    </row>
    <row r="84" spans="1:17" s="32" customFormat="1" ht="12.75" customHeight="1" x14ac:dyDescent="0.2">
      <c r="A84" s="159"/>
      <c r="B84" s="31"/>
      <c r="C84" s="25"/>
      <c r="D84" s="174"/>
      <c r="E84" s="25"/>
      <c r="F84" s="25"/>
      <c r="G84" s="25"/>
      <c r="H84" s="25"/>
      <c r="I84" s="25"/>
      <c r="J84" s="25"/>
      <c r="K84" s="58"/>
      <c r="L84" s="26"/>
      <c r="M84" s="26"/>
      <c r="N84" s="26"/>
      <c r="O84" s="26"/>
      <c r="P84" s="35"/>
      <c r="Q84" s="37"/>
    </row>
    <row r="85" spans="1:17" s="32" customFormat="1" ht="25.5" customHeight="1" x14ac:dyDescent="0.2">
      <c r="A85" s="166" t="s">
        <v>1094</v>
      </c>
      <c r="B85" s="61" t="s">
        <v>1095</v>
      </c>
      <c r="C85" s="135"/>
      <c r="D85" s="176"/>
      <c r="E85" s="135"/>
      <c r="F85" s="135"/>
      <c r="G85" s="135"/>
      <c r="H85" s="135"/>
      <c r="I85" s="135"/>
      <c r="J85" s="135"/>
      <c r="K85" s="60"/>
      <c r="L85" s="29"/>
      <c r="M85" s="29"/>
      <c r="N85" s="29"/>
      <c r="O85" s="29"/>
      <c r="P85" s="136"/>
      <c r="Q85" s="37"/>
    </row>
    <row r="86" spans="1:17" s="32" customFormat="1" ht="14.25" customHeight="1" x14ac:dyDescent="0.2">
      <c r="A86" s="290" t="s">
        <v>1096</v>
      </c>
      <c r="B86" s="291" t="s">
        <v>1097</v>
      </c>
      <c r="C86" s="25"/>
      <c r="D86" s="174"/>
      <c r="E86" s="25"/>
      <c r="F86" s="25"/>
      <c r="G86" s="25"/>
      <c r="H86" s="25"/>
      <c r="I86" s="25"/>
      <c r="J86" s="25"/>
      <c r="K86" s="58"/>
      <c r="L86" s="26"/>
      <c r="M86" s="26"/>
      <c r="N86" s="26"/>
      <c r="O86" s="26"/>
      <c r="P86" s="35"/>
      <c r="Q86" s="37"/>
    </row>
    <row r="87" spans="1:17" s="32" customFormat="1" ht="76.5" customHeight="1" x14ac:dyDescent="0.25">
      <c r="A87" s="167"/>
      <c r="B87" s="24" t="s">
        <v>1098</v>
      </c>
      <c r="C87" s="25"/>
      <c r="D87" s="179"/>
      <c r="E87" s="42"/>
      <c r="F87" s="42"/>
      <c r="G87" s="42"/>
      <c r="H87" s="42"/>
      <c r="I87" s="42"/>
      <c r="J87" s="42"/>
      <c r="K87" s="128"/>
      <c r="L87" s="42"/>
      <c r="M87" s="42"/>
      <c r="N87" s="42"/>
      <c r="O87" s="42"/>
      <c r="P87" s="42"/>
      <c r="Q87" s="37"/>
    </row>
    <row r="88" spans="1:17" s="32" customFormat="1" ht="114.75" customHeight="1" x14ac:dyDescent="0.25">
      <c r="A88" s="167"/>
      <c r="B88" s="241" t="s">
        <v>1099</v>
      </c>
      <c r="C88" s="25"/>
      <c r="D88" s="179"/>
      <c r="E88" s="42"/>
      <c r="F88" s="42"/>
      <c r="G88" s="42"/>
      <c r="H88" s="42"/>
      <c r="I88" s="42"/>
      <c r="J88" s="42"/>
      <c r="K88" s="128"/>
      <c r="L88" s="42"/>
      <c r="M88" s="42"/>
      <c r="N88" s="42"/>
      <c r="O88" s="42"/>
      <c r="P88" s="42"/>
      <c r="Q88" s="37"/>
    </row>
    <row r="89" spans="1:17" s="32" customFormat="1" ht="38.25" customHeight="1" x14ac:dyDescent="0.25">
      <c r="A89" s="167"/>
      <c r="B89" s="24" t="s">
        <v>1100</v>
      </c>
      <c r="C89" s="25"/>
      <c r="D89" s="179"/>
      <c r="E89" s="42"/>
      <c r="F89" s="42"/>
      <c r="G89" s="42"/>
      <c r="H89" s="42"/>
      <c r="I89" s="42"/>
      <c r="J89" s="42"/>
      <c r="K89" s="128"/>
      <c r="L89" s="42"/>
      <c r="M89" s="42"/>
      <c r="N89" s="42"/>
      <c r="O89" s="42"/>
      <c r="P89" s="42"/>
      <c r="Q89" s="37"/>
    </row>
    <row r="90" spans="1:17" s="288" customFormat="1" ht="26.25" customHeight="1" thickBot="1" x14ac:dyDescent="0.25">
      <c r="A90" s="282"/>
      <c r="B90" s="292" t="s">
        <v>1101</v>
      </c>
      <c r="C90" s="189" t="s">
        <v>938</v>
      </c>
      <c r="D90" s="293">
        <f t="shared" ref="D90:I90" si="8">D$4*0</f>
        <v>0</v>
      </c>
      <c r="E90" s="191">
        <f t="shared" si="8"/>
        <v>0</v>
      </c>
      <c r="F90" s="191">
        <f t="shared" si="8"/>
        <v>0</v>
      </c>
      <c r="G90" s="191">
        <f t="shared" si="8"/>
        <v>0</v>
      </c>
      <c r="H90" s="191">
        <f t="shared" si="8"/>
        <v>0</v>
      </c>
      <c r="I90" s="191">
        <f t="shared" si="8"/>
        <v>0</v>
      </c>
      <c r="J90" s="192">
        <f>J$4*(680.7+81.3)*0.4</f>
        <v>304.8</v>
      </c>
      <c r="K90" s="193">
        <f>SUM(D90:J90)</f>
        <v>304.8</v>
      </c>
      <c r="L90" s="190">
        <v>20</v>
      </c>
      <c r="M90" s="191">
        <v>0</v>
      </c>
      <c r="N90" s="191">
        <f>L90+M90</f>
        <v>20</v>
      </c>
      <c r="O90" s="191"/>
      <c r="P90" s="294">
        <f>N90*K90</f>
        <v>6096</v>
      </c>
      <c r="Q90" s="287"/>
    </row>
    <row r="91" spans="1:17" s="32" customFormat="1" ht="14.25" customHeight="1" x14ac:dyDescent="0.2">
      <c r="A91" s="290" t="s">
        <v>1102</v>
      </c>
      <c r="B91" s="291" t="s">
        <v>1103</v>
      </c>
      <c r="C91" s="25"/>
      <c r="D91" s="178"/>
      <c r="E91" s="26"/>
      <c r="F91" s="26"/>
      <c r="G91" s="26"/>
      <c r="H91" s="26"/>
      <c r="I91" s="26"/>
      <c r="J91" s="26"/>
      <c r="K91" s="58"/>
      <c r="L91" s="26"/>
      <c r="M91" s="26"/>
      <c r="N91" s="26"/>
      <c r="O91" s="26"/>
      <c r="P91" s="22"/>
      <c r="Q91" s="37"/>
    </row>
    <row r="92" spans="1:17" s="32" customFormat="1" ht="28.5" customHeight="1" x14ac:dyDescent="0.25">
      <c r="A92" s="167"/>
      <c r="B92" s="24" t="s">
        <v>1104</v>
      </c>
      <c r="C92" s="25"/>
      <c r="D92" s="179"/>
      <c r="E92" s="42"/>
      <c r="F92" s="42"/>
      <c r="G92" s="42"/>
      <c r="H92" s="42"/>
      <c r="I92" s="42"/>
      <c r="J92" s="42"/>
      <c r="K92" s="128"/>
      <c r="L92" s="42"/>
      <c r="M92" s="42"/>
      <c r="N92" s="42"/>
      <c r="O92" s="42"/>
      <c r="P92" s="42"/>
      <c r="Q92" s="37"/>
    </row>
    <row r="93" spans="1:17" s="32" customFormat="1" ht="39" customHeight="1" thickBot="1" x14ac:dyDescent="0.3">
      <c r="A93" s="167"/>
      <c r="B93" s="24" t="s">
        <v>1100</v>
      </c>
      <c r="C93" s="25"/>
      <c r="D93" s="179"/>
      <c r="E93" s="42"/>
      <c r="F93" s="42"/>
      <c r="G93" s="42"/>
      <c r="H93" s="42"/>
      <c r="I93" s="42"/>
      <c r="J93" s="42"/>
      <c r="K93" s="128"/>
      <c r="L93" s="42"/>
      <c r="M93" s="42"/>
      <c r="N93" s="42"/>
      <c r="O93" s="42"/>
      <c r="P93" s="42"/>
      <c r="Q93" s="37"/>
    </row>
    <row r="94" spans="1:17" s="32" customFormat="1" ht="14.25" customHeight="1" x14ac:dyDescent="0.2">
      <c r="A94" s="166"/>
      <c r="B94" s="27" t="s">
        <v>1105</v>
      </c>
      <c r="C94" s="135" t="s">
        <v>938</v>
      </c>
      <c r="D94" s="177">
        <f t="shared" ref="D94:I94" si="9">D$4*0</f>
        <v>0</v>
      </c>
      <c r="E94" s="36">
        <f t="shared" si="9"/>
        <v>0</v>
      </c>
      <c r="F94" s="36">
        <f t="shared" si="9"/>
        <v>0</v>
      </c>
      <c r="G94" s="36">
        <f t="shared" si="9"/>
        <v>0</v>
      </c>
      <c r="H94" s="36">
        <f t="shared" si="9"/>
        <v>0</v>
      </c>
      <c r="I94" s="36">
        <f t="shared" si="9"/>
        <v>0</v>
      </c>
      <c r="J94" s="56">
        <f>J$4*28.57</f>
        <v>28.57</v>
      </c>
      <c r="K94" s="62">
        <f>SUM(D94:J94)</f>
        <v>28.57</v>
      </c>
      <c r="L94" s="55">
        <v>25</v>
      </c>
      <c r="M94" s="36">
        <v>0</v>
      </c>
      <c r="N94" s="36">
        <f>L94+M94</f>
        <v>25</v>
      </c>
      <c r="O94" s="36"/>
      <c r="P94" s="51">
        <f>N94*K94</f>
        <v>714.25</v>
      </c>
      <c r="Q94" s="37"/>
    </row>
    <row r="95" spans="1:17" s="32" customFormat="1" ht="12.75" customHeight="1" x14ac:dyDescent="0.2">
      <c r="A95" s="159"/>
      <c r="B95" s="31"/>
      <c r="C95" s="25"/>
      <c r="D95" s="174"/>
      <c r="E95" s="25"/>
      <c r="F95" s="25"/>
      <c r="G95" s="25"/>
      <c r="H95" s="25"/>
      <c r="I95" s="25"/>
      <c r="J95" s="25"/>
      <c r="K95" s="58"/>
      <c r="L95" s="26"/>
      <c r="M95" s="26"/>
      <c r="N95" s="26"/>
      <c r="O95" s="26"/>
      <c r="P95" s="35"/>
      <c r="Q95" s="37"/>
    </row>
    <row r="96" spans="1:17" s="32" customFormat="1" ht="12.75" customHeight="1" x14ac:dyDescent="0.2">
      <c r="A96" s="159"/>
      <c r="B96" s="31"/>
      <c r="C96" s="25"/>
      <c r="D96" s="174"/>
      <c r="E96" s="25"/>
      <c r="F96" s="25"/>
      <c r="G96" s="25"/>
      <c r="H96" s="25"/>
      <c r="I96" s="25"/>
      <c r="J96" s="25"/>
      <c r="K96" s="58"/>
      <c r="L96" s="26"/>
      <c r="M96" s="26"/>
      <c r="N96" s="26"/>
      <c r="O96" s="26"/>
      <c r="P96" s="22"/>
      <c r="Q96" s="37"/>
    </row>
    <row r="97" spans="1:17" s="129" customFormat="1" x14ac:dyDescent="0.25">
      <c r="A97" s="165" t="s">
        <v>1106</v>
      </c>
      <c r="B97" s="440" t="s">
        <v>1093</v>
      </c>
      <c r="C97" s="387"/>
      <c r="D97" s="387"/>
      <c r="E97" s="387"/>
      <c r="F97" s="387"/>
      <c r="G97" s="387"/>
      <c r="H97" s="387"/>
      <c r="I97" s="387"/>
      <c r="J97" s="387"/>
      <c r="K97" s="387"/>
      <c r="L97" s="387"/>
      <c r="M97" s="388"/>
      <c r="N97" s="34" t="s">
        <v>1107</v>
      </c>
      <c r="O97" s="34"/>
      <c r="P97" s="9">
        <f>SUM(P84:P96)</f>
        <v>6810.25</v>
      </c>
      <c r="Q97" s="150"/>
    </row>
    <row r="98" spans="1:17" s="129" customFormat="1" x14ac:dyDescent="0.25">
      <c r="A98" s="327"/>
      <c r="B98" s="186"/>
      <c r="C98" s="186"/>
      <c r="D98" s="186"/>
      <c r="E98" s="186"/>
      <c r="F98" s="186"/>
      <c r="G98" s="186"/>
      <c r="H98" s="186"/>
      <c r="I98" s="186"/>
      <c r="J98" s="186"/>
      <c r="K98" s="186"/>
      <c r="L98" s="186"/>
      <c r="M98" s="186"/>
      <c r="N98" s="328"/>
      <c r="O98" s="328"/>
      <c r="P98" s="329"/>
      <c r="Q98" s="150"/>
    </row>
    <row r="99" spans="1:17" s="42" customFormat="1" ht="15.75" customHeight="1" x14ac:dyDescent="0.25">
      <c r="A99" s="158" t="s">
        <v>1108</v>
      </c>
      <c r="B99" s="441" t="s">
        <v>1109</v>
      </c>
      <c r="C99" s="387"/>
      <c r="D99" s="387"/>
      <c r="E99" s="387"/>
      <c r="F99" s="387"/>
      <c r="G99" s="387"/>
      <c r="H99" s="387"/>
      <c r="I99" s="387"/>
      <c r="J99" s="387"/>
      <c r="K99" s="387"/>
      <c r="L99" s="387"/>
      <c r="M99" s="387"/>
      <c r="N99" s="387"/>
      <c r="O99" s="441"/>
      <c r="P99" s="387"/>
      <c r="Q99" s="47"/>
    </row>
    <row r="100" spans="1:17" s="42" customFormat="1" ht="25.5" customHeight="1" x14ac:dyDescent="0.25">
      <c r="A100" s="166" t="s">
        <v>1110</v>
      </c>
      <c r="B100" s="27" t="s">
        <v>1111</v>
      </c>
      <c r="C100" s="28"/>
      <c r="D100" s="181"/>
      <c r="E100" s="28"/>
      <c r="F100" s="28"/>
      <c r="G100" s="28"/>
      <c r="H100" s="28"/>
      <c r="I100" s="28"/>
      <c r="J100" s="28"/>
      <c r="K100" s="60"/>
      <c r="L100" s="29"/>
      <c r="M100" s="29"/>
      <c r="N100" s="29"/>
      <c r="O100" s="29"/>
      <c r="P100" s="23"/>
      <c r="Q100" s="152"/>
    </row>
    <row r="101" spans="1:17" s="42" customFormat="1" ht="264.75" customHeight="1" x14ac:dyDescent="0.25">
      <c r="A101" s="167"/>
      <c r="B101" s="30" t="s">
        <v>1112</v>
      </c>
      <c r="C101" s="31"/>
      <c r="D101" s="182"/>
      <c r="E101" s="31"/>
      <c r="F101" s="31"/>
      <c r="G101" s="31"/>
      <c r="H101" s="31"/>
      <c r="I101" s="31"/>
      <c r="J101" s="31"/>
      <c r="K101" s="58"/>
      <c r="L101" s="26"/>
      <c r="M101" s="26"/>
      <c r="N101" s="26"/>
      <c r="O101" s="26"/>
      <c r="P101" s="38"/>
      <c r="Q101" s="152"/>
    </row>
    <row r="102" spans="1:17" s="42" customFormat="1" ht="153" customHeight="1" x14ac:dyDescent="0.25">
      <c r="A102" s="167"/>
      <c r="B102" s="30" t="s">
        <v>1113</v>
      </c>
      <c r="C102" s="31"/>
      <c r="D102" s="182"/>
      <c r="E102" s="31"/>
      <c r="F102" s="31"/>
      <c r="G102" s="31"/>
      <c r="H102" s="31"/>
      <c r="I102" s="31"/>
      <c r="J102" s="31"/>
      <c r="K102" s="58"/>
      <c r="L102" s="26"/>
      <c r="M102" s="26"/>
      <c r="N102" s="26"/>
      <c r="O102" s="26"/>
      <c r="P102" s="38"/>
      <c r="Q102" s="152"/>
    </row>
    <row r="103" spans="1:17" s="42" customFormat="1" ht="63.75" customHeight="1" x14ac:dyDescent="0.25">
      <c r="A103" s="167"/>
      <c r="B103" s="202" t="s">
        <v>1114</v>
      </c>
      <c r="C103" s="31"/>
      <c r="D103" s="182"/>
      <c r="E103" s="31"/>
      <c r="F103" s="31"/>
      <c r="G103" s="31"/>
      <c r="H103" s="31"/>
      <c r="I103" s="31"/>
      <c r="J103" s="31"/>
      <c r="K103" s="58"/>
      <c r="L103" s="26"/>
      <c r="M103" s="26"/>
      <c r="N103" s="26"/>
      <c r="O103" s="26"/>
      <c r="P103" s="38"/>
      <c r="Q103" s="152"/>
    </row>
    <row r="104" spans="1:17" s="42" customFormat="1" ht="63.75" customHeight="1" x14ac:dyDescent="0.25">
      <c r="A104" s="167"/>
      <c r="B104" s="202" t="s">
        <v>1115</v>
      </c>
      <c r="C104" s="31"/>
      <c r="D104" s="182"/>
      <c r="E104" s="31"/>
      <c r="F104" s="31"/>
      <c r="G104" s="31"/>
      <c r="H104" s="31"/>
      <c r="I104" s="31"/>
      <c r="J104" s="31"/>
      <c r="K104" s="58"/>
      <c r="L104" s="26"/>
      <c r="M104" s="26"/>
      <c r="N104" s="26"/>
      <c r="O104" s="26"/>
      <c r="P104" s="38"/>
      <c r="Q104" s="152"/>
    </row>
    <row r="105" spans="1:17" s="42" customFormat="1" ht="166.5" customHeight="1" thickBot="1" x14ac:dyDescent="0.3">
      <c r="A105" s="167"/>
      <c r="B105" s="30" t="s">
        <v>1135</v>
      </c>
      <c r="C105" s="31"/>
      <c r="D105" s="182"/>
      <c r="E105" s="31"/>
      <c r="F105" s="31"/>
      <c r="G105" s="31"/>
      <c r="H105" s="31"/>
      <c r="I105" s="31"/>
      <c r="J105" s="31"/>
      <c r="K105" s="58"/>
      <c r="L105" s="26"/>
      <c r="M105" s="26"/>
      <c r="N105" s="26"/>
      <c r="O105" s="26"/>
      <c r="P105" s="38"/>
      <c r="Q105" s="152"/>
    </row>
    <row r="106" spans="1:17" s="200" customFormat="1" ht="15.75" customHeight="1" thickBot="1" x14ac:dyDescent="0.3">
      <c r="A106" s="282"/>
      <c r="B106" s="188" t="s">
        <v>937</v>
      </c>
      <c r="C106" s="189" t="s">
        <v>938</v>
      </c>
      <c r="D106" s="293">
        <v>0</v>
      </c>
      <c r="E106" s="191">
        <v>0</v>
      </c>
      <c r="F106" s="191">
        <v>0</v>
      </c>
      <c r="G106" s="191">
        <v>0</v>
      </c>
      <c r="H106" s="191">
        <v>0</v>
      </c>
      <c r="I106" s="191">
        <v>0</v>
      </c>
      <c r="J106" s="192">
        <v>708</v>
      </c>
      <c r="K106" s="193">
        <f>SUM(D106:J106)</f>
        <v>708</v>
      </c>
      <c r="L106" s="194">
        <v>74</v>
      </c>
      <c r="M106" s="194">
        <v>0</v>
      </c>
      <c r="N106" s="194">
        <f>L106+M106</f>
        <v>74</v>
      </c>
      <c r="O106" s="194"/>
      <c r="P106" s="195">
        <f>N106*K106</f>
        <v>52392</v>
      </c>
      <c r="Q106" s="208"/>
    </row>
    <row r="107" spans="1:17" s="42" customFormat="1" x14ac:dyDescent="0.25">
      <c r="A107" s="157"/>
      <c r="B107" s="44"/>
      <c r="C107" s="44"/>
      <c r="D107" s="172"/>
      <c r="E107" s="44"/>
      <c r="F107" s="44"/>
      <c r="G107" s="44"/>
      <c r="H107" s="44"/>
      <c r="I107" s="44"/>
      <c r="J107" s="44"/>
      <c r="K107" s="118"/>
      <c r="L107" s="44"/>
      <c r="M107" s="44"/>
      <c r="N107" s="44"/>
      <c r="O107" s="44"/>
      <c r="P107" s="44"/>
      <c r="Q107" s="47"/>
    </row>
    <row r="108" spans="1:17" s="42" customFormat="1" ht="38.25" customHeight="1" x14ac:dyDescent="0.25">
      <c r="A108" s="166" t="s">
        <v>1117</v>
      </c>
      <c r="B108" s="27" t="s">
        <v>1118</v>
      </c>
      <c r="C108" s="28"/>
      <c r="D108" s="181"/>
      <c r="E108" s="28"/>
      <c r="F108" s="28"/>
      <c r="G108" s="28"/>
      <c r="H108" s="28"/>
      <c r="I108" s="28"/>
      <c r="J108" s="28"/>
      <c r="K108" s="60"/>
      <c r="L108" s="29"/>
      <c r="M108" s="29"/>
      <c r="N108" s="29"/>
      <c r="O108" s="29"/>
      <c r="P108" s="23"/>
      <c r="Q108" s="152"/>
    </row>
    <row r="109" spans="1:17" s="42" customFormat="1" ht="212.25" customHeight="1" x14ac:dyDescent="0.25">
      <c r="A109" s="167"/>
      <c r="B109" s="202" t="s">
        <v>1119</v>
      </c>
      <c r="C109" s="31"/>
      <c r="D109" s="182"/>
      <c r="E109" s="31"/>
      <c r="F109" s="31"/>
      <c r="G109" s="31"/>
      <c r="H109" s="31"/>
      <c r="I109" s="31"/>
      <c r="J109" s="31"/>
      <c r="K109" s="58"/>
      <c r="L109" s="26"/>
      <c r="M109" s="26"/>
      <c r="N109" s="26"/>
      <c r="O109" s="26"/>
      <c r="P109" s="38"/>
      <c r="Q109" s="152"/>
    </row>
    <row r="110" spans="1:17" s="42" customFormat="1" ht="63.75" customHeight="1" x14ac:dyDescent="0.25">
      <c r="A110" s="167"/>
      <c r="B110" s="30" t="s">
        <v>1120</v>
      </c>
      <c r="C110" s="31"/>
      <c r="D110" s="182"/>
      <c r="E110" s="31"/>
      <c r="F110" s="31"/>
      <c r="G110" s="31"/>
      <c r="H110" s="31"/>
      <c r="I110" s="31"/>
      <c r="J110" s="31"/>
      <c r="K110" s="58"/>
      <c r="L110" s="26"/>
      <c r="M110" s="26"/>
      <c r="N110" s="26"/>
      <c r="O110" s="26"/>
      <c r="P110" s="38"/>
      <c r="Q110" s="152"/>
    </row>
    <row r="111" spans="1:17" s="42" customFormat="1" ht="64.5" customHeight="1" thickBot="1" x14ac:dyDescent="0.3">
      <c r="A111" s="167"/>
      <c r="B111" s="30" t="s">
        <v>1121</v>
      </c>
      <c r="C111" s="31"/>
      <c r="D111" s="182"/>
      <c r="E111" s="31"/>
      <c r="F111" s="31"/>
      <c r="G111" s="31"/>
      <c r="H111" s="31"/>
      <c r="I111" s="31"/>
      <c r="J111" s="31"/>
      <c r="K111" s="58"/>
      <c r="L111" s="26"/>
      <c r="M111" s="26"/>
      <c r="N111" s="26"/>
      <c r="O111" s="26"/>
      <c r="P111" s="38"/>
      <c r="Q111" s="152"/>
    </row>
    <row r="112" spans="1:17" s="200" customFormat="1" ht="15.75" customHeight="1" thickBot="1" x14ac:dyDescent="0.3">
      <c r="A112" s="282"/>
      <c r="B112" s="188" t="s">
        <v>937</v>
      </c>
      <c r="C112" s="189" t="s">
        <v>938</v>
      </c>
      <c r="D112" s="293">
        <v>0</v>
      </c>
      <c r="E112" s="191">
        <v>0</v>
      </c>
      <c r="F112" s="191">
        <v>0</v>
      </c>
      <c r="G112" s="191">
        <v>0</v>
      </c>
      <c r="H112" s="191">
        <v>0</v>
      </c>
      <c r="I112" s="191">
        <v>0</v>
      </c>
      <c r="J112" s="192">
        <v>54</v>
      </c>
      <c r="K112" s="193">
        <f>SUM(D112:J112)</f>
        <v>54</v>
      </c>
      <c r="L112" s="194">
        <v>55</v>
      </c>
      <c r="M112" s="194">
        <v>0</v>
      </c>
      <c r="N112" s="194">
        <f>L112+M112</f>
        <v>55</v>
      </c>
      <c r="O112" s="194"/>
      <c r="P112" s="195">
        <f>N112*K112</f>
        <v>2970</v>
      </c>
      <c r="Q112" s="208"/>
    </row>
    <row r="113" spans="1:21" s="42" customFormat="1" x14ac:dyDescent="0.25">
      <c r="A113" s="157"/>
      <c r="B113" s="44"/>
      <c r="C113" s="44"/>
      <c r="D113" s="172"/>
      <c r="E113" s="44"/>
      <c r="F113" s="44"/>
      <c r="G113" s="44"/>
      <c r="H113" s="44"/>
      <c r="I113" s="44"/>
      <c r="J113" s="44"/>
      <c r="K113" s="118"/>
      <c r="L113" s="44"/>
      <c r="M113" s="44"/>
      <c r="N113" s="44"/>
      <c r="O113" s="44"/>
      <c r="P113" s="44"/>
      <c r="Q113" s="47"/>
    </row>
    <row r="114" spans="1:21" s="42" customFormat="1" ht="25.5" customHeight="1" x14ac:dyDescent="0.25">
      <c r="A114" s="166" t="s">
        <v>1122</v>
      </c>
      <c r="B114" s="27" t="s">
        <v>1123</v>
      </c>
      <c r="C114" s="28"/>
      <c r="D114" s="181"/>
      <c r="E114" s="28"/>
      <c r="F114" s="28"/>
      <c r="G114" s="28"/>
      <c r="H114" s="28"/>
      <c r="I114" s="28"/>
      <c r="J114" s="28"/>
      <c r="K114" s="60"/>
      <c r="L114" s="29"/>
      <c r="M114" s="29"/>
      <c r="N114" s="29"/>
      <c r="O114" s="29"/>
      <c r="P114" s="23"/>
      <c r="Q114" s="152"/>
    </row>
    <row r="115" spans="1:21" s="42" customFormat="1" ht="51.75" customHeight="1" thickBot="1" x14ac:dyDescent="0.3">
      <c r="A115" s="167"/>
      <c r="B115" s="202" t="s">
        <v>1124</v>
      </c>
      <c r="C115" s="31"/>
      <c r="D115" s="182"/>
      <c r="E115" s="31"/>
      <c r="F115" s="31"/>
      <c r="G115" s="31"/>
      <c r="H115" s="31"/>
      <c r="I115" s="31"/>
      <c r="J115" s="31"/>
      <c r="K115" s="58"/>
      <c r="L115" s="26"/>
      <c r="M115" s="26"/>
      <c r="N115" s="26"/>
      <c r="O115" s="26"/>
      <c r="P115" s="38"/>
      <c r="Q115" s="152"/>
    </row>
    <row r="116" spans="1:21" s="42" customFormat="1" ht="15.75" customHeight="1" thickBot="1" x14ac:dyDescent="0.3">
      <c r="A116" s="166"/>
      <c r="B116" s="137" t="s">
        <v>937</v>
      </c>
      <c r="C116" s="135" t="s">
        <v>938</v>
      </c>
      <c r="D116" s="177">
        <v>0</v>
      </c>
      <c r="E116" s="36">
        <v>0</v>
      </c>
      <c r="F116" s="36">
        <v>0</v>
      </c>
      <c r="G116" s="36">
        <v>0</v>
      </c>
      <c r="H116" s="36">
        <v>0</v>
      </c>
      <c r="I116" s="36">
        <v>0</v>
      </c>
      <c r="J116" s="56">
        <v>53.8</v>
      </c>
      <c r="K116" s="62">
        <f>SUM(D116:J116)</f>
        <v>53.8</v>
      </c>
      <c r="L116" s="26">
        <v>0</v>
      </c>
      <c r="M116" s="26">
        <v>0</v>
      </c>
      <c r="N116" s="26">
        <f>L116+M116</f>
        <v>0</v>
      </c>
      <c r="O116" s="26"/>
      <c r="P116" s="22">
        <f>N116*K116</f>
        <v>0</v>
      </c>
      <c r="Q116" s="47"/>
    </row>
    <row r="117" spans="1:21" s="42" customFormat="1" x14ac:dyDescent="0.25">
      <c r="A117" s="157"/>
      <c r="B117" s="44"/>
      <c r="C117" s="44"/>
      <c r="D117" s="172"/>
      <c r="E117" s="44"/>
      <c r="F117" s="44"/>
      <c r="G117" s="44"/>
      <c r="H117" s="44"/>
      <c r="I117" s="44"/>
      <c r="J117" s="44"/>
      <c r="K117" s="118"/>
      <c r="L117" s="44"/>
      <c r="M117" s="44"/>
      <c r="N117" s="44"/>
      <c r="O117" s="44"/>
      <c r="P117" s="44"/>
      <c r="Q117" s="47"/>
    </row>
    <row r="118" spans="1:21" s="42" customFormat="1" ht="38.25" customHeight="1" x14ac:dyDescent="0.25">
      <c r="A118" s="166" t="s">
        <v>1125</v>
      </c>
      <c r="B118" s="27" t="s">
        <v>1126</v>
      </c>
      <c r="C118" s="28"/>
      <c r="D118" s="181"/>
      <c r="E118" s="28"/>
      <c r="F118" s="28"/>
      <c r="G118" s="28"/>
      <c r="H118" s="28"/>
      <c r="I118" s="28"/>
      <c r="J118" s="28"/>
      <c r="K118" s="60"/>
      <c r="L118" s="29"/>
      <c r="M118" s="29"/>
      <c r="N118" s="29"/>
      <c r="O118" s="29"/>
      <c r="P118" s="23"/>
      <c r="Q118" s="152"/>
    </row>
    <row r="119" spans="1:21" s="42" customFormat="1" ht="357" customHeight="1" x14ac:dyDescent="0.25">
      <c r="A119" s="167"/>
      <c r="B119" s="30" t="s">
        <v>1127</v>
      </c>
      <c r="C119" s="31"/>
      <c r="D119" s="182"/>
      <c r="E119" s="31"/>
      <c r="F119" s="31"/>
      <c r="G119" s="31"/>
      <c r="H119" s="31"/>
      <c r="I119" s="31"/>
      <c r="J119" s="31"/>
      <c r="K119" s="58"/>
      <c r="L119" s="26"/>
      <c r="M119" s="26"/>
      <c r="N119" s="26"/>
      <c r="O119" s="26"/>
      <c r="P119" s="38"/>
      <c r="Q119" s="152"/>
    </row>
    <row r="120" spans="1:21" s="42" customFormat="1" ht="26.25" customHeight="1" thickBot="1" x14ac:dyDescent="0.3">
      <c r="A120" s="167"/>
      <c r="B120" s="30" t="s">
        <v>1128</v>
      </c>
      <c r="C120" s="31"/>
      <c r="D120" s="182"/>
      <c r="E120" s="31"/>
      <c r="F120" s="31"/>
      <c r="G120" s="31"/>
      <c r="H120" s="31"/>
      <c r="I120" s="31"/>
      <c r="J120" s="31"/>
      <c r="K120" s="58"/>
      <c r="L120" s="26"/>
      <c r="M120" s="26"/>
      <c r="N120" s="26"/>
      <c r="O120" s="26"/>
      <c r="P120" s="38"/>
      <c r="Q120" s="152"/>
    </row>
    <row r="121" spans="1:21" s="42" customFormat="1" ht="15.75" customHeight="1" thickBot="1" x14ac:dyDescent="0.3">
      <c r="A121" s="166"/>
      <c r="B121" s="137" t="s">
        <v>937</v>
      </c>
      <c r="C121" s="135" t="s">
        <v>938</v>
      </c>
      <c r="D121" s="177">
        <v>0</v>
      </c>
      <c r="E121" s="36">
        <v>0</v>
      </c>
      <c r="F121" s="36">
        <v>0</v>
      </c>
      <c r="G121" s="36">
        <v>0</v>
      </c>
      <c r="H121" s="36">
        <v>0</v>
      </c>
      <c r="I121" s="36">
        <v>0</v>
      </c>
      <c r="J121" s="56">
        <v>28.57</v>
      </c>
      <c r="K121" s="62">
        <f>SUM(D121:J121)</f>
        <v>28.57</v>
      </c>
      <c r="L121" s="26">
        <v>90</v>
      </c>
      <c r="M121" s="26">
        <v>0</v>
      </c>
      <c r="N121" s="26">
        <f>L121+M121</f>
        <v>90</v>
      </c>
      <c r="O121" s="26"/>
      <c r="P121" s="22">
        <f>N121*K121</f>
        <v>2571.3000000000002</v>
      </c>
      <c r="Q121" s="47"/>
    </row>
    <row r="122" spans="1:21" s="32" customFormat="1" ht="12.75" customHeight="1" x14ac:dyDescent="0.2">
      <c r="A122" s="159"/>
      <c r="B122" s="31"/>
      <c r="C122" s="25"/>
      <c r="D122" s="174"/>
      <c r="E122" s="25"/>
      <c r="F122" s="25"/>
      <c r="G122" s="25"/>
      <c r="H122" s="25"/>
      <c r="I122" s="25"/>
      <c r="J122" s="25"/>
      <c r="K122" s="58"/>
      <c r="L122" s="26"/>
      <c r="M122" s="26"/>
      <c r="N122" s="26"/>
      <c r="O122" s="26"/>
      <c r="P122" s="35"/>
      <c r="Q122" s="37"/>
    </row>
    <row r="124" spans="1:21" s="185" customFormat="1" ht="15.75" customHeight="1" x14ac:dyDescent="0.25">
      <c r="A124" s="183" t="s">
        <v>1129</v>
      </c>
      <c r="B124" s="440" t="s">
        <v>1136</v>
      </c>
      <c r="C124" s="387"/>
      <c r="D124" s="387"/>
      <c r="E124" s="387"/>
      <c r="F124" s="387"/>
      <c r="G124" s="387"/>
      <c r="H124" s="387"/>
      <c r="I124" s="387"/>
      <c r="J124" s="387"/>
      <c r="K124" s="387"/>
      <c r="L124" s="387"/>
      <c r="M124" s="388"/>
      <c r="N124" s="34" t="s">
        <v>1107</v>
      </c>
      <c r="O124" s="34"/>
      <c r="P124" s="9">
        <f>SUM(P101:P121,P97,P81)</f>
        <v>73583.55</v>
      </c>
      <c r="Q124" s="184"/>
    </row>
    <row r="126" spans="1:21" s="132" customFormat="1" ht="15.75" customHeight="1" x14ac:dyDescent="0.25">
      <c r="A126" s="183" t="s">
        <v>1129</v>
      </c>
      <c r="B126" s="130" t="s">
        <v>1137</v>
      </c>
      <c r="C126" s="49"/>
      <c r="D126" s="49"/>
      <c r="E126" s="49"/>
      <c r="F126" s="49"/>
      <c r="G126" s="49"/>
      <c r="H126" s="49"/>
      <c r="I126" s="49"/>
      <c r="J126" s="49"/>
      <c r="K126" s="49"/>
      <c r="L126" s="49"/>
      <c r="M126" s="49"/>
      <c r="N126" s="49"/>
      <c r="O126" s="131"/>
      <c r="P126" s="49"/>
      <c r="Q126" s="49"/>
      <c r="R126" s="435" t="s">
        <v>946</v>
      </c>
      <c r="S126" s="388"/>
      <c r="T126" s="50">
        <f>P124*6</f>
        <v>441501.30000000005</v>
      </c>
      <c r="U126" s="151"/>
    </row>
    <row r="128" spans="1:21" s="132" customFormat="1" ht="15.75" customHeight="1" x14ac:dyDescent="0.25">
      <c r="A128" s="160"/>
      <c r="B128" s="130" t="s">
        <v>963</v>
      </c>
      <c r="C128" s="49"/>
      <c r="D128" s="49"/>
      <c r="E128" s="49"/>
      <c r="F128" s="49"/>
      <c r="G128" s="49"/>
      <c r="H128" s="49"/>
      <c r="I128" s="49"/>
      <c r="J128" s="49"/>
      <c r="K128" s="49"/>
      <c r="L128" s="49"/>
      <c r="M128" s="49"/>
      <c r="N128" s="49"/>
      <c r="O128" s="131"/>
      <c r="P128" s="49"/>
      <c r="Q128" s="49"/>
      <c r="R128" s="435"/>
      <c r="S128" s="388"/>
      <c r="T128" s="50">
        <f>SUM(T126,T63)</f>
        <v>827295.3</v>
      </c>
      <c r="U128" s="151"/>
    </row>
  </sheetData>
  <mergeCells count="19">
    <mergeCell ref="B2:R3"/>
    <mergeCell ref="R128:S128"/>
    <mergeCell ref="D67:J67"/>
    <mergeCell ref="B5:T5"/>
    <mergeCell ref="O99:P99"/>
    <mergeCell ref="R126:S126"/>
    <mergeCell ref="B124:M124"/>
    <mergeCell ref="D7:N7"/>
    <mergeCell ref="B97:M97"/>
    <mergeCell ref="B81:M81"/>
    <mergeCell ref="D8:N8"/>
    <mergeCell ref="D66:J66"/>
    <mergeCell ref="B61:Q61"/>
    <mergeCell ref="B20:R20"/>
    <mergeCell ref="B34:Q34"/>
    <mergeCell ref="B99:N99"/>
    <mergeCell ref="B35:R35"/>
    <mergeCell ref="B83:N83"/>
    <mergeCell ref="R63:S63"/>
  </mergeCells>
  <conditionalFormatting sqref="P70 P124">
    <cfRule type="cellIs" dxfId="88" priority="19" stopIfTrue="1" operator="greaterThan">
      <formula>0</formula>
    </cfRule>
  </conditionalFormatting>
  <conditionalFormatting sqref="P72">
    <cfRule type="cellIs" dxfId="87" priority="17" stopIfTrue="1" operator="greaterThan">
      <formula>0</formula>
    </cfRule>
  </conditionalFormatting>
  <conditionalFormatting sqref="P74:P77">
    <cfRule type="cellIs" dxfId="86" priority="15" stopIfTrue="1" operator="greaterThan">
      <formula>0</formula>
    </cfRule>
  </conditionalFormatting>
  <conditionalFormatting sqref="P81">
    <cfRule type="cellIs" dxfId="85" priority="18" stopIfTrue="1" operator="greaterThan">
      <formula>0</formula>
    </cfRule>
  </conditionalFormatting>
  <conditionalFormatting sqref="P84:P86">
    <cfRule type="cellIs" dxfId="84" priority="9" stopIfTrue="1" operator="greaterThan">
      <formula>0</formula>
    </cfRule>
  </conditionalFormatting>
  <conditionalFormatting sqref="P95">
    <cfRule type="cellIs" dxfId="83" priority="8" stopIfTrue="1" operator="greaterThan">
      <formula>0</formula>
    </cfRule>
  </conditionalFormatting>
  <conditionalFormatting sqref="P97:P98">
    <cfRule type="cellIs" dxfId="82" priority="6" stopIfTrue="1" operator="greaterThan">
      <formula>0</formula>
    </cfRule>
  </conditionalFormatting>
  <conditionalFormatting sqref="P122">
    <cfRule type="cellIs" dxfId="81" priority="5" stopIfTrue="1" operator="greaterThan">
      <formula>0</formula>
    </cfRule>
  </conditionalFormatting>
  <conditionalFormatting sqref="T11">
    <cfRule type="cellIs" dxfId="80" priority="22" stopIfTrue="1" operator="greaterThan">
      <formula>0</formula>
    </cfRule>
  </conditionalFormatting>
  <conditionalFormatting sqref="T14:T17">
    <cfRule type="cellIs" dxfId="79" priority="21" stopIfTrue="1" operator="greaterThan">
      <formula>0</formula>
    </cfRule>
  </conditionalFormatting>
  <conditionalFormatting sqref="T21:T23">
    <cfRule type="cellIs" dxfId="78" priority="4" stopIfTrue="1" operator="greaterThan">
      <formula>0</formula>
    </cfRule>
  </conditionalFormatting>
  <conditionalFormatting sqref="T32">
    <cfRule type="cellIs" dxfId="77" priority="3" stopIfTrue="1" operator="greaterThan">
      <formula>0</formula>
    </cfRule>
  </conditionalFormatting>
  <conditionalFormatting sqref="T34">
    <cfRule type="cellIs" dxfId="76" priority="1" stopIfTrue="1" operator="greaterThan">
      <formula>0</formula>
    </cfRule>
  </conditionalFormatting>
  <conditionalFormatting sqref="T59:T61">
    <cfRule type="cellIs" dxfId="75" priority="10" stopIfTrue="1" operator="greaterThan">
      <formula>0</formula>
    </cfRule>
  </conditionalFormatting>
  <conditionalFormatting sqref="T63">
    <cfRule type="cellIs" dxfId="74" priority="13" stopIfTrue="1" operator="greaterThan">
      <formula>0</formula>
    </cfRule>
  </conditionalFormatting>
  <conditionalFormatting sqref="T126">
    <cfRule type="cellIs" dxfId="73" priority="12" stopIfTrue="1" operator="greaterThan">
      <formula>0</formula>
    </cfRule>
  </conditionalFormatting>
  <conditionalFormatting sqref="T128">
    <cfRule type="cellIs" dxfId="72" priority="11" stopIfTrue="1" operator="greaterThan">
      <formula>0</formula>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tint="0.79998168889431442"/>
  </sheetPr>
  <dimension ref="A1:U150"/>
  <sheetViews>
    <sheetView topLeftCell="A63" zoomScale="115" zoomScaleNormal="115" workbookViewId="0">
      <selection activeCell="P147" sqref="P147"/>
    </sheetView>
  </sheetViews>
  <sheetFormatPr defaultRowHeight="15" x14ac:dyDescent="0.25"/>
  <cols>
    <col min="2" max="2" width="54.140625" customWidth="1"/>
  </cols>
  <sheetData>
    <row r="1" spans="1:21" s="42" customFormat="1" x14ac:dyDescent="0.25">
      <c r="A1" s="157"/>
      <c r="B1" s="112" t="s">
        <v>906</v>
      </c>
      <c r="C1" s="44"/>
      <c r="D1" s="53"/>
      <c r="E1" s="53"/>
      <c r="F1" s="53"/>
      <c r="G1" s="53"/>
      <c r="H1" s="53"/>
      <c r="I1" s="53"/>
      <c r="J1" s="53"/>
      <c r="K1" s="53"/>
      <c r="L1" s="53"/>
      <c r="M1" s="53"/>
      <c r="N1" s="53"/>
      <c r="O1" s="113"/>
      <c r="P1" s="44"/>
      <c r="Q1" s="44"/>
      <c r="R1" s="44"/>
      <c r="S1" s="44"/>
      <c r="T1" s="44"/>
      <c r="U1" s="47"/>
    </row>
    <row r="2" spans="1:21" s="42" customFormat="1" x14ac:dyDescent="0.25">
      <c r="A2" s="157"/>
      <c r="B2" s="436" t="s">
        <v>907</v>
      </c>
      <c r="C2" s="437"/>
      <c r="D2" s="437"/>
      <c r="E2" s="437"/>
      <c r="F2" s="437"/>
      <c r="G2" s="437"/>
      <c r="H2" s="437"/>
      <c r="I2" s="437"/>
      <c r="J2" s="437"/>
      <c r="K2" s="437"/>
      <c r="L2" s="437"/>
      <c r="M2" s="437"/>
      <c r="N2" s="437"/>
      <c r="O2" s="437"/>
      <c r="P2" s="437"/>
      <c r="Q2" s="437"/>
      <c r="R2" s="438"/>
      <c r="S2" s="7" t="s">
        <v>25</v>
      </c>
      <c r="T2" s="133">
        <v>0</v>
      </c>
      <c r="U2" s="47"/>
    </row>
    <row r="3" spans="1:21" s="42" customFormat="1" x14ac:dyDescent="0.25">
      <c r="A3" s="157"/>
      <c r="B3" s="439"/>
      <c r="C3" s="393"/>
      <c r="D3" s="393"/>
      <c r="E3" s="393"/>
      <c r="F3" s="393"/>
      <c r="G3" s="393"/>
      <c r="H3" s="393"/>
      <c r="I3" s="393"/>
      <c r="J3" s="393"/>
      <c r="K3" s="393"/>
      <c r="L3" s="393"/>
      <c r="M3" s="393"/>
      <c r="N3" s="393"/>
      <c r="O3" s="393"/>
      <c r="P3" s="393"/>
      <c r="Q3" s="393"/>
      <c r="R3" s="394"/>
      <c r="S3" s="7" t="s">
        <v>27</v>
      </c>
      <c r="T3" s="134" t="s">
        <v>22</v>
      </c>
      <c r="U3" s="47"/>
    </row>
    <row r="4" spans="1:21" s="42" customFormat="1" x14ac:dyDescent="0.25">
      <c r="A4" s="157"/>
      <c r="B4" s="114" t="s">
        <v>908</v>
      </c>
      <c r="C4" s="114" t="s">
        <v>909</v>
      </c>
      <c r="D4" s="115">
        <f>1*N4</f>
        <v>1</v>
      </c>
      <c r="E4" s="115">
        <f>1*N4</f>
        <v>1</v>
      </c>
      <c r="F4" s="115">
        <f>1*N4</f>
        <v>1</v>
      </c>
      <c r="G4" s="115">
        <f>1*N4</f>
        <v>1</v>
      </c>
      <c r="H4" s="115">
        <f>4*$N4</f>
        <v>4</v>
      </c>
      <c r="I4" s="115">
        <f>1*N4</f>
        <v>1</v>
      </c>
      <c r="J4" s="115">
        <f>1*N4</f>
        <v>1</v>
      </c>
      <c r="K4" s="115">
        <f>2*$N4</f>
        <v>2</v>
      </c>
      <c r="L4" s="115">
        <f>1*N4</f>
        <v>1</v>
      </c>
      <c r="M4" s="45">
        <v>1</v>
      </c>
      <c r="N4" s="57">
        <v>1</v>
      </c>
      <c r="O4" s="116">
        <v>13</v>
      </c>
      <c r="P4" s="114"/>
      <c r="Q4" s="114"/>
      <c r="R4" s="114"/>
      <c r="S4" s="44"/>
      <c r="T4" s="44"/>
      <c r="U4" s="47"/>
    </row>
    <row r="5" spans="1:21" s="117" customFormat="1" ht="15.75" customHeight="1" x14ac:dyDescent="0.25">
      <c r="A5" s="158" t="s">
        <v>910</v>
      </c>
      <c r="B5" s="434" t="s">
        <v>911</v>
      </c>
      <c r="C5" s="387"/>
      <c r="D5" s="387"/>
      <c r="E5" s="387"/>
      <c r="F5" s="387"/>
      <c r="G5" s="387"/>
      <c r="H5" s="387"/>
      <c r="I5" s="387"/>
      <c r="J5" s="387"/>
      <c r="K5" s="387"/>
      <c r="L5" s="387"/>
      <c r="M5" s="387"/>
      <c r="N5" s="387"/>
      <c r="O5" s="387"/>
      <c r="P5" s="387"/>
      <c r="Q5" s="387"/>
      <c r="R5" s="387"/>
      <c r="S5" s="387"/>
      <c r="T5" s="388"/>
      <c r="U5" s="149"/>
    </row>
    <row r="6" spans="1:21" s="42" customFormat="1" ht="15.75" customHeight="1" thickBot="1" x14ac:dyDescent="0.3">
      <c r="A6" s="157"/>
      <c r="B6" s="44"/>
      <c r="C6" s="44"/>
      <c r="D6" s="44"/>
      <c r="E6" s="44"/>
      <c r="F6" s="44"/>
      <c r="G6" s="44"/>
      <c r="H6" s="44"/>
      <c r="I6" s="44"/>
      <c r="J6" s="44"/>
      <c r="K6" s="44"/>
      <c r="L6" s="44"/>
      <c r="M6" s="44"/>
      <c r="N6" s="44"/>
      <c r="O6" s="118"/>
      <c r="P6" s="44"/>
      <c r="Q6" s="44"/>
      <c r="R6" s="44"/>
      <c r="S6" s="44"/>
      <c r="T6" s="44"/>
      <c r="U6" s="47"/>
    </row>
    <row r="7" spans="1:21" s="42" customFormat="1" ht="51.75" customHeight="1" thickBot="1" x14ac:dyDescent="0.3">
      <c r="A7" s="119" t="s">
        <v>912</v>
      </c>
      <c r="B7" s="119" t="s">
        <v>913</v>
      </c>
      <c r="C7" s="120" t="s">
        <v>914</v>
      </c>
      <c r="D7" s="430"/>
      <c r="E7" s="431"/>
      <c r="F7" s="431"/>
      <c r="G7" s="431"/>
      <c r="H7" s="431"/>
      <c r="I7" s="431"/>
      <c r="J7" s="431"/>
      <c r="K7" s="431"/>
      <c r="L7" s="431"/>
      <c r="M7" s="431"/>
      <c r="N7" s="431"/>
      <c r="O7" s="121" t="s">
        <v>915</v>
      </c>
      <c r="P7" s="122" t="s">
        <v>916</v>
      </c>
      <c r="Q7" s="121" t="s">
        <v>917</v>
      </c>
      <c r="R7" s="121" t="s">
        <v>918</v>
      </c>
      <c r="S7" s="121"/>
      <c r="T7" s="119" t="s">
        <v>919</v>
      </c>
      <c r="U7" s="47"/>
    </row>
    <row r="8" spans="1:21" s="42" customFormat="1" ht="15.75" customHeight="1" thickBot="1" x14ac:dyDescent="0.3">
      <c r="A8" s="123"/>
      <c r="B8" s="123"/>
      <c r="C8" s="124"/>
      <c r="D8" s="432" t="s">
        <v>920</v>
      </c>
      <c r="E8" s="431"/>
      <c r="F8" s="431"/>
      <c r="G8" s="431"/>
      <c r="H8" s="431"/>
      <c r="I8" s="431"/>
      <c r="J8" s="431"/>
      <c r="K8" s="431"/>
      <c r="L8" s="431"/>
      <c r="M8" s="431"/>
      <c r="N8" s="433"/>
      <c r="O8" s="125"/>
      <c r="P8" s="124"/>
      <c r="Q8" s="124"/>
      <c r="R8" s="124"/>
      <c r="S8" s="124"/>
      <c r="T8" s="123"/>
      <c r="U8" s="47"/>
    </row>
    <row r="9" spans="1:21" s="42" customFormat="1" ht="60" customHeight="1" x14ac:dyDescent="0.25">
      <c r="A9" s="123"/>
      <c r="B9" s="123"/>
      <c r="C9" s="124"/>
      <c r="D9" s="127" t="s">
        <v>921</v>
      </c>
      <c r="E9" s="127" t="s">
        <v>922</v>
      </c>
      <c r="F9" s="46" t="s">
        <v>923</v>
      </c>
      <c r="G9" s="46" t="s">
        <v>924</v>
      </c>
      <c r="H9" s="46" t="s">
        <v>925</v>
      </c>
      <c r="I9" s="46" t="s">
        <v>926</v>
      </c>
      <c r="J9" s="46" t="s">
        <v>927</v>
      </c>
      <c r="K9" s="46" t="s">
        <v>928</v>
      </c>
      <c r="L9" s="46" t="s">
        <v>929</v>
      </c>
      <c r="M9" s="154" t="s">
        <v>930</v>
      </c>
      <c r="N9" s="126" t="s">
        <v>931</v>
      </c>
      <c r="O9" s="125"/>
      <c r="P9" s="124"/>
      <c r="Q9" s="124"/>
      <c r="R9" s="124"/>
      <c r="S9" s="124"/>
      <c r="T9" s="123"/>
      <c r="U9" s="47"/>
    </row>
    <row r="10" spans="1:21" s="32" customFormat="1" ht="12.75" customHeight="1" x14ac:dyDescent="0.2">
      <c r="A10" s="159"/>
      <c r="B10" s="30"/>
      <c r="C10" s="25"/>
      <c r="D10" s="25"/>
      <c r="E10" s="25"/>
      <c r="F10" s="25"/>
      <c r="G10" s="25"/>
      <c r="H10" s="25"/>
      <c r="I10" s="25"/>
      <c r="J10" s="25"/>
      <c r="K10" s="25"/>
      <c r="L10" s="25"/>
      <c r="M10" s="25"/>
      <c r="N10" s="25"/>
      <c r="O10" s="58"/>
      <c r="P10" s="26"/>
      <c r="Q10" s="26"/>
      <c r="R10" s="26"/>
      <c r="S10" s="26"/>
      <c r="T10" s="22"/>
      <c r="U10" s="37"/>
    </row>
    <row r="11" spans="1:21" s="32" customFormat="1" ht="12.75" customHeight="1" x14ac:dyDescent="0.2">
      <c r="A11" s="159"/>
      <c r="B11" s="31"/>
      <c r="C11" s="25"/>
      <c r="D11" s="25"/>
      <c r="E11" s="25"/>
      <c r="F11" s="25"/>
      <c r="G11" s="25"/>
      <c r="H11" s="25"/>
      <c r="I11" s="25"/>
      <c r="J11" s="25"/>
      <c r="K11" s="25"/>
      <c r="L11" s="25"/>
      <c r="M11" s="25"/>
      <c r="N11" s="25"/>
      <c r="O11" s="58"/>
      <c r="P11" s="26"/>
      <c r="Q11" s="26"/>
      <c r="R11" s="26"/>
      <c r="S11" s="26"/>
      <c r="T11" s="35"/>
      <c r="U11" s="37"/>
    </row>
    <row r="12" spans="1:21" s="117" customFormat="1" ht="15.75" customHeight="1" x14ac:dyDescent="0.25">
      <c r="A12" s="160" t="s">
        <v>932</v>
      </c>
      <c r="B12" s="39" t="s">
        <v>933</v>
      </c>
      <c r="C12" s="40"/>
      <c r="D12" s="40"/>
      <c r="E12" s="40"/>
      <c r="F12" s="40"/>
      <c r="G12" s="40"/>
      <c r="H12" s="40"/>
      <c r="I12" s="40"/>
      <c r="J12" s="40"/>
      <c r="K12" s="40"/>
      <c r="L12" s="40"/>
      <c r="M12" s="40"/>
      <c r="N12" s="40"/>
      <c r="O12" s="59"/>
      <c r="P12" s="40"/>
      <c r="Q12" s="40"/>
      <c r="R12" s="40"/>
      <c r="S12" s="40"/>
      <c r="T12" s="41"/>
      <c r="U12" s="149"/>
    </row>
    <row r="14" spans="1:21" s="117" customFormat="1" ht="15.75" customHeight="1" x14ac:dyDescent="0.25">
      <c r="A14" s="158" t="s">
        <v>1138</v>
      </c>
      <c r="B14" s="39" t="s">
        <v>1139</v>
      </c>
      <c r="C14" s="40"/>
      <c r="D14" s="40"/>
      <c r="E14" s="40"/>
      <c r="F14" s="40"/>
      <c r="G14" s="40"/>
      <c r="H14" s="40"/>
      <c r="I14" s="40"/>
      <c r="J14" s="40"/>
      <c r="K14" s="40"/>
      <c r="L14" s="40"/>
      <c r="M14" s="40"/>
      <c r="N14" s="40"/>
      <c r="O14" s="59"/>
      <c r="P14" s="40"/>
      <c r="Q14" s="40"/>
      <c r="R14" s="40"/>
      <c r="S14" s="40"/>
      <c r="T14" s="41"/>
      <c r="U14" s="149"/>
    </row>
    <row r="15" spans="1:21" s="32" customFormat="1" ht="12.75" customHeight="1" x14ac:dyDescent="0.2">
      <c r="A15" s="159"/>
      <c r="B15" s="31"/>
      <c r="C15" s="25"/>
      <c r="D15" s="25"/>
      <c r="E15" s="25"/>
      <c r="F15" s="25"/>
      <c r="G15" s="25"/>
      <c r="H15" s="25"/>
      <c r="I15" s="25"/>
      <c r="J15" s="25"/>
      <c r="K15" s="25"/>
      <c r="L15" s="25"/>
      <c r="M15" s="25"/>
      <c r="N15" s="25"/>
      <c r="O15" s="58"/>
      <c r="P15" s="26"/>
      <c r="Q15" s="26"/>
      <c r="R15" s="26"/>
      <c r="S15" s="26"/>
      <c r="T15" s="35"/>
      <c r="U15" s="37"/>
    </row>
    <row r="16" spans="1:21" s="42" customFormat="1" x14ac:dyDescent="0.25">
      <c r="A16" s="161" t="s">
        <v>1140</v>
      </c>
      <c r="B16" s="441" t="s">
        <v>1141</v>
      </c>
      <c r="C16" s="387"/>
      <c r="D16" s="387"/>
      <c r="E16" s="387"/>
      <c r="F16" s="387"/>
      <c r="G16" s="387"/>
      <c r="H16" s="387"/>
      <c r="I16" s="387"/>
      <c r="J16" s="387"/>
      <c r="K16" s="387"/>
      <c r="L16" s="387"/>
      <c r="M16" s="387"/>
      <c r="N16" s="387"/>
      <c r="O16" s="387"/>
      <c r="P16" s="387"/>
      <c r="Q16" s="387"/>
      <c r="R16" s="387"/>
      <c r="S16" s="43"/>
      <c r="T16" s="33"/>
      <c r="U16" s="47"/>
    </row>
    <row r="17" spans="1:21" s="42" customFormat="1" x14ac:dyDescent="0.25">
      <c r="A17" s="157"/>
      <c r="B17" s="44"/>
      <c r="C17" s="44"/>
      <c r="D17" s="44"/>
      <c r="E17" s="44"/>
      <c r="F17" s="44"/>
      <c r="G17" s="44"/>
      <c r="H17" s="44"/>
      <c r="I17" s="44"/>
      <c r="J17" s="44"/>
      <c r="K17" s="44"/>
      <c r="L17" s="44"/>
      <c r="M17" s="44"/>
      <c r="N17" s="44"/>
      <c r="O17" s="118"/>
      <c r="P17" s="44"/>
      <c r="Q17" s="44"/>
      <c r="R17" s="44"/>
      <c r="S17" s="44"/>
      <c r="T17" s="44"/>
      <c r="U17" s="47"/>
    </row>
    <row r="18" spans="1:21" s="42" customFormat="1" x14ac:dyDescent="0.25">
      <c r="A18" s="166" t="s">
        <v>1142</v>
      </c>
      <c r="B18" s="147" t="s">
        <v>1143</v>
      </c>
      <c r="C18" s="28"/>
      <c r="D18" s="28"/>
      <c r="E18" s="28"/>
      <c r="F18" s="28"/>
      <c r="G18" s="28"/>
      <c r="H18" s="28"/>
      <c r="I18" s="28"/>
      <c r="J18" s="28"/>
      <c r="K18" s="28"/>
      <c r="L18" s="28"/>
      <c r="M18" s="28"/>
      <c r="N18" s="28"/>
      <c r="O18" s="60"/>
      <c r="P18" s="29"/>
      <c r="Q18" s="29"/>
      <c r="R18" s="29"/>
      <c r="S18" s="29"/>
      <c r="T18" s="23"/>
      <c r="U18" s="152"/>
    </row>
    <row r="19" spans="1:21" s="42" customFormat="1" ht="38.25" customHeight="1" x14ac:dyDescent="0.25">
      <c r="A19" s="167"/>
      <c r="B19" s="141" t="s">
        <v>1144</v>
      </c>
      <c r="C19" s="31"/>
      <c r="D19" s="31"/>
      <c r="E19" s="31"/>
      <c r="F19" s="31"/>
      <c r="G19" s="31"/>
      <c r="H19" s="31"/>
      <c r="I19" s="31"/>
      <c r="J19" s="31"/>
      <c r="K19" s="31"/>
      <c r="L19" s="31"/>
      <c r="M19" s="31"/>
      <c r="N19" s="31"/>
      <c r="O19" s="58"/>
      <c r="P19" s="26"/>
      <c r="Q19" s="26"/>
      <c r="R19" s="26"/>
      <c r="S19" s="26"/>
      <c r="T19" s="38"/>
      <c r="U19" s="152"/>
    </row>
    <row r="20" spans="1:21" s="42" customFormat="1" ht="15.75" customHeight="1" thickBot="1" x14ac:dyDescent="0.3">
      <c r="A20" s="167"/>
      <c r="B20" s="141" t="s">
        <v>1145</v>
      </c>
      <c r="C20" s="31"/>
      <c r="D20" s="31"/>
      <c r="E20" s="31"/>
      <c r="F20" s="31"/>
      <c r="G20" s="31"/>
      <c r="H20" s="31"/>
      <c r="I20" s="31"/>
      <c r="J20" s="31"/>
      <c r="K20" s="31"/>
      <c r="L20" s="31"/>
      <c r="M20" s="31"/>
      <c r="N20" s="31"/>
      <c r="O20" s="58"/>
      <c r="P20" s="26"/>
      <c r="Q20" s="26"/>
      <c r="R20" s="26"/>
      <c r="S20" s="26"/>
      <c r="T20" s="38"/>
      <c r="U20" s="152"/>
    </row>
    <row r="21" spans="1:21" s="42" customFormat="1" ht="15.75" customHeight="1" thickBot="1" x14ac:dyDescent="0.3">
      <c r="A21" s="166" t="s">
        <v>1146</v>
      </c>
      <c r="B21" s="144" t="s">
        <v>1147</v>
      </c>
      <c r="C21" s="135" t="s">
        <v>938</v>
      </c>
      <c r="D21" s="55">
        <v>42.9</v>
      </c>
      <c r="E21" s="55">
        <v>42.9</v>
      </c>
      <c r="F21" s="36">
        <v>44.6</v>
      </c>
      <c r="G21" s="36">
        <v>44.6</v>
      </c>
      <c r="H21" s="36">
        <v>205.2</v>
      </c>
      <c r="I21" s="36">
        <v>48.2</v>
      </c>
      <c r="J21" s="36">
        <v>48.2</v>
      </c>
      <c r="K21" s="36">
        <v>72.599999999999994</v>
      </c>
      <c r="L21" s="36">
        <v>107</v>
      </c>
      <c r="M21" s="36">
        <v>61</v>
      </c>
      <c r="N21" s="56">
        <v>0</v>
      </c>
      <c r="O21" s="62">
        <f>SUM(D21:N21)</f>
        <v>717.19999999999993</v>
      </c>
      <c r="P21" s="26">
        <v>0</v>
      </c>
      <c r="Q21" s="26">
        <v>0</v>
      </c>
      <c r="R21" s="26">
        <f>P21+Q21</f>
        <v>0</v>
      </c>
      <c r="S21" s="26"/>
      <c r="T21" s="22">
        <f>R21*O21</f>
        <v>0</v>
      </c>
      <c r="U21" s="47"/>
    </row>
    <row r="22" spans="1:21" s="42" customFormat="1" ht="15.75" customHeight="1" thickBot="1" x14ac:dyDescent="0.3">
      <c r="A22" s="166" t="s">
        <v>1148</v>
      </c>
      <c r="B22" s="144" t="s">
        <v>1149</v>
      </c>
      <c r="C22" s="135" t="s">
        <v>938</v>
      </c>
      <c r="D22" s="55">
        <v>4.8499999999999996</v>
      </c>
      <c r="E22" s="55">
        <v>4.8499999999999996</v>
      </c>
      <c r="F22" s="36">
        <v>4.8</v>
      </c>
      <c r="G22" s="36">
        <v>4.8</v>
      </c>
      <c r="H22" s="36">
        <v>25.6</v>
      </c>
      <c r="I22" s="36">
        <v>3.9</v>
      </c>
      <c r="J22" s="36">
        <v>3.9</v>
      </c>
      <c r="K22" s="36">
        <v>10.6</v>
      </c>
      <c r="L22" s="36">
        <v>18.8</v>
      </c>
      <c r="M22" s="36">
        <v>0</v>
      </c>
      <c r="N22" s="56">
        <v>0</v>
      </c>
      <c r="O22" s="62">
        <f>SUM(D22:N22)</f>
        <v>82.100000000000009</v>
      </c>
      <c r="P22" s="26">
        <v>0</v>
      </c>
      <c r="Q22" s="26">
        <v>0</v>
      </c>
      <c r="R22" s="26">
        <f>P22+Q22</f>
        <v>0</v>
      </c>
      <c r="S22" s="26"/>
      <c r="T22" s="22">
        <f>R22*O22</f>
        <v>0</v>
      </c>
      <c r="U22" s="47"/>
    </row>
    <row r="23" spans="1:21" s="42" customFormat="1" x14ac:dyDescent="0.25">
      <c r="A23" s="157"/>
      <c r="B23" s="44"/>
      <c r="C23" s="44"/>
      <c r="D23" s="44"/>
      <c r="E23" s="44"/>
      <c r="F23" s="44"/>
      <c r="G23" s="44"/>
      <c r="H23" s="44"/>
      <c r="I23" s="44"/>
      <c r="J23" s="44"/>
      <c r="K23" s="44"/>
      <c r="L23" s="44"/>
      <c r="M23" s="44"/>
      <c r="N23" s="44"/>
      <c r="O23" s="118"/>
      <c r="P23" s="44"/>
      <c r="Q23" s="44"/>
      <c r="R23" s="44"/>
      <c r="S23" s="44"/>
      <c r="T23" s="44"/>
      <c r="U23" s="47"/>
    </row>
    <row r="24" spans="1:21" s="42" customFormat="1" x14ac:dyDescent="0.25">
      <c r="A24" s="166" t="s">
        <v>1150</v>
      </c>
      <c r="B24" s="147" t="s">
        <v>1151</v>
      </c>
      <c r="C24" s="28"/>
      <c r="D24" s="28"/>
      <c r="E24" s="28"/>
      <c r="F24" s="28"/>
      <c r="G24" s="28"/>
      <c r="H24" s="28"/>
      <c r="I24" s="28"/>
      <c r="J24" s="28"/>
      <c r="K24" s="28"/>
      <c r="L24" s="28"/>
      <c r="M24" s="28"/>
      <c r="N24" s="28"/>
      <c r="O24" s="60"/>
      <c r="P24" s="29"/>
      <c r="Q24" s="29"/>
      <c r="R24" s="29"/>
      <c r="S24" s="29"/>
      <c r="T24" s="23"/>
      <c r="U24" s="152"/>
    </row>
    <row r="25" spans="1:21" s="42" customFormat="1" ht="38.25" customHeight="1" x14ac:dyDescent="0.25">
      <c r="A25" s="167"/>
      <c r="B25" s="141" t="s">
        <v>1152</v>
      </c>
      <c r="C25" s="31"/>
      <c r="D25" s="31"/>
      <c r="E25" s="31"/>
      <c r="F25" s="31"/>
      <c r="G25" s="31"/>
      <c r="H25" s="31"/>
      <c r="I25" s="31"/>
      <c r="J25" s="31"/>
      <c r="K25" s="31"/>
      <c r="L25" s="31"/>
      <c r="M25" s="31"/>
      <c r="N25" s="31"/>
      <c r="O25" s="58"/>
      <c r="P25" s="26"/>
      <c r="Q25" s="26"/>
      <c r="R25" s="26"/>
      <c r="S25" s="26"/>
      <c r="T25" s="38"/>
      <c r="U25" s="152"/>
    </row>
    <row r="26" spans="1:21" s="42" customFormat="1" ht="15.75" customHeight="1" thickBot="1" x14ac:dyDescent="0.3">
      <c r="A26" s="167"/>
      <c r="B26" s="141" t="s">
        <v>1145</v>
      </c>
      <c r="C26" s="31"/>
      <c r="D26" s="31"/>
      <c r="E26" s="31"/>
      <c r="F26" s="31"/>
      <c r="G26" s="31"/>
      <c r="H26" s="31"/>
      <c r="I26" s="31"/>
      <c r="J26" s="31"/>
      <c r="K26" s="31"/>
      <c r="L26" s="31"/>
      <c r="M26" s="31"/>
      <c r="N26" s="31"/>
      <c r="O26" s="58"/>
      <c r="P26" s="26"/>
      <c r="Q26" s="26"/>
      <c r="R26" s="26"/>
      <c r="S26" s="26"/>
      <c r="T26" s="38"/>
      <c r="U26" s="152"/>
    </row>
    <row r="27" spans="1:21" s="42" customFormat="1" ht="15.75" customHeight="1" thickBot="1" x14ac:dyDescent="0.3">
      <c r="A27" s="166" t="s">
        <v>1153</v>
      </c>
      <c r="B27" s="144" t="s">
        <v>1147</v>
      </c>
      <c r="C27" s="135" t="s">
        <v>938</v>
      </c>
      <c r="D27" s="55">
        <v>117.6</v>
      </c>
      <c r="E27" s="55">
        <v>117.6</v>
      </c>
      <c r="F27" s="36">
        <v>126.25</v>
      </c>
      <c r="G27" s="36">
        <v>126.25</v>
      </c>
      <c r="H27" s="36">
        <v>650.4</v>
      </c>
      <c r="I27" s="36">
        <v>133.02500000000001</v>
      </c>
      <c r="J27" s="36">
        <v>133.02500000000001</v>
      </c>
      <c r="K27" s="36">
        <v>396.3</v>
      </c>
      <c r="L27" s="36">
        <v>391.65</v>
      </c>
      <c r="M27" s="36">
        <v>45</v>
      </c>
      <c r="N27" s="56">
        <v>0</v>
      </c>
      <c r="O27" s="62">
        <f>SUM(D27:N27)</f>
        <v>2237.1</v>
      </c>
      <c r="P27" s="26">
        <v>0</v>
      </c>
      <c r="Q27" s="26">
        <v>0</v>
      </c>
      <c r="R27" s="26">
        <f>P27+Q27</f>
        <v>0</v>
      </c>
      <c r="S27" s="26"/>
      <c r="T27" s="22">
        <f>R27*O27</f>
        <v>0</v>
      </c>
      <c r="U27" s="47"/>
    </row>
    <row r="28" spans="1:21" s="32" customFormat="1" ht="12.75" customHeight="1" x14ac:dyDescent="0.2">
      <c r="A28" s="159"/>
      <c r="B28" s="31"/>
      <c r="C28" s="25"/>
      <c r="D28" s="25"/>
      <c r="E28" s="25"/>
      <c r="F28" s="25"/>
      <c r="G28" s="25"/>
      <c r="H28" s="25"/>
      <c r="I28" s="25"/>
      <c r="J28" s="25"/>
      <c r="K28" s="25"/>
      <c r="L28" s="25"/>
      <c r="M28" s="25"/>
      <c r="N28" s="25"/>
      <c r="O28" s="58"/>
      <c r="P28" s="26"/>
      <c r="Q28" s="26"/>
      <c r="R28" s="26"/>
      <c r="S28" s="26"/>
      <c r="T28" s="22"/>
      <c r="U28" s="37"/>
    </row>
    <row r="29" spans="1:21" s="129" customFormat="1" x14ac:dyDescent="0.25">
      <c r="A29" s="165" t="s">
        <v>1154</v>
      </c>
      <c r="B29" s="440" t="s">
        <v>1141</v>
      </c>
      <c r="C29" s="387"/>
      <c r="D29" s="387"/>
      <c r="E29" s="387"/>
      <c r="F29" s="387"/>
      <c r="G29" s="387"/>
      <c r="H29" s="387"/>
      <c r="I29" s="387"/>
      <c r="J29" s="387"/>
      <c r="K29" s="387"/>
      <c r="L29" s="387"/>
      <c r="M29" s="387"/>
      <c r="N29" s="387"/>
      <c r="O29" s="387"/>
      <c r="P29" s="387"/>
      <c r="Q29" s="388"/>
      <c r="R29" s="34" t="s">
        <v>1107</v>
      </c>
      <c r="S29" s="34"/>
      <c r="T29" s="9">
        <f>SUM(T18:T28)</f>
        <v>0</v>
      </c>
      <c r="U29" s="150"/>
    </row>
    <row r="30" spans="1:21" s="32" customFormat="1" ht="12.75" customHeight="1" x14ac:dyDescent="0.2">
      <c r="A30" s="159"/>
      <c r="B30" s="31"/>
      <c r="C30" s="25"/>
      <c r="D30" s="25"/>
      <c r="E30" s="25"/>
      <c r="F30" s="25"/>
      <c r="G30" s="25"/>
      <c r="H30" s="25"/>
      <c r="I30" s="25"/>
      <c r="J30" s="25"/>
      <c r="K30" s="25"/>
      <c r="L30" s="25"/>
      <c r="M30" s="25"/>
      <c r="N30" s="25"/>
      <c r="O30" s="58"/>
      <c r="P30" s="26"/>
      <c r="Q30" s="26"/>
      <c r="R30" s="26"/>
      <c r="S30" s="26"/>
      <c r="T30" s="35"/>
      <c r="U30" s="37"/>
    </row>
    <row r="31" spans="1:21" s="42" customFormat="1" x14ac:dyDescent="0.25">
      <c r="A31" s="161" t="s">
        <v>1155</v>
      </c>
      <c r="B31" s="441" t="s">
        <v>1156</v>
      </c>
      <c r="C31" s="387"/>
      <c r="D31" s="387"/>
      <c r="E31" s="387"/>
      <c r="F31" s="387"/>
      <c r="G31" s="387"/>
      <c r="H31" s="387"/>
      <c r="I31" s="387"/>
      <c r="J31" s="387"/>
      <c r="K31" s="387"/>
      <c r="L31" s="387"/>
      <c r="M31" s="387"/>
      <c r="N31" s="387"/>
      <c r="O31" s="387"/>
      <c r="P31" s="387"/>
      <c r="Q31" s="387"/>
      <c r="R31" s="387"/>
      <c r="S31" s="43"/>
      <c r="T31" s="33"/>
      <c r="U31" s="47"/>
    </row>
    <row r="32" spans="1:21" s="42" customFormat="1" x14ac:dyDescent="0.25">
      <c r="A32" s="157"/>
      <c r="B32" s="44"/>
      <c r="C32" s="44"/>
      <c r="D32" s="44"/>
      <c r="E32" s="44"/>
      <c r="F32" s="44"/>
      <c r="G32" s="44"/>
      <c r="H32" s="44"/>
      <c r="I32" s="44"/>
      <c r="J32" s="44"/>
      <c r="K32" s="44"/>
      <c r="L32" s="44"/>
      <c r="M32" s="44"/>
      <c r="N32" s="44"/>
      <c r="O32" s="118"/>
      <c r="P32" s="44"/>
      <c r="Q32" s="44"/>
      <c r="R32" s="44"/>
      <c r="S32" s="44"/>
      <c r="T32" s="44"/>
      <c r="U32" s="47"/>
    </row>
    <row r="33" spans="1:21" s="42" customFormat="1" x14ac:dyDescent="0.25">
      <c r="A33" s="166" t="s">
        <v>1157</v>
      </c>
      <c r="B33" s="147" t="s">
        <v>1158</v>
      </c>
      <c r="C33" s="28"/>
      <c r="D33" s="28"/>
      <c r="E33" s="28"/>
      <c r="F33" s="28"/>
      <c r="G33" s="28"/>
      <c r="H33" s="28"/>
      <c r="I33" s="28"/>
      <c r="J33" s="28"/>
      <c r="K33" s="28"/>
      <c r="L33" s="28"/>
      <c r="M33" s="28"/>
      <c r="N33" s="28"/>
      <c r="O33" s="60"/>
      <c r="P33" s="29"/>
      <c r="Q33" s="29"/>
      <c r="R33" s="29"/>
      <c r="S33" s="29"/>
      <c r="T33" s="23"/>
      <c r="U33" s="152"/>
    </row>
    <row r="34" spans="1:21" s="42" customFormat="1" ht="165.75" customHeight="1" x14ac:dyDescent="0.25">
      <c r="A34" s="167"/>
      <c r="B34" s="24" t="s">
        <v>1159</v>
      </c>
      <c r="C34" s="31"/>
      <c r="D34" s="31"/>
      <c r="E34" s="31"/>
      <c r="F34" s="31"/>
      <c r="G34" s="31"/>
      <c r="H34" s="31"/>
      <c r="I34" s="31"/>
      <c r="J34" s="31"/>
      <c r="K34" s="31"/>
      <c r="L34" s="31"/>
      <c r="M34" s="31"/>
      <c r="N34" s="31"/>
      <c r="O34" s="58"/>
      <c r="P34" s="26"/>
      <c r="Q34" s="26"/>
      <c r="R34" s="26"/>
      <c r="S34" s="26"/>
      <c r="T34" s="38"/>
      <c r="U34" s="152"/>
    </row>
    <row r="35" spans="1:21" s="42" customFormat="1" ht="26.25" customHeight="1" x14ac:dyDescent="0.25">
      <c r="A35" s="167"/>
      <c r="B35" s="138" t="s">
        <v>1160</v>
      </c>
      <c r="C35" s="31"/>
      <c r="D35" s="31"/>
      <c r="E35" s="31"/>
      <c r="F35" s="31"/>
      <c r="G35" s="31"/>
      <c r="H35" s="31"/>
      <c r="I35" s="31"/>
      <c r="J35" s="31"/>
      <c r="K35" s="31"/>
      <c r="L35" s="31"/>
      <c r="M35" s="31"/>
      <c r="N35" s="31"/>
      <c r="O35" s="58"/>
      <c r="P35" s="26"/>
      <c r="Q35" s="26"/>
      <c r="R35" s="26"/>
      <c r="S35" s="26"/>
      <c r="T35" s="38"/>
      <c r="U35" s="152"/>
    </row>
    <row r="36" spans="1:21" s="42" customFormat="1" ht="15.75" customHeight="1" thickBot="1" x14ac:dyDescent="0.3">
      <c r="A36" s="167"/>
      <c r="B36" s="5" t="s">
        <v>1161</v>
      </c>
      <c r="C36" s="31"/>
      <c r="D36" s="31"/>
      <c r="E36" s="31"/>
      <c r="F36" s="31"/>
      <c r="G36" s="31"/>
      <c r="H36" s="31"/>
      <c r="I36" s="31"/>
      <c r="J36" s="31"/>
      <c r="K36" s="31"/>
      <c r="L36" s="31"/>
      <c r="M36" s="31"/>
      <c r="N36" s="31"/>
      <c r="O36" s="58"/>
      <c r="P36" s="26"/>
      <c r="Q36" s="26"/>
      <c r="R36" s="26"/>
      <c r="S36" s="26"/>
      <c r="T36" s="38"/>
      <c r="U36" s="152"/>
    </row>
    <row r="37" spans="1:21" s="42" customFormat="1" ht="15.75" customHeight="1" thickBot="1" x14ac:dyDescent="0.3">
      <c r="A37" s="166"/>
      <c r="B37" s="144" t="s">
        <v>1145</v>
      </c>
      <c r="C37" s="135" t="s">
        <v>938</v>
      </c>
      <c r="D37" s="55">
        <v>77.099999999999994</v>
      </c>
      <c r="E37" s="55">
        <v>77.099999999999994</v>
      </c>
      <c r="F37" s="36">
        <v>87</v>
      </c>
      <c r="G37" s="36">
        <v>87</v>
      </c>
      <c r="H37" s="36">
        <v>400</v>
      </c>
      <c r="I37" s="36">
        <v>104.5</v>
      </c>
      <c r="J37" s="36">
        <v>104.5</v>
      </c>
      <c r="K37" s="36">
        <v>162.19999999999999</v>
      </c>
      <c r="L37" s="36">
        <v>178.2</v>
      </c>
      <c r="M37" s="36">
        <v>0</v>
      </c>
      <c r="N37" s="56">
        <v>0</v>
      </c>
      <c r="O37" s="62">
        <f>SUM(D37:N37)</f>
        <v>1277.6000000000001</v>
      </c>
      <c r="P37" s="26">
        <v>0</v>
      </c>
      <c r="Q37" s="26">
        <v>0</v>
      </c>
      <c r="R37" s="26">
        <f>P37+Q37</f>
        <v>0</v>
      </c>
      <c r="S37" s="26"/>
      <c r="T37" s="22">
        <f>R37*O37</f>
        <v>0</v>
      </c>
      <c r="U37" s="47"/>
    </row>
    <row r="38" spans="1:21" s="42" customFormat="1" x14ac:dyDescent="0.25">
      <c r="A38" s="157"/>
      <c r="B38" s="44"/>
      <c r="C38" s="44"/>
      <c r="D38" s="44"/>
      <c r="E38" s="44"/>
      <c r="F38" s="44"/>
      <c r="G38" s="44"/>
      <c r="H38" s="44"/>
      <c r="I38" s="44"/>
      <c r="J38" s="44"/>
      <c r="K38" s="44"/>
      <c r="L38" s="44"/>
      <c r="M38" s="44"/>
      <c r="N38" s="44"/>
      <c r="O38" s="118"/>
      <c r="P38" s="44"/>
      <c r="Q38" s="44"/>
      <c r="R38" s="44"/>
      <c r="S38" s="44"/>
      <c r="T38" s="44"/>
      <c r="U38" s="47"/>
    </row>
    <row r="39" spans="1:21" s="42" customFormat="1" x14ac:dyDescent="0.25">
      <c r="A39" s="166" t="s">
        <v>1162</v>
      </c>
      <c r="B39" s="147" t="s">
        <v>1163</v>
      </c>
      <c r="C39" s="28"/>
      <c r="D39" s="28"/>
      <c r="E39" s="28"/>
      <c r="F39" s="28"/>
      <c r="G39" s="28"/>
      <c r="H39" s="28"/>
      <c r="I39" s="28"/>
      <c r="J39" s="28"/>
      <c r="K39" s="28"/>
      <c r="L39" s="28"/>
      <c r="M39" s="28"/>
      <c r="N39" s="28"/>
      <c r="O39" s="60"/>
      <c r="P39" s="29"/>
      <c r="Q39" s="29"/>
      <c r="R39" s="29"/>
      <c r="S39" s="29"/>
      <c r="T39" s="23"/>
      <c r="U39" s="152"/>
    </row>
    <row r="40" spans="1:21" s="42" customFormat="1" ht="165.75" customHeight="1" x14ac:dyDescent="0.25">
      <c r="A40" s="167"/>
      <c r="B40" s="145" t="s">
        <v>1164</v>
      </c>
      <c r="C40" s="31"/>
      <c r="D40" s="31"/>
      <c r="E40" s="31"/>
      <c r="F40" s="31"/>
      <c r="G40" s="31"/>
      <c r="H40" s="31"/>
      <c r="I40" s="31"/>
      <c r="J40" s="31"/>
      <c r="K40" s="31"/>
      <c r="L40" s="31"/>
      <c r="M40" s="31"/>
      <c r="N40" s="31"/>
      <c r="O40" s="58"/>
      <c r="P40" s="26"/>
      <c r="Q40" s="26"/>
      <c r="R40" s="26"/>
      <c r="S40" s="26"/>
      <c r="T40" s="38"/>
      <c r="U40" s="152"/>
    </row>
    <row r="41" spans="1:21" s="42" customFormat="1" x14ac:dyDescent="0.25">
      <c r="A41" s="167"/>
      <c r="B41" s="5" t="s">
        <v>1165</v>
      </c>
      <c r="C41" s="31"/>
      <c r="D41" s="31"/>
      <c r="E41" s="31"/>
      <c r="F41" s="31"/>
      <c r="G41" s="31"/>
      <c r="H41" s="31"/>
      <c r="I41" s="31"/>
      <c r="J41" s="31"/>
      <c r="K41" s="31"/>
      <c r="L41" s="31"/>
      <c r="M41" s="31"/>
      <c r="N41" s="31"/>
      <c r="O41" s="58"/>
      <c r="P41" s="26"/>
      <c r="Q41" s="26"/>
      <c r="R41" s="26"/>
      <c r="S41" s="26"/>
      <c r="T41" s="38"/>
      <c r="U41" s="152"/>
    </row>
    <row r="42" spans="1:21" s="42" customFormat="1" ht="15.75" customHeight="1" thickBot="1" x14ac:dyDescent="0.3">
      <c r="A42" s="167"/>
      <c r="B42" s="5" t="s">
        <v>1145</v>
      </c>
      <c r="C42" s="31"/>
      <c r="D42" s="31"/>
      <c r="E42" s="31"/>
      <c r="F42" s="31"/>
      <c r="G42" s="31"/>
      <c r="H42" s="31"/>
      <c r="I42" s="31"/>
      <c r="J42" s="31"/>
      <c r="K42" s="31"/>
      <c r="L42" s="31"/>
      <c r="M42" s="31"/>
      <c r="N42" s="31"/>
      <c r="O42" s="58"/>
      <c r="P42" s="26"/>
      <c r="Q42" s="26"/>
      <c r="R42" s="26"/>
      <c r="S42" s="26"/>
      <c r="T42" s="38"/>
      <c r="U42" s="152"/>
    </row>
    <row r="43" spans="1:21" s="42" customFormat="1" ht="15.75" customHeight="1" thickBot="1" x14ac:dyDescent="0.3">
      <c r="A43" s="166" t="s">
        <v>1166</v>
      </c>
      <c r="B43" s="144" t="s">
        <v>1167</v>
      </c>
      <c r="C43" s="135" t="s">
        <v>938</v>
      </c>
      <c r="D43" s="55">
        <v>30.65</v>
      </c>
      <c r="E43" s="55">
        <v>30.65</v>
      </c>
      <c r="F43" s="36">
        <v>41.7</v>
      </c>
      <c r="G43" s="36">
        <v>41.7</v>
      </c>
      <c r="H43" s="36">
        <v>161.6</v>
      </c>
      <c r="I43" s="36">
        <v>45.85</v>
      </c>
      <c r="J43" s="36">
        <v>45.85</v>
      </c>
      <c r="K43" s="36">
        <v>56</v>
      </c>
      <c r="L43" s="36">
        <v>107</v>
      </c>
      <c r="M43" s="36">
        <v>0</v>
      </c>
      <c r="N43" s="56">
        <v>0</v>
      </c>
      <c r="O43" s="62">
        <f>SUM(D43:N43)</f>
        <v>561</v>
      </c>
      <c r="P43" s="26">
        <v>0</v>
      </c>
      <c r="Q43" s="26">
        <v>0</v>
      </c>
      <c r="R43" s="26">
        <f>P43+Q43</f>
        <v>0</v>
      </c>
      <c r="S43" s="26"/>
      <c r="T43" s="22">
        <f>R43*O43</f>
        <v>0</v>
      </c>
      <c r="U43" s="47"/>
    </row>
    <row r="44" spans="1:21" s="42" customFormat="1" x14ac:dyDescent="0.25">
      <c r="A44" s="167"/>
      <c r="B44" s="5"/>
      <c r="C44" s="25"/>
      <c r="D44" s="26"/>
      <c r="E44" s="26"/>
      <c r="F44" s="26"/>
      <c r="G44" s="26"/>
      <c r="H44" s="26"/>
      <c r="I44" s="26"/>
      <c r="J44" s="26"/>
      <c r="K44" s="26"/>
      <c r="L44" s="26"/>
      <c r="M44" s="26"/>
      <c r="N44" s="26"/>
      <c r="O44" s="58"/>
      <c r="P44" s="26"/>
      <c r="Q44" s="26"/>
      <c r="R44" s="26"/>
      <c r="S44" s="26"/>
      <c r="T44" s="22"/>
      <c r="U44" s="47"/>
    </row>
    <row r="45" spans="1:21" s="42" customFormat="1" x14ac:dyDescent="0.25">
      <c r="A45" s="167"/>
      <c r="B45" s="5" t="s">
        <v>1168</v>
      </c>
      <c r="C45" s="31"/>
      <c r="D45" s="31"/>
      <c r="E45" s="31"/>
      <c r="F45" s="31"/>
      <c r="G45" s="31"/>
      <c r="H45" s="31"/>
      <c r="I45" s="31"/>
      <c r="J45" s="31"/>
      <c r="K45" s="31"/>
      <c r="L45" s="31"/>
      <c r="M45" s="31"/>
      <c r="N45" s="31"/>
      <c r="O45" s="58"/>
      <c r="P45" s="26"/>
      <c r="Q45" s="26"/>
      <c r="R45" s="26"/>
      <c r="S45" s="26"/>
      <c r="T45" s="38"/>
      <c r="U45" s="152"/>
    </row>
    <row r="46" spans="1:21" s="42" customFormat="1" ht="15.75" customHeight="1" thickBot="1" x14ac:dyDescent="0.3">
      <c r="A46" s="167"/>
      <c r="B46" s="5" t="s">
        <v>1145</v>
      </c>
      <c r="C46" s="31"/>
      <c r="D46" s="31"/>
      <c r="E46" s="31"/>
      <c r="F46" s="31"/>
      <c r="G46" s="31"/>
      <c r="H46" s="31"/>
      <c r="I46" s="31"/>
      <c r="J46" s="31"/>
      <c r="K46" s="31"/>
      <c r="L46" s="31"/>
      <c r="M46" s="31"/>
      <c r="N46" s="31"/>
      <c r="O46" s="58"/>
      <c r="P46" s="26"/>
      <c r="Q46" s="26"/>
      <c r="R46" s="26"/>
      <c r="S46" s="26"/>
      <c r="T46" s="38"/>
      <c r="U46" s="152"/>
    </row>
    <row r="47" spans="1:21" s="42" customFormat="1" ht="15.75" customHeight="1" thickBot="1" x14ac:dyDescent="0.3">
      <c r="A47" s="166" t="s">
        <v>1169</v>
      </c>
      <c r="B47" s="144" t="s">
        <v>1170</v>
      </c>
      <c r="C47" s="135" t="s">
        <v>938</v>
      </c>
      <c r="D47" s="55">
        <v>11.8</v>
      </c>
      <c r="E47" s="55">
        <v>11.8</v>
      </c>
      <c r="F47" s="36">
        <v>1.9</v>
      </c>
      <c r="G47" s="36">
        <v>1.9</v>
      </c>
      <c r="H47" s="36">
        <v>44.8</v>
      </c>
      <c r="I47" s="36">
        <v>2.2999999999999998</v>
      </c>
      <c r="J47" s="36">
        <v>2.2999999999999998</v>
      </c>
      <c r="K47" s="36">
        <v>17.600000000000001</v>
      </c>
      <c r="L47" s="36">
        <v>0</v>
      </c>
      <c r="M47" s="36">
        <v>0</v>
      </c>
      <c r="N47" s="56">
        <v>0</v>
      </c>
      <c r="O47" s="62">
        <f>SUM(D47:N47)</f>
        <v>94.399999999999977</v>
      </c>
      <c r="P47" s="26">
        <v>0</v>
      </c>
      <c r="Q47" s="26">
        <v>0</v>
      </c>
      <c r="R47" s="26">
        <f>P47+Q47</f>
        <v>0</v>
      </c>
      <c r="S47" s="26"/>
      <c r="T47" s="22">
        <f>R47*O47</f>
        <v>0</v>
      </c>
      <c r="U47" s="47"/>
    </row>
    <row r="48" spans="1:21" s="42" customFormat="1" x14ac:dyDescent="0.25">
      <c r="A48" s="167"/>
      <c r="B48" s="5"/>
      <c r="C48" s="25"/>
      <c r="D48" s="26"/>
      <c r="E48" s="26"/>
      <c r="F48" s="26"/>
      <c r="G48" s="26"/>
      <c r="H48" s="26"/>
      <c r="I48" s="26"/>
      <c r="J48" s="26"/>
      <c r="K48" s="26"/>
      <c r="L48" s="26"/>
      <c r="M48" s="26"/>
      <c r="N48" s="26"/>
      <c r="O48" s="58"/>
      <c r="P48" s="26"/>
      <c r="Q48" s="26"/>
      <c r="R48" s="26"/>
      <c r="S48" s="26"/>
      <c r="T48" s="22"/>
      <c r="U48" s="47"/>
    </row>
    <row r="49" spans="1:21" s="42" customFormat="1" x14ac:dyDescent="0.25">
      <c r="A49" s="166" t="s">
        <v>1171</v>
      </c>
      <c r="B49" s="147" t="s">
        <v>1172</v>
      </c>
      <c r="C49" s="28"/>
      <c r="D49" s="28"/>
      <c r="E49" s="28"/>
      <c r="F49" s="28"/>
      <c r="G49" s="28"/>
      <c r="H49" s="28"/>
      <c r="I49" s="28"/>
      <c r="J49" s="28"/>
      <c r="K49" s="28"/>
      <c r="L49" s="28"/>
      <c r="M49" s="28"/>
      <c r="N49" s="28"/>
      <c r="O49" s="60"/>
      <c r="P49" s="29"/>
      <c r="Q49" s="29"/>
      <c r="R49" s="29"/>
      <c r="S49" s="29"/>
      <c r="T49" s="23"/>
      <c r="U49" s="152"/>
    </row>
    <row r="50" spans="1:21" s="42" customFormat="1" ht="178.5" customHeight="1" x14ac:dyDescent="0.25">
      <c r="A50" s="167"/>
      <c r="B50" s="145" t="s">
        <v>1173</v>
      </c>
      <c r="C50" s="31"/>
      <c r="D50" s="31"/>
      <c r="E50" s="31"/>
      <c r="F50" s="31"/>
      <c r="G50" s="31"/>
      <c r="H50" s="31"/>
      <c r="I50" s="31"/>
      <c r="J50" s="31"/>
      <c r="K50" s="31"/>
      <c r="L50" s="31"/>
      <c r="M50" s="31"/>
      <c r="N50" s="31"/>
      <c r="O50" s="58"/>
      <c r="P50" s="26"/>
      <c r="Q50" s="26"/>
      <c r="R50" s="26"/>
      <c r="S50" s="26"/>
      <c r="T50" s="38"/>
      <c r="U50" s="152"/>
    </row>
    <row r="51" spans="1:21" s="42" customFormat="1" ht="15.75" customHeight="1" thickBot="1" x14ac:dyDescent="0.3">
      <c r="A51" s="167"/>
      <c r="B51" s="5" t="s">
        <v>1174</v>
      </c>
      <c r="C51" s="31"/>
      <c r="D51" s="31"/>
      <c r="E51" s="31"/>
      <c r="F51" s="31"/>
      <c r="G51" s="31"/>
      <c r="H51" s="31"/>
      <c r="I51" s="31"/>
      <c r="J51" s="31"/>
      <c r="K51" s="31"/>
      <c r="L51" s="31"/>
      <c r="M51" s="31"/>
      <c r="N51" s="31"/>
      <c r="O51" s="58"/>
      <c r="P51" s="26"/>
      <c r="Q51" s="26"/>
      <c r="R51" s="26"/>
      <c r="S51" s="26"/>
      <c r="T51" s="38"/>
      <c r="U51" s="152"/>
    </row>
    <row r="52" spans="1:21" s="42" customFormat="1" ht="15.75" customHeight="1" thickBot="1" x14ac:dyDescent="0.3">
      <c r="A52" s="166"/>
      <c r="B52" s="144" t="s">
        <v>1145</v>
      </c>
      <c r="C52" s="135" t="s">
        <v>938</v>
      </c>
      <c r="D52" s="55">
        <v>4.8499999999999996</v>
      </c>
      <c r="E52" s="55">
        <v>4.8499999999999996</v>
      </c>
      <c r="F52" s="36">
        <v>4.7</v>
      </c>
      <c r="G52" s="36">
        <v>4.7</v>
      </c>
      <c r="H52" s="36">
        <v>25.2</v>
      </c>
      <c r="I52" s="36">
        <v>3.9</v>
      </c>
      <c r="J52" s="36">
        <v>3.9</v>
      </c>
      <c r="K52" s="36">
        <v>10.4</v>
      </c>
      <c r="L52" s="36">
        <v>18.8</v>
      </c>
      <c r="M52" s="36">
        <v>0</v>
      </c>
      <c r="N52" s="56">
        <v>0</v>
      </c>
      <c r="O52" s="62">
        <f>SUM(D52:N52)</f>
        <v>81.3</v>
      </c>
      <c r="P52" s="26">
        <v>0</v>
      </c>
      <c r="Q52" s="26">
        <v>0</v>
      </c>
      <c r="R52" s="26">
        <f>P52+Q52</f>
        <v>0</v>
      </c>
      <c r="S52" s="26"/>
      <c r="T52" s="22">
        <f>R52*O52</f>
        <v>0</v>
      </c>
      <c r="U52" s="47"/>
    </row>
    <row r="53" spans="1:21" s="32" customFormat="1" ht="12.75" customHeight="1" x14ac:dyDescent="0.2">
      <c r="A53" s="159"/>
      <c r="B53" s="31"/>
      <c r="C53" s="25"/>
      <c r="D53" s="25"/>
      <c r="E53" s="25"/>
      <c r="F53" s="25"/>
      <c r="G53" s="25"/>
      <c r="H53" s="25"/>
      <c r="I53" s="25"/>
      <c r="J53" s="25"/>
      <c r="K53" s="25"/>
      <c r="L53" s="25"/>
      <c r="M53" s="25"/>
      <c r="N53" s="25"/>
      <c r="O53" s="58"/>
      <c r="P53" s="26"/>
      <c r="Q53" s="26"/>
      <c r="R53" s="26"/>
      <c r="S53" s="26"/>
      <c r="T53" s="22"/>
      <c r="U53" s="37"/>
    </row>
    <row r="54" spans="1:21" s="129" customFormat="1" x14ac:dyDescent="0.25">
      <c r="A54" s="165" t="s">
        <v>1175</v>
      </c>
      <c r="B54" s="440" t="s">
        <v>1156</v>
      </c>
      <c r="C54" s="387"/>
      <c r="D54" s="387"/>
      <c r="E54" s="387"/>
      <c r="F54" s="387"/>
      <c r="G54" s="387"/>
      <c r="H54" s="387"/>
      <c r="I54" s="387"/>
      <c r="J54" s="387"/>
      <c r="K54" s="387"/>
      <c r="L54" s="387"/>
      <c r="M54" s="387"/>
      <c r="N54" s="387"/>
      <c r="O54" s="387"/>
      <c r="P54" s="387"/>
      <c r="Q54" s="388"/>
      <c r="R54" s="34" t="s">
        <v>1107</v>
      </c>
      <c r="S54" s="34"/>
      <c r="T54" s="9">
        <f>SUM(T33:T53)</f>
        <v>0</v>
      </c>
      <c r="U54" s="150"/>
    </row>
    <row r="55" spans="1:21" s="32" customFormat="1" ht="12.75" customHeight="1" x14ac:dyDescent="0.2">
      <c r="A55" s="159"/>
      <c r="B55" s="31"/>
      <c r="C55" s="25"/>
      <c r="D55" s="25"/>
      <c r="E55" s="25"/>
      <c r="F55" s="25"/>
      <c r="G55" s="25"/>
      <c r="H55" s="25"/>
      <c r="I55" s="25"/>
      <c r="J55" s="25"/>
      <c r="K55" s="25"/>
      <c r="L55" s="25"/>
      <c r="M55" s="25"/>
      <c r="N55" s="25"/>
      <c r="O55" s="58"/>
      <c r="P55" s="26"/>
      <c r="Q55" s="26"/>
      <c r="R55" s="26"/>
      <c r="S55" s="26"/>
      <c r="T55" s="35"/>
      <c r="U55" s="37"/>
    </row>
    <row r="56" spans="1:21" s="42" customFormat="1" x14ac:dyDescent="0.25">
      <c r="A56" s="161" t="s">
        <v>1176</v>
      </c>
      <c r="B56" s="441" t="s">
        <v>1177</v>
      </c>
      <c r="C56" s="387"/>
      <c r="D56" s="387"/>
      <c r="E56" s="387"/>
      <c r="F56" s="387"/>
      <c r="G56" s="387"/>
      <c r="H56" s="387"/>
      <c r="I56" s="387"/>
      <c r="J56" s="387"/>
      <c r="K56" s="387"/>
      <c r="L56" s="387"/>
      <c r="M56" s="387"/>
      <c r="N56" s="387"/>
      <c r="O56" s="387"/>
      <c r="P56" s="387"/>
      <c r="Q56" s="387"/>
      <c r="R56" s="387"/>
      <c r="S56" s="43"/>
      <c r="T56" s="33"/>
      <c r="U56" s="47"/>
    </row>
    <row r="57" spans="1:21" s="42" customFormat="1" x14ac:dyDescent="0.25">
      <c r="A57" s="157"/>
      <c r="B57" s="44"/>
      <c r="C57" s="44"/>
      <c r="D57" s="44"/>
      <c r="E57" s="44"/>
      <c r="F57" s="44"/>
      <c r="G57" s="44"/>
      <c r="H57" s="44"/>
      <c r="I57" s="44"/>
      <c r="J57" s="44"/>
      <c r="K57" s="44"/>
      <c r="L57" s="44"/>
      <c r="M57" s="44"/>
      <c r="N57" s="44"/>
      <c r="O57" s="118"/>
      <c r="P57" s="44"/>
      <c r="Q57" s="44"/>
      <c r="R57" s="44"/>
      <c r="S57" s="44"/>
      <c r="T57" s="44"/>
      <c r="U57" s="47"/>
    </row>
    <row r="58" spans="1:21" s="42" customFormat="1" ht="102" customHeight="1" x14ac:dyDescent="0.25">
      <c r="A58" s="157"/>
      <c r="B58" s="141" t="s">
        <v>1178</v>
      </c>
      <c r="C58" s="44"/>
      <c r="D58" s="44"/>
      <c r="E58" s="44"/>
      <c r="F58" s="44"/>
      <c r="G58" s="44"/>
      <c r="H58" s="44"/>
      <c r="I58" s="44"/>
      <c r="J58" s="44"/>
      <c r="K58" s="44"/>
      <c r="L58" s="44"/>
      <c r="M58" s="44"/>
      <c r="N58" s="44"/>
      <c r="O58" s="118"/>
      <c r="P58" s="44"/>
      <c r="Q58" s="44"/>
      <c r="R58" s="44"/>
      <c r="S58" s="44"/>
      <c r="T58" s="44"/>
      <c r="U58" s="47"/>
    </row>
    <row r="59" spans="1:21" s="42" customFormat="1" ht="63.75" customHeight="1" x14ac:dyDescent="0.25">
      <c r="A59" s="157"/>
      <c r="B59" s="141" t="s">
        <v>1179</v>
      </c>
      <c r="C59" s="44"/>
      <c r="D59" s="44"/>
      <c r="E59" s="44"/>
      <c r="F59" s="44"/>
      <c r="G59" s="44"/>
      <c r="H59" s="44"/>
      <c r="I59" s="44"/>
      <c r="J59" s="44"/>
      <c r="K59" s="44"/>
      <c r="L59" s="44"/>
      <c r="M59" s="44"/>
      <c r="N59" s="44"/>
      <c r="O59" s="118"/>
      <c r="P59" s="44"/>
      <c r="Q59" s="44"/>
      <c r="R59" s="44"/>
      <c r="S59" s="44"/>
      <c r="T59" s="44"/>
      <c r="U59" s="47"/>
    </row>
    <row r="60" spans="1:21" s="42" customFormat="1" x14ac:dyDescent="0.25">
      <c r="A60" s="157"/>
      <c r="B60" s="44"/>
      <c r="C60" s="44"/>
      <c r="D60" s="44"/>
      <c r="E60" s="44"/>
      <c r="F60" s="44"/>
      <c r="G60" s="44"/>
      <c r="H60" s="44"/>
      <c r="I60" s="44"/>
      <c r="J60" s="44"/>
      <c r="K60" s="44"/>
      <c r="L60" s="44"/>
      <c r="M60" s="44"/>
      <c r="N60" s="44"/>
      <c r="O60" s="118"/>
      <c r="P60" s="44"/>
      <c r="Q60" s="44"/>
      <c r="R60" s="44"/>
      <c r="S60" s="44"/>
      <c r="T60" s="44"/>
      <c r="U60" s="47"/>
    </row>
    <row r="61" spans="1:21" s="42" customFormat="1" x14ac:dyDescent="0.25">
      <c r="A61" s="166" t="s">
        <v>1180</v>
      </c>
      <c r="B61" s="147" t="s">
        <v>1181</v>
      </c>
      <c r="C61" s="28"/>
      <c r="D61" s="28"/>
      <c r="E61" s="28"/>
      <c r="F61" s="28"/>
      <c r="G61" s="28"/>
      <c r="H61" s="28"/>
      <c r="I61" s="28"/>
      <c r="J61" s="28"/>
      <c r="K61" s="28"/>
      <c r="L61" s="28"/>
      <c r="M61" s="28"/>
      <c r="N61" s="28"/>
      <c r="O61" s="60"/>
      <c r="P61" s="29"/>
      <c r="Q61" s="29"/>
      <c r="R61" s="29"/>
      <c r="S61" s="29"/>
      <c r="T61" s="23"/>
      <c r="U61" s="152"/>
    </row>
    <row r="62" spans="1:21" s="42" customFormat="1" ht="25.5" customHeight="1" x14ac:dyDescent="0.25">
      <c r="A62" s="167"/>
      <c r="B62" s="24" t="s">
        <v>1182</v>
      </c>
      <c r="C62" s="31"/>
      <c r="D62" s="31"/>
      <c r="E62" s="31"/>
      <c r="F62" s="31"/>
      <c r="G62" s="31"/>
      <c r="H62" s="31"/>
      <c r="I62" s="31"/>
      <c r="J62" s="31"/>
      <c r="K62" s="31"/>
      <c r="L62" s="31"/>
      <c r="M62" s="31"/>
      <c r="N62" s="31"/>
      <c r="O62" s="58"/>
      <c r="P62" s="26"/>
      <c r="Q62" s="26"/>
      <c r="R62" s="26"/>
      <c r="S62" s="26"/>
      <c r="T62" s="38"/>
      <c r="U62" s="152"/>
    </row>
    <row r="63" spans="1:21" s="42" customFormat="1" ht="15.75" customHeight="1" thickBot="1" x14ac:dyDescent="0.3">
      <c r="A63" s="167"/>
      <c r="B63" s="17" t="s">
        <v>1183</v>
      </c>
      <c r="C63" s="31"/>
      <c r="D63" s="31"/>
      <c r="E63" s="31"/>
      <c r="F63" s="31"/>
      <c r="G63" s="31"/>
      <c r="H63" s="31"/>
      <c r="I63" s="31"/>
      <c r="J63" s="31"/>
      <c r="K63" s="31"/>
      <c r="L63" s="31"/>
      <c r="M63" s="31"/>
      <c r="N63" s="31"/>
      <c r="O63" s="58"/>
      <c r="P63" s="26"/>
      <c r="Q63" s="26"/>
      <c r="R63" s="26"/>
      <c r="S63" s="26"/>
      <c r="T63" s="38"/>
      <c r="U63" s="152"/>
    </row>
    <row r="64" spans="1:21" s="200" customFormat="1" ht="15.75" customHeight="1" thickBot="1" x14ac:dyDescent="0.3">
      <c r="A64" s="282"/>
      <c r="B64" s="196" t="s">
        <v>1145</v>
      </c>
      <c r="C64" s="189" t="s">
        <v>938</v>
      </c>
      <c r="D64" s="190">
        <f>D$4*10</f>
        <v>10</v>
      </c>
      <c r="E64" s="190">
        <f>E$4*10</f>
        <v>10</v>
      </c>
      <c r="F64" s="191">
        <f>F$4*7.7</f>
        <v>7.7</v>
      </c>
      <c r="G64" s="191">
        <f>G$4*7.7</f>
        <v>7.7</v>
      </c>
      <c r="H64" s="191">
        <f>H$4*15.4</f>
        <v>61.6</v>
      </c>
      <c r="I64" s="191">
        <f>I$4*7.7</f>
        <v>7.7</v>
      </c>
      <c r="J64" s="191">
        <f>J$4*7.7</f>
        <v>7.7</v>
      </c>
      <c r="K64" s="191">
        <f>K$4*6.75</f>
        <v>13.5</v>
      </c>
      <c r="L64" s="191">
        <f>L$4*130</f>
        <v>130</v>
      </c>
      <c r="M64" s="191">
        <f>M$4*0</f>
        <v>0</v>
      </c>
      <c r="N64" s="192">
        <f>N$4*0</f>
        <v>0</v>
      </c>
      <c r="O64" s="193">
        <f>SUM(D64:N64)</f>
        <v>255.9</v>
      </c>
      <c r="P64" s="194">
        <v>0</v>
      </c>
      <c r="Q64" s="194">
        <v>0</v>
      </c>
      <c r="R64" s="194">
        <f>P64+Q64</f>
        <v>0</v>
      </c>
      <c r="S64" s="194"/>
      <c r="T64" s="195">
        <f>R64*O64</f>
        <v>0</v>
      </c>
      <c r="U64" s="208"/>
    </row>
    <row r="65" spans="1:21" s="42" customFormat="1" x14ac:dyDescent="0.25">
      <c r="A65" s="157"/>
      <c r="B65" s="44"/>
      <c r="C65" s="44"/>
      <c r="D65" s="44"/>
      <c r="E65" s="44"/>
      <c r="F65" s="44"/>
      <c r="G65" s="44"/>
      <c r="H65" s="44"/>
      <c r="I65" s="44"/>
      <c r="J65" s="44"/>
      <c r="K65" s="44"/>
      <c r="L65" s="44"/>
      <c r="M65" s="44"/>
      <c r="N65" s="44"/>
      <c r="O65" s="118"/>
      <c r="P65" s="44"/>
      <c r="Q65" s="44"/>
      <c r="R65" s="44"/>
      <c r="S65" s="44"/>
      <c r="T65" s="44"/>
      <c r="U65" s="47"/>
    </row>
    <row r="66" spans="1:21" s="42" customFormat="1" x14ac:dyDescent="0.25">
      <c r="A66" s="166" t="s">
        <v>1184</v>
      </c>
      <c r="B66" s="147" t="s">
        <v>1181</v>
      </c>
      <c r="C66" s="28"/>
      <c r="D66" s="28"/>
      <c r="E66" s="28"/>
      <c r="F66" s="28"/>
      <c r="G66" s="28"/>
      <c r="H66" s="28"/>
      <c r="I66" s="28"/>
      <c r="J66" s="28"/>
      <c r="K66" s="28"/>
      <c r="L66" s="28"/>
      <c r="M66" s="28"/>
      <c r="N66" s="28"/>
      <c r="O66" s="60"/>
      <c r="P66" s="29"/>
      <c r="Q66" s="29"/>
      <c r="R66" s="29"/>
      <c r="S66" s="29"/>
      <c r="T66" s="23"/>
      <c r="U66" s="152"/>
    </row>
    <row r="67" spans="1:21" s="42" customFormat="1" ht="25.5" customHeight="1" x14ac:dyDescent="0.25">
      <c r="A67" s="167"/>
      <c r="B67" s="24" t="s">
        <v>1182</v>
      </c>
      <c r="C67" s="31"/>
      <c r="D67" s="31"/>
      <c r="E67" s="31"/>
      <c r="F67" s="31"/>
      <c r="G67" s="31"/>
      <c r="H67" s="31"/>
      <c r="I67" s="31"/>
      <c r="J67" s="31"/>
      <c r="K67" s="31"/>
      <c r="L67" s="31"/>
      <c r="M67" s="31"/>
      <c r="N67" s="31"/>
      <c r="O67" s="58"/>
      <c r="P67" s="26"/>
      <c r="Q67" s="26"/>
      <c r="R67" s="26"/>
      <c r="S67" s="26"/>
      <c r="T67" s="38"/>
      <c r="U67" s="152"/>
    </row>
    <row r="68" spans="1:21" s="42" customFormat="1" ht="15.75" customHeight="1" thickBot="1" x14ac:dyDescent="0.3">
      <c r="A68" s="167"/>
      <c r="B68" s="17" t="s">
        <v>1185</v>
      </c>
      <c r="C68" s="31"/>
      <c r="D68" s="31"/>
      <c r="E68" s="31"/>
      <c r="F68" s="31"/>
      <c r="G68" s="31"/>
      <c r="H68" s="31"/>
      <c r="I68" s="31"/>
      <c r="J68" s="31"/>
      <c r="K68" s="31"/>
      <c r="L68" s="31"/>
      <c r="M68" s="31"/>
      <c r="N68" s="31"/>
      <c r="O68" s="58"/>
      <c r="P68" s="26"/>
      <c r="Q68" s="26"/>
      <c r="R68" s="26"/>
      <c r="S68" s="26"/>
      <c r="T68" s="38"/>
      <c r="U68" s="152"/>
    </row>
    <row r="69" spans="1:21" s="200" customFormat="1" ht="15.75" customHeight="1" thickBot="1" x14ac:dyDescent="0.3">
      <c r="A69" s="282"/>
      <c r="B69" s="196" t="s">
        <v>1145</v>
      </c>
      <c r="C69" s="189" t="s">
        <v>938</v>
      </c>
      <c r="D69" s="190">
        <v>13.8</v>
      </c>
      <c r="E69" s="190">
        <v>13.8</v>
      </c>
      <c r="F69" s="191">
        <f>F$4*10.3</f>
        <v>10.3</v>
      </c>
      <c r="G69" s="191">
        <f>G$4*10.3</f>
        <v>10.3</v>
      </c>
      <c r="H69" s="191">
        <f>H$4*13.5</f>
        <v>54</v>
      </c>
      <c r="I69" s="191">
        <f>I$4*10</f>
        <v>10</v>
      </c>
      <c r="J69" s="191">
        <f>J$4*10</f>
        <v>10</v>
      </c>
      <c r="K69" s="191">
        <f>K$4*11.5</f>
        <v>23</v>
      </c>
      <c r="L69" s="191">
        <f>L$4*13.4</f>
        <v>13.4</v>
      </c>
      <c r="M69" s="191">
        <f>M$4*0</f>
        <v>0</v>
      </c>
      <c r="N69" s="192">
        <f>N$4*0</f>
        <v>0</v>
      </c>
      <c r="O69" s="193">
        <f>SUM(D69:N69)</f>
        <v>158.6</v>
      </c>
      <c r="P69" s="194">
        <v>0</v>
      </c>
      <c r="Q69" s="194">
        <v>0</v>
      </c>
      <c r="R69" s="194">
        <f>P69+Q69</f>
        <v>0</v>
      </c>
      <c r="S69" s="194"/>
      <c r="T69" s="195">
        <f>R69*O69</f>
        <v>0</v>
      </c>
      <c r="U69" s="208"/>
    </row>
    <row r="70" spans="1:21" s="32" customFormat="1" ht="12.75" customHeight="1" x14ac:dyDescent="0.2">
      <c r="A70" s="159"/>
      <c r="B70" s="31"/>
      <c r="C70" s="25"/>
      <c r="D70" s="25"/>
      <c r="E70" s="25"/>
      <c r="F70" s="25"/>
      <c r="G70" s="25"/>
      <c r="H70" s="25"/>
      <c r="I70" s="25"/>
      <c r="J70" s="25"/>
      <c r="K70" s="25"/>
      <c r="L70" s="25"/>
      <c r="M70" s="25"/>
      <c r="N70" s="25"/>
      <c r="O70" s="58"/>
      <c r="P70" s="26"/>
      <c r="Q70" s="26"/>
      <c r="R70" s="26"/>
      <c r="S70" s="26"/>
      <c r="T70" s="22"/>
      <c r="U70" s="37"/>
    </row>
    <row r="71" spans="1:21" s="129" customFormat="1" x14ac:dyDescent="0.25">
      <c r="A71" s="165" t="s">
        <v>1186</v>
      </c>
      <c r="B71" s="440" t="s">
        <v>1177</v>
      </c>
      <c r="C71" s="387"/>
      <c r="D71" s="387"/>
      <c r="E71" s="387"/>
      <c r="F71" s="387"/>
      <c r="G71" s="387"/>
      <c r="H71" s="387"/>
      <c r="I71" s="387"/>
      <c r="J71" s="387"/>
      <c r="K71" s="387"/>
      <c r="L71" s="387"/>
      <c r="M71" s="387"/>
      <c r="N71" s="387"/>
      <c r="O71" s="387"/>
      <c r="P71" s="387"/>
      <c r="Q71" s="388"/>
      <c r="R71" s="34" t="s">
        <v>1107</v>
      </c>
      <c r="S71" s="34"/>
      <c r="T71" s="9">
        <f>SUM(T57:T70)</f>
        <v>0</v>
      </c>
      <c r="U71" s="150"/>
    </row>
    <row r="72" spans="1:21" s="32" customFormat="1" ht="12.75" customHeight="1" x14ac:dyDescent="0.2">
      <c r="A72" s="159"/>
      <c r="B72" s="31"/>
      <c r="C72" s="25"/>
      <c r="D72" s="25"/>
      <c r="E72" s="25"/>
      <c r="F72" s="25"/>
      <c r="G72" s="25"/>
      <c r="H72" s="25"/>
      <c r="I72" s="25"/>
      <c r="J72" s="25"/>
      <c r="K72" s="25"/>
      <c r="L72" s="25"/>
      <c r="M72" s="25"/>
      <c r="N72" s="25"/>
      <c r="O72" s="58"/>
      <c r="P72" s="26"/>
      <c r="Q72" s="26"/>
      <c r="R72" s="26"/>
      <c r="S72" s="26"/>
      <c r="T72" s="35"/>
      <c r="U72" s="37"/>
    </row>
    <row r="73" spans="1:21" s="32" customFormat="1" ht="12.75" customHeight="1" x14ac:dyDescent="0.2">
      <c r="A73" s="159"/>
      <c r="B73" s="31"/>
      <c r="C73" s="25"/>
      <c r="D73" s="25"/>
      <c r="E73" s="25"/>
      <c r="F73" s="25"/>
      <c r="G73" s="25"/>
      <c r="H73" s="25"/>
      <c r="I73" s="25"/>
      <c r="J73" s="25"/>
      <c r="K73" s="25"/>
      <c r="L73" s="25"/>
      <c r="M73" s="25"/>
      <c r="N73" s="25"/>
      <c r="O73" s="58"/>
      <c r="P73" s="26"/>
      <c r="Q73" s="26"/>
      <c r="R73" s="26"/>
      <c r="S73" s="26"/>
      <c r="T73" s="35"/>
      <c r="U73" s="37"/>
    </row>
    <row r="74" spans="1:21" s="132" customFormat="1" ht="15.75" customHeight="1" x14ac:dyDescent="0.25">
      <c r="A74" s="160" t="s">
        <v>1187</v>
      </c>
      <c r="B74" s="130" t="s">
        <v>1139</v>
      </c>
      <c r="C74" s="49"/>
      <c r="D74" s="49"/>
      <c r="E74" s="49"/>
      <c r="F74" s="49"/>
      <c r="G74" s="49"/>
      <c r="H74" s="49"/>
      <c r="I74" s="49"/>
      <c r="J74" s="49"/>
      <c r="K74" s="49"/>
      <c r="L74" s="49"/>
      <c r="M74" s="49"/>
      <c r="N74" s="49"/>
      <c r="O74" s="131"/>
      <c r="P74" s="49"/>
      <c r="Q74" s="49"/>
      <c r="R74" s="435" t="s">
        <v>946</v>
      </c>
      <c r="S74" s="388"/>
      <c r="T74" s="50">
        <f>T29+T54+T71</f>
        <v>0</v>
      </c>
      <c r="U74" s="151"/>
    </row>
    <row r="76" spans="1:21" s="132" customFormat="1" ht="15.75" customHeight="1" x14ac:dyDescent="0.25">
      <c r="A76" s="165" t="s">
        <v>1129</v>
      </c>
      <c r="B76" s="130" t="s">
        <v>1188</v>
      </c>
      <c r="C76" s="49"/>
      <c r="D76" s="49"/>
      <c r="E76" s="49"/>
      <c r="F76" s="49"/>
      <c r="G76" s="49"/>
      <c r="H76" s="49"/>
      <c r="I76" s="49"/>
      <c r="J76" s="49"/>
      <c r="K76" s="49"/>
      <c r="L76" s="49"/>
      <c r="M76" s="49"/>
      <c r="N76" s="49"/>
      <c r="O76" s="131"/>
      <c r="P76" s="49"/>
      <c r="Q76" s="49"/>
      <c r="R76" s="435" t="s">
        <v>946</v>
      </c>
      <c r="S76" s="388"/>
      <c r="T76" s="50">
        <f>T74*5</f>
        <v>0</v>
      </c>
      <c r="U76" s="151"/>
    </row>
    <row r="77" spans="1:21" ht="15.75" customHeight="1" thickBot="1" x14ac:dyDescent="0.3"/>
    <row r="78" spans="1:21" s="42" customFormat="1" ht="50.1" customHeight="1" thickBot="1" x14ac:dyDescent="0.3">
      <c r="A78" s="119" t="s">
        <v>912</v>
      </c>
      <c r="B78" s="119" t="s">
        <v>913</v>
      </c>
      <c r="C78" s="120" t="s">
        <v>914</v>
      </c>
      <c r="D78" s="430"/>
      <c r="E78" s="431"/>
      <c r="F78" s="431"/>
      <c r="G78" s="431"/>
      <c r="H78" s="431"/>
      <c r="I78" s="431"/>
      <c r="J78" s="431"/>
      <c r="K78" s="121" t="s">
        <v>915</v>
      </c>
      <c r="L78" s="122" t="s">
        <v>916</v>
      </c>
      <c r="M78" s="121" t="s">
        <v>917</v>
      </c>
      <c r="N78" s="121" t="s">
        <v>918</v>
      </c>
      <c r="O78" s="121"/>
      <c r="P78" s="119" t="s">
        <v>919</v>
      </c>
      <c r="Q78" s="47"/>
    </row>
    <row r="79" spans="1:21" s="42" customFormat="1" ht="50.1" customHeight="1" thickBot="1" x14ac:dyDescent="0.3">
      <c r="A79" s="123"/>
      <c r="B79" s="123"/>
      <c r="C79" s="124"/>
      <c r="D79" s="432" t="s">
        <v>948</v>
      </c>
      <c r="E79" s="431"/>
      <c r="F79" s="431"/>
      <c r="G79" s="431"/>
      <c r="H79" s="431"/>
      <c r="I79" s="431"/>
      <c r="J79" s="433"/>
      <c r="K79" s="125"/>
      <c r="L79" s="124"/>
      <c r="M79" s="124"/>
      <c r="N79" s="124"/>
      <c r="O79" s="124"/>
      <c r="P79" s="123"/>
      <c r="Q79" s="47"/>
    </row>
    <row r="80" spans="1:21" s="42" customFormat="1" ht="62.25" customHeight="1" x14ac:dyDescent="0.25">
      <c r="A80" s="123"/>
      <c r="B80" s="123"/>
      <c r="C80" s="124"/>
      <c r="D80" s="173" t="s">
        <v>949</v>
      </c>
      <c r="E80" s="46" t="s">
        <v>950</v>
      </c>
      <c r="F80" s="46" t="s">
        <v>951</v>
      </c>
      <c r="G80" s="46" t="s">
        <v>952</v>
      </c>
      <c r="H80" s="46" t="s">
        <v>953</v>
      </c>
      <c r="I80" s="154" t="s">
        <v>930</v>
      </c>
      <c r="J80" s="126" t="s">
        <v>931</v>
      </c>
      <c r="K80" s="125"/>
      <c r="L80" s="124"/>
      <c r="M80" s="124"/>
      <c r="N80" s="124"/>
      <c r="O80" s="124"/>
      <c r="P80" s="123"/>
      <c r="Q80" s="47"/>
    </row>
    <row r="82" spans="1:17" s="117" customFormat="1" ht="15.75" customHeight="1" x14ac:dyDescent="0.25">
      <c r="A82" s="158" t="s">
        <v>1138</v>
      </c>
      <c r="B82" s="39" t="s">
        <v>1139</v>
      </c>
      <c r="C82" s="40"/>
      <c r="D82" s="175"/>
      <c r="E82" s="40"/>
      <c r="F82" s="40"/>
      <c r="G82" s="40"/>
      <c r="H82" s="40"/>
      <c r="I82" s="40"/>
      <c r="J82" s="40"/>
      <c r="K82" s="59"/>
      <c r="L82" s="40"/>
      <c r="M82" s="40"/>
      <c r="N82" s="40"/>
      <c r="O82" s="40"/>
      <c r="P82" s="41"/>
      <c r="Q82" s="149"/>
    </row>
    <row r="83" spans="1:17" s="32" customFormat="1" ht="12.75" customHeight="1" x14ac:dyDescent="0.2">
      <c r="A83" s="159"/>
      <c r="B83" s="31"/>
      <c r="C83" s="25"/>
      <c r="D83" s="174"/>
      <c r="E83" s="25"/>
      <c r="F83" s="25"/>
      <c r="G83" s="25"/>
      <c r="H83" s="25"/>
      <c r="I83" s="25"/>
      <c r="J83" s="25"/>
      <c r="K83" s="58"/>
      <c r="L83" s="26"/>
      <c r="M83" s="26"/>
      <c r="N83" s="26"/>
      <c r="O83" s="26"/>
      <c r="P83" s="35"/>
      <c r="Q83" s="37"/>
    </row>
    <row r="84" spans="1:17" s="42" customFormat="1" x14ac:dyDescent="0.25">
      <c r="A84" s="161" t="s">
        <v>1140</v>
      </c>
      <c r="B84" s="441" t="s">
        <v>1141</v>
      </c>
      <c r="C84" s="387"/>
      <c r="D84" s="387"/>
      <c r="E84" s="387"/>
      <c r="F84" s="387"/>
      <c r="G84" s="387"/>
      <c r="H84" s="387"/>
      <c r="I84" s="387"/>
      <c r="J84" s="387"/>
      <c r="K84" s="387"/>
      <c r="L84" s="387"/>
      <c r="M84" s="387"/>
      <c r="N84" s="387"/>
      <c r="O84" s="43"/>
      <c r="P84" s="33"/>
      <c r="Q84" s="47"/>
    </row>
    <row r="85" spans="1:17" s="42" customFormat="1" x14ac:dyDescent="0.25">
      <c r="A85" s="157"/>
      <c r="B85" s="44"/>
      <c r="C85" s="44"/>
      <c r="D85" s="172"/>
      <c r="E85" s="44"/>
      <c r="F85" s="44"/>
      <c r="G85" s="44"/>
      <c r="H85" s="44"/>
      <c r="I85" s="44"/>
      <c r="J85" s="44"/>
      <c r="K85" s="118"/>
      <c r="L85" s="44"/>
      <c r="M85" s="44"/>
      <c r="N85" s="44"/>
      <c r="O85" s="44"/>
      <c r="P85" s="44"/>
      <c r="Q85" s="47"/>
    </row>
    <row r="86" spans="1:17" s="42" customFormat="1" x14ac:dyDescent="0.25">
      <c r="A86" s="166" t="s">
        <v>1142</v>
      </c>
      <c r="B86" s="147" t="s">
        <v>1143</v>
      </c>
      <c r="C86" s="28"/>
      <c r="D86" s="181"/>
      <c r="E86" s="28"/>
      <c r="F86" s="28"/>
      <c r="G86" s="28"/>
      <c r="H86" s="28"/>
      <c r="I86" s="28"/>
      <c r="J86" s="28"/>
      <c r="K86" s="60"/>
      <c r="L86" s="29"/>
      <c r="M86" s="29"/>
      <c r="N86" s="29"/>
      <c r="O86" s="29"/>
      <c r="P86" s="23"/>
      <c r="Q86" s="152"/>
    </row>
    <row r="87" spans="1:17" s="42" customFormat="1" ht="38.25" customHeight="1" x14ac:dyDescent="0.25">
      <c r="A87" s="167"/>
      <c r="B87" s="30" t="s">
        <v>1189</v>
      </c>
      <c r="C87" s="31"/>
      <c r="D87" s="182"/>
      <c r="E87" s="31"/>
      <c r="F87" s="31"/>
      <c r="G87" s="31"/>
      <c r="H87" s="31"/>
      <c r="I87" s="31"/>
      <c r="J87" s="31"/>
      <c r="K87" s="58"/>
      <c r="L87" s="26"/>
      <c r="M87" s="26"/>
      <c r="N87" s="26"/>
      <c r="O87" s="26"/>
      <c r="P87" s="38"/>
      <c r="Q87" s="152"/>
    </row>
    <row r="88" spans="1:17" s="42" customFormat="1" ht="15.75" customHeight="1" thickBot="1" x14ac:dyDescent="0.3">
      <c r="A88" s="167"/>
      <c r="B88" s="30" t="s">
        <v>1145</v>
      </c>
      <c r="C88" s="31"/>
      <c r="D88" s="182"/>
      <c r="E88" s="31"/>
      <c r="F88" s="31"/>
      <c r="G88" s="31"/>
      <c r="H88" s="31"/>
      <c r="I88" s="31"/>
      <c r="J88" s="31"/>
      <c r="K88" s="58"/>
      <c r="L88" s="26"/>
      <c r="M88" s="26"/>
      <c r="N88" s="26"/>
      <c r="O88" s="26"/>
      <c r="P88" s="38"/>
      <c r="Q88" s="152"/>
    </row>
    <row r="89" spans="1:17" s="200" customFormat="1" ht="15.75" customHeight="1" thickBot="1" x14ac:dyDescent="0.3">
      <c r="A89" s="282" t="s">
        <v>1146</v>
      </c>
      <c r="B89" s="196" t="s">
        <v>1147</v>
      </c>
      <c r="C89" s="189" t="s">
        <v>938</v>
      </c>
      <c r="D89" s="293">
        <v>94</v>
      </c>
      <c r="E89" s="191">
        <v>94</v>
      </c>
      <c r="F89" s="191">
        <v>249.2</v>
      </c>
      <c r="G89" s="191">
        <v>89.2</v>
      </c>
      <c r="H89" s="191">
        <v>115.8</v>
      </c>
      <c r="I89" s="191">
        <v>39</v>
      </c>
      <c r="J89" s="192">
        <v>0</v>
      </c>
      <c r="K89" s="193">
        <f>SUM(D89:J89)</f>
        <v>681.19999999999993</v>
      </c>
      <c r="L89" s="194">
        <v>0</v>
      </c>
      <c r="M89" s="194">
        <v>0</v>
      </c>
      <c r="N89" s="194">
        <f>L89+M89</f>
        <v>0</v>
      </c>
      <c r="O89" s="194"/>
      <c r="P89" s="195">
        <f>N89*K89</f>
        <v>0</v>
      </c>
      <c r="Q89" s="208"/>
    </row>
    <row r="90" spans="1:17" s="200" customFormat="1" ht="15.75" customHeight="1" thickBot="1" x14ac:dyDescent="0.3">
      <c r="A90" s="282" t="s">
        <v>1148</v>
      </c>
      <c r="B90" s="196" t="s">
        <v>1149</v>
      </c>
      <c r="C90" s="189" t="s">
        <v>938</v>
      </c>
      <c r="D90" s="293">
        <v>11.2</v>
      </c>
      <c r="E90" s="191">
        <v>11.2</v>
      </c>
      <c r="F90" s="191">
        <v>30</v>
      </c>
      <c r="G90" s="191">
        <v>12.15</v>
      </c>
      <c r="H90" s="191">
        <v>15</v>
      </c>
      <c r="I90" s="191">
        <v>0</v>
      </c>
      <c r="J90" s="192">
        <v>0</v>
      </c>
      <c r="K90" s="193">
        <f>SUM(D90:J90)</f>
        <v>79.55</v>
      </c>
      <c r="L90" s="194">
        <v>0</v>
      </c>
      <c r="M90" s="194">
        <v>0</v>
      </c>
      <c r="N90" s="194">
        <f>L90+M90</f>
        <v>0</v>
      </c>
      <c r="O90" s="194"/>
      <c r="P90" s="195">
        <f>N90*K90</f>
        <v>0</v>
      </c>
      <c r="Q90" s="208"/>
    </row>
    <row r="91" spans="1:17" s="42" customFormat="1" x14ac:dyDescent="0.25">
      <c r="A91" s="157"/>
      <c r="B91" s="44"/>
      <c r="C91" s="44"/>
      <c r="D91" s="172"/>
      <c r="E91" s="44"/>
      <c r="F91" s="44"/>
      <c r="G91" s="44"/>
      <c r="H91" s="44"/>
      <c r="I91" s="44"/>
      <c r="J91" s="44"/>
      <c r="K91" s="118"/>
      <c r="L91" s="44"/>
      <c r="M91" s="44"/>
      <c r="N91" s="44"/>
      <c r="O91" s="44"/>
      <c r="P91" s="44"/>
      <c r="Q91" s="47"/>
    </row>
    <row r="92" spans="1:17" s="42" customFormat="1" x14ac:dyDescent="0.25">
      <c r="A92" s="166" t="s">
        <v>1150</v>
      </c>
      <c r="B92" s="27" t="s">
        <v>1151</v>
      </c>
      <c r="C92" s="28"/>
      <c r="D92" s="181"/>
      <c r="E92" s="28"/>
      <c r="F92" s="28"/>
      <c r="G92" s="28"/>
      <c r="H92" s="28"/>
      <c r="I92" s="28"/>
      <c r="J92" s="28"/>
      <c r="K92" s="60"/>
      <c r="L92" s="29"/>
      <c r="M92" s="29"/>
      <c r="N92" s="29"/>
      <c r="O92" s="29"/>
      <c r="P92" s="23"/>
      <c r="Q92" s="152"/>
    </row>
    <row r="93" spans="1:17" s="42" customFormat="1" ht="38.25" customHeight="1" x14ac:dyDescent="0.25">
      <c r="A93" s="167"/>
      <c r="B93" s="30" t="s">
        <v>1190</v>
      </c>
      <c r="C93" s="31"/>
      <c r="D93" s="182"/>
      <c r="E93" s="31"/>
      <c r="F93" s="31"/>
      <c r="G93" s="31"/>
      <c r="H93" s="31"/>
      <c r="I93" s="31"/>
      <c r="J93" s="31"/>
      <c r="K93" s="58"/>
      <c r="L93" s="26"/>
      <c r="M93" s="26"/>
      <c r="N93" s="26"/>
      <c r="O93" s="26"/>
      <c r="P93" s="38"/>
      <c r="Q93" s="152"/>
    </row>
    <row r="94" spans="1:17" s="42" customFormat="1" ht="15.75" customHeight="1" thickBot="1" x14ac:dyDescent="0.3">
      <c r="A94" s="167"/>
      <c r="B94" s="30" t="s">
        <v>1145</v>
      </c>
      <c r="C94" s="31"/>
      <c r="D94" s="182"/>
      <c r="E94" s="31"/>
      <c r="F94" s="31"/>
      <c r="G94" s="31"/>
      <c r="H94" s="31"/>
      <c r="I94" s="31"/>
      <c r="J94" s="31"/>
      <c r="K94" s="58"/>
      <c r="L94" s="26"/>
      <c r="M94" s="26"/>
      <c r="N94" s="26"/>
      <c r="O94" s="26"/>
      <c r="P94" s="38"/>
      <c r="Q94" s="152"/>
    </row>
    <row r="95" spans="1:17" s="200" customFormat="1" ht="15.75" customHeight="1" thickBot="1" x14ac:dyDescent="0.3">
      <c r="A95" s="282" t="s">
        <v>1153</v>
      </c>
      <c r="B95" s="196" t="s">
        <v>1147</v>
      </c>
      <c r="C95" s="189" t="s">
        <v>938</v>
      </c>
      <c r="D95" s="293">
        <v>291.2</v>
      </c>
      <c r="E95" s="191">
        <v>291.2</v>
      </c>
      <c r="F95" s="191">
        <v>770.2</v>
      </c>
      <c r="G95" s="191">
        <v>287.05</v>
      </c>
      <c r="H95" s="191">
        <v>492.3</v>
      </c>
      <c r="I95" s="191">
        <v>67</v>
      </c>
      <c r="J95" s="192">
        <v>0</v>
      </c>
      <c r="K95" s="193">
        <f>SUM(D95:J95)</f>
        <v>2198.9499999999998</v>
      </c>
      <c r="L95" s="194">
        <v>0</v>
      </c>
      <c r="M95" s="194">
        <v>0</v>
      </c>
      <c r="N95" s="194">
        <f>L95+M95</f>
        <v>0</v>
      </c>
      <c r="O95" s="194"/>
      <c r="P95" s="195">
        <f>N95*K95</f>
        <v>0</v>
      </c>
      <c r="Q95" s="208"/>
    </row>
    <row r="96" spans="1:17" s="32" customFormat="1" ht="12.75" customHeight="1" x14ac:dyDescent="0.2">
      <c r="A96" s="159"/>
      <c r="B96" s="31"/>
      <c r="C96" s="25"/>
      <c r="D96" s="174"/>
      <c r="E96" s="25"/>
      <c r="F96" s="25"/>
      <c r="G96" s="25"/>
      <c r="H96" s="25"/>
      <c r="I96" s="25"/>
      <c r="J96" s="25"/>
      <c r="K96" s="58"/>
      <c r="L96" s="26"/>
      <c r="M96" s="26"/>
      <c r="N96" s="26"/>
      <c r="O96" s="26"/>
      <c r="P96" s="22"/>
      <c r="Q96" s="37"/>
    </row>
    <row r="97" spans="1:17" s="129" customFormat="1" x14ac:dyDescent="0.25">
      <c r="A97" s="165" t="s">
        <v>1154</v>
      </c>
      <c r="B97" s="440" t="s">
        <v>1141</v>
      </c>
      <c r="C97" s="387"/>
      <c r="D97" s="387"/>
      <c r="E97" s="387"/>
      <c r="F97" s="387"/>
      <c r="G97" s="387"/>
      <c r="H97" s="387"/>
      <c r="I97" s="387"/>
      <c r="J97" s="387"/>
      <c r="K97" s="387"/>
      <c r="L97" s="387"/>
      <c r="M97" s="388"/>
      <c r="N97" s="34" t="s">
        <v>1107</v>
      </c>
      <c r="O97" s="34"/>
      <c r="P97" s="9">
        <f>SUM(P86:P96)</f>
        <v>0</v>
      </c>
      <c r="Q97" s="150"/>
    </row>
    <row r="98" spans="1:17" s="32" customFormat="1" ht="12.75" customHeight="1" x14ac:dyDescent="0.2">
      <c r="A98" s="159"/>
      <c r="B98" s="31"/>
      <c r="C98" s="25"/>
      <c r="D98" s="174"/>
      <c r="E98" s="25"/>
      <c r="F98" s="25"/>
      <c r="G98" s="25"/>
      <c r="H98" s="25"/>
      <c r="I98" s="25"/>
      <c r="J98" s="25"/>
      <c r="K98" s="58"/>
      <c r="L98" s="26"/>
      <c r="M98" s="26"/>
      <c r="N98" s="26"/>
      <c r="O98" s="26"/>
      <c r="P98" s="35"/>
      <c r="Q98" s="37"/>
    </row>
    <row r="99" spans="1:17" s="32" customFormat="1" ht="12.75" customHeight="1" x14ac:dyDescent="0.2">
      <c r="A99" s="159"/>
      <c r="B99" s="31"/>
      <c r="C99" s="25"/>
      <c r="D99" s="174"/>
      <c r="E99" s="25"/>
      <c r="F99" s="25"/>
      <c r="G99" s="25"/>
      <c r="H99" s="25"/>
      <c r="I99" s="25"/>
      <c r="J99" s="25"/>
      <c r="K99" s="58"/>
      <c r="L99" s="26"/>
      <c r="M99" s="26"/>
      <c r="N99" s="26"/>
      <c r="O99" s="26"/>
      <c r="P99" s="35"/>
      <c r="Q99" s="37"/>
    </row>
    <row r="100" spans="1:17" s="42" customFormat="1" x14ac:dyDescent="0.25">
      <c r="A100" s="161" t="s">
        <v>1155</v>
      </c>
      <c r="B100" s="441" t="s">
        <v>1156</v>
      </c>
      <c r="C100" s="387"/>
      <c r="D100" s="387"/>
      <c r="E100" s="387"/>
      <c r="F100" s="387"/>
      <c r="G100" s="387"/>
      <c r="H100" s="387"/>
      <c r="I100" s="387"/>
      <c r="J100" s="387"/>
      <c r="K100" s="387"/>
      <c r="L100" s="387"/>
      <c r="M100" s="387"/>
      <c r="N100" s="387"/>
      <c r="O100" s="43"/>
      <c r="P100" s="33"/>
      <c r="Q100" s="47"/>
    </row>
    <row r="101" spans="1:17" s="42" customFormat="1" x14ac:dyDescent="0.25">
      <c r="A101" s="157"/>
      <c r="B101" s="44"/>
      <c r="C101" s="44"/>
      <c r="D101" s="172"/>
      <c r="E101" s="44"/>
      <c r="F101" s="44"/>
      <c r="G101" s="44"/>
      <c r="H101" s="44"/>
      <c r="I101" s="44"/>
      <c r="J101" s="44"/>
      <c r="K101" s="118"/>
      <c r="L101" s="44"/>
      <c r="M101" s="44"/>
      <c r="N101" s="44"/>
      <c r="O101" s="44"/>
      <c r="P101" s="44"/>
      <c r="Q101" s="47"/>
    </row>
    <row r="102" spans="1:17" s="42" customFormat="1" x14ac:dyDescent="0.25">
      <c r="A102" s="166" t="s">
        <v>1157</v>
      </c>
      <c r="B102" s="147" t="s">
        <v>1158</v>
      </c>
      <c r="C102" s="28"/>
      <c r="D102" s="181"/>
      <c r="E102" s="28"/>
      <c r="F102" s="28"/>
      <c r="G102" s="28"/>
      <c r="H102" s="28"/>
      <c r="I102" s="28"/>
      <c r="J102" s="28"/>
      <c r="K102" s="60"/>
      <c r="L102" s="29"/>
      <c r="M102" s="29"/>
      <c r="N102" s="29"/>
      <c r="O102" s="29"/>
      <c r="P102" s="23"/>
      <c r="Q102" s="152"/>
    </row>
    <row r="103" spans="1:17" s="42" customFormat="1" ht="170.25" customHeight="1" x14ac:dyDescent="0.25">
      <c r="A103" s="169"/>
      <c r="B103" s="24" t="s">
        <v>1159</v>
      </c>
      <c r="C103" s="31"/>
      <c r="D103" s="182"/>
      <c r="E103" s="31"/>
      <c r="F103" s="31"/>
      <c r="G103" s="31"/>
      <c r="H103" s="31"/>
      <c r="I103" s="31"/>
      <c r="J103" s="31"/>
      <c r="K103" s="58"/>
      <c r="L103" s="26"/>
      <c r="M103" s="26"/>
      <c r="N103" s="26"/>
      <c r="O103" s="26"/>
      <c r="P103" s="38"/>
      <c r="Q103" s="152"/>
    </row>
    <row r="104" spans="1:17" s="42" customFormat="1" ht="26.25" customHeight="1" x14ac:dyDescent="0.25">
      <c r="A104" s="169"/>
      <c r="B104" s="48" t="s">
        <v>1160</v>
      </c>
      <c r="C104" s="31"/>
      <c r="D104" s="182"/>
      <c r="E104" s="31"/>
      <c r="F104" s="31"/>
      <c r="G104" s="31"/>
      <c r="H104" s="31"/>
      <c r="I104" s="31"/>
      <c r="J104" s="31"/>
      <c r="K104" s="58"/>
      <c r="L104" s="26"/>
      <c r="M104" s="26"/>
      <c r="N104" s="26"/>
      <c r="O104" s="26"/>
      <c r="P104" s="38"/>
      <c r="Q104" s="152"/>
    </row>
    <row r="105" spans="1:17" s="42" customFormat="1" ht="15.75" customHeight="1" thickBot="1" x14ac:dyDescent="0.3">
      <c r="A105" s="169"/>
      <c r="B105" s="31" t="s">
        <v>1161</v>
      </c>
      <c r="C105" s="31"/>
      <c r="D105" s="182"/>
      <c r="E105" s="31"/>
      <c r="F105" s="31"/>
      <c r="G105" s="31"/>
      <c r="H105" s="31"/>
      <c r="I105" s="31"/>
      <c r="J105" s="31"/>
      <c r="K105" s="58"/>
      <c r="L105" s="26"/>
      <c r="M105" s="26"/>
      <c r="N105" s="26"/>
      <c r="O105" s="26"/>
      <c r="P105" s="38"/>
      <c r="Q105" s="152"/>
    </row>
    <row r="106" spans="1:17" s="200" customFormat="1" ht="15.75" customHeight="1" thickBot="1" x14ac:dyDescent="0.3">
      <c r="A106" s="187"/>
      <c r="B106" s="196" t="s">
        <v>1145</v>
      </c>
      <c r="C106" s="189" t="s">
        <v>938</v>
      </c>
      <c r="D106" s="293">
        <v>226</v>
      </c>
      <c r="E106" s="191">
        <v>226</v>
      </c>
      <c r="F106" s="191">
        <v>524</v>
      </c>
      <c r="G106" s="191">
        <v>104</v>
      </c>
      <c r="H106" s="191">
        <v>260</v>
      </c>
      <c r="I106" s="191">
        <v>0</v>
      </c>
      <c r="J106" s="192">
        <v>0</v>
      </c>
      <c r="K106" s="193">
        <f>SUM(D106:J106)</f>
        <v>1340</v>
      </c>
      <c r="L106" s="194">
        <v>0</v>
      </c>
      <c r="M106" s="194">
        <v>0</v>
      </c>
      <c r="N106" s="194">
        <f>L106+M106</f>
        <v>0</v>
      </c>
      <c r="O106" s="194"/>
      <c r="P106" s="195">
        <f>N106*K106</f>
        <v>0</v>
      </c>
      <c r="Q106" s="208"/>
    </row>
    <row r="107" spans="1:17" s="42" customFormat="1" x14ac:dyDescent="0.25">
      <c r="A107" s="157"/>
      <c r="B107" s="44"/>
      <c r="C107" s="44"/>
      <c r="D107" s="172"/>
      <c r="E107" s="44"/>
      <c r="F107" s="44"/>
      <c r="G107" s="44"/>
      <c r="H107" s="44"/>
      <c r="I107" s="44"/>
      <c r="J107" s="44"/>
      <c r="K107" s="118"/>
      <c r="L107" s="44"/>
      <c r="M107" s="44"/>
      <c r="N107" s="44"/>
      <c r="O107" s="44"/>
      <c r="P107" s="44"/>
      <c r="Q107" s="47"/>
    </row>
    <row r="108" spans="1:17" s="42" customFormat="1" x14ac:dyDescent="0.25">
      <c r="A108" s="166" t="s">
        <v>1162</v>
      </c>
      <c r="B108" s="147" t="s">
        <v>1163</v>
      </c>
      <c r="C108" s="28"/>
      <c r="D108" s="181"/>
      <c r="E108" s="28"/>
      <c r="F108" s="28"/>
      <c r="G108" s="28"/>
      <c r="H108" s="28"/>
      <c r="I108" s="28"/>
      <c r="J108" s="28"/>
      <c r="K108" s="60"/>
      <c r="L108" s="29"/>
      <c r="M108" s="29"/>
      <c r="N108" s="29"/>
      <c r="O108" s="29"/>
      <c r="P108" s="23"/>
      <c r="Q108" s="152"/>
    </row>
    <row r="109" spans="1:17" s="42" customFormat="1" ht="165.75" customHeight="1" x14ac:dyDescent="0.25">
      <c r="A109" s="167"/>
      <c r="B109" s="145" t="s">
        <v>1164</v>
      </c>
      <c r="C109" s="31"/>
      <c r="D109" s="182"/>
      <c r="E109" s="31"/>
      <c r="F109" s="31"/>
      <c r="G109" s="31"/>
      <c r="H109" s="31"/>
      <c r="I109" s="31"/>
      <c r="J109" s="31"/>
      <c r="K109" s="58"/>
      <c r="L109" s="26"/>
      <c r="M109" s="26"/>
      <c r="N109" s="26"/>
      <c r="O109" s="26"/>
      <c r="P109" s="38"/>
      <c r="Q109" s="152"/>
    </row>
    <row r="110" spans="1:17" s="42" customFormat="1" x14ac:dyDescent="0.25">
      <c r="A110" s="167"/>
      <c r="B110" s="5" t="s">
        <v>1165</v>
      </c>
      <c r="C110" s="31"/>
      <c r="D110" s="182"/>
      <c r="E110" s="31"/>
      <c r="F110" s="31"/>
      <c r="G110" s="31"/>
      <c r="H110" s="31"/>
      <c r="I110" s="31"/>
      <c r="J110" s="31"/>
      <c r="K110" s="58"/>
      <c r="L110" s="26"/>
      <c r="M110" s="26"/>
      <c r="N110" s="26"/>
      <c r="O110" s="26"/>
      <c r="P110" s="38"/>
      <c r="Q110" s="152"/>
    </row>
    <row r="111" spans="1:17" s="42" customFormat="1" ht="15.75" customHeight="1" thickBot="1" x14ac:dyDescent="0.3">
      <c r="A111" s="167"/>
      <c r="B111" s="5" t="s">
        <v>1145</v>
      </c>
      <c r="C111" s="31"/>
      <c r="D111" s="182"/>
      <c r="E111" s="31"/>
      <c r="F111" s="31"/>
      <c r="G111" s="31"/>
      <c r="H111" s="31"/>
      <c r="I111" s="31"/>
      <c r="J111" s="31"/>
      <c r="K111" s="58"/>
      <c r="L111" s="26"/>
      <c r="M111" s="26"/>
      <c r="N111" s="26"/>
      <c r="O111" s="26"/>
      <c r="P111" s="38"/>
      <c r="Q111" s="152"/>
    </row>
    <row r="112" spans="1:17" s="200" customFormat="1" ht="15.75" customHeight="1" thickBot="1" x14ac:dyDescent="0.3">
      <c r="A112" s="282" t="s">
        <v>1166</v>
      </c>
      <c r="B112" s="196" t="s">
        <v>1167</v>
      </c>
      <c r="C112" s="189" t="s">
        <v>938</v>
      </c>
      <c r="D112" s="293">
        <v>70</v>
      </c>
      <c r="E112" s="191">
        <v>70</v>
      </c>
      <c r="F112" s="191">
        <v>246.6</v>
      </c>
      <c r="G112" s="191">
        <v>89</v>
      </c>
      <c r="H112" s="191">
        <v>112.4</v>
      </c>
      <c r="I112" s="191">
        <v>0</v>
      </c>
      <c r="J112" s="192">
        <v>0</v>
      </c>
      <c r="K112" s="193">
        <f>SUM(D112:J112)</f>
        <v>588</v>
      </c>
      <c r="L112" s="194">
        <v>0</v>
      </c>
      <c r="M112" s="194">
        <v>0</v>
      </c>
      <c r="N112" s="194">
        <f>L112+M112</f>
        <v>0</v>
      </c>
      <c r="O112" s="194"/>
      <c r="P112" s="195">
        <f>N112*K112</f>
        <v>0</v>
      </c>
      <c r="Q112" s="208"/>
    </row>
    <row r="113" spans="1:17" s="42" customFormat="1" x14ac:dyDescent="0.25">
      <c r="A113" s="167"/>
      <c r="B113" s="31" t="s">
        <v>1168</v>
      </c>
      <c r="C113" s="31"/>
      <c r="D113" s="182"/>
      <c r="E113" s="31"/>
      <c r="F113" s="31"/>
      <c r="G113" s="31"/>
      <c r="H113" s="31"/>
      <c r="I113" s="31"/>
      <c r="J113" s="31"/>
      <c r="K113" s="58"/>
      <c r="L113" s="26"/>
      <c r="M113" s="26"/>
      <c r="N113" s="26"/>
      <c r="O113" s="26"/>
      <c r="P113" s="38"/>
      <c r="Q113" s="152"/>
    </row>
    <row r="114" spans="1:17" s="42" customFormat="1" ht="15.75" customHeight="1" thickBot="1" x14ac:dyDescent="0.3">
      <c r="A114" s="167"/>
      <c r="B114" s="31" t="s">
        <v>1145</v>
      </c>
      <c r="C114" s="31"/>
      <c r="D114" s="182"/>
      <c r="E114" s="31"/>
      <c r="F114" s="31"/>
      <c r="G114" s="31"/>
      <c r="H114" s="31"/>
      <c r="I114" s="31"/>
      <c r="J114" s="31"/>
      <c r="K114" s="58"/>
      <c r="L114" s="26"/>
      <c r="M114" s="26"/>
      <c r="N114" s="26"/>
      <c r="O114" s="26"/>
      <c r="P114" s="38"/>
      <c r="Q114" s="152"/>
    </row>
    <row r="115" spans="1:17" s="200" customFormat="1" ht="15.75" customHeight="1" thickBot="1" x14ac:dyDescent="0.3">
      <c r="A115" s="282" t="s">
        <v>1169</v>
      </c>
      <c r="B115" s="196" t="s">
        <v>1170</v>
      </c>
      <c r="C115" s="189" t="s">
        <v>938</v>
      </c>
      <c r="D115" s="293">
        <v>23.8</v>
      </c>
      <c r="E115" s="191">
        <v>23.8</v>
      </c>
      <c r="F115" s="191">
        <v>12</v>
      </c>
      <c r="G115" s="191">
        <v>0</v>
      </c>
      <c r="H115" s="191">
        <v>7</v>
      </c>
      <c r="I115" s="191">
        <v>0</v>
      </c>
      <c r="J115" s="192">
        <v>0</v>
      </c>
      <c r="K115" s="193">
        <f>SUM(D115:J115)</f>
        <v>66.599999999999994</v>
      </c>
      <c r="L115" s="194">
        <v>0</v>
      </c>
      <c r="M115" s="194">
        <v>0</v>
      </c>
      <c r="N115" s="194">
        <f>L115+M115</f>
        <v>0</v>
      </c>
      <c r="O115" s="194"/>
      <c r="P115" s="195">
        <f>N115*K115</f>
        <v>0</v>
      </c>
      <c r="Q115" s="208"/>
    </row>
    <row r="116" spans="1:17" s="42" customFormat="1" x14ac:dyDescent="0.25">
      <c r="A116" s="157"/>
      <c r="B116" s="44"/>
      <c r="C116" s="44"/>
      <c r="D116" s="172"/>
      <c r="E116" s="44"/>
      <c r="F116" s="44"/>
      <c r="G116" s="44"/>
      <c r="H116" s="44"/>
      <c r="I116" s="44"/>
      <c r="J116" s="44"/>
      <c r="K116" s="118"/>
      <c r="L116" s="44"/>
      <c r="M116" s="44"/>
      <c r="N116" s="44"/>
      <c r="O116" s="44"/>
      <c r="P116" s="44"/>
      <c r="Q116" s="47"/>
    </row>
    <row r="117" spans="1:17" s="42" customFormat="1" x14ac:dyDescent="0.25">
      <c r="A117" s="166" t="s">
        <v>1171</v>
      </c>
      <c r="B117" s="27" t="s">
        <v>1172</v>
      </c>
      <c r="C117" s="28"/>
      <c r="D117" s="181"/>
      <c r="E117" s="28"/>
      <c r="F117" s="28"/>
      <c r="G117" s="28"/>
      <c r="H117" s="28"/>
      <c r="I117" s="28"/>
      <c r="J117" s="28"/>
      <c r="K117" s="60"/>
      <c r="L117" s="29"/>
      <c r="M117" s="29"/>
      <c r="N117" s="29"/>
      <c r="O117" s="29"/>
      <c r="P117" s="23"/>
      <c r="Q117" s="152"/>
    </row>
    <row r="118" spans="1:17" s="42" customFormat="1" ht="185.25" customHeight="1" x14ac:dyDescent="0.25">
      <c r="A118" s="167"/>
      <c r="B118" s="24" t="s">
        <v>1173</v>
      </c>
      <c r="C118" s="31"/>
      <c r="D118" s="182"/>
      <c r="E118" s="31"/>
      <c r="F118" s="31"/>
      <c r="G118" s="31"/>
      <c r="H118" s="31"/>
      <c r="I118" s="31"/>
      <c r="J118" s="31"/>
      <c r="K118" s="58"/>
      <c r="L118" s="26"/>
      <c r="M118" s="26"/>
      <c r="N118" s="26"/>
      <c r="O118" s="26"/>
      <c r="P118" s="38"/>
      <c r="Q118" s="152"/>
    </row>
    <row r="119" spans="1:17" s="42" customFormat="1" ht="15.75" customHeight="1" thickBot="1" x14ac:dyDescent="0.3">
      <c r="A119" s="167"/>
      <c r="B119" s="31" t="s">
        <v>1174</v>
      </c>
      <c r="C119" s="31"/>
      <c r="D119" s="182"/>
      <c r="E119" s="31"/>
      <c r="F119" s="31"/>
      <c r="G119" s="31"/>
      <c r="H119" s="31"/>
      <c r="I119" s="31"/>
      <c r="J119" s="31"/>
      <c r="K119" s="58"/>
      <c r="L119" s="26"/>
      <c r="M119" s="26"/>
      <c r="N119" s="26"/>
      <c r="O119" s="26"/>
      <c r="P119" s="38"/>
      <c r="Q119" s="152"/>
    </row>
    <row r="120" spans="1:17" s="200" customFormat="1" ht="15.75" customHeight="1" thickBot="1" x14ac:dyDescent="0.3">
      <c r="A120" s="282"/>
      <c r="B120" s="196" t="s">
        <v>1145</v>
      </c>
      <c r="C120" s="189" t="s">
        <v>938</v>
      </c>
      <c r="D120" s="293">
        <v>11.8</v>
      </c>
      <c r="E120" s="191">
        <v>11.8</v>
      </c>
      <c r="F120" s="191">
        <v>31</v>
      </c>
      <c r="G120" s="191">
        <v>13</v>
      </c>
      <c r="H120" s="191">
        <v>15.6</v>
      </c>
      <c r="I120" s="191">
        <v>0</v>
      </c>
      <c r="J120" s="192">
        <v>0</v>
      </c>
      <c r="K120" s="193">
        <f>SUM(D120:J120)</f>
        <v>83.199999999999989</v>
      </c>
      <c r="L120" s="194">
        <v>0</v>
      </c>
      <c r="M120" s="194">
        <v>0</v>
      </c>
      <c r="N120" s="194">
        <f>L120+M120</f>
        <v>0</v>
      </c>
      <c r="O120" s="194"/>
      <c r="P120" s="195">
        <f>N120*K120</f>
        <v>0</v>
      </c>
      <c r="Q120" s="208"/>
    </row>
    <row r="121" spans="1:17" s="32" customFormat="1" ht="12.75" customHeight="1" x14ac:dyDescent="0.2">
      <c r="A121" s="159"/>
      <c r="B121" s="31"/>
      <c r="C121" s="25"/>
      <c r="D121" s="174"/>
      <c r="E121" s="25"/>
      <c r="F121" s="25"/>
      <c r="G121" s="25"/>
      <c r="H121" s="25"/>
      <c r="I121" s="25"/>
      <c r="J121" s="25"/>
      <c r="K121" s="58"/>
      <c r="L121" s="26"/>
      <c r="M121" s="26"/>
      <c r="N121" s="26"/>
      <c r="O121" s="26"/>
      <c r="P121" s="22"/>
      <c r="Q121" s="37"/>
    </row>
    <row r="122" spans="1:17" s="129" customFormat="1" x14ac:dyDescent="0.25">
      <c r="A122" s="165" t="s">
        <v>1175</v>
      </c>
      <c r="B122" s="440" t="s">
        <v>1156</v>
      </c>
      <c r="C122" s="387"/>
      <c r="D122" s="387"/>
      <c r="E122" s="387"/>
      <c r="F122" s="387"/>
      <c r="G122" s="387"/>
      <c r="H122" s="387"/>
      <c r="I122" s="387"/>
      <c r="J122" s="387"/>
      <c r="K122" s="387"/>
      <c r="L122" s="387"/>
      <c r="M122" s="388"/>
      <c r="N122" s="34" t="s">
        <v>1107</v>
      </c>
      <c r="O122" s="34"/>
      <c r="P122" s="9">
        <f>SUM(P101:P121)</f>
        <v>0</v>
      </c>
      <c r="Q122" s="150"/>
    </row>
    <row r="123" spans="1:17" s="32" customFormat="1" ht="12.75" customHeight="1" x14ac:dyDescent="0.2">
      <c r="A123" s="159"/>
      <c r="B123" s="31"/>
      <c r="C123" s="25"/>
      <c r="D123" s="174"/>
      <c r="E123" s="25"/>
      <c r="F123" s="25"/>
      <c r="G123" s="25"/>
      <c r="H123" s="25"/>
      <c r="I123" s="25"/>
      <c r="J123" s="25"/>
      <c r="K123" s="58"/>
      <c r="L123" s="26"/>
      <c r="M123" s="26"/>
      <c r="N123" s="26"/>
      <c r="O123" s="26"/>
      <c r="P123" s="35"/>
      <c r="Q123" s="37"/>
    </row>
    <row r="124" spans="1:17" s="42" customFormat="1" x14ac:dyDescent="0.25">
      <c r="A124" s="161" t="s">
        <v>1176</v>
      </c>
      <c r="B124" s="441" t="s">
        <v>1177</v>
      </c>
      <c r="C124" s="387"/>
      <c r="D124" s="387"/>
      <c r="E124" s="387"/>
      <c r="F124" s="387"/>
      <c r="G124" s="387"/>
      <c r="H124" s="387"/>
      <c r="I124" s="387"/>
      <c r="J124" s="387"/>
      <c r="K124" s="387"/>
      <c r="L124" s="387"/>
      <c r="M124" s="387"/>
      <c r="N124" s="387"/>
      <c r="O124" s="43"/>
      <c r="P124" s="33"/>
      <c r="Q124" s="47"/>
    </row>
    <row r="125" spans="1:17" s="42" customFormat="1" x14ac:dyDescent="0.25">
      <c r="A125" s="157"/>
      <c r="B125" s="44"/>
      <c r="C125" s="44"/>
      <c r="D125" s="172"/>
      <c r="E125" s="44"/>
      <c r="F125" s="44"/>
      <c r="G125" s="44"/>
      <c r="H125" s="44"/>
      <c r="I125" s="44"/>
      <c r="J125" s="44"/>
      <c r="K125" s="118"/>
      <c r="L125" s="44"/>
      <c r="M125" s="44"/>
      <c r="N125" s="44"/>
      <c r="O125" s="44"/>
      <c r="P125" s="44"/>
      <c r="Q125" s="47"/>
    </row>
    <row r="126" spans="1:17" s="42" customFormat="1" ht="102" customHeight="1" x14ac:dyDescent="0.25">
      <c r="A126" s="157"/>
      <c r="B126" s="141" t="s">
        <v>1178</v>
      </c>
      <c r="C126" s="44"/>
      <c r="D126" s="172"/>
      <c r="E126" s="44"/>
      <c r="F126" s="44"/>
      <c r="G126" s="44"/>
      <c r="H126" s="44"/>
      <c r="I126" s="44"/>
      <c r="J126" s="44"/>
      <c r="K126" s="118"/>
      <c r="L126" s="44"/>
      <c r="M126" s="44"/>
      <c r="N126" s="44"/>
      <c r="O126" s="44"/>
      <c r="P126" s="44"/>
      <c r="Q126" s="47"/>
    </row>
    <row r="127" spans="1:17" s="42" customFormat="1" ht="63.75" customHeight="1" x14ac:dyDescent="0.25">
      <c r="A127" s="157"/>
      <c r="B127" s="141" t="s">
        <v>1179</v>
      </c>
      <c r="C127" s="44"/>
      <c r="D127" s="172"/>
      <c r="E127" s="44"/>
      <c r="F127" s="44"/>
      <c r="G127" s="44"/>
      <c r="H127" s="44"/>
      <c r="I127" s="44"/>
      <c r="J127" s="44"/>
      <c r="K127" s="118"/>
      <c r="L127" s="44"/>
      <c r="M127" s="44"/>
      <c r="N127" s="44"/>
      <c r="O127" s="44"/>
      <c r="P127" s="44"/>
      <c r="Q127" s="47"/>
    </row>
    <row r="128" spans="1:17" s="42" customFormat="1" x14ac:dyDescent="0.25">
      <c r="A128" s="157"/>
      <c r="B128" s="44"/>
      <c r="C128" s="44"/>
      <c r="D128" s="172"/>
      <c r="E128" s="44"/>
      <c r="F128" s="44"/>
      <c r="G128" s="44"/>
      <c r="H128" s="44"/>
      <c r="I128" s="44"/>
      <c r="J128" s="44"/>
      <c r="K128" s="118"/>
      <c r="L128" s="44"/>
      <c r="M128" s="44"/>
      <c r="N128" s="44"/>
      <c r="O128" s="44"/>
      <c r="P128" s="44"/>
      <c r="Q128" s="47"/>
    </row>
    <row r="129" spans="1:17" s="42" customFormat="1" x14ac:dyDescent="0.25">
      <c r="A129" s="166" t="s">
        <v>1180</v>
      </c>
      <c r="B129" s="147" t="s">
        <v>1181</v>
      </c>
      <c r="C129" s="28"/>
      <c r="D129" s="181"/>
      <c r="E129" s="28"/>
      <c r="F129" s="28"/>
      <c r="G129" s="28"/>
      <c r="H129" s="28"/>
      <c r="I129" s="28"/>
      <c r="J129" s="28"/>
      <c r="K129" s="60"/>
      <c r="L129" s="29"/>
      <c r="M129" s="29"/>
      <c r="N129" s="29"/>
      <c r="O129" s="29"/>
      <c r="P129" s="23"/>
      <c r="Q129" s="152"/>
    </row>
    <row r="130" spans="1:17" s="42" customFormat="1" ht="25.5" customHeight="1" x14ac:dyDescent="0.25">
      <c r="A130" s="167"/>
      <c r="B130" s="24" t="s">
        <v>1182</v>
      </c>
      <c r="C130" s="31"/>
      <c r="D130" s="182"/>
      <c r="E130" s="31"/>
      <c r="F130" s="31"/>
      <c r="G130" s="31"/>
      <c r="H130" s="31"/>
      <c r="I130" s="31"/>
      <c r="J130" s="31"/>
      <c r="K130" s="58"/>
      <c r="L130" s="26"/>
      <c r="M130" s="26"/>
      <c r="N130" s="26"/>
      <c r="O130" s="26"/>
      <c r="P130" s="38"/>
      <c r="Q130" s="152"/>
    </row>
    <row r="131" spans="1:17" s="42" customFormat="1" ht="15.75" customHeight="1" thickBot="1" x14ac:dyDescent="0.3">
      <c r="A131" s="167"/>
      <c r="B131" s="336" t="s">
        <v>1183</v>
      </c>
      <c r="C131" s="31"/>
      <c r="D131" s="182"/>
      <c r="E131" s="31"/>
      <c r="F131" s="31"/>
      <c r="G131" s="31"/>
      <c r="H131" s="31"/>
      <c r="I131" s="31"/>
      <c r="J131" s="31"/>
      <c r="K131" s="58"/>
      <c r="L131" s="26"/>
      <c r="M131" s="26"/>
      <c r="N131" s="26"/>
      <c r="O131" s="26"/>
      <c r="P131" s="38"/>
      <c r="Q131" s="152"/>
    </row>
    <row r="132" spans="1:17" s="200" customFormat="1" ht="15.75" customHeight="1" thickBot="1" x14ac:dyDescent="0.3">
      <c r="A132" s="282"/>
      <c r="B132" s="196" t="s">
        <v>1145</v>
      </c>
      <c r="C132" s="189" t="s">
        <v>938</v>
      </c>
      <c r="D132" s="293">
        <v>28</v>
      </c>
      <c r="E132" s="191">
        <v>28</v>
      </c>
      <c r="F132" s="191">
        <v>72</v>
      </c>
      <c r="G132" s="191">
        <v>100</v>
      </c>
      <c r="H132" s="191">
        <v>20</v>
      </c>
      <c r="I132" s="191">
        <v>0</v>
      </c>
      <c r="J132" s="192">
        <v>0</v>
      </c>
      <c r="K132" s="193">
        <f>SUM(D132:J132)</f>
        <v>248</v>
      </c>
      <c r="L132" s="194">
        <v>0</v>
      </c>
      <c r="M132" s="194">
        <v>0</v>
      </c>
      <c r="N132" s="194">
        <f>L132+M132</f>
        <v>0</v>
      </c>
      <c r="O132" s="194"/>
      <c r="P132" s="195">
        <f>N132*K132</f>
        <v>0</v>
      </c>
      <c r="Q132" s="208"/>
    </row>
    <row r="133" spans="1:17" s="42" customFormat="1" x14ac:dyDescent="0.25">
      <c r="A133" s="157"/>
      <c r="B133" s="44"/>
      <c r="C133" s="44"/>
      <c r="D133" s="172"/>
      <c r="E133" s="44"/>
      <c r="F133" s="44"/>
      <c r="G133" s="44"/>
      <c r="H133" s="44"/>
      <c r="I133" s="44"/>
      <c r="J133" s="44"/>
      <c r="K133" s="118"/>
      <c r="L133" s="44"/>
      <c r="M133" s="44"/>
      <c r="N133" s="44"/>
      <c r="O133" s="44"/>
      <c r="P133" s="44"/>
      <c r="Q133" s="47"/>
    </row>
    <row r="134" spans="1:17" s="42" customFormat="1" x14ac:dyDescent="0.25">
      <c r="A134" s="166" t="s">
        <v>1184</v>
      </c>
      <c r="B134" s="27" t="s">
        <v>1181</v>
      </c>
      <c r="C134" s="28"/>
      <c r="D134" s="181"/>
      <c r="E134" s="28"/>
      <c r="F134" s="28"/>
      <c r="G134" s="28"/>
      <c r="H134" s="28"/>
      <c r="I134" s="28"/>
      <c r="J134" s="28"/>
      <c r="K134" s="60"/>
      <c r="L134" s="29"/>
      <c r="M134" s="29"/>
      <c r="N134" s="29"/>
      <c r="O134" s="29"/>
      <c r="P134" s="23"/>
      <c r="Q134" s="152"/>
    </row>
    <row r="135" spans="1:17" s="42" customFormat="1" ht="25.5" customHeight="1" x14ac:dyDescent="0.25">
      <c r="A135" s="167"/>
      <c r="B135" s="24" t="s">
        <v>1182</v>
      </c>
      <c r="C135" s="31"/>
      <c r="D135" s="182"/>
      <c r="E135" s="31"/>
      <c r="F135" s="31"/>
      <c r="G135" s="31"/>
      <c r="H135" s="31"/>
      <c r="I135" s="31"/>
      <c r="J135" s="31"/>
      <c r="K135" s="58"/>
      <c r="L135" s="26"/>
      <c r="M135" s="26"/>
      <c r="N135" s="26"/>
      <c r="O135" s="26"/>
      <c r="P135" s="38"/>
      <c r="Q135" s="152"/>
    </row>
    <row r="136" spans="1:17" s="42" customFormat="1" ht="15.75" customHeight="1" thickBot="1" x14ac:dyDescent="0.3">
      <c r="A136" s="167"/>
      <c r="B136" s="336" t="s">
        <v>1185</v>
      </c>
      <c r="C136" s="31"/>
      <c r="D136" s="182"/>
      <c r="E136" s="31"/>
      <c r="F136" s="31"/>
      <c r="G136" s="31"/>
      <c r="H136" s="31"/>
      <c r="I136" s="31"/>
      <c r="J136" s="31"/>
      <c r="K136" s="58"/>
      <c r="L136" s="26"/>
      <c r="M136" s="26"/>
      <c r="N136" s="26"/>
      <c r="O136" s="26"/>
      <c r="P136" s="38"/>
      <c r="Q136" s="152"/>
    </row>
    <row r="137" spans="1:17" s="200" customFormat="1" ht="15.75" customHeight="1" thickBot="1" x14ac:dyDescent="0.3">
      <c r="A137" s="282"/>
      <c r="B137" s="196" t="s">
        <v>1145</v>
      </c>
      <c r="C137" s="189" t="s">
        <v>938</v>
      </c>
      <c r="D137" s="293">
        <v>20</v>
      </c>
      <c r="E137" s="191">
        <v>20</v>
      </c>
      <c r="F137" s="191">
        <v>56</v>
      </c>
      <c r="G137" s="191">
        <v>0</v>
      </c>
      <c r="H137" s="191">
        <v>23</v>
      </c>
      <c r="I137" s="191">
        <v>0</v>
      </c>
      <c r="J137" s="192">
        <v>0</v>
      </c>
      <c r="K137" s="193">
        <f>SUM(D137:J137)</f>
        <v>119</v>
      </c>
      <c r="L137" s="194">
        <v>0</v>
      </c>
      <c r="M137" s="194">
        <v>0</v>
      </c>
      <c r="N137" s="194">
        <f>L137+M137</f>
        <v>0</v>
      </c>
      <c r="O137" s="194"/>
      <c r="P137" s="195">
        <f>N137*K137</f>
        <v>0</v>
      </c>
      <c r="Q137" s="208"/>
    </row>
    <row r="138" spans="1:17" s="42" customFormat="1" x14ac:dyDescent="0.25">
      <c r="A138" s="157"/>
      <c r="B138" s="44"/>
      <c r="C138" s="44"/>
      <c r="D138" s="172"/>
      <c r="E138" s="44"/>
      <c r="F138" s="44"/>
      <c r="G138" s="44"/>
      <c r="H138" s="44"/>
      <c r="I138" s="44"/>
      <c r="J138" s="44"/>
      <c r="K138" s="118"/>
      <c r="L138" s="44"/>
      <c r="M138" s="44"/>
      <c r="N138" s="44"/>
      <c r="O138" s="44"/>
      <c r="P138" s="44"/>
      <c r="Q138" s="47"/>
    </row>
    <row r="139" spans="1:17" s="42" customFormat="1" x14ac:dyDescent="0.25">
      <c r="A139" s="166" t="s">
        <v>1191</v>
      </c>
      <c r="B139" s="27" t="s">
        <v>1181</v>
      </c>
      <c r="C139" s="28"/>
      <c r="D139" s="181"/>
      <c r="E139" s="28"/>
      <c r="F139" s="28"/>
      <c r="G139" s="28"/>
      <c r="H139" s="28"/>
      <c r="I139" s="28"/>
      <c r="J139" s="28"/>
      <c r="K139" s="60"/>
      <c r="L139" s="29"/>
      <c r="M139" s="29"/>
      <c r="N139" s="29"/>
      <c r="O139" s="29"/>
      <c r="P139" s="23"/>
      <c r="Q139" s="152"/>
    </row>
    <row r="140" spans="1:17" s="42" customFormat="1" ht="25.5" customHeight="1" x14ac:dyDescent="0.25">
      <c r="A140" s="167"/>
      <c r="B140" s="24" t="s">
        <v>1182</v>
      </c>
      <c r="C140" s="31"/>
      <c r="D140" s="182"/>
      <c r="E140" s="31"/>
      <c r="F140" s="31"/>
      <c r="G140" s="31"/>
      <c r="H140" s="31"/>
      <c r="I140" s="31"/>
      <c r="J140" s="31"/>
      <c r="K140" s="58"/>
      <c r="L140" s="26"/>
      <c r="M140" s="26"/>
      <c r="N140" s="26"/>
      <c r="O140" s="26"/>
      <c r="P140" s="38"/>
      <c r="Q140" s="152"/>
    </row>
    <row r="141" spans="1:17" s="42" customFormat="1" ht="15.75" customHeight="1" thickBot="1" x14ac:dyDescent="0.3">
      <c r="A141" s="167"/>
      <c r="B141" s="336" t="s">
        <v>1192</v>
      </c>
      <c r="C141" s="31"/>
      <c r="D141" s="182"/>
      <c r="E141" s="31"/>
      <c r="F141" s="31"/>
      <c r="G141" s="31"/>
      <c r="H141" s="31"/>
      <c r="I141" s="31"/>
      <c r="J141" s="31"/>
      <c r="K141" s="58"/>
      <c r="L141" s="26"/>
      <c r="M141" s="26"/>
      <c r="N141" s="26"/>
      <c r="O141" s="26"/>
      <c r="P141" s="38"/>
      <c r="Q141" s="152"/>
    </row>
    <row r="142" spans="1:17" s="200" customFormat="1" ht="15.75" customHeight="1" thickBot="1" x14ac:dyDescent="0.3">
      <c r="A142" s="282"/>
      <c r="B142" s="196" t="s">
        <v>1145</v>
      </c>
      <c r="C142" s="189" t="s">
        <v>938</v>
      </c>
      <c r="D142" s="293">
        <v>0</v>
      </c>
      <c r="E142" s="191">
        <v>0</v>
      </c>
      <c r="F142" s="191">
        <v>0</v>
      </c>
      <c r="G142" s="191">
        <v>75</v>
      </c>
      <c r="H142" s="191">
        <v>0</v>
      </c>
      <c r="I142" s="191">
        <v>0</v>
      </c>
      <c r="J142" s="192">
        <v>0</v>
      </c>
      <c r="K142" s="193">
        <f>SUM(D142:J142)</f>
        <v>75</v>
      </c>
      <c r="L142" s="194">
        <v>0</v>
      </c>
      <c r="M142" s="194">
        <v>0</v>
      </c>
      <c r="N142" s="194">
        <f>L142+M142</f>
        <v>0</v>
      </c>
      <c r="O142" s="194"/>
      <c r="P142" s="195">
        <f>N142*K142</f>
        <v>0</v>
      </c>
      <c r="Q142" s="208"/>
    </row>
    <row r="143" spans="1:17" s="32" customFormat="1" ht="12.75" customHeight="1" x14ac:dyDescent="0.2">
      <c r="A143" s="159"/>
      <c r="B143" s="31"/>
      <c r="C143" s="25"/>
      <c r="D143" s="174"/>
      <c r="E143" s="25"/>
      <c r="F143" s="25"/>
      <c r="G143" s="25"/>
      <c r="H143" s="25"/>
      <c r="I143" s="25"/>
      <c r="J143" s="25"/>
      <c r="K143" s="58"/>
      <c r="L143" s="26"/>
      <c r="M143" s="26"/>
      <c r="N143" s="26"/>
      <c r="O143" s="26"/>
      <c r="P143" s="22"/>
      <c r="Q143" s="37"/>
    </row>
    <row r="144" spans="1:17" s="129" customFormat="1" x14ac:dyDescent="0.25">
      <c r="A144" s="165" t="s">
        <v>1186</v>
      </c>
      <c r="B144" s="440" t="s">
        <v>1177</v>
      </c>
      <c r="C144" s="387"/>
      <c r="D144" s="387"/>
      <c r="E144" s="387"/>
      <c r="F144" s="387"/>
      <c r="G144" s="387"/>
      <c r="H144" s="387"/>
      <c r="I144" s="387"/>
      <c r="J144" s="387"/>
      <c r="K144" s="387"/>
      <c r="L144" s="387"/>
      <c r="M144" s="388"/>
      <c r="N144" s="34" t="s">
        <v>1107</v>
      </c>
      <c r="O144" s="34"/>
      <c r="P144" s="9">
        <f>SUM(P125:P143)</f>
        <v>0</v>
      </c>
      <c r="Q144" s="150"/>
    </row>
    <row r="145" spans="1:21" s="32" customFormat="1" ht="12.75" customHeight="1" x14ac:dyDescent="0.2">
      <c r="A145" s="159"/>
      <c r="B145" s="31"/>
      <c r="C145" s="25"/>
      <c r="D145" s="174"/>
      <c r="E145" s="25"/>
      <c r="F145" s="25"/>
      <c r="G145" s="25"/>
      <c r="H145" s="25"/>
      <c r="I145" s="25"/>
      <c r="J145" s="25"/>
      <c r="K145" s="58"/>
      <c r="L145" s="26"/>
      <c r="M145" s="26"/>
      <c r="N145" s="26"/>
      <c r="O145" s="26"/>
      <c r="P145" s="35"/>
      <c r="Q145" s="37"/>
    </row>
    <row r="146" spans="1:21" s="132" customFormat="1" ht="15.75" customHeight="1" x14ac:dyDescent="0.25">
      <c r="A146" s="160" t="s">
        <v>1187</v>
      </c>
      <c r="B146" s="130" t="s">
        <v>1139</v>
      </c>
      <c r="C146" s="49"/>
      <c r="D146" s="180"/>
      <c r="E146" s="49"/>
      <c r="F146" s="49"/>
      <c r="G146" s="49"/>
      <c r="H146" s="49"/>
      <c r="I146" s="49"/>
      <c r="J146" s="49"/>
      <c r="K146" s="131"/>
      <c r="L146" s="49"/>
      <c r="M146" s="49"/>
      <c r="N146" s="435" t="s">
        <v>946</v>
      </c>
      <c r="O146" s="388"/>
      <c r="P146" s="50">
        <f>SUM(P144,P122,P97)</f>
        <v>0</v>
      </c>
      <c r="Q146" s="151"/>
    </row>
    <row r="148" spans="1:21" s="132" customFormat="1" ht="15.75" customHeight="1" x14ac:dyDescent="0.25">
      <c r="A148" s="160" t="s">
        <v>1187</v>
      </c>
      <c r="B148" s="130" t="s">
        <v>1193</v>
      </c>
      <c r="C148" s="49"/>
      <c r="D148" s="49"/>
      <c r="E148" s="49"/>
      <c r="F148" s="49"/>
      <c r="G148" s="49"/>
      <c r="H148" s="49"/>
      <c r="I148" s="49"/>
      <c r="J148" s="49"/>
      <c r="K148" s="49"/>
      <c r="L148" s="49"/>
      <c r="M148" s="49"/>
      <c r="N148" s="49"/>
      <c r="O148" s="131"/>
      <c r="P148" s="49"/>
      <c r="Q148" s="49"/>
      <c r="R148" s="435" t="s">
        <v>946</v>
      </c>
      <c r="S148" s="388"/>
      <c r="T148" s="50">
        <f>P146*6</f>
        <v>0</v>
      </c>
      <c r="U148" s="151"/>
    </row>
    <row r="150" spans="1:21" s="132" customFormat="1" ht="15.75" customHeight="1" x14ac:dyDescent="0.25">
      <c r="A150" s="160"/>
      <c r="B150" s="130" t="s">
        <v>963</v>
      </c>
      <c r="C150" s="49"/>
      <c r="D150" s="49"/>
      <c r="E150" s="49"/>
      <c r="F150" s="49"/>
      <c r="G150" s="49"/>
      <c r="H150" s="49"/>
      <c r="I150" s="49"/>
      <c r="J150" s="49"/>
      <c r="K150" s="49"/>
      <c r="L150" s="49"/>
      <c r="M150" s="49"/>
      <c r="N150" s="49"/>
      <c r="O150" s="131"/>
      <c r="P150" s="49"/>
      <c r="Q150" s="49"/>
      <c r="R150" s="435"/>
      <c r="S150" s="388"/>
      <c r="T150" s="50">
        <f>SUM(T148,T76)</f>
        <v>0</v>
      </c>
      <c r="U150" s="151"/>
    </row>
  </sheetData>
  <mergeCells count="23">
    <mergeCell ref="B2:R3"/>
    <mergeCell ref="D78:J78"/>
    <mergeCell ref="B29:Q29"/>
    <mergeCell ref="R148:S148"/>
    <mergeCell ref="N146:O146"/>
    <mergeCell ref="R150:S150"/>
    <mergeCell ref="B144:M144"/>
    <mergeCell ref="D8:N8"/>
    <mergeCell ref="B122:M122"/>
    <mergeCell ref="B84:N84"/>
    <mergeCell ref="B16:R16"/>
    <mergeCell ref="B124:N124"/>
    <mergeCell ref="B31:R31"/>
    <mergeCell ref="B5:T5"/>
    <mergeCell ref="B56:R56"/>
    <mergeCell ref="D79:J79"/>
    <mergeCell ref="B100:N100"/>
    <mergeCell ref="R74:S74"/>
    <mergeCell ref="B54:Q54"/>
    <mergeCell ref="R76:S76"/>
    <mergeCell ref="D7:N7"/>
    <mergeCell ref="B71:Q71"/>
    <mergeCell ref="B97:M97"/>
  </mergeCells>
  <conditionalFormatting sqref="P83">
    <cfRule type="cellIs" dxfId="71" priority="4" stopIfTrue="1" operator="greaterThan">
      <formula>0</formula>
    </cfRule>
  </conditionalFormatting>
  <conditionalFormatting sqref="P97:P99">
    <cfRule type="cellIs" dxfId="70" priority="3" stopIfTrue="1" operator="greaterThan">
      <formula>0</formula>
    </cfRule>
  </conditionalFormatting>
  <conditionalFormatting sqref="P122:P123">
    <cfRule type="cellIs" dxfId="69" priority="2" stopIfTrue="1" operator="greaterThan">
      <formula>0</formula>
    </cfRule>
  </conditionalFormatting>
  <conditionalFormatting sqref="P144:P146">
    <cfRule type="cellIs" dxfId="68" priority="1" stopIfTrue="1" operator="greaterThan">
      <formula>0</formula>
    </cfRule>
  </conditionalFormatting>
  <conditionalFormatting sqref="T11">
    <cfRule type="cellIs" dxfId="67" priority="16" stopIfTrue="1" operator="greaterThan">
      <formula>0</formula>
    </cfRule>
  </conditionalFormatting>
  <conditionalFormatting sqref="T15">
    <cfRule type="cellIs" dxfId="66" priority="15" stopIfTrue="1" operator="greaterThan">
      <formula>0</formula>
    </cfRule>
  </conditionalFormatting>
  <conditionalFormatting sqref="T29:T30">
    <cfRule type="cellIs" dxfId="65" priority="14" stopIfTrue="1" operator="greaterThan">
      <formula>0</formula>
    </cfRule>
  </conditionalFormatting>
  <conditionalFormatting sqref="T54:T55">
    <cfRule type="cellIs" dxfId="64" priority="13" stopIfTrue="1" operator="greaterThan">
      <formula>0</formula>
    </cfRule>
  </conditionalFormatting>
  <conditionalFormatting sqref="T71:T74">
    <cfRule type="cellIs" dxfId="63" priority="12" stopIfTrue="1" operator="greaterThan">
      <formula>0</formula>
    </cfRule>
  </conditionalFormatting>
  <conditionalFormatting sqref="T76">
    <cfRule type="cellIs" dxfId="62" priority="7" stopIfTrue="1" operator="greaterThan">
      <formula>0</formula>
    </cfRule>
  </conditionalFormatting>
  <conditionalFormatting sqref="T148">
    <cfRule type="cellIs" dxfId="61" priority="6" stopIfTrue="1" operator="greaterThan">
      <formula>0</formula>
    </cfRule>
  </conditionalFormatting>
  <conditionalFormatting sqref="T150">
    <cfRule type="cellIs" dxfId="60" priority="5" stopIfTrue="1" operator="greaterThan">
      <formula>0</formula>
    </cfRule>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79998168889431442"/>
  </sheetPr>
  <dimension ref="A1:Z296"/>
  <sheetViews>
    <sheetView topLeftCell="A117" zoomScale="70" zoomScaleNormal="70" workbookViewId="0"/>
  </sheetViews>
  <sheetFormatPr defaultRowHeight="15" x14ac:dyDescent="0.25"/>
  <cols>
    <col min="2" max="2" width="41.85546875" customWidth="1"/>
  </cols>
  <sheetData>
    <row r="1" spans="1:21" s="42" customFormat="1" x14ac:dyDescent="0.25">
      <c r="A1" s="157"/>
      <c r="B1" s="112" t="s">
        <v>906</v>
      </c>
      <c r="C1" s="44"/>
      <c r="D1" s="53"/>
      <c r="E1" s="53"/>
      <c r="F1" s="53"/>
      <c r="G1" s="53"/>
      <c r="H1" s="53"/>
      <c r="I1" s="53"/>
      <c r="J1" s="53"/>
      <c r="K1" s="53"/>
      <c r="L1" s="53"/>
      <c r="M1" s="53"/>
      <c r="N1" s="53"/>
      <c r="O1" s="113"/>
      <c r="P1" s="44"/>
      <c r="Q1" s="44"/>
      <c r="R1" s="44"/>
      <c r="S1" s="44"/>
      <c r="T1" s="44"/>
      <c r="U1" s="47"/>
    </row>
    <row r="2" spans="1:21" s="42" customFormat="1" x14ac:dyDescent="0.25">
      <c r="A2" s="157"/>
      <c r="B2" s="436" t="s">
        <v>907</v>
      </c>
      <c r="C2" s="437"/>
      <c r="D2" s="437"/>
      <c r="E2" s="437"/>
      <c r="F2" s="437"/>
      <c r="G2" s="437"/>
      <c r="H2" s="437"/>
      <c r="I2" s="437"/>
      <c r="J2" s="437"/>
      <c r="K2" s="437"/>
      <c r="L2" s="437"/>
      <c r="M2" s="437"/>
      <c r="N2" s="437"/>
      <c r="O2" s="437"/>
      <c r="P2" s="437"/>
      <c r="Q2" s="437"/>
      <c r="R2" s="438"/>
      <c r="S2" s="7" t="s">
        <v>25</v>
      </c>
      <c r="T2" s="133">
        <v>0</v>
      </c>
      <c r="U2" s="47"/>
    </row>
    <row r="3" spans="1:21" s="42" customFormat="1" x14ac:dyDescent="0.25">
      <c r="A3" s="157"/>
      <c r="B3" s="439"/>
      <c r="C3" s="393"/>
      <c r="D3" s="393"/>
      <c r="E3" s="393"/>
      <c r="F3" s="393"/>
      <c r="G3" s="393"/>
      <c r="H3" s="393"/>
      <c r="I3" s="393"/>
      <c r="J3" s="393"/>
      <c r="K3" s="393"/>
      <c r="L3" s="393"/>
      <c r="M3" s="393"/>
      <c r="N3" s="393"/>
      <c r="O3" s="393"/>
      <c r="P3" s="393"/>
      <c r="Q3" s="393"/>
      <c r="R3" s="394"/>
      <c r="S3" s="7" t="s">
        <v>27</v>
      </c>
      <c r="T3" s="134" t="s">
        <v>22</v>
      </c>
      <c r="U3" s="47"/>
    </row>
    <row r="4" spans="1:21" s="42" customFormat="1" x14ac:dyDescent="0.25">
      <c r="A4" s="157"/>
      <c r="B4" s="114" t="s">
        <v>908</v>
      </c>
      <c r="C4" s="114" t="s">
        <v>909</v>
      </c>
      <c r="D4" s="115">
        <f>1*N4</f>
        <v>1</v>
      </c>
      <c r="E4" s="115">
        <f>1*N4</f>
        <v>1</v>
      </c>
      <c r="F4" s="115">
        <f>1*N4</f>
        <v>1</v>
      </c>
      <c r="G4" s="115">
        <f>1*N4</f>
        <v>1</v>
      </c>
      <c r="H4" s="115">
        <f>4*$N4</f>
        <v>4</v>
      </c>
      <c r="I4" s="115">
        <f>1*N4</f>
        <v>1</v>
      </c>
      <c r="J4" s="115">
        <f>1*N4</f>
        <v>1</v>
      </c>
      <c r="K4" s="115">
        <f>2*$N4</f>
        <v>2</v>
      </c>
      <c r="L4" s="115">
        <f>1*N4</f>
        <v>1</v>
      </c>
      <c r="M4" s="45">
        <v>1</v>
      </c>
      <c r="N4" s="57">
        <v>1</v>
      </c>
      <c r="O4" s="116">
        <v>13</v>
      </c>
      <c r="P4" s="114"/>
      <c r="Q4" s="114"/>
      <c r="R4" s="114"/>
      <c r="S4" s="44"/>
      <c r="T4" s="44"/>
      <c r="U4" s="47"/>
    </row>
    <row r="5" spans="1:21" s="117" customFormat="1" ht="15.75" customHeight="1" x14ac:dyDescent="0.25">
      <c r="A5" s="158" t="s">
        <v>910</v>
      </c>
      <c r="B5" s="434" t="s">
        <v>911</v>
      </c>
      <c r="C5" s="387"/>
      <c r="D5" s="387"/>
      <c r="E5" s="387"/>
      <c r="F5" s="387"/>
      <c r="G5" s="387"/>
      <c r="H5" s="387"/>
      <c r="I5" s="387"/>
      <c r="J5" s="387"/>
      <c r="K5" s="387"/>
      <c r="L5" s="387"/>
      <c r="M5" s="387"/>
      <c r="N5" s="387"/>
      <c r="O5" s="387"/>
      <c r="P5" s="387"/>
      <c r="Q5" s="387"/>
      <c r="R5" s="387"/>
      <c r="S5" s="387"/>
      <c r="T5" s="388"/>
      <c r="U5" s="149"/>
    </row>
    <row r="6" spans="1:21" s="42" customFormat="1" ht="15.75" customHeight="1" thickBot="1" x14ac:dyDescent="0.3">
      <c r="A6" s="157"/>
      <c r="B6" s="44"/>
      <c r="C6" s="44"/>
      <c r="D6" s="44"/>
      <c r="E6" s="44"/>
      <c r="F6" s="44"/>
      <c r="G6" s="44"/>
      <c r="H6" s="44"/>
      <c r="I6" s="44"/>
      <c r="J6" s="44"/>
      <c r="K6" s="44"/>
      <c r="L6" s="44"/>
      <c r="M6" s="44"/>
      <c r="N6" s="44"/>
      <c r="O6" s="118"/>
      <c r="P6" s="44"/>
      <c r="Q6" s="44"/>
      <c r="R6" s="44"/>
      <c r="S6" s="44"/>
      <c r="T6" s="44"/>
      <c r="U6" s="47"/>
    </row>
    <row r="7" spans="1:21" s="42" customFormat="1" ht="51.75" customHeight="1" thickBot="1" x14ac:dyDescent="0.3">
      <c r="A7" s="119" t="s">
        <v>912</v>
      </c>
      <c r="B7" s="119" t="s">
        <v>913</v>
      </c>
      <c r="C7" s="120" t="s">
        <v>914</v>
      </c>
      <c r="D7" s="430"/>
      <c r="E7" s="431"/>
      <c r="F7" s="431"/>
      <c r="G7" s="431"/>
      <c r="H7" s="431"/>
      <c r="I7" s="431"/>
      <c r="J7" s="431"/>
      <c r="K7" s="431"/>
      <c r="L7" s="431"/>
      <c r="M7" s="431"/>
      <c r="N7" s="431"/>
      <c r="O7" s="121" t="s">
        <v>915</v>
      </c>
      <c r="P7" s="122" t="s">
        <v>916</v>
      </c>
      <c r="Q7" s="121" t="s">
        <v>917</v>
      </c>
      <c r="R7" s="121" t="s">
        <v>918</v>
      </c>
      <c r="S7" s="121"/>
      <c r="T7" s="119" t="s">
        <v>919</v>
      </c>
      <c r="U7" s="47"/>
    </row>
    <row r="8" spans="1:21" s="42" customFormat="1" ht="15.75" customHeight="1" thickBot="1" x14ac:dyDescent="0.3">
      <c r="A8" s="123"/>
      <c r="B8" s="123"/>
      <c r="C8" s="124"/>
      <c r="D8" s="432" t="s">
        <v>920</v>
      </c>
      <c r="E8" s="431"/>
      <c r="F8" s="431"/>
      <c r="G8" s="431"/>
      <c r="H8" s="431"/>
      <c r="I8" s="431"/>
      <c r="J8" s="431"/>
      <c r="K8" s="431"/>
      <c r="L8" s="431"/>
      <c r="M8" s="431"/>
      <c r="N8" s="433"/>
      <c r="O8" s="125"/>
      <c r="P8" s="124"/>
      <c r="Q8" s="124"/>
      <c r="R8" s="124"/>
      <c r="S8" s="124"/>
      <c r="T8" s="123"/>
      <c r="U8" s="47"/>
    </row>
    <row r="9" spans="1:21" s="42" customFormat="1" ht="60" customHeight="1" x14ac:dyDescent="0.25">
      <c r="A9" s="123"/>
      <c r="B9" s="123"/>
      <c r="C9" s="124"/>
      <c r="D9" s="127" t="s">
        <v>921</v>
      </c>
      <c r="E9" s="127" t="s">
        <v>922</v>
      </c>
      <c r="F9" s="46" t="s">
        <v>923</v>
      </c>
      <c r="G9" s="46" t="s">
        <v>924</v>
      </c>
      <c r="H9" s="46" t="s">
        <v>925</v>
      </c>
      <c r="I9" s="46" t="s">
        <v>926</v>
      </c>
      <c r="J9" s="46" t="s">
        <v>927</v>
      </c>
      <c r="K9" s="46" t="s">
        <v>928</v>
      </c>
      <c r="L9" s="46" t="s">
        <v>929</v>
      </c>
      <c r="M9" s="154" t="s">
        <v>930</v>
      </c>
      <c r="N9" s="126" t="s">
        <v>931</v>
      </c>
      <c r="O9" s="125"/>
      <c r="P9" s="124"/>
      <c r="Q9" s="124"/>
      <c r="R9" s="124"/>
      <c r="S9" s="124"/>
      <c r="T9" s="123"/>
      <c r="U9" s="47"/>
    </row>
    <row r="10" spans="1:21" s="32" customFormat="1" ht="12.75" customHeight="1" x14ac:dyDescent="0.2">
      <c r="A10" s="159"/>
      <c r="B10" s="30"/>
      <c r="C10" s="25"/>
      <c r="D10" s="25"/>
      <c r="E10" s="25"/>
      <c r="F10" s="25"/>
      <c r="G10" s="25"/>
      <c r="H10" s="25"/>
      <c r="I10" s="25"/>
      <c r="J10" s="25"/>
      <c r="K10" s="25"/>
      <c r="L10" s="25"/>
      <c r="M10" s="25"/>
      <c r="N10" s="25"/>
      <c r="O10" s="58"/>
      <c r="P10" s="26"/>
      <c r="Q10" s="26"/>
      <c r="R10" s="26"/>
      <c r="S10" s="26"/>
      <c r="T10" s="22"/>
      <c r="U10" s="37"/>
    </row>
    <row r="11" spans="1:21" s="32" customFormat="1" ht="12.75" customHeight="1" x14ac:dyDescent="0.2">
      <c r="A11" s="159"/>
      <c r="B11" s="31"/>
      <c r="C11" s="25"/>
      <c r="D11" s="25"/>
      <c r="E11" s="25"/>
      <c r="F11" s="25"/>
      <c r="G11" s="25"/>
      <c r="H11" s="25"/>
      <c r="I11" s="25"/>
      <c r="J11" s="25"/>
      <c r="K11" s="25"/>
      <c r="L11" s="25"/>
      <c r="M11" s="25"/>
      <c r="N11" s="25"/>
      <c r="O11" s="58"/>
      <c r="P11" s="26"/>
      <c r="Q11" s="26"/>
      <c r="R11" s="26"/>
      <c r="S11" s="26"/>
      <c r="T11" s="35"/>
      <c r="U11" s="37"/>
    </row>
    <row r="12" spans="1:21" s="117" customFormat="1" ht="15.75" customHeight="1" x14ac:dyDescent="0.25">
      <c r="A12" s="160" t="s">
        <v>932</v>
      </c>
      <c r="B12" s="39" t="s">
        <v>933</v>
      </c>
      <c r="C12" s="40"/>
      <c r="D12" s="40"/>
      <c r="E12" s="40"/>
      <c r="F12" s="40"/>
      <c r="G12" s="40"/>
      <c r="H12" s="40"/>
      <c r="I12" s="40"/>
      <c r="J12" s="40"/>
      <c r="K12" s="40"/>
      <c r="L12" s="40"/>
      <c r="M12" s="40"/>
      <c r="N12" s="40"/>
      <c r="O12" s="59"/>
      <c r="P12" s="40"/>
      <c r="Q12" s="40"/>
      <c r="R12" s="40"/>
      <c r="S12" s="40"/>
      <c r="T12" s="41"/>
      <c r="U12" s="149"/>
    </row>
    <row r="14" spans="1:21" s="42" customFormat="1" x14ac:dyDescent="0.25">
      <c r="A14" s="166" t="s">
        <v>983</v>
      </c>
      <c r="B14" s="147" t="s">
        <v>984</v>
      </c>
      <c r="C14" s="28"/>
      <c r="D14" s="28"/>
      <c r="E14" s="28"/>
      <c r="F14" s="28"/>
      <c r="G14" s="28"/>
      <c r="H14" s="28"/>
      <c r="I14" s="28"/>
      <c r="J14" s="28"/>
      <c r="K14" s="28"/>
      <c r="L14" s="28"/>
      <c r="M14" s="28"/>
      <c r="N14" s="28"/>
      <c r="O14" s="60"/>
      <c r="P14" s="29"/>
      <c r="Q14" s="29"/>
      <c r="R14" s="29"/>
      <c r="S14" s="29"/>
      <c r="T14" s="23"/>
      <c r="U14" s="152"/>
    </row>
    <row r="15" spans="1:21" s="42" customFormat="1" ht="76.5" customHeight="1" x14ac:dyDescent="0.25">
      <c r="A15" s="167"/>
      <c r="B15" s="141" t="s">
        <v>1004</v>
      </c>
      <c r="C15" s="31"/>
      <c r="D15" s="31"/>
      <c r="E15" s="31"/>
      <c r="F15" s="31"/>
      <c r="G15" s="31"/>
      <c r="H15" s="31"/>
      <c r="I15" s="31"/>
      <c r="J15" s="31"/>
      <c r="K15" s="31"/>
      <c r="L15" s="31"/>
      <c r="M15" s="31"/>
      <c r="N15" s="31"/>
      <c r="O15" s="58"/>
      <c r="P15" s="26"/>
      <c r="Q15" s="26"/>
      <c r="R15" s="26"/>
      <c r="S15" s="26"/>
      <c r="T15" s="38"/>
      <c r="U15" s="152"/>
    </row>
    <row r="16" spans="1:21" s="42" customFormat="1" ht="51" customHeight="1" x14ac:dyDescent="0.25">
      <c r="A16" s="167"/>
      <c r="B16" s="141" t="s">
        <v>1005</v>
      </c>
      <c r="C16" s="31"/>
      <c r="D16" s="31"/>
      <c r="E16" s="31"/>
      <c r="F16" s="31"/>
      <c r="G16" s="31"/>
      <c r="H16" s="31"/>
      <c r="I16" s="31"/>
      <c r="J16" s="31"/>
      <c r="K16" s="31"/>
      <c r="L16" s="31"/>
      <c r="M16" s="31"/>
      <c r="N16" s="31"/>
      <c r="O16" s="58"/>
      <c r="P16" s="26"/>
      <c r="Q16" s="26"/>
      <c r="R16" s="26"/>
      <c r="S16" s="26"/>
      <c r="T16" s="38"/>
      <c r="U16" s="152"/>
    </row>
    <row r="17" spans="1:26" s="42" customFormat="1" ht="51" customHeight="1" x14ac:dyDescent="0.25">
      <c r="A17" s="167"/>
      <c r="B17" s="141" t="s">
        <v>987</v>
      </c>
      <c r="C17" s="31"/>
      <c r="D17" s="31"/>
      <c r="E17" s="31"/>
      <c r="F17" s="31"/>
      <c r="G17" s="31"/>
      <c r="H17" s="31"/>
      <c r="I17" s="31"/>
      <c r="J17" s="31"/>
      <c r="K17" s="31"/>
      <c r="L17" s="31"/>
      <c r="M17" s="31"/>
      <c r="N17" s="31"/>
      <c r="O17" s="58"/>
      <c r="P17" s="26"/>
      <c r="Q17" s="26"/>
      <c r="R17" s="26"/>
      <c r="S17" s="26"/>
      <c r="T17" s="38"/>
      <c r="U17" s="152"/>
    </row>
    <row r="18" spans="1:26" s="42" customFormat="1" ht="25.5" customHeight="1" x14ac:dyDescent="0.25">
      <c r="A18" s="167"/>
      <c r="B18" s="141" t="s">
        <v>988</v>
      </c>
      <c r="C18" s="31"/>
      <c r="D18" s="31"/>
      <c r="E18" s="31"/>
      <c r="F18" s="31"/>
      <c r="G18" s="31"/>
      <c r="H18" s="31"/>
      <c r="I18" s="31"/>
      <c r="J18" s="31"/>
      <c r="K18" s="31"/>
      <c r="L18" s="31"/>
      <c r="M18" s="31"/>
      <c r="N18" s="31"/>
      <c r="O18" s="58"/>
      <c r="P18" s="26"/>
      <c r="Q18" s="26"/>
      <c r="R18" s="26"/>
      <c r="S18" s="26"/>
      <c r="T18" s="38"/>
      <c r="U18" s="152"/>
    </row>
    <row r="19" spans="1:26" s="42" customFormat="1" ht="102" customHeight="1" x14ac:dyDescent="0.25">
      <c r="A19" s="167"/>
      <c r="B19" s="141" t="s">
        <v>989</v>
      </c>
      <c r="C19" s="31"/>
      <c r="D19" s="31"/>
      <c r="E19" s="31"/>
      <c r="F19" s="31"/>
      <c r="G19" s="31"/>
      <c r="H19" s="31"/>
      <c r="I19" s="31"/>
      <c r="J19" s="31"/>
      <c r="K19" s="31"/>
      <c r="L19" s="31"/>
      <c r="M19" s="31"/>
      <c r="N19" s="31"/>
      <c r="O19" s="58"/>
      <c r="P19" s="26"/>
      <c r="Q19" s="26"/>
      <c r="R19" s="26"/>
      <c r="S19" s="26"/>
      <c r="T19" s="38"/>
      <c r="U19" s="152"/>
    </row>
    <row r="20" spans="1:26" s="42" customFormat="1" ht="15.75" customHeight="1" thickBot="1" x14ac:dyDescent="0.3">
      <c r="A20" s="167"/>
      <c r="B20" s="30" t="s">
        <v>937</v>
      </c>
      <c r="C20" s="31"/>
      <c r="D20" s="31"/>
      <c r="E20" s="31"/>
      <c r="F20" s="31"/>
      <c r="G20" s="31"/>
      <c r="H20" s="31"/>
      <c r="I20" s="31"/>
      <c r="J20" s="31"/>
      <c r="K20" s="31"/>
      <c r="L20" s="31"/>
      <c r="M20" s="31"/>
      <c r="N20" s="31"/>
      <c r="O20" s="58"/>
      <c r="P20" s="26"/>
      <c r="Q20" s="26"/>
      <c r="R20" s="26"/>
      <c r="S20" s="26"/>
      <c r="T20" s="38"/>
      <c r="U20" s="152"/>
    </row>
    <row r="21" spans="1:26" s="42" customFormat="1" ht="15.75" customHeight="1" thickBot="1" x14ac:dyDescent="0.3">
      <c r="A21" s="166" t="s">
        <v>990</v>
      </c>
      <c r="B21" s="137" t="s">
        <v>991</v>
      </c>
      <c r="C21" s="135" t="s">
        <v>938</v>
      </c>
      <c r="D21" s="55">
        <f>D$4*4.75</f>
        <v>4.75</v>
      </c>
      <c r="E21" s="55">
        <f>E$4*4.75</f>
        <v>4.75</v>
      </c>
      <c r="F21" s="36">
        <f>F$4*4.8</f>
        <v>4.8</v>
      </c>
      <c r="G21" s="36">
        <f>G$4*4.8</f>
        <v>4.8</v>
      </c>
      <c r="H21" s="36">
        <f>H$4*6.6</f>
        <v>26.4</v>
      </c>
      <c r="I21" s="36">
        <f>I$4*3.9</f>
        <v>3.9</v>
      </c>
      <c r="J21" s="36">
        <f>J$4*3.9</f>
        <v>3.9</v>
      </c>
      <c r="K21" s="36">
        <f>K$4*5.5</f>
        <v>11</v>
      </c>
      <c r="L21" s="36">
        <f>L$4*24.85</f>
        <v>24.85</v>
      </c>
      <c r="M21" s="36">
        <f>M$4*0</f>
        <v>0</v>
      </c>
      <c r="N21" s="56">
        <f>N$4*0</f>
        <v>0</v>
      </c>
      <c r="O21" s="62">
        <f>SUM(D21:N21)</f>
        <v>89.15</v>
      </c>
      <c r="P21" s="26">
        <v>0</v>
      </c>
      <c r="Q21" s="26">
        <v>0</v>
      </c>
      <c r="R21" s="26">
        <f>P21+Q21</f>
        <v>0</v>
      </c>
      <c r="S21" s="26"/>
      <c r="T21" s="22">
        <f>R21*O21</f>
        <v>0</v>
      </c>
      <c r="U21" s="47"/>
    </row>
    <row r="22" spans="1:26" s="42" customFormat="1" x14ac:dyDescent="0.25">
      <c r="A22" s="157"/>
      <c r="B22" s="44"/>
      <c r="C22" s="44"/>
      <c r="D22" s="44"/>
      <c r="E22" s="44"/>
      <c r="F22" s="44"/>
      <c r="G22" s="44"/>
      <c r="H22" s="44"/>
      <c r="I22" s="44"/>
      <c r="J22" s="44"/>
      <c r="K22" s="44"/>
      <c r="L22" s="44"/>
      <c r="M22" s="44"/>
      <c r="N22" s="44"/>
      <c r="O22" s="118"/>
      <c r="P22" s="44"/>
      <c r="Q22" s="44"/>
      <c r="R22" s="44"/>
      <c r="S22" s="44"/>
      <c r="T22" s="44"/>
      <c r="U22" s="47"/>
    </row>
    <row r="23" spans="1:26" s="42" customFormat="1" x14ac:dyDescent="0.25">
      <c r="A23" s="166" t="s">
        <v>992</v>
      </c>
      <c r="B23" s="147" t="s">
        <v>984</v>
      </c>
      <c r="C23" s="28"/>
      <c r="D23" s="28"/>
      <c r="E23" s="28"/>
      <c r="F23" s="28"/>
      <c r="G23" s="28"/>
      <c r="H23" s="28"/>
      <c r="I23" s="28"/>
      <c r="J23" s="28"/>
      <c r="K23" s="28"/>
      <c r="L23" s="28"/>
      <c r="M23" s="28"/>
      <c r="N23" s="28"/>
      <c r="O23" s="60"/>
      <c r="P23" s="29"/>
      <c r="Q23" s="29"/>
      <c r="R23" s="29"/>
      <c r="S23" s="29"/>
      <c r="T23" s="23"/>
      <c r="U23" s="152"/>
    </row>
    <row r="24" spans="1:26" s="42" customFormat="1" ht="294.75" customHeight="1" x14ac:dyDescent="0.25">
      <c r="A24" s="167"/>
      <c r="B24" s="141" t="s">
        <v>993</v>
      </c>
      <c r="C24" s="31"/>
      <c r="D24" s="31"/>
      <c r="E24" s="31"/>
      <c r="F24" s="31"/>
      <c r="G24" s="31"/>
      <c r="H24" s="31"/>
      <c r="I24" s="31"/>
      <c r="J24" s="31"/>
      <c r="K24" s="31"/>
      <c r="L24" s="31"/>
      <c r="M24" s="31"/>
      <c r="N24" s="31"/>
      <c r="O24" s="58"/>
      <c r="P24" s="26"/>
      <c r="Q24" s="26"/>
      <c r="R24" s="26"/>
      <c r="S24" s="26"/>
      <c r="T24" s="38"/>
      <c r="U24" s="152"/>
    </row>
    <row r="25" spans="1:26" s="42" customFormat="1" ht="15.75" customHeight="1" thickBot="1" x14ac:dyDescent="0.3">
      <c r="A25" s="167"/>
      <c r="B25" s="30" t="s">
        <v>937</v>
      </c>
      <c r="C25" s="31"/>
      <c r="D25" s="31"/>
      <c r="E25" s="31"/>
      <c r="F25" s="31"/>
      <c r="G25" s="31"/>
      <c r="H25" s="31"/>
      <c r="I25" s="31"/>
      <c r="J25" s="31"/>
      <c r="K25" s="31"/>
      <c r="L25" s="31"/>
      <c r="M25" s="31"/>
      <c r="N25" s="31"/>
      <c r="O25" s="58"/>
      <c r="P25" s="26"/>
      <c r="Q25" s="26"/>
      <c r="R25" s="26"/>
      <c r="S25" s="26"/>
      <c r="T25" s="38"/>
      <c r="U25" s="152"/>
    </row>
    <row r="26" spans="1:26" s="42" customFormat="1" ht="15.75" customHeight="1" thickBot="1" x14ac:dyDescent="0.3">
      <c r="A26" s="166" t="s">
        <v>994</v>
      </c>
      <c r="B26" s="137" t="s">
        <v>995</v>
      </c>
      <c r="C26" s="135" t="s">
        <v>938</v>
      </c>
      <c r="D26" s="55">
        <f>D$4*8.75</f>
        <v>8.75</v>
      </c>
      <c r="E26" s="55">
        <f>E$4*8.75</f>
        <v>8.75</v>
      </c>
      <c r="F26" s="36">
        <f>F$4*8.75</f>
        <v>8.75</v>
      </c>
      <c r="G26" s="36">
        <f>G$4*8.75</f>
        <v>8.75</v>
      </c>
      <c r="H26" s="36">
        <f>H$4*10</f>
        <v>40</v>
      </c>
      <c r="I26" s="36">
        <f>I$4*8</f>
        <v>8</v>
      </c>
      <c r="J26" s="36">
        <f>J$4*8</f>
        <v>8</v>
      </c>
      <c r="K26" s="36">
        <f>K$4*8</f>
        <v>16</v>
      </c>
      <c r="L26" s="36">
        <f>L$4*28.65</f>
        <v>28.65</v>
      </c>
      <c r="M26" s="36">
        <f>M$4*0</f>
        <v>0</v>
      </c>
      <c r="N26" s="56">
        <f>N$4*0</f>
        <v>0</v>
      </c>
      <c r="O26" s="62">
        <f>SUM(D26:N26)</f>
        <v>135.65</v>
      </c>
      <c r="P26" s="26">
        <v>0</v>
      </c>
      <c r="Q26" s="26">
        <v>0</v>
      </c>
      <c r="R26" s="26">
        <f>P26+Q26</f>
        <v>0</v>
      </c>
      <c r="S26" s="26"/>
      <c r="T26" s="22">
        <f>R26*O26</f>
        <v>0</v>
      </c>
      <c r="U26" s="47"/>
    </row>
    <row r="28" spans="1:26" s="117" customFormat="1" ht="15.75" customHeight="1" x14ac:dyDescent="0.25">
      <c r="A28" s="158" t="s">
        <v>1194</v>
      </c>
      <c r="B28" s="39" t="s">
        <v>1195</v>
      </c>
      <c r="C28" s="40"/>
      <c r="D28" s="40"/>
      <c r="E28" s="40"/>
      <c r="F28" s="40"/>
      <c r="G28" s="40"/>
      <c r="H28" s="40"/>
      <c r="I28" s="40"/>
      <c r="J28" s="40"/>
      <c r="K28" s="40"/>
      <c r="L28" s="40"/>
      <c r="M28" s="40"/>
      <c r="N28" s="40"/>
      <c r="O28" s="59"/>
      <c r="P28" s="40"/>
      <c r="Q28" s="40"/>
      <c r="R28" s="40"/>
      <c r="S28" s="40"/>
      <c r="T28" s="41"/>
      <c r="U28" s="149"/>
    </row>
    <row r="29" spans="1:26" s="1" customFormat="1" ht="12.75" customHeight="1" x14ac:dyDescent="0.2">
      <c r="A29" s="163"/>
      <c r="B29" s="5"/>
      <c r="C29" s="139"/>
      <c r="D29" s="31"/>
      <c r="E29" s="31"/>
      <c r="F29" s="31"/>
      <c r="G29" s="31"/>
      <c r="H29" s="31"/>
      <c r="I29" s="31"/>
      <c r="J29" s="31"/>
      <c r="K29" s="31"/>
      <c r="L29" s="31"/>
      <c r="M29" s="31"/>
      <c r="N29" s="31"/>
      <c r="O29" s="58"/>
      <c r="P29" s="26"/>
      <c r="Q29" s="26"/>
      <c r="R29" s="26"/>
      <c r="S29" s="26"/>
      <c r="T29" s="38"/>
      <c r="U29" s="153"/>
      <c r="W29" s="32"/>
      <c r="Z29" s="140"/>
    </row>
    <row r="30" spans="1:26" ht="132.75" customHeight="1" x14ac:dyDescent="0.25">
      <c r="A30" s="52"/>
      <c r="B30" s="141" t="s">
        <v>1196</v>
      </c>
      <c r="C30" s="1"/>
      <c r="D30" s="31"/>
      <c r="E30" s="31"/>
      <c r="F30" s="31"/>
      <c r="G30" s="31"/>
      <c r="H30" s="31"/>
      <c r="I30" s="31"/>
      <c r="J30" s="31"/>
      <c r="K30" s="31"/>
      <c r="L30" s="31"/>
      <c r="M30" s="31"/>
      <c r="N30" s="31"/>
      <c r="O30" s="58"/>
      <c r="P30" s="26"/>
      <c r="Q30" s="26"/>
      <c r="R30" s="26"/>
      <c r="S30" s="26"/>
      <c r="T30" s="38"/>
      <c r="U30" s="152"/>
      <c r="W30" s="42"/>
      <c r="Z30" s="142"/>
    </row>
    <row r="31" spans="1:26" s="1" customFormat="1" ht="63.75" customHeight="1" x14ac:dyDescent="0.2">
      <c r="A31" s="163"/>
      <c r="B31" s="141" t="s">
        <v>1197</v>
      </c>
      <c r="C31" s="139"/>
      <c r="D31" s="31"/>
      <c r="E31" s="31"/>
      <c r="F31" s="31"/>
      <c r="G31" s="31"/>
      <c r="H31" s="31"/>
      <c r="I31" s="31"/>
      <c r="J31" s="31"/>
      <c r="K31" s="31"/>
      <c r="L31" s="31"/>
      <c r="M31" s="31"/>
      <c r="N31" s="31"/>
      <c r="O31" s="58"/>
      <c r="P31" s="26"/>
      <c r="Q31" s="26"/>
      <c r="R31" s="26"/>
      <c r="S31" s="26"/>
      <c r="T31" s="38"/>
      <c r="U31" s="153"/>
      <c r="W31" s="32"/>
      <c r="Z31" s="140"/>
    </row>
    <row r="32" spans="1:26" s="1" customFormat="1" ht="168" customHeight="1" x14ac:dyDescent="0.2">
      <c r="A32" s="163"/>
      <c r="B32" s="30" t="s">
        <v>1198</v>
      </c>
      <c r="C32" s="139"/>
      <c r="D32" s="31"/>
      <c r="E32" s="31"/>
      <c r="F32" s="31"/>
      <c r="G32" s="31"/>
      <c r="H32" s="31"/>
      <c r="I32" s="31"/>
      <c r="J32" s="31"/>
      <c r="K32" s="31"/>
      <c r="L32" s="31"/>
      <c r="M32" s="31"/>
      <c r="N32" s="31"/>
      <c r="O32" s="58"/>
      <c r="P32" s="26"/>
      <c r="Q32" s="26"/>
      <c r="R32" s="26"/>
      <c r="S32" s="26"/>
      <c r="T32" s="38"/>
      <c r="U32" s="153"/>
      <c r="W32" s="32"/>
      <c r="Z32" s="140"/>
    </row>
    <row r="33" spans="1:26" ht="30" customHeight="1" x14ac:dyDescent="0.25">
      <c r="A33" s="52"/>
      <c r="B33" s="141" t="s">
        <v>1199</v>
      </c>
      <c r="C33" s="5"/>
      <c r="D33" s="31"/>
      <c r="E33" s="31"/>
      <c r="F33" s="31"/>
      <c r="G33" s="31"/>
      <c r="H33" s="31"/>
      <c r="I33" s="31"/>
      <c r="J33" s="31"/>
      <c r="K33" s="31"/>
      <c r="L33" s="31"/>
      <c r="M33" s="31"/>
      <c r="N33" s="31"/>
      <c r="O33" s="58"/>
      <c r="P33" s="26"/>
      <c r="Q33" s="26"/>
      <c r="R33" s="26"/>
      <c r="S33" s="26"/>
      <c r="T33" s="38"/>
      <c r="U33" s="152"/>
      <c r="W33" s="42"/>
      <c r="Z33" s="142"/>
    </row>
    <row r="34" spans="1:26" s="42" customFormat="1" x14ac:dyDescent="0.25">
      <c r="A34" s="157"/>
      <c r="B34" s="44"/>
      <c r="C34" s="44"/>
      <c r="D34" s="44"/>
      <c r="E34" s="44"/>
      <c r="F34" s="44"/>
      <c r="G34" s="44"/>
      <c r="H34" s="44"/>
      <c r="I34" s="44"/>
      <c r="J34" s="44"/>
      <c r="K34" s="44"/>
      <c r="L34" s="44"/>
      <c r="M34" s="44"/>
      <c r="N34" s="44"/>
      <c r="O34" s="118"/>
      <c r="P34" s="44"/>
      <c r="Q34" s="44"/>
      <c r="R34" s="44"/>
      <c r="S34" s="44"/>
      <c r="T34" s="44"/>
      <c r="U34" s="47"/>
    </row>
    <row r="35" spans="1:26" s="42" customFormat="1" x14ac:dyDescent="0.25">
      <c r="A35" s="166" t="s">
        <v>1200</v>
      </c>
      <c r="B35" s="27" t="s">
        <v>1201</v>
      </c>
      <c r="C35" s="28"/>
      <c r="D35" s="28"/>
      <c r="E35" s="28"/>
      <c r="F35" s="28"/>
      <c r="G35" s="28"/>
      <c r="H35" s="28"/>
      <c r="I35" s="28"/>
      <c r="J35" s="28"/>
      <c r="K35" s="28"/>
      <c r="L35" s="28"/>
      <c r="M35" s="28"/>
      <c r="N35" s="28"/>
      <c r="O35" s="60"/>
      <c r="P35" s="29"/>
      <c r="Q35" s="29"/>
      <c r="R35" s="29"/>
      <c r="S35" s="29"/>
      <c r="T35" s="23"/>
      <c r="U35" s="152"/>
    </row>
    <row r="36" spans="1:26" s="42" customFormat="1" ht="25.5" customHeight="1" x14ac:dyDescent="0.25">
      <c r="A36" s="167"/>
      <c r="B36" s="30" t="s">
        <v>1202</v>
      </c>
      <c r="C36" s="31"/>
      <c r="D36" s="31"/>
      <c r="E36" s="31"/>
      <c r="F36" s="31"/>
      <c r="G36" s="31"/>
      <c r="H36" s="31"/>
      <c r="I36" s="31"/>
      <c r="J36" s="31"/>
      <c r="K36" s="31"/>
      <c r="L36" s="31"/>
      <c r="M36" s="31"/>
      <c r="N36" s="31"/>
      <c r="O36" s="58"/>
      <c r="P36" s="26"/>
      <c r="Q36" s="26"/>
      <c r="R36" s="26"/>
      <c r="S36" s="26"/>
      <c r="T36" s="38"/>
      <c r="U36" s="152"/>
    </row>
    <row r="37" spans="1:26" s="42" customFormat="1" ht="25.5" customHeight="1" x14ac:dyDescent="0.25">
      <c r="A37" s="167"/>
      <c r="B37" s="30" t="s">
        <v>1203</v>
      </c>
      <c r="C37" s="31"/>
      <c r="D37" s="31"/>
      <c r="E37" s="31"/>
      <c r="F37" s="31"/>
      <c r="G37" s="31"/>
      <c r="H37" s="31"/>
      <c r="I37" s="31"/>
      <c r="J37" s="31"/>
      <c r="K37" s="31"/>
      <c r="L37" s="31"/>
      <c r="M37" s="31"/>
      <c r="N37" s="31"/>
      <c r="O37" s="58"/>
      <c r="P37" s="26"/>
      <c r="Q37" s="26"/>
      <c r="R37" s="26"/>
      <c r="S37" s="26"/>
      <c r="T37" s="38"/>
      <c r="U37" s="152"/>
    </row>
    <row r="38" spans="1:26" s="42" customFormat="1" x14ac:dyDescent="0.25">
      <c r="A38" s="167"/>
      <c r="B38" s="30" t="s">
        <v>1204</v>
      </c>
      <c r="C38" s="31"/>
      <c r="D38" s="31"/>
      <c r="E38" s="31"/>
      <c r="F38" s="31"/>
      <c r="G38" s="31"/>
      <c r="H38" s="31"/>
      <c r="I38" s="31"/>
      <c r="J38" s="31"/>
      <c r="K38" s="31"/>
      <c r="L38" s="31"/>
      <c r="M38" s="31"/>
      <c r="N38" s="31"/>
      <c r="O38" s="58"/>
      <c r="P38" s="26"/>
      <c r="Q38" s="26"/>
      <c r="R38" s="26"/>
      <c r="S38" s="26"/>
      <c r="T38" s="38"/>
      <c r="U38" s="152"/>
    </row>
    <row r="39" spans="1:26" s="42" customFormat="1" ht="15.75" customHeight="1" thickBot="1" x14ac:dyDescent="0.3">
      <c r="A39" s="167"/>
      <c r="B39" s="30" t="s">
        <v>1205</v>
      </c>
      <c r="C39" s="31"/>
      <c r="D39" s="31"/>
      <c r="E39" s="31"/>
      <c r="F39" s="31"/>
      <c r="G39" s="31"/>
      <c r="H39" s="31"/>
      <c r="I39" s="31"/>
      <c r="J39" s="31"/>
      <c r="K39" s="31"/>
      <c r="L39" s="31"/>
      <c r="M39" s="31"/>
      <c r="N39" s="31"/>
      <c r="O39" s="58"/>
      <c r="P39" s="26"/>
      <c r="Q39" s="26"/>
      <c r="R39" s="26"/>
      <c r="S39" s="26"/>
      <c r="T39" s="38"/>
      <c r="U39" s="152"/>
    </row>
    <row r="40" spans="1:26" s="42" customFormat="1" ht="15.75" customHeight="1" thickBot="1" x14ac:dyDescent="0.3">
      <c r="A40" s="166" t="s">
        <v>1206</v>
      </c>
      <c r="B40" s="137" t="s">
        <v>937</v>
      </c>
      <c r="C40" s="135" t="s">
        <v>938</v>
      </c>
      <c r="D40" s="55">
        <f t="shared" ref="D40:M40" si="0">D$4*0</f>
        <v>0</v>
      </c>
      <c r="E40" s="55">
        <f t="shared" si="0"/>
        <v>0</v>
      </c>
      <c r="F40" s="36">
        <f t="shared" si="0"/>
        <v>0</v>
      </c>
      <c r="G40" s="36">
        <f t="shared" si="0"/>
        <v>0</v>
      </c>
      <c r="H40" s="36">
        <f t="shared" si="0"/>
        <v>0</v>
      </c>
      <c r="I40" s="36">
        <f t="shared" si="0"/>
        <v>0</v>
      </c>
      <c r="J40" s="36">
        <f t="shared" si="0"/>
        <v>0</v>
      </c>
      <c r="K40" s="36">
        <f t="shared" si="0"/>
        <v>0</v>
      </c>
      <c r="L40" s="36">
        <f t="shared" si="0"/>
        <v>0</v>
      </c>
      <c r="M40" s="36">
        <f t="shared" si="0"/>
        <v>0</v>
      </c>
      <c r="N40" s="56">
        <f>N$4*149.6</f>
        <v>149.6</v>
      </c>
      <c r="O40" s="62">
        <f>SUM(D40:N40)</f>
        <v>149.6</v>
      </c>
      <c r="P40" s="26">
        <v>0</v>
      </c>
      <c r="Q40" s="26">
        <v>0</v>
      </c>
      <c r="R40" s="26">
        <f>P40+Q40</f>
        <v>0</v>
      </c>
      <c r="S40" s="26"/>
      <c r="T40" s="22">
        <f>R40*O40</f>
        <v>0</v>
      </c>
      <c r="U40" s="47"/>
    </row>
    <row r="41" spans="1:26" s="42" customFormat="1" ht="77.25" customHeight="1" thickBot="1" x14ac:dyDescent="0.3">
      <c r="A41" s="166" t="s">
        <v>1207</v>
      </c>
      <c r="B41" s="137" t="s">
        <v>1208</v>
      </c>
      <c r="C41" s="135" t="s">
        <v>938</v>
      </c>
      <c r="D41" s="55">
        <f t="shared" ref="D41:N41" si="1">D40*0.1</f>
        <v>0</v>
      </c>
      <c r="E41" s="55">
        <f t="shared" si="1"/>
        <v>0</v>
      </c>
      <c r="F41" s="36">
        <f t="shared" si="1"/>
        <v>0</v>
      </c>
      <c r="G41" s="36">
        <f t="shared" si="1"/>
        <v>0</v>
      </c>
      <c r="H41" s="36">
        <f t="shared" si="1"/>
        <v>0</v>
      </c>
      <c r="I41" s="36">
        <f t="shared" si="1"/>
        <v>0</v>
      </c>
      <c r="J41" s="36">
        <f t="shared" si="1"/>
        <v>0</v>
      </c>
      <c r="K41" s="36">
        <f t="shared" si="1"/>
        <v>0</v>
      </c>
      <c r="L41" s="36">
        <f t="shared" si="1"/>
        <v>0</v>
      </c>
      <c r="M41" s="36">
        <f t="shared" si="1"/>
        <v>0</v>
      </c>
      <c r="N41" s="56">
        <f t="shared" si="1"/>
        <v>14.96</v>
      </c>
      <c r="O41" s="62">
        <f>SUM(D41:N41)</f>
        <v>14.96</v>
      </c>
      <c r="P41" s="26">
        <v>0</v>
      </c>
      <c r="Q41" s="26">
        <v>0</v>
      </c>
      <c r="R41" s="26">
        <f>P41+Q41</f>
        <v>0</v>
      </c>
      <c r="S41" s="26"/>
      <c r="T41" s="22">
        <f>R41*O41</f>
        <v>0</v>
      </c>
      <c r="U41" s="47"/>
    </row>
    <row r="42" spans="1:26" s="42" customFormat="1" ht="15.75" customHeight="1" thickBot="1" x14ac:dyDescent="0.3">
      <c r="A42" s="166" t="s">
        <v>1209</v>
      </c>
      <c r="B42" s="137" t="s">
        <v>1210</v>
      </c>
      <c r="C42" s="135" t="s">
        <v>938</v>
      </c>
      <c r="D42" s="55">
        <f t="shared" ref="D42:N42" si="2">D40*0.02</f>
        <v>0</v>
      </c>
      <c r="E42" s="55">
        <f t="shared" si="2"/>
        <v>0</v>
      </c>
      <c r="F42" s="36">
        <f t="shared" si="2"/>
        <v>0</v>
      </c>
      <c r="G42" s="36">
        <f t="shared" si="2"/>
        <v>0</v>
      </c>
      <c r="H42" s="36">
        <f t="shared" si="2"/>
        <v>0</v>
      </c>
      <c r="I42" s="36">
        <f t="shared" si="2"/>
        <v>0</v>
      </c>
      <c r="J42" s="36">
        <f t="shared" si="2"/>
        <v>0</v>
      </c>
      <c r="K42" s="36">
        <f t="shared" si="2"/>
        <v>0</v>
      </c>
      <c r="L42" s="36">
        <f t="shared" si="2"/>
        <v>0</v>
      </c>
      <c r="M42" s="36">
        <f t="shared" si="2"/>
        <v>0</v>
      </c>
      <c r="N42" s="56">
        <f t="shared" si="2"/>
        <v>2.992</v>
      </c>
      <c r="O42" s="62">
        <f>SUM(D42:N42)</f>
        <v>2.992</v>
      </c>
      <c r="P42" s="26">
        <v>0</v>
      </c>
      <c r="Q42" s="26">
        <v>0</v>
      </c>
      <c r="R42" s="26">
        <f>P42+Q42</f>
        <v>0</v>
      </c>
      <c r="S42" s="26"/>
      <c r="T42" s="22">
        <f>R42*O42</f>
        <v>0</v>
      </c>
      <c r="U42" s="47"/>
    </row>
    <row r="43" spans="1:26" s="42" customFormat="1" x14ac:dyDescent="0.25">
      <c r="A43" s="157"/>
      <c r="B43" s="44"/>
      <c r="C43" s="44"/>
      <c r="D43" s="44"/>
      <c r="E43" s="44"/>
      <c r="F43" s="44"/>
      <c r="G43" s="44"/>
      <c r="H43" s="44"/>
      <c r="I43" s="44"/>
      <c r="J43" s="44"/>
      <c r="K43" s="44"/>
      <c r="L43" s="44"/>
      <c r="M43" s="44"/>
      <c r="N43" s="44"/>
      <c r="O43" s="118"/>
      <c r="P43" s="44"/>
      <c r="Q43" s="44"/>
      <c r="R43" s="44"/>
      <c r="S43" s="44"/>
      <c r="T43" s="44"/>
      <c r="U43" s="47"/>
    </row>
    <row r="44" spans="1:26" s="42" customFormat="1" x14ac:dyDescent="0.25">
      <c r="A44" s="166" t="s">
        <v>1211</v>
      </c>
      <c r="B44" s="27" t="s">
        <v>1212</v>
      </c>
      <c r="C44" s="28"/>
      <c r="D44" s="28"/>
      <c r="E44" s="28"/>
      <c r="F44" s="28"/>
      <c r="G44" s="28"/>
      <c r="H44" s="28"/>
      <c r="I44" s="28"/>
      <c r="J44" s="28"/>
      <c r="K44" s="28"/>
      <c r="L44" s="28"/>
      <c r="M44" s="28"/>
      <c r="N44" s="28"/>
      <c r="O44" s="60"/>
      <c r="P44" s="29"/>
      <c r="Q44" s="29"/>
      <c r="R44" s="29"/>
      <c r="S44" s="29"/>
      <c r="T44" s="23"/>
      <c r="U44" s="152"/>
    </row>
    <row r="45" spans="1:26" s="42" customFormat="1" ht="25.5" customHeight="1" x14ac:dyDescent="0.25">
      <c r="A45" s="167"/>
      <c r="B45" s="30" t="s">
        <v>1202</v>
      </c>
      <c r="C45" s="31"/>
      <c r="D45" s="31"/>
      <c r="E45" s="31"/>
      <c r="F45" s="31"/>
      <c r="G45" s="31"/>
      <c r="H45" s="31"/>
      <c r="I45" s="31"/>
      <c r="J45" s="31"/>
      <c r="K45" s="31"/>
      <c r="L45" s="31"/>
      <c r="M45" s="31"/>
      <c r="N45" s="31"/>
      <c r="O45" s="58"/>
      <c r="P45" s="26"/>
      <c r="Q45" s="26"/>
      <c r="R45" s="26"/>
      <c r="S45" s="26"/>
      <c r="T45" s="38"/>
      <c r="U45" s="152"/>
    </row>
    <row r="46" spans="1:26" s="42" customFormat="1" ht="25.5" customHeight="1" x14ac:dyDescent="0.25">
      <c r="A46" s="167"/>
      <c r="B46" s="30" t="s">
        <v>1213</v>
      </c>
      <c r="C46" s="31"/>
      <c r="D46" s="31"/>
      <c r="E46" s="31"/>
      <c r="F46" s="31"/>
      <c r="G46" s="31"/>
      <c r="H46" s="31"/>
      <c r="I46" s="31"/>
      <c r="J46" s="31"/>
      <c r="K46" s="31"/>
      <c r="L46" s="31"/>
      <c r="M46" s="31"/>
      <c r="N46" s="31"/>
      <c r="O46" s="58"/>
      <c r="P46" s="26"/>
      <c r="Q46" s="26"/>
      <c r="R46" s="26"/>
      <c r="S46" s="26"/>
      <c r="T46" s="38"/>
      <c r="U46" s="152"/>
    </row>
    <row r="47" spans="1:26" s="42" customFormat="1" ht="15.75" customHeight="1" thickBot="1" x14ac:dyDescent="0.3">
      <c r="A47" s="167"/>
      <c r="B47" s="30" t="s">
        <v>1214</v>
      </c>
      <c r="C47" s="31"/>
      <c r="D47" s="31"/>
      <c r="E47" s="31"/>
      <c r="F47" s="31"/>
      <c r="G47" s="31"/>
      <c r="H47" s="31"/>
      <c r="I47" s="31"/>
      <c r="J47" s="31"/>
      <c r="K47" s="31"/>
      <c r="L47" s="31"/>
      <c r="M47" s="31"/>
      <c r="N47" s="31"/>
      <c r="O47" s="58"/>
      <c r="P47" s="26"/>
      <c r="Q47" s="26"/>
      <c r="R47" s="26"/>
      <c r="S47" s="26"/>
      <c r="T47" s="38"/>
      <c r="U47" s="152"/>
    </row>
    <row r="48" spans="1:26" s="42" customFormat="1" ht="15.75" customHeight="1" thickBot="1" x14ac:dyDescent="0.3">
      <c r="A48" s="166" t="s">
        <v>1215</v>
      </c>
      <c r="B48" s="137" t="s">
        <v>937</v>
      </c>
      <c r="C48" s="135" t="s">
        <v>938</v>
      </c>
      <c r="D48" s="55">
        <f t="shared" ref="D48:M48" si="3">D$4*0</f>
        <v>0</v>
      </c>
      <c r="E48" s="55">
        <f t="shared" si="3"/>
        <v>0</v>
      </c>
      <c r="F48" s="36">
        <f t="shared" si="3"/>
        <v>0</v>
      </c>
      <c r="G48" s="36">
        <f t="shared" si="3"/>
        <v>0</v>
      </c>
      <c r="H48" s="36">
        <f t="shared" si="3"/>
        <v>0</v>
      </c>
      <c r="I48" s="36">
        <f t="shared" si="3"/>
        <v>0</v>
      </c>
      <c r="J48" s="36">
        <f t="shared" si="3"/>
        <v>0</v>
      </c>
      <c r="K48" s="36">
        <f t="shared" si="3"/>
        <v>0</v>
      </c>
      <c r="L48" s="36">
        <f t="shared" si="3"/>
        <v>0</v>
      </c>
      <c r="M48" s="36">
        <f t="shared" si="3"/>
        <v>0</v>
      </c>
      <c r="N48" s="56">
        <f>N$4*179.3</f>
        <v>179.3</v>
      </c>
      <c r="O48" s="62">
        <f>SUM(D48:N48)</f>
        <v>179.3</v>
      </c>
      <c r="P48" s="26">
        <v>0</v>
      </c>
      <c r="Q48" s="26">
        <v>0</v>
      </c>
      <c r="R48" s="26">
        <f>P48+Q48</f>
        <v>0</v>
      </c>
      <c r="S48" s="26"/>
      <c r="T48" s="22">
        <f>R48*O48</f>
        <v>0</v>
      </c>
      <c r="U48" s="47"/>
    </row>
    <row r="49" spans="1:21" s="42" customFormat="1" ht="77.25" customHeight="1" thickBot="1" x14ac:dyDescent="0.3">
      <c r="A49" s="166" t="s">
        <v>1216</v>
      </c>
      <c r="B49" s="137" t="s">
        <v>1208</v>
      </c>
      <c r="C49" s="135" t="s">
        <v>938</v>
      </c>
      <c r="D49" s="55">
        <f t="shared" ref="D49:N49" si="4">D48*0.1</f>
        <v>0</v>
      </c>
      <c r="E49" s="55">
        <f t="shared" si="4"/>
        <v>0</v>
      </c>
      <c r="F49" s="36">
        <f t="shared" si="4"/>
        <v>0</v>
      </c>
      <c r="G49" s="36">
        <f t="shared" si="4"/>
        <v>0</v>
      </c>
      <c r="H49" s="36">
        <f t="shared" si="4"/>
        <v>0</v>
      </c>
      <c r="I49" s="36">
        <f t="shared" si="4"/>
        <v>0</v>
      </c>
      <c r="J49" s="36">
        <f t="shared" si="4"/>
        <v>0</v>
      </c>
      <c r="K49" s="36">
        <f t="shared" si="4"/>
        <v>0</v>
      </c>
      <c r="L49" s="36">
        <f t="shared" si="4"/>
        <v>0</v>
      </c>
      <c r="M49" s="36">
        <f t="shared" si="4"/>
        <v>0</v>
      </c>
      <c r="N49" s="56">
        <f t="shared" si="4"/>
        <v>17.930000000000003</v>
      </c>
      <c r="O49" s="62">
        <f>SUM(D49:N49)</f>
        <v>17.930000000000003</v>
      </c>
      <c r="P49" s="26">
        <v>0</v>
      </c>
      <c r="Q49" s="26">
        <v>0</v>
      </c>
      <c r="R49" s="26">
        <f>P49+Q49</f>
        <v>0</v>
      </c>
      <c r="S49" s="26"/>
      <c r="T49" s="22">
        <f>R49*O49</f>
        <v>0</v>
      </c>
      <c r="U49" s="47"/>
    </row>
    <row r="50" spans="1:21" s="42" customFormat="1" ht="15.75" customHeight="1" thickBot="1" x14ac:dyDescent="0.3">
      <c r="A50" s="166" t="s">
        <v>1217</v>
      </c>
      <c r="B50" s="137" t="s">
        <v>1210</v>
      </c>
      <c r="C50" s="135" t="s">
        <v>938</v>
      </c>
      <c r="D50" s="55">
        <f t="shared" ref="D50:N50" si="5">D48*0.02</f>
        <v>0</v>
      </c>
      <c r="E50" s="55">
        <f t="shared" si="5"/>
        <v>0</v>
      </c>
      <c r="F50" s="36">
        <f t="shared" si="5"/>
        <v>0</v>
      </c>
      <c r="G50" s="36">
        <f t="shared" si="5"/>
        <v>0</v>
      </c>
      <c r="H50" s="36">
        <f t="shared" si="5"/>
        <v>0</v>
      </c>
      <c r="I50" s="36">
        <f t="shared" si="5"/>
        <v>0</v>
      </c>
      <c r="J50" s="36">
        <f t="shared" si="5"/>
        <v>0</v>
      </c>
      <c r="K50" s="36">
        <f t="shared" si="5"/>
        <v>0</v>
      </c>
      <c r="L50" s="36">
        <f t="shared" si="5"/>
        <v>0</v>
      </c>
      <c r="M50" s="36">
        <f t="shared" si="5"/>
        <v>0</v>
      </c>
      <c r="N50" s="56">
        <f t="shared" si="5"/>
        <v>3.5860000000000003</v>
      </c>
      <c r="O50" s="62">
        <f>SUM(D50:N50)</f>
        <v>3.5860000000000003</v>
      </c>
      <c r="P50" s="26">
        <v>0</v>
      </c>
      <c r="Q50" s="26">
        <v>0</v>
      </c>
      <c r="R50" s="26">
        <f>P50+Q50</f>
        <v>0</v>
      </c>
      <c r="S50" s="26"/>
      <c r="T50" s="22">
        <f>R50*O50</f>
        <v>0</v>
      </c>
      <c r="U50" s="47"/>
    </row>
    <row r="51" spans="1:21" s="42" customFormat="1" x14ac:dyDescent="0.25">
      <c r="A51" s="157"/>
      <c r="B51" s="44"/>
      <c r="C51" s="44"/>
      <c r="D51" s="44"/>
      <c r="E51" s="44"/>
      <c r="F51" s="44"/>
      <c r="G51" s="44"/>
      <c r="H51" s="44"/>
      <c r="I51" s="44"/>
      <c r="J51" s="44"/>
      <c r="K51" s="44"/>
      <c r="L51" s="44"/>
      <c r="M51" s="44"/>
      <c r="N51" s="44"/>
      <c r="O51" s="118"/>
      <c r="P51" s="44"/>
      <c r="Q51" s="44"/>
      <c r="R51" s="44"/>
      <c r="S51" s="44"/>
      <c r="T51" s="44"/>
      <c r="U51" s="47"/>
    </row>
    <row r="52" spans="1:21" s="42" customFormat="1" x14ac:dyDescent="0.25">
      <c r="A52" s="166" t="s">
        <v>1218</v>
      </c>
      <c r="B52" s="27" t="s">
        <v>1219</v>
      </c>
      <c r="C52" s="28"/>
      <c r="D52" s="28"/>
      <c r="E52" s="28"/>
      <c r="F52" s="28"/>
      <c r="G52" s="28"/>
      <c r="H52" s="28"/>
      <c r="I52" s="28"/>
      <c r="J52" s="28"/>
      <c r="K52" s="28"/>
      <c r="L52" s="28"/>
      <c r="M52" s="28"/>
      <c r="N52" s="28"/>
      <c r="O52" s="60"/>
      <c r="P52" s="29"/>
      <c r="Q52" s="29"/>
      <c r="R52" s="29"/>
      <c r="S52" s="29"/>
      <c r="T52" s="23"/>
      <c r="U52" s="152"/>
    </row>
    <row r="53" spans="1:21" s="42" customFormat="1" ht="25.5" customHeight="1" x14ac:dyDescent="0.25">
      <c r="A53" s="167"/>
      <c r="B53" s="30" t="s">
        <v>1220</v>
      </c>
      <c r="C53" s="31"/>
      <c r="D53" s="31"/>
      <c r="E53" s="31"/>
      <c r="F53" s="31"/>
      <c r="G53" s="31"/>
      <c r="H53" s="31"/>
      <c r="I53" s="31"/>
      <c r="J53" s="31"/>
      <c r="K53" s="31"/>
      <c r="L53" s="31"/>
      <c r="M53" s="31"/>
      <c r="N53" s="31"/>
      <c r="O53" s="58"/>
      <c r="P53" s="26"/>
      <c r="Q53" s="26"/>
      <c r="R53" s="26"/>
      <c r="S53" s="26"/>
      <c r="T53" s="38"/>
      <c r="U53" s="152"/>
    </row>
    <row r="54" spans="1:21" s="42" customFormat="1" x14ac:dyDescent="0.25">
      <c r="A54" s="167"/>
      <c r="B54" s="30" t="s">
        <v>1221</v>
      </c>
      <c r="C54" s="31"/>
      <c r="D54" s="31"/>
      <c r="E54" s="31"/>
      <c r="F54" s="31"/>
      <c r="G54" s="31"/>
      <c r="H54" s="31"/>
      <c r="I54" s="31"/>
      <c r="J54" s="31"/>
      <c r="K54" s="31"/>
      <c r="L54" s="31"/>
      <c r="M54" s="31"/>
      <c r="N54" s="31"/>
      <c r="O54" s="58"/>
      <c r="P54" s="26"/>
      <c r="Q54" s="26"/>
      <c r="R54" s="26"/>
      <c r="S54" s="26"/>
      <c r="T54" s="38"/>
      <c r="U54" s="152"/>
    </row>
    <row r="55" spans="1:21" s="42" customFormat="1" ht="15.75" customHeight="1" thickBot="1" x14ac:dyDescent="0.3">
      <c r="A55" s="167"/>
      <c r="B55" s="30" t="s">
        <v>1214</v>
      </c>
      <c r="C55" s="31"/>
      <c r="D55" s="31"/>
      <c r="E55" s="31"/>
      <c r="F55" s="31"/>
      <c r="G55" s="31"/>
      <c r="H55" s="31"/>
      <c r="I55" s="31"/>
      <c r="J55" s="31"/>
      <c r="K55" s="31"/>
      <c r="L55" s="31"/>
      <c r="M55" s="31"/>
      <c r="N55" s="31"/>
      <c r="O55" s="58"/>
      <c r="P55" s="26"/>
      <c r="Q55" s="26"/>
      <c r="R55" s="26"/>
      <c r="S55" s="26"/>
      <c r="T55" s="38"/>
      <c r="U55" s="152"/>
    </row>
    <row r="56" spans="1:21" s="42" customFormat="1" ht="15.75" customHeight="1" thickBot="1" x14ac:dyDescent="0.3">
      <c r="A56" s="166" t="s">
        <v>1222</v>
      </c>
      <c r="B56" s="137" t="s">
        <v>937</v>
      </c>
      <c r="C56" s="135" t="s">
        <v>938</v>
      </c>
      <c r="D56" s="55">
        <f t="shared" ref="D56:M56" si="6">D$4*0</f>
        <v>0</v>
      </c>
      <c r="E56" s="55">
        <f t="shared" si="6"/>
        <v>0</v>
      </c>
      <c r="F56" s="36">
        <f t="shared" si="6"/>
        <v>0</v>
      </c>
      <c r="G56" s="36">
        <f t="shared" si="6"/>
        <v>0</v>
      </c>
      <c r="H56" s="36">
        <f t="shared" si="6"/>
        <v>0</v>
      </c>
      <c r="I56" s="36">
        <f t="shared" si="6"/>
        <v>0</v>
      </c>
      <c r="J56" s="36">
        <f t="shared" si="6"/>
        <v>0</v>
      </c>
      <c r="K56" s="36">
        <f t="shared" si="6"/>
        <v>0</v>
      </c>
      <c r="L56" s="36">
        <f t="shared" si="6"/>
        <v>0</v>
      </c>
      <c r="M56" s="36">
        <f t="shared" si="6"/>
        <v>0</v>
      </c>
      <c r="N56" s="56">
        <v>7.5</v>
      </c>
      <c r="O56" s="62">
        <f>SUM(D56:N56)</f>
        <v>7.5</v>
      </c>
      <c r="P56" s="26">
        <v>0</v>
      </c>
      <c r="Q56" s="26">
        <v>0</v>
      </c>
      <c r="R56" s="26">
        <f>P56+Q56</f>
        <v>0</v>
      </c>
      <c r="S56" s="26"/>
      <c r="T56" s="22">
        <f>R56*O56</f>
        <v>0</v>
      </c>
      <c r="U56" s="47"/>
    </row>
    <row r="57" spans="1:21" s="42" customFormat="1" ht="77.25" customHeight="1" thickBot="1" x14ac:dyDescent="0.3">
      <c r="A57" s="166" t="s">
        <v>1223</v>
      </c>
      <c r="B57" s="137" t="s">
        <v>1208</v>
      </c>
      <c r="C57" s="135" t="s">
        <v>938</v>
      </c>
      <c r="D57" s="55">
        <f t="shared" ref="D57:N57" si="7">D56*0.1</f>
        <v>0</v>
      </c>
      <c r="E57" s="55">
        <f t="shared" si="7"/>
        <v>0</v>
      </c>
      <c r="F57" s="36">
        <f t="shared" si="7"/>
        <v>0</v>
      </c>
      <c r="G57" s="36">
        <f t="shared" si="7"/>
        <v>0</v>
      </c>
      <c r="H57" s="36">
        <f t="shared" si="7"/>
        <v>0</v>
      </c>
      <c r="I57" s="36">
        <f t="shared" si="7"/>
        <v>0</v>
      </c>
      <c r="J57" s="36">
        <f t="shared" si="7"/>
        <v>0</v>
      </c>
      <c r="K57" s="36">
        <f t="shared" si="7"/>
        <v>0</v>
      </c>
      <c r="L57" s="36">
        <f t="shared" si="7"/>
        <v>0</v>
      </c>
      <c r="M57" s="36">
        <f t="shared" si="7"/>
        <v>0</v>
      </c>
      <c r="N57" s="56">
        <f t="shared" si="7"/>
        <v>0.75</v>
      </c>
      <c r="O57" s="62">
        <f>SUM(D57:N57)</f>
        <v>0.75</v>
      </c>
      <c r="P57" s="26">
        <v>0</v>
      </c>
      <c r="Q57" s="26">
        <v>0</v>
      </c>
      <c r="R57" s="26">
        <f>P57+Q57</f>
        <v>0</v>
      </c>
      <c r="S57" s="26"/>
      <c r="T57" s="22">
        <f>R57*O57</f>
        <v>0</v>
      </c>
      <c r="U57" s="47"/>
    </row>
    <row r="58" spans="1:21" s="42" customFormat="1" ht="15.75" customHeight="1" thickBot="1" x14ac:dyDescent="0.3">
      <c r="A58" s="166" t="s">
        <v>1224</v>
      </c>
      <c r="B58" s="137" t="s">
        <v>1210</v>
      </c>
      <c r="C58" s="135" t="s">
        <v>938</v>
      </c>
      <c r="D58" s="55">
        <f t="shared" ref="D58:N58" si="8">D56*0.02</f>
        <v>0</v>
      </c>
      <c r="E58" s="55">
        <f t="shared" si="8"/>
        <v>0</v>
      </c>
      <c r="F58" s="36">
        <f t="shared" si="8"/>
        <v>0</v>
      </c>
      <c r="G58" s="36">
        <f t="shared" si="8"/>
        <v>0</v>
      </c>
      <c r="H58" s="36">
        <f t="shared" si="8"/>
        <v>0</v>
      </c>
      <c r="I58" s="36">
        <f t="shared" si="8"/>
        <v>0</v>
      </c>
      <c r="J58" s="36">
        <f t="shared" si="8"/>
        <v>0</v>
      </c>
      <c r="K58" s="36">
        <f t="shared" si="8"/>
        <v>0</v>
      </c>
      <c r="L58" s="36">
        <f t="shared" si="8"/>
        <v>0</v>
      </c>
      <c r="M58" s="36">
        <f t="shared" si="8"/>
        <v>0</v>
      </c>
      <c r="N58" s="56">
        <f t="shared" si="8"/>
        <v>0.15</v>
      </c>
      <c r="O58" s="62">
        <f>SUM(D58:N58)</f>
        <v>0.15</v>
      </c>
      <c r="P58" s="26">
        <v>0</v>
      </c>
      <c r="Q58" s="26">
        <v>0</v>
      </c>
      <c r="R58" s="26">
        <f>P58+Q58</f>
        <v>0</v>
      </c>
      <c r="S58" s="26"/>
      <c r="T58" s="22">
        <f>R58*O58</f>
        <v>0</v>
      </c>
      <c r="U58" s="47"/>
    </row>
    <row r="59" spans="1:21" s="42" customFormat="1" x14ac:dyDescent="0.25">
      <c r="A59" s="157"/>
      <c r="B59" s="44"/>
      <c r="C59" s="44"/>
      <c r="D59" s="44"/>
      <c r="E59" s="44"/>
      <c r="F59" s="44"/>
      <c r="G59" s="44"/>
      <c r="H59" s="44"/>
      <c r="I59" s="44"/>
      <c r="J59" s="44"/>
      <c r="K59" s="44"/>
      <c r="L59" s="44"/>
      <c r="M59" s="44"/>
      <c r="N59" s="44"/>
      <c r="O59" s="118"/>
      <c r="P59" s="44"/>
      <c r="Q59" s="44"/>
      <c r="R59" s="44"/>
      <c r="S59" s="44"/>
      <c r="T59" s="44"/>
      <c r="U59" s="47"/>
    </row>
    <row r="60" spans="1:21" s="42" customFormat="1" ht="27.75" customHeight="1" x14ac:dyDescent="0.25">
      <c r="A60" s="166" t="s">
        <v>1225</v>
      </c>
      <c r="B60" s="147" t="s">
        <v>1226</v>
      </c>
      <c r="C60" s="28"/>
      <c r="D60" s="28"/>
      <c r="E60" s="28"/>
      <c r="F60" s="28"/>
      <c r="G60" s="28"/>
      <c r="H60" s="28"/>
      <c r="I60" s="28"/>
      <c r="J60" s="28"/>
      <c r="K60" s="28"/>
      <c r="L60" s="28"/>
      <c r="M60" s="28"/>
      <c r="N60" s="28"/>
      <c r="O60" s="60"/>
      <c r="P60" s="29"/>
      <c r="Q60" s="29"/>
      <c r="R60" s="29"/>
      <c r="S60" s="29"/>
      <c r="T60" s="23"/>
      <c r="U60" s="152"/>
    </row>
    <row r="61" spans="1:21" s="42" customFormat="1" ht="25.5" customHeight="1" x14ac:dyDescent="0.25">
      <c r="A61" s="167"/>
      <c r="B61" s="141" t="s">
        <v>1227</v>
      </c>
      <c r="C61" s="31"/>
      <c r="D61" s="31"/>
      <c r="E61" s="31"/>
      <c r="F61" s="31"/>
      <c r="G61" s="31"/>
      <c r="H61" s="31"/>
      <c r="I61" s="31"/>
      <c r="J61" s="31"/>
      <c r="K61" s="31"/>
      <c r="L61" s="31"/>
      <c r="M61" s="31"/>
      <c r="N61" s="31"/>
      <c r="O61" s="58"/>
      <c r="P61" s="26"/>
      <c r="Q61" s="26"/>
      <c r="R61" s="26"/>
      <c r="S61" s="26"/>
      <c r="T61" s="38"/>
      <c r="U61" s="152"/>
    </row>
    <row r="62" spans="1:21" s="42" customFormat="1" ht="25.5" customHeight="1" x14ac:dyDescent="0.25">
      <c r="A62" s="167"/>
      <c r="B62" s="141" t="s">
        <v>1228</v>
      </c>
      <c r="C62" s="31"/>
      <c r="D62" s="31"/>
      <c r="E62" s="31"/>
      <c r="F62" s="31"/>
      <c r="G62" s="31"/>
      <c r="H62" s="31"/>
      <c r="I62" s="31"/>
      <c r="J62" s="31"/>
      <c r="K62" s="31"/>
      <c r="L62" s="31"/>
      <c r="M62" s="31"/>
      <c r="N62" s="31"/>
      <c r="O62" s="58"/>
      <c r="P62" s="26"/>
      <c r="Q62" s="26"/>
      <c r="R62" s="26"/>
      <c r="S62" s="26"/>
      <c r="T62" s="38"/>
      <c r="U62" s="152"/>
    </row>
    <row r="63" spans="1:21" s="42" customFormat="1" x14ac:dyDescent="0.25">
      <c r="A63" s="167"/>
      <c r="B63" s="141" t="s">
        <v>1229</v>
      </c>
      <c r="C63" s="31"/>
      <c r="D63" s="31"/>
      <c r="E63" s="31"/>
      <c r="F63" s="31"/>
      <c r="G63" s="31"/>
      <c r="H63" s="31"/>
      <c r="I63" s="31"/>
      <c r="J63" s="31"/>
      <c r="K63" s="31"/>
      <c r="L63" s="31"/>
      <c r="M63" s="31"/>
      <c r="N63" s="31"/>
      <c r="O63" s="58"/>
      <c r="P63" s="26"/>
      <c r="Q63" s="26"/>
      <c r="R63" s="26"/>
      <c r="S63" s="26"/>
      <c r="T63" s="38"/>
      <c r="U63" s="152"/>
    </row>
    <row r="64" spans="1:21" s="42" customFormat="1" ht="15.75" customHeight="1" thickBot="1" x14ac:dyDescent="0.3">
      <c r="A64" s="167"/>
      <c r="B64" s="141" t="s">
        <v>1230</v>
      </c>
      <c r="C64" s="31"/>
      <c r="D64" s="31"/>
      <c r="E64" s="31"/>
      <c r="F64" s="31"/>
      <c r="G64" s="31"/>
      <c r="H64" s="31"/>
      <c r="I64" s="31"/>
      <c r="J64" s="31"/>
      <c r="K64" s="31"/>
      <c r="L64" s="31"/>
      <c r="M64" s="31"/>
      <c r="N64" s="31"/>
      <c r="O64" s="58"/>
      <c r="P64" s="26"/>
      <c r="Q64" s="26"/>
      <c r="R64" s="26"/>
      <c r="S64" s="26"/>
      <c r="T64" s="38"/>
      <c r="U64" s="152"/>
    </row>
    <row r="65" spans="1:21" s="200" customFormat="1" ht="26.25" customHeight="1" thickBot="1" x14ac:dyDescent="0.3">
      <c r="A65" s="282" t="s">
        <v>1231</v>
      </c>
      <c r="B65" s="188" t="s">
        <v>1232</v>
      </c>
      <c r="C65" s="189" t="s">
        <v>938</v>
      </c>
      <c r="D65" s="190">
        <f>D$4*3.2</f>
        <v>3.2</v>
      </c>
      <c r="E65" s="190">
        <f>E$4*3.2</f>
        <v>3.2</v>
      </c>
      <c r="F65" s="191">
        <f>F$4*3.1</f>
        <v>3.1</v>
      </c>
      <c r="G65" s="191">
        <f>G$4*3.1</f>
        <v>3.1</v>
      </c>
      <c r="H65" s="191">
        <f>H$4*4.5</f>
        <v>18</v>
      </c>
      <c r="I65" s="191">
        <f>I$4*2.5</f>
        <v>2.5</v>
      </c>
      <c r="J65" s="191">
        <f>J$4*2.5</f>
        <v>2.5</v>
      </c>
      <c r="K65" s="191">
        <f>K$4*3.9</f>
        <v>7.8</v>
      </c>
      <c r="L65" s="191">
        <f>L$4*17</f>
        <v>17</v>
      </c>
      <c r="M65" s="191">
        <f>M$4*0</f>
        <v>0</v>
      </c>
      <c r="N65" s="192">
        <f>N$4*0</f>
        <v>0</v>
      </c>
      <c r="O65" s="193">
        <f>SUM(D65:N65)</f>
        <v>60.4</v>
      </c>
      <c r="P65" s="194">
        <v>0</v>
      </c>
      <c r="Q65" s="194">
        <v>0</v>
      </c>
      <c r="R65" s="194">
        <f>P65+Q65</f>
        <v>0</v>
      </c>
      <c r="S65" s="194"/>
      <c r="T65" s="195">
        <f>R65*O65</f>
        <v>0</v>
      </c>
      <c r="U65" s="208"/>
    </row>
    <row r="66" spans="1:21" s="200" customFormat="1" ht="77.25" customHeight="1" thickBot="1" x14ac:dyDescent="0.3">
      <c r="A66" s="282" t="s">
        <v>1233</v>
      </c>
      <c r="B66" s="188" t="s">
        <v>1234</v>
      </c>
      <c r="C66" s="189" t="s">
        <v>938</v>
      </c>
      <c r="D66" s="190">
        <f t="shared" ref="D66:N66" si="9">D65*0.1</f>
        <v>0.32000000000000006</v>
      </c>
      <c r="E66" s="190">
        <f t="shared" si="9"/>
        <v>0.32000000000000006</v>
      </c>
      <c r="F66" s="191">
        <f t="shared" si="9"/>
        <v>0.31000000000000005</v>
      </c>
      <c r="G66" s="191">
        <f t="shared" si="9"/>
        <v>0.31000000000000005</v>
      </c>
      <c r="H66" s="191">
        <f t="shared" si="9"/>
        <v>1.8</v>
      </c>
      <c r="I66" s="191">
        <f t="shared" si="9"/>
        <v>0.25</v>
      </c>
      <c r="J66" s="191">
        <f t="shared" si="9"/>
        <v>0.25</v>
      </c>
      <c r="K66" s="191">
        <f t="shared" si="9"/>
        <v>0.78</v>
      </c>
      <c r="L66" s="191">
        <f t="shared" si="9"/>
        <v>1.7000000000000002</v>
      </c>
      <c r="M66" s="191">
        <f t="shared" si="9"/>
        <v>0</v>
      </c>
      <c r="N66" s="192">
        <f t="shared" si="9"/>
        <v>0</v>
      </c>
      <c r="O66" s="193">
        <f>SUM(D66:N66)</f>
        <v>6.0400000000000009</v>
      </c>
      <c r="P66" s="194">
        <v>0</v>
      </c>
      <c r="Q66" s="194">
        <v>0</v>
      </c>
      <c r="R66" s="194">
        <f>P66+Q66</f>
        <v>0</v>
      </c>
      <c r="S66" s="194"/>
      <c r="T66" s="195">
        <f>R66*O66</f>
        <v>0</v>
      </c>
      <c r="U66" s="208"/>
    </row>
    <row r="67" spans="1:21" s="200" customFormat="1" ht="15.75" customHeight="1" thickBot="1" x14ac:dyDescent="0.3">
      <c r="A67" s="282" t="s">
        <v>1235</v>
      </c>
      <c r="B67" s="188" t="s">
        <v>1210</v>
      </c>
      <c r="C67" s="189" t="s">
        <v>938</v>
      </c>
      <c r="D67" s="190">
        <f t="shared" ref="D67:N67" si="10">D65*0.02</f>
        <v>6.4000000000000001E-2</v>
      </c>
      <c r="E67" s="190">
        <f t="shared" si="10"/>
        <v>6.4000000000000001E-2</v>
      </c>
      <c r="F67" s="191">
        <f t="shared" si="10"/>
        <v>6.2000000000000006E-2</v>
      </c>
      <c r="G67" s="191">
        <f t="shared" si="10"/>
        <v>6.2000000000000006E-2</v>
      </c>
      <c r="H67" s="191">
        <f t="shared" si="10"/>
        <v>0.36</v>
      </c>
      <c r="I67" s="191">
        <f t="shared" si="10"/>
        <v>0.05</v>
      </c>
      <c r="J67" s="191">
        <f t="shared" si="10"/>
        <v>0.05</v>
      </c>
      <c r="K67" s="191">
        <f t="shared" si="10"/>
        <v>0.156</v>
      </c>
      <c r="L67" s="191">
        <f t="shared" si="10"/>
        <v>0.34</v>
      </c>
      <c r="M67" s="191">
        <f t="shared" si="10"/>
        <v>0</v>
      </c>
      <c r="N67" s="192">
        <f t="shared" si="10"/>
        <v>0</v>
      </c>
      <c r="O67" s="193">
        <f>SUM(D67:N67)</f>
        <v>1.2080000000000002</v>
      </c>
      <c r="P67" s="194">
        <v>0</v>
      </c>
      <c r="Q67" s="194">
        <v>0</v>
      </c>
      <c r="R67" s="194">
        <f>P67+Q67</f>
        <v>0</v>
      </c>
      <c r="S67" s="194"/>
      <c r="T67" s="195">
        <f>R67*O67</f>
        <v>0</v>
      </c>
      <c r="U67" s="208"/>
    </row>
    <row r="68" spans="1:21" s="42" customFormat="1" x14ac:dyDescent="0.25">
      <c r="A68" s="157"/>
      <c r="B68" s="44"/>
      <c r="C68" s="44"/>
      <c r="D68" s="44"/>
      <c r="E68" s="44"/>
      <c r="F68" s="44"/>
      <c r="G68" s="44"/>
      <c r="H68" s="44"/>
      <c r="I68" s="44"/>
      <c r="J68" s="44"/>
      <c r="K68" s="44"/>
      <c r="L68" s="44"/>
      <c r="M68" s="44"/>
      <c r="N68" s="44"/>
      <c r="O68" s="118"/>
      <c r="P68" s="44"/>
      <c r="Q68" s="44"/>
      <c r="R68" s="44"/>
      <c r="S68" s="44"/>
      <c r="T68" s="44"/>
      <c r="U68" s="47"/>
    </row>
    <row r="69" spans="1:21" s="42" customFormat="1" ht="27.75" customHeight="1" x14ac:dyDescent="0.25">
      <c r="A69" s="166" t="s">
        <v>1236</v>
      </c>
      <c r="B69" s="147" t="s">
        <v>1237</v>
      </c>
      <c r="C69" s="28"/>
      <c r="D69" s="28"/>
      <c r="E69" s="28"/>
      <c r="F69" s="28"/>
      <c r="G69" s="28"/>
      <c r="H69" s="28"/>
      <c r="I69" s="28"/>
      <c r="J69" s="28"/>
      <c r="K69" s="28"/>
      <c r="L69" s="28"/>
      <c r="M69" s="28"/>
      <c r="N69" s="28"/>
      <c r="O69" s="60"/>
      <c r="P69" s="29"/>
      <c r="Q69" s="29"/>
      <c r="R69" s="29"/>
      <c r="S69" s="29"/>
      <c r="T69" s="23"/>
      <c r="U69" s="152"/>
    </row>
    <row r="70" spans="1:21" s="42" customFormat="1" x14ac:dyDescent="0.25">
      <c r="A70" s="167"/>
      <c r="B70" s="141" t="s">
        <v>1238</v>
      </c>
      <c r="C70" s="31"/>
      <c r="D70" s="31"/>
      <c r="E70" s="31"/>
      <c r="F70" s="31"/>
      <c r="G70" s="31"/>
      <c r="H70" s="31"/>
      <c r="I70" s="31"/>
      <c r="J70" s="31"/>
      <c r="K70" s="31"/>
      <c r="L70" s="31"/>
      <c r="M70" s="31"/>
      <c r="N70" s="31"/>
      <c r="O70" s="58"/>
      <c r="P70" s="26"/>
      <c r="Q70" s="26"/>
      <c r="R70" s="26"/>
      <c r="S70" s="26"/>
      <c r="T70" s="38"/>
      <c r="U70" s="152"/>
    </row>
    <row r="71" spans="1:21" s="42" customFormat="1" ht="25.5" customHeight="1" x14ac:dyDescent="0.25">
      <c r="A71" s="167"/>
      <c r="B71" s="141" t="s">
        <v>1239</v>
      </c>
      <c r="C71" s="31"/>
      <c r="D71" s="31"/>
      <c r="E71" s="31"/>
      <c r="F71" s="31"/>
      <c r="G71" s="31"/>
      <c r="H71" s="31"/>
      <c r="I71" s="31"/>
      <c r="J71" s="31"/>
      <c r="K71" s="31"/>
      <c r="L71" s="31"/>
      <c r="M71" s="31"/>
      <c r="N71" s="31"/>
      <c r="O71" s="58"/>
      <c r="P71" s="26"/>
      <c r="Q71" s="26"/>
      <c r="R71" s="26"/>
      <c r="S71" s="26"/>
      <c r="T71" s="38"/>
      <c r="U71" s="152"/>
    </row>
    <row r="72" spans="1:21" s="42" customFormat="1" x14ac:dyDescent="0.25">
      <c r="A72" s="167"/>
      <c r="B72" s="141" t="s">
        <v>1240</v>
      </c>
      <c r="C72" s="31"/>
      <c r="D72" s="31"/>
      <c r="E72" s="31"/>
      <c r="F72" s="31"/>
      <c r="G72" s="31"/>
      <c r="H72" s="31"/>
      <c r="I72" s="31"/>
      <c r="J72" s="31"/>
      <c r="K72" s="31"/>
      <c r="L72" s="31"/>
      <c r="M72" s="31"/>
      <c r="N72" s="31"/>
      <c r="O72" s="58"/>
      <c r="P72" s="26"/>
      <c r="Q72" s="26"/>
      <c r="R72" s="26"/>
      <c r="S72" s="26"/>
      <c r="T72" s="38"/>
      <c r="U72" s="152"/>
    </row>
    <row r="73" spans="1:21" s="42" customFormat="1" ht="15.75" customHeight="1" thickBot="1" x14ac:dyDescent="0.3">
      <c r="A73" s="167"/>
      <c r="B73" s="141" t="s">
        <v>1241</v>
      </c>
      <c r="C73" s="31"/>
      <c r="D73" s="31"/>
      <c r="E73" s="31"/>
      <c r="F73" s="31"/>
      <c r="G73" s="31"/>
      <c r="H73" s="31"/>
      <c r="I73" s="31"/>
      <c r="J73" s="31"/>
      <c r="K73" s="31"/>
      <c r="L73" s="31"/>
      <c r="M73" s="31"/>
      <c r="N73" s="31"/>
      <c r="O73" s="58"/>
      <c r="P73" s="26"/>
      <c r="Q73" s="26"/>
      <c r="R73" s="26"/>
      <c r="S73" s="26"/>
      <c r="T73" s="38"/>
      <c r="U73" s="152"/>
    </row>
    <row r="74" spans="1:21" s="200" customFormat="1" ht="26.25" customHeight="1" thickBot="1" x14ac:dyDescent="0.3">
      <c r="A74" s="282" t="s">
        <v>1242</v>
      </c>
      <c r="B74" s="188" t="s">
        <v>1232</v>
      </c>
      <c r="C74" s="189" t="s">
        <v>938</v>
      </c>
      <c r="D74" s="190">
        <f>D$4*4.5</f>
        <v>4.5</v>
      </c>
      <c r="E74" s="190">
        <f>E$4*4.5</f>
        <v>4.5</v>
      </c>
      <c r="F74" s="191">
        <f>F$4*4.4</f>
        <v>4.4000000000000004</v>
      </c>
      <c r="G74" s="191">
        <f>G$4*4.4</f>
        <v>4.4000000000000004</v>
      </c>
      <c r="H74" s="191">
        <f>H$4*5.4</f>
        <v>21.6</v>
      </c>
      <c r="I74" s="191">
        <f>I$4*4</f>
        <v>4</v>
      </c>
      <c r="J74" s="191">
        <f>J$4*4</f>
        <v>4</v>
      </c>
      <c r="K74" s="191">
        <f>K$4*3.6</f>
        <v>7.2</v>
      </c>
      <c r="L74" s="191">
        <f>L$4*25.45</f>
        <v>25.45</v>
      </c>
      <c r="M74" s="191">
        <f>M$4*0</f>
        <v>0</v>
      </c>
      <c r="N74" s="192">
        <f>N$4*0</f>
        <v>0</v>
      </c>
      <c r="O74" s="193">
        <f>SUM(D74:N74)</f>
        <v>80.050000000000011</v>
      </c>
      <c r="P74" s="194">
        <v>0</v>
      </c>
      <c r="Q74" s="194">
        <v>0</v>
      </c>
      <c r="R74" s="194">
        <f>P74+Q74</f>
        <v>0</v>
      </c>
      <c r="S74" s="194"/>
      <c r="T74" s="195">
        <f>R74*O74</f>
        <v>0</v>
      </c>
      <c r="U74" s="208"/>
    </row>
    <row r="75" spans="1:21" s="200" customFormat="1" ht="77.25" customHeight="1" thickBot="1" x14ac:dyDescent="0.3">
      <c r="A75" s="282" t="s">
        <v>1243</v>
      </c>
      <c r="B75" s="188" t="s">
        <v>1234</v>
      </c>
      <c r="C75" s="189" t="s">
        <v>938</v>
      </c>
      <c r="D75" s="190">
        <f t="shared" ref="D75:N75" si="11">D74*0.1</f>
        <v>0.45</v>
      </c>
      <c r="E75" s="190">
        <f t="shared" si="11"/>
        <v>0.45</v>
      </c>
      <c r="F75" s="191">
        <f t="shared" si="11"/>
        <v>0.44000000000000006</v>
      </c>
      <c r="G75" s="191">
        <f t="shared" si="11"/>
        <v>0.44000000000000006</v>
      </c>
      <c r="H75" s="191">
        <f t="shared" si="11"/>
        <v>2.16</v>
      </c>
      <c r="I75" s="191">
        <f t="shared" si="11"/>
        <v>0.4</v>
      </c>
      <c r="J75" s="191">
        <f t="shared" si="11"/>
        <v>0.4</v>
      </c>
      <c r="K75" s="191">
        <f t="shared" si="11"/>
        <v>0.72000000000000008</v>
      </c>
      <c r="L75" s="191">
        <f t="shared" si="11"/>
        <v>2.5449999999999999</v>
      </c>
      <c r="M75" s="191">
        <f t="shared" si="11"/>
        <v>0</v>
      </c>
      <c r="N75" s="192">
        <f t="shared" si="11"/>
        <v>0</v>
      </c>
      <c r="O75" s="193">
        <f>SUM(D75:N75)</f>
        <v>8.0050000000000008</v>
      </c>
      <c r="P75" s="194">
        <v>0</v>
      </c>
      <c r="Q75" s="194">
        <v>0</v>
      </c>
      <c r="R75" s="194">
        <f>P75+Q75</f>
        <v>0</v>
      </c>
      <c r="S75" s="194"/>
      <c r="T75" s="195">
        <f>R75*O75</f>
        <v>0</v>
      </c>
      <c r="U75" s="208"/>
    </row>
    <row r="76" spans="1:21" s="200" customFormat="1" ht="15.75" customHeight="1" thickBot="1" x14ac:dyDescent="0.3">
      <c r="A76" s="282" t="s">
        <v>1244</v>
      </c>
      <c r="B76" s="188" t="s">
        <v>1210</v>
      </c>
      <c r="C76" s="189" t="s">
        <v>938</v>
      </c>
      <c r="D76" s="190">
        <f t="shared" ref="D76:N76" si="12">D74*0.02</f>
        <v>0.09</v>
      </c>
      <c r="E76" s="190">
        <f t="shared" si="12"/>
        <v>0.09</v>
      </c>
      <c r="F76" s="191">
        <f t="shared" si="12"/>
        <v>8.8000000000000009E-2</v>
      </c>
      <c r="G76" s="191">
        <f t="shared" si="12"/>
        <v>8.8000000000000009E-2</v>
      </c>
      <c r="H76" s="191">
        <f t="shared" si="12"/>
        <v>0.43200000000000005</v>
      </c>
      <c r="I76" s="191">
        <f t="shared" si="12"/>
        <v>0.08</v>
      </c>
      <c r="J76" s="191">
        <f t="shared" si="12"/>
        <v>0.08</v>
      </c>
      <c r="K76" s="191">
        <f t="shared" si="12"/>
        <v>0.14400000000000002</v>
      </c>
      <c r="L76" s="191">
        <f t="shared" si="12"/>
        <v>0.50900000000000001</v>
      </c>
      <c r="M76" s="191">
        <f t="shared" si="12"/>
        <v>0</v>
      </c>
      <c r="N76" s="192">
        <f t="shared" si="12"/>
        <v>0</v>
      </c>
      <c r="O76" s="193">
        <f>SUM(D76:N76)</f>
        <v>1.601</v>
      </c>
      <c r="P76" s="194">
        <v>0</v>
      </c>
      <c r="Q76" s="194">
        <v>0</v>
      </c>
      <c r="R76" s="194">
        <f>P76+Q76</f>
        <v>0</v>
      </c>
      <c r="S76" s="194"/>
      <c r="T76" s="195">
        <f>R76*O76</f>
        <v>0</v>
      </c>
      <c r="U76" s="208"/>
    </row>
    <row r="77" spans="1:21" s="42" customFormat="1" x14ac:dyDescent="0.25">
      <c r="A77" s="157"/>
      <c r="B77" s="44"/>
      <c r="C77" s="44"/>
      <c r="D77" s="44"/>
      <c r="E77" s="44"/>
      <c r="F77" s="44"/>
      <c r="G77" s="44"/>
      <c r="H77" s="44"/>
      <c r="I77" s="44"/>
      <c r="J77" s="44"/>
      <c r="K77" s="44"/>
      <c r="L77" s="44"/>
      <c r="M77" s="44"/>
      <c r="N77" s="44"/>
      <c r="O77" s="118"/>
      <c r="P77" s="44"/>
      <c r="Q77" s="44"/>
      <c r="R77" s="44"/>
      <c r="S77" s="44"/>
      <c r="T77" s="44"/>
      <c r="U77" s="47"/>
    </row>
    <row r="78" spans="1:21" s="42" customFormat="1" ht="27.75" customHeight="1" x14ac:dyDescent="0.25">
      <c r="A78" s="166" t="s">
        <v>1245</v>
      </c>
      <c r="B78" s="147" t="s">
        <v>1246</v>
      </c>
      <c r="C78" s="28"/>
      <c r="D78" s="28"/>
      <c r="E78" s="28"/>
      <c r="F78" s="28"/>
      <c r="G78" s="28"/>
      <c r="H78" s="28"/>
      <c r="I78" s="28"/>
      <c r="J78" s="28"/>
      <c r="K78" s="28"/>
      <c r="L78" s="28"/>
      <c r="M78" s="28"/>
      <c r="N78" s="28"/>
      <c r="O78" s="60"/>
      <c r="P78" s="29"/>
      <c r="Q78" s="29"/>
      <c r="R78" s="29"/>
      <c r="S78" s="29"/>
      <c r="T78" s="23"/>
      <c r="U78" s="152"/>
    </row>
    <row r="79" spans="1:21" s="42" customFormat="1" x14ac:dyDescent="0.25">
      <c r="A79" s="167"/>
      <c r="B79" s="141" t="s">
        <v>1238</v>
      </c>
      <c r="C79" s="31"/>
      <c r="D79" s="31"/>
      <c r="E79" s="31"/>
      <c r="F79" s="31"/>
      <c r="G79" s="31"/>
      <c r="H79" s="31"/>
      <c r="I79" s="31"/>
      <c r="J79" s="31"/>
      <c r="K79" s="31"/>
      <c r="L79" s="31"/>
      <c r="M79" s="31"/>
      <c r="N79" s="31"/>
      <c r="O79" s="58"/>
      <c r="P79" s="26"/>
      <c r="Q79" s="26"/>
      <c r="R79" s="26"/>
      <c r="S79" s="26"/>
      <c r="T79" s="38"/>
      <c r="U79" s="152"/>
    </row>
    <row r="80" spans="1:21" s="42" customFormat="1" ht="25.5" customHeight="1" x14ac:dyDescent="0.25">
      <c r="A80" s="167"/>
      <c r="B80" s="141" t="s">
        <v>1247</v>
      </c>
      <c r="C80" s="31"/>
      <c r="D80" s="31"/>
      <c r="E80" s="31"/>
      <c r="F80" s="31"/>
      <c r="G80" s="31"/>
      <c r="H80" s="31"/>
      <c r="I80" s="31"/>
      <c r="J80" s="31"/>
      <c r="K80" s="31"/>
      <c r="L80" s="31"/>
      <c r="M80" s="31"/>
      <c r="N80" s="31"/>
      <c r="O80" s="58"/>
      <c r="P80" s="26"/>
      <c r="Q80" s="26"/>
      <c r="R80" s="26"/>
      <c r="S80" s="26"/>
      <c r="T80" s="38"/>
      <c r="U80" s="152"/>
    </row>
    <row r="81" spans="1:21" s="42" customFormat="1" x14ac:dyDescent="0.25">
      <c r="A81" s="167"/>
      <c r="B81" s="141" t="s">
        <v>1240</v>
      </c>
      <c r="C81" s="31"/>
      <c r="D81" s="31"/>
      <c r="E81" s="31"/>
      <c r="F81" s="31"/>
      <c r="G81" s="31"/>
      <c r="H81" s="31"/>
      <c r="I81" s="31"/>
      <c r="J81" s="31"/>
      <c r="K81" s="31"/>
      <c r="L81" s="31"/>
      <c r="M81" s="31"/>
      <c r="N81" s="31"/>
      <c r="O81" s="58"/>
      <c r="P81" s="26"/>
      <c r="Q81" s="26"/>
      <c r="R81" s="26"/>
      <c r="S81" s="26"/>
      <c r="T81" s="38"/>
      <c r="U81" s="152"/>
    </row>
    <row r="82" spans="1:21" s="42" customFormat="1" ht="15.75" customHeight="1" thickBot="1" x14ac:dyDescent="0.3">
      <c r="A82" s="167"/>
      <c r="B82" s="141" t="s">
        <v>1248</v>
      </c>
      <c r="C82" s="31"/>
      <c r="D82" s="31"/>
      <c r="E82" s="31"/>
      <c r="F82" s="31"/>
      <c r="G82" s="31"/>
      <c r="H82" s="31"/>
      <c r="I82" s="31"/>
      <c r="J82" s="31"/>
      <c r="K82" s="31"/>
      <c r="L82" s="31"/>
      <c r="M82" s="31"/>
      <c r="N82" s="31"/>
      <c r="O82" s="58"/>
      <c r="P82" s="26"/>
      <c r="Q82" s="26"/>
      <c r="R82" s="26"/>
      <c r="S82" s="26"/>
      <c r="T82" s="38"/>
      <c r="U82" s="152"/>
    </row>
    <row r="83" spans="1:21" s="200" customFormat="1" ht="26.25" customHeight="1" thickBot="1" x14ac:dyDescent="0.3">
      <c r="A83" s="282" t="s">
        <v>1249</v>
      </c>
      <c r="B83" s="188" t="s">
        <v>1232</v>
      </c>
      <c r="C83" s="189" t="s">
        <v>938</v>
      </c>
      <c r="D83" s="190">
        <f>D$4*18.6</f>
        <v>18.600000000000001</v>
      </c>
      <c r="E83" s="190">
        <f>E$4*18.6</f>
        <v>18.600000000000001</v>
      </c>
      <c r="F83" s="191">
        <f>F$4*21.4</f>
        <v>21.4</v>
      </c>
      <c r="G83" s="191">
        <f>G$4*21.4</f>
        <v>21.4</v>
      </c>
      <c r="H83" s="191">
        <f>H$4*31.35</f>
        <v>125.4</v>
      </c>
      <c r="I83" s="191">
        <f>I$4*16.7</f>
        <v>16.7</v>
      </c>
      <c r="J83" s="191">
        <f>J$4*16.7</f>
        <v>16.7</v>
      </c>
      <c r="K83" s="191">
        <f>K$4*27.9</f>
        <v>55.8</v>
      </c>
      <c r="L83" s="191">
        <f>L$4*37.85</f>
        <v>37.85</v>
      </c>
      <c r="M83" s="191">
        <f>M$4*0</f>
        <v>0</v>
      </c>
      <c r="N83" s="192">
        <f>N$4*0</f>
        <v>0</v>
      </c>
      <c r="O83" s="193">
        <f>SUM(D83:N83)</f>
        <v>332.45</v>
      </c>
      <c r="P83" s="194">
        <v>0</v>
      </c>
      <c r="Q83" s="194">
        <v>0</v>
      </c>
      <c r="R83" s="194">
        <f>P83+Q83</f>
        <v>0</v>
      </c>
      <c r="S83" s="194"/>
      <c r="T83" s="195">
        <f>R83*O83</f>
        <v>0</v>
      </c>
      <c r="U83" s="208"/>
    </row>
    <row r="84" spans="1:21" s="200" customFormat="1" ht="77.25" customHeight="1" thickBot="1" x14ac:dyDescent="0.3">
      <c r="A84" s="282" t="s">
        <v>1250</v>
      </c>
      <c r="B84" s="188" t="s">
        <v>1234</v>
      </c>
      <c r="C84" s="189" t="s">
        <v>938</v>
      </c>
      <c r="D84" s="190">
        <f t="shared" ref="D84:N84" si="13">D83*0.1</f>
        <v>1.8600000000000003</v>
      </c>
      <c r="E84" s="190">
        <f t="shared" si="13"/>
        <v>1.8600000000000003</v>
      </c>
      <c r="F84" s="191">
        <f t="shared" si="13"/>
        <v>2.14</v>
      </c>
      <c r="G84" s="191">
        <f t="shared" si="13"/>
        <v>2.14</v>
      </c>
      <c r="H84" s="191">
        <f t="shared" si="13"/>
        <v>12.540000000000001</v>
      </c>
      <c r="I84" s="191">
        <f t="shared" si="13"/>
        <v>1.67</v>
      </c>
      <c r="J84" s="191">
        <f t="shared" si="13"/>
        <v>1.67</v>
      </c>
      <c r="K84" s="191">
        <f t="shared" si="13"/>
        <v>5.58</v>
      </c>
      <c r="L84" s="191">
        <f t="shared" si="13"/>
        <v>3.7850000000000001</v>
      </c>
      <c r="M84" s="191">
        <f t="shared" si="13"/>
        <v>0</v>
      </c>
      <c r="N84" s="192">
        <f t="shared" si="13"/>
        <v>0</v>
      </c>
      <c r="O84" s="193">
        <f>SUM(D84:N84)</f>
        <v>33.245000000000005</v>
      </c>
      <c r="P84" s="194">
        <v>0</v>
      </c>
      <c r="Q84" s="194">
        <v>0</v>
      </c>
      <c r="R84" s="194">
        <f>P84+Q84</f>
        <v>0</v>
      </c>
      <c r="S84" s="194"/>
      <c r="T84" s="195">
        <f>R84*O84</f>
        <v>0</v>
      </c>
      <c r="U84" s="208"/>
    </row>
    <row r="85" spans="1:21" s="200" customFormat="1" ht="15.75" customHeight="1" thickBot="1" x14ac:dyDescent="0.3">
      <c r="A85" s="282" t="s">
        <v>1251</v>
      </c>
      <c r="B85" s="188" t="s">
        <v>1210</v>
      </c>
      <c r="C85" s="189" t="s">
        <v>938</v>
      </c>
      <c r="D85" s="190">
        <f t="shared" ref="D85:N85" si="14">D83*0.02</f>
        <v>0.37200000000000005</v>
      </c>
      <c r="E85" s="190">
        <f t="shared" si="14"/>
        <v>0.37200000000000005</v>
      </c>
      <c r="F85" s="191">
        <f t="shared" si="14"/>
        <v>0.42799999999999999</v>
      </c>
      <c r="G85" s="191">
        <f t="shared" si="14"/>
        <v>0.42799999999999999</v>
      </c>
      <c r="H85" s="191">
        <f t="shared" si="14"/>
        <v>2.508</v>
      </c>
      <c r="I85" s="191">
        <f t="shared" si="14"/>
        <v>0.33400000000000002</v>
      </c>
      <c r="J85" s="191">
        <f t="shared" si="14"/>
        <v>0.33400000000000002</v>
      </c>
      <c r="K85" s="191">
        <f t="shared" si="14"/>
        <v>1.1159999999999999</v>
      </c>
      <c r="L85" s="191">
        <f t="shared" si="14"/>
        <v>0.75700000000000001</v>
      </c>
      <c r="M85" s="191">
        <f t="shared" si="14"/>
        <v>0</v>
      </c>
      <c r="N85" s="192">
        <f t="shared" si="14"/>
        <v>0</v>
      </c>
      <c r="O85" s="193">
        <f>SUM(D85:N85)</f>
        <v>6.6489999999999991</v>
      </c>
      <c r="P85" s="194">
        <v>0</v>
      </c>
      <c r="Q85" s="194">
        <v>0</v>
      </c>
      <c r="R85" s="194">
        <f>P85+Q85</f>
        <v>0</v>
      </c>
      <c r="S85" s="194"/>
      <c r="T85" s="195">
        <f>R85*O85</f>
        <v>0</v>
      </c>
      <c r="U85" s="208"/>
    </row>
    <row r="86" spans="1:21" s="42" customFormat="1" x14ac:dyDescent="0.25">
      <c r="A86" s="157"/>
      <c r="B86" s="44"/>
      <c r="C86" s="44"/>
      <c r="D86" s="44"/>
      <c r="E86" s="44"/>
      <c r="F86" s="44"/>
      <c r="G86" s="44"/>
      <c r="H86" s="44"/>
      <c r="I86" s="44"/>
      <c r="J86" s="44"/>
      <c r="K86" s="44"/>
      <c r="L86" s="44"/>
      <c r="M86" s="44"/>
      <c r="N86" s="44"/>
      <c r="O86" s="118"/>
      <c r="P86" s="44"/>
      <c r="Q86" s="44"/>
      <c r="R86" s="44"/>
      <c r="S86" s="44"/>
      <c r="T86" s="44"/>
      <c r="U86" s="47"/>
    </row>
    <row r="87" spans="1:21" s="42" customFormat="1" ht="25.5" customHeight="1" x14ac:dyDescent="0.25">
      <c r="A87" s="166" t="s">
        <v>1252</v>
      </c>
      <c r="B87" s="147" t="s">
        <v>1253</v>
      </c>
      <c r="C87" s="28"/>
      <c r="D87" s="28"/>
      <c r="E87" s="28"/>
      <c r="F87" s="28"/>
      <c r="G87" s="28"/>
      <c r="H87" s="28"/>
      <c r="I87" s="28"/>
      <c r="J87" s="28"/>
      <c r="K87" s="28"/>
      <c r="L87" s="28"/>
      <c r="M87" s="28"/>
      <c r="N87" s="28"/>
      <c r="O87" s="60"/>
      <c r="P87" s="29"/>
      <c r="Q87" s="29"/>
      <c r="R87" s="29"/>
      <c r="S87" s="29"/>
      <c r="T87" s="23"/>
      <c r="U87" s="152"/>
    </row>
    <row r="88" spans="1:21" s="42" customFormat="1" x14ac:dyDescent="0.25">
      <c r="A88" s="167"/>
      <c r="B88" s="141" t="s">
        <v>1238</v>
      </c>
      <c r="C88" s="31"/>
      <c r="D88" s="31"/>
      <c r="E88" s="31"/>
      <c r="F88" s="31"/>
      <c r="G88" s="31"/>
      <c r="H88" s="31"/>
      <c r="I88" s="31"/>
      <c r="J88" s="31"/>
      <c r="K88" s="31"/>
      <c r="L88" s="31"/>
      <c r="M88" s="31"/>
      <c r="N88" s="31"/>
      <c r="O88" s="58"/>
      <c r="P88" s="26"/>
      <c r="Q88" s="26"/>
      <c r="R88" s="26"/>
      <c r="S88" s="26"/>
      <c r="T88" s="38"/>
      <c r="U88" s="152"/>
    </row>
    <row r="89" spans="1:21" s="42" customFormat="1" ht="25.5" customHeight="1" x14ac:dyDescent="0.25">
      <c r="A89" s="167"/>
      <c r="B89" s="141" t="s">
        <v>1254</v>
      </c>
      <c r="C89" s="31"/>
      <c r="D89" s="31"/>
      <c r="E89" s="31"/>
      <c r="F89" s="31"/>
      <c r="G89" s="31"/>
      <c r="H89" s="31"/>
      <c r="I89" s="31"/>
      <c r="J89" s="31"/>
      <c r="K89" s="31"/>
      <c r="L89" s="31"/>
      <c r="M89" s="31"/>
      <c r="N89" s="31"/>
      <c r="O89" s="58"/>
      <c r="P89" s="26"/>
      <c r="Q89" s="26"/>
      <c r="R89" s="26"/>
      <c r="S89" s="26"/>
      <c r="T89" s="38"/>
      <c r="U89" s="152"/>
    </row>
    <row r="90" spans="1:21" s="42" customFormat="1" x14ac:dyDescent="0.25">
      <c r="A90" s="167"/>
      <c r="B90" s="141" t="s">
        <v>1255</v>
      </c>
      <c r="C90" s="31"/>
      <c r="D90" s="31"/>
      <c r="E90" s="31"/>
      <c r="F90" s="31"/>
      <c r="G90" s="31"/>
      <c r="H90" s="31"/>
      <c r="I90" s="31"/>
      <c r="J90" s="31"/>
      <c r="K90" s="31"/>
      <c r="L90" s="31"/>
      <c r="M90" s="31"/>
      <c r="N90" s="31"/>
      <c r="O90" s="58"/>
      <c r="P90" s="26"/>
      <c r="Q90" s="26"/>
      <c r="R90" s="26"/>
      <c r="S90" s="26"/>
      <c r="T90" s="38"/>
      <c r="U90" s="152"/>
    </row>
    <row r="91" spans="1:21" s="42" customFormat="1" ht="15.75" customHeight="1" thickBot="1" x14ac:dyDescent="0.3">
      <c r="A91" s="167"/>
      <c r="B91" s="141" t="s">
        <v>1248</v>
      </c>
      <c r="C91" s="31"/>
      <c r="D91" s="31"/>
      <c r="E91" s="31"/>
      <c r="F91" s="31"/>
      <c r="G91" s="31"/>
      <c r="H91" s="31"/>
      <c r="I91" s="31"/>
      <c r="J91" s="31"/>
      <c r="K91" s="31"/>
      <c r="L91" s="31"/>
      <c r="M91" s="31"/>
      <c r="N91" s="31"/>
      <c r="O91" s="58"/>
      <c r="P91" s="26"/>
      <c r="Q91" s="26"/>
      <c r="R91" s="26"/>
      <c r="S91" s="26"/>
      <c r="T91" s="38"/>
      <c r="U91" s="152"/>
    </row>
    <row r="92" spans="1:21" s="200" customFormat="1" ht="14.25" customHeight="1" thickBot="1" x14ac:dyDescent="0.3">
      <c r="A92" s="282" t="s">
        <v>1256</v>
      </c>
      <c r="B92" s="188" t="s">
        <v>1232</v>
      </c>
      <c r="C92" s="189" t="s">
        <v>938</v>
      </c>
      <c r="D92" s="190">
        <f>D$4*5.6</f>
        <v>5.6</v>
      </c>
      <c r="E92" s="190">
        <f>E$4*5.6</f>
        <v>5.6</v>
      </c>
      <c r="F92" s="191">
        <f>F$4*3.9</f>
        <v>3.9</v>
      </c>
      <c r="G92" s="191">
        <f>G$4*3.9</f>
        <v>3.9</v>
      </c>
      <c r="H92" s="191">
        <f>H$4*6.6</f>
        <v>26.4</v>
      </c>
      <c r="I92" s="191">
        <f>I$4*5</f>
        <v>5</v>
      </c>
      <c r="J92" s="191">
        <f>J$4*5</f>
        <v>5</v>
      </c>
      <c r="K92" s="191">
        <f>K$4*5.45</f>
        <v>10.9</v>
      </c>
      <c r="L92" s="191">
        <f>L$4*0</f>
        <v>0</v>
      </c>
      <c r="M92" s="191">
        <f>M$4*0</f>
        <v>0</v>
      </c>
      <c r="N92" s="192">
        <f>N$4*0</f>
        <v>0</v>
      </c>
      <c r="O92" s="193">
        <f>SUM(D92:N92)</f>
        <v>66.3</v>
      </c>
      <c r="P92" s="194">
        <v>0</v>
      </c>
      <c r="Q92" s="194">
        <v>0</v>
      </c>
      <c r="R92" s="194">
        <f>P92+Q92</f>
        <v>0</v>
      </c>
      <c r="S92" s="194"/>
      <c r="T92" s="195">
        <f>R92*O92</f>
        <v>0</v>
      </c>
      <c r="U92" s="208"/>
    </row>
    <row r="93" spans="1:21" s="200" customFormat="1" ht="77.25" customHeight="1" thickBot="1" x14ac:dyDescent="0.3">
      <c r="A93" s="282" t="s">
        <v>1257</v>
      </c>
      <c r="B93" s="188" t="s">
        <v>1234</v>
      </c>
      <c r="C93" s="189" t="s">
        <v>938</v>
      </c>
      <c r="D93" s="190">
        <f t="shared" ref="D93:N93" si="15">D92*0.1</f>
        <v>0.55999999999999994</v>
      </c>
      <c r="E93" s="190">
        <f t="shared" si="15"/>
        <v>0.55999999999999994</v>
      </c>
      <c r="F93" s="191">
        <f t="shared" si="15"/>
        <v>0.39</v>
      </c>
      <c r="G93" s="191">
        <f t="shared" si="15"/>
        <v>0.39</v>
      </c>
      <c r="H93" s="191">
        <f t="shared" si="15"/>
        <v>2.64</v>
      </c>
      <c r="I93" s="191">
        <f t="shared" si="15"/>
        <v>0.5</v>
      </c>
      <c r="J93" s="191">
        <f t="shared" si="15"/>
        <v>0.5</v>
      </c>
      <c r="K93" s="191">
        <f t="shared" si="15"/>
        <v>1.0900000000000001</v>
      </c>
      <c r="L93" s="191">
        <f t="shared" si="15"/>
        <v>0</v>
      </c>
      <c r="M93" s="191">
        <f t="shared" si="15"/>
        <v>0</v>
      </c>
      <c r="N93" s="192">
        <f t="shared" si="15"/>
        <v>0</v>
      </c>
      <c r="O93" s="193">
        <f>SUM(D93:N93)</f>
        <v>6.63</v>
      </c>
      <c r="P93" s="194">
        <v>0</v>
      </c>
      <c r="Q93" s="194">
        <v>0</v>
      </c>
      <c r="R93" s="194">
        <f>P93+Q93</f>
        <v>0</v>
      </c>
      <c r="S93" s="194"/>
      <c r="T93" s="195">
        <f>R93*O93</f>
        <v>0</v>
      </c>
      <c r="U93" s="208"/>
    </row>
    <row r="94" spans="1:21" s="200" customFormat="1" ht="15.75" customHeight="1" thickBot="1" x14ac:dyDescent="0.3">
      <c r="A94" s="282" t="s">
        <v>1258</v>
      </c>
      <c r="B94" s="188" t="s">
        <v>1210</v>
      </c>
      <c r="C94" s="189" t="s">
        <v>938</v>
      </c>
      <c r="D94" s="190">
        <f t="shared" ref="D94:N94" si="16">D92*0.02</f>
        <v>0.11199999999999999</v>
      </c>
      <c r="E94" s="190">
        <f t="shared" si="16"/>
        <v>0.11199999999999999</v>
      </c>
      <c r="F94" s="191">
        <f t="shared" si="16"/>
        <v>7.8E-2</v>
      </c>
      <c r="G94" s="191">
        <f t="shared" si="16"/>
        <v>7.8E-2</v>
      </c>
      <c r="H94" s="191">
        <f t="shared" si="16"/>
        <v>0.52800000000000002</v>
      </c>
      <c r="I94" s="191">
        <f t="shared" si="16"/>
        <v>0.1</v>
      </c>
      <c r="J94" s="191">
        <f t="shared" si="16"/>
        <v>0.1</v>
      </c>
      <c r="K94" s="191">
        <f t="shared" si="16"/>
        <v>0.218</v>
      </c>
      <c r="L94" s="191">
        <f t="shared" si="16"/>
        <v>0</v>
      </c>
      <c r="M94" s="191">
        <f t="shared" si="16"/>
        <v>0</v>
      </c>
      <c r="N94" s="192">
        <f t="shared" si="16"/>
        <v>0</v>
      </c>
      <c r="O94" s="193">
        <f>SUM(D94:N94)</f>
        <v>1.3260000000000001</v>
      </c>
      <c r="P94" s="194">
        <v>0</v>
      </c>
      <c r="Q94" s="194">
        <v>0</v>
      </c>
      <c r="R94" s="194">
        <f>P94+Q94</f>
        <v>0</v>
      </c>
      <c r="S94" s="194"/>
      <c r="T94" s="195">
        <f>R94*O94</f>
        <v>0</v>
      </c>
      <c r="U94" s="208"/>
    </row>
    <row r="95" spans="1:21" s="42" customFormat="1" x14ac:dyDescent="0.25">
      <c r="A95" s="157"/>
      <c r="B95" s="44"/>
      <c r="C95" s="44"/>
      <c r="D95" s="44"/>
      <c r="E95" s="44"/>
      <c r="F95" s="44"/>
      <c r="G95" s="44"/>
      <c r="H95" s="44"/>
      <c r="I95" s="44"/>
      <c r="J95" s="44"/>
      <c r="K95" s="44"/>
      <c r="L95" s="44"/>
      <c r="M95" s="44"/>
      <c r="N95" s="44"/>
      <c r="O95" s="118"/>
      <c r="P95" s="44"/>
      <c r="Q95" s="44"/>
      <c r="R95" s="44"/>
      <c r="S95" s="44"/>
      <c r="T95" s="44"/>
      <c r="U95" s="47"/>
    </row>
    <row r="96" spans="1:21" s="42" customFormat="1" ht="15" customHeight="1" x14ac:dyDescent="0.25">
      <c r="A96" s="166" t="s">
        <v>1259</v>
      </c>
      <c r="B96" s="147" t="s">
        <v>1260</v>
      </c>
      <c r="C96" s="28"/>
      <c r="D96" s="28"/>
      <c r="E96" s="28"/>
      <c r="F96" s="28"/>
      <c r="G96" s="28"/>
      <c r="H96" s="28"/>
      <c r="I96" s="28"/>
      <c r="J96" s="28"/>
      <c r="K96" s="28"/>
      <c r="L96" s="28"/>
      <c r="M96" s="28"/>
      <c r="N96" s="28"/>
      <c r="O96" s="60"/>
      <c r="P96" s="29"/>
      <c r="Q96" s="29"/>
      <c r="R96" s="29"/>
      <c r="S96" s="29"/>
      <c r="T96" s="23"/>
      <c r="U96" s="152"/>
    </row>
    <row r="97" spans="1:21" s="42" customFormat="1" x14ac:dyDescent="0.25">
      <c r="A97" s="167"/>
      <c r="B97" s="141" t="s">
        <v>1261</v>
      </c>
      <c r="C97" s="31"/>
      <c r="D97" s="31"/>
      <c r="E97" s="31"/>
      <c r="F97" s="31"/>
      <c r="G97" s="31"/>
      <c r="H97" s="31"/>
      <c r="I97" s="31"/>
      <c r="J97" s="31"/>
      <c r="K97" s="31"/>
      <c r="L97" s="31"/>
      <c r="M97" s="31"/>
      <c r="N97" s="31"/>
      <c r="O97" s="58"/>
      <c r="P97" s="26"/>
      <c r="Q97" s="26"/>
      <c r="R97" s="26"/>
      <c r="S97" s="26"/>
      <c r="T97" s="38"/>
      <c r="U97" s="152"/>
    </row>
    <row r="98" spans="1:21" s="42" customFormat="1" ht="26.25" customHeight="1" thickBot="1" x14ac:dyDescent="0.3">
      <c r="A98" s="167"/>
      <c r="B98" s="141" t="s">
        <v>1262</v>
      </c>
      <c r="C98" s="31"/>
      <c r="D98" s="31"/>
      <c r="E98" s="31"/>
      <c r="F98" s="31"/>
      <c r="G98" s="31"/>
      <c r="H98" s="31"/>
      <c r="I98" s="31"/>
      <c r="J98" s="31"/>
      <c r="K98" s="31"/>
      <c r="L98" s="31"/>
      <c r="M98" s="31"/>
      <c r="N98" s="31"/>
      <c r="O98" s="58"/>
      <c r="P98" s="26"/>
      <c r="Q98" s="26"/>
      <c r="R98" s="26"/>
      <c r="S98" s="26"/>
      <c r="T98" s="38"/>
      <c r="U98" s="152"/>
    </row>
    <row r="99" spans="1:21" s="200" customFormat="1" ht="15.75" customHeight="1" thickBot="1" x14ac:dyDescent="0.3">
      <c r="A99" s="282"/>
      <c r="B99" s="188" t="s">
        <v>1263</v>
      </c>
      <c r="C99" s="189" t="s">
        <v>969</v>
      </c>
      <c r="D99" s="190">
        <f>D$4*0</f>
        <v>0</v>
      </c>
      <c r="E99" s="190">
        <f>E$4*7.8</f>
        <v>7.8</v>
      </c>
      <c r="F99" s="191">
        <f>F$4*0</f>
        <v>0</v>
      </c>
      <c r="G99" s="191">
        <f>G$4*10.8</f>
        <v>10.8</v>
      </c>
      <c r="H99" s="191">
        <f>H$4*12.9</f>
        <v>51.6</v>
      </c>
      <c r="I99" s="191">
        <f>I$4*10.4</f>
        <v>10.4</v>
      </c>
      <c r="J99" s="191">
        <f>J$4*10.4</f>
        <v>10.4</v>
      </c>
      <c r="K99" s="191">
        <f>K$4*13.8</f>
        <v>27.6</v>
      </c>
      <c r="L99" s="191">
        <f>L$4*0</f>
        <v>0</v>
      </c>
      <c r="M99" s="191">
        <f>M$4*0</f>
        <v>0</v>
      </c>
      <c r="N99" s="192">
        <f>N$4*0</f>
        <v>0</v>
      </c>
      <c r="O99" s="193">
        <f>SUM(D99:N99)</f>
        <v>118.60000000000002</v>
      </c>
      <c r="P99" s="194">
        <v>0</v>
      </c>
      <c r="Q99" s="194">
        <v>0</v>
      </c>
      <c r="R99" s="194">
        <f>P99+Q99</f>
        <v>0</v>
      </c>
      <c r="S99" s="194"/>
      <c r="T99" s="195">
        <f>R99*O99</f>
        <v>0</v>
      </c>
      <c r="U99" s="208"/>
    </row>
    <row r="100" spans="1:21" s="42" customFormat="1" x14ac:dyDescent="0.25">
      <c r="A100" s="157"/>
      <c r="B100" s="44"/>
      <c r="C100" s="44"/>
      <c r="D100" s="44"/>
      <c r="E100" s="44"/>
      <c r="F100" s="44"/>
      <c r="G100" s="44"/>
      <c r="H100" s="44"/>
      <c r="I100" s="44"/>
      <c r="J100" s="44"/>
      <c r="K100" s="44"/>
      <c r="L100" s="44"/>
      <c r="M100" s="44"/>
      <c r="N100" s="44"/>
      <c r="O100" s="118"/>
      <c r="P100" s="44"/>
      <c r="Q100" s="44"/>
      <c r="R100" s="44"/>
      <c r="S100" s="44"/>
      <c r="T100" s="44"/>
      <c r="U100" s="47"/>
    </row>
    <row r="101" spans="1:21" s="42" customFormat="1" ht="15.75" customHeight="1" x14ac:dyDescent="0.25">
      <c r="A101" s="166" t="s">
        <v>1264</v>
      </c>
      <c r="B101" s="147" t="s">
        <v>1265</v>
      </c>
      <c r="C101" s="28"/>
      <c r="D101" s="28"/>
      <c r="E101" s="28"/>
      <c r="F101" s="28"/>
      <c r="G101" s="28"/>
      <c r="H101" s="28"/>
      <c r="I101" s="28"/>
      <c r="J101" s="28"/>
      <c r="K101" s="28"/>
      <c r="L101" s="28"/>
      <c r="M101" s="28"/>
      <c r="N101" s="28"/>
      <c r="O101" s="60"/>
      <c r="P101" s="29"/>
      <c r="Q101" s="29"/>
      <c r="R101" s="29"/>
      <c r="S101" s="29"/>
      <c r="T101" s="23"/>
      <c r="U101" s="152"/>
    </row>
    <row r="102" spans="1:21" s="42" customFormat="1" x14ac:dyDescent="0.25">
      <c r="A102" s="167"/>
      <c r="B102" s="141" t="s">
        <v>1266</v>
      </c>
      <c r="C102" s="31"/>
      <c r="D102" s="31"/>
      <c r="E102" s="31"/>
      <c r="F102" s="31"/>
      <c r="G102" s="31"/>
      <c r="H102" s="31"/>
      <c r="I102" s="31"/>
      <c r="J102" s="31"/>
      <c r="K102" s="31"/>
      <c r="L102" s="31"/>
      <c r="M102" s="31"/>
      <c r="N102" s="31"/>
      <c r="O102" s="58"/>
      <c r="P102" s="26"/>
      <c r="Q102" s="26"/>
      <c r="R102" s="26"/>
      <c r="S102" s="26"/>
      <c r="T102" s="38"/>
      <c r="U102" s="152"/>
    </row>
    <row r="103" spans="1:21" s="42" customFormat="1" ht="26.25" customHeight="1" thickBot="1" x14ac:dyDescent="0.3">
      <c r="A103" s="167"/>
      <c r="B103" s="141" t="s">
        <v>1267</v>
      </c>
      <c r="C103" s="31"/>
      <c r="D103" s="31"/>
      <c r="E103" s="31"/>
      <c r="F103" s="31"/>
      <c r="G103" s="31"/>
      <c r="H103" s="31"/>
      <c r="I103" s="31"/>
      <c r="J103" s="31"/>
      <c r="K103" s="31"/>
      <c r="L103" s="31"/>
      <c r="M103" s="31"/>
      <c r="N103" s="31"/>
      <c r="O103" s="58"/>
      <c r="P103" s="26"/>
      <c r="Q103" s="26"/>
      <c r="R103" s="26"/>
      <c r="S103" s="26"/>
      <c r="T103" s="38"/>
      <c r="U103" s="152"/>
    </row>
    <row r="104" spans="1:21" s="42" customFormat="1" ht="15.75" customHeight="1" thickBot="1" x14ac:dyDescent="0.3">
      <c r="A104" s="166"/>
      <c r="B104" s="148" t="s">
        <v>1263</v>
      </c>
      <c r="C104" s="135" t="s">
        <v>969</v>
      </c>
      <c r="D104" s="55">
        <f>D$4*0.7</f>
        <v>0.7</v>
      </c>
      <c r="E104" s="55">
        <f>E$4*0.7</f>
        <v>0.7</v>
      </c>
      <c r="F104" s="36">
        <f>F$4*0.7</f>
        <v>0.7</v>
      </c>
      <c r="G104" s="36">
        <f>G$4*0.7</f>
        <v>0.7</v>
      </c>
      <c r="H104" s="36">
        <f>H$4*1.5</f>
        <v>6</v>
      </c>
      <c r="I104" s="36">
        <f>I$4*0</f>
        <v>0</v>
      </c>
      <c r="J104" s="36">
        <f>J$4*0</f>
        <v>0</v>
      </c>
      <c r="K104" s="36">
        <f>K$4*0</f>
        <v>0</v>
      </c>
      <c r="L104" s="36">
        <f>L$4*2.2</f>
        <v>2.2000000000000002</v>
      </c>
      <c r="M104" s="36">
        <f>M$4*0</f>
        <v>0</v>
      </c>
      <c r="N104" s="56">
        <f>N$4*0</f>
        <v>0</v>
      </c>
      <c r="O104" s="62">
        <f>SUM(D104:N104)</f>
        <v>11</v>
      </c>
      <c r="P104" s="26">
        <v>0</v>
      </c>
      <c r="Q104" s="26">
        <v>0</v>
      </c>
      <c r="R104" s="26">
        <f>P104+Q104</f>
        <v>0</v>
      </c>
      <c r="S104" s="26"/>
      <c r="T104" s="22">
        <f>R104*O104</f>
        <v>0</v>
      </c>
      <c r="U104" s="47"/>
    </row>
    <row r="105" spans="1:21" s="240" customFormat="1" x14ac:dyDescent="0.25">
      <c r="A105" s="283"/>
      <c r="B105" s="239"/>
      <c r="C105" s="239"/>
      <c r="D105" s="239"/>
      <c r="E105" s="239"/>
      <c r="F105" s="239"/>
      <c r="G105" s="239"/>
      <c r="H105" s="239"/>
      <c r="I105" s="239"/>
      <c r="J105" s="239"/>
      <c r="K105" s="239"/>
      <c r="L105" s="239"/>
      <c r="M105" s="239"/>
      <c r="N105" s="239"/>
      <c r="O105" s="284"/>
      <c r="P105" s="239"/>
      <c r="Q105" s="239"/>
      <c r="R105" s="239"/>
      <c r="S105" s="239"/>
      <c r="T105" s="239"/>
      <c r="U105" s="239"/>
    </row>
    <row r="106" spans="1:21" s="240" customFormat="1" ht="25.5" customHeight="1" x14ac:dyDescent="0.25">
      <c r="A106" s="225" t="s">
        <v>1268</v>
      </c>
      <c r="B106" s="226" t="s">
        <v>1253</v>
      </c>
      <c r="C106" s="227"/>
      <c r="D106" s="227"/>
      <c r="E106" s="227"/>
      <c r="F106" s="227"/>
      <c r="G106" s="227"/>
      <c r="H106" s="227"/>
      <c r="I106" s="227"/>
      <c r="J106" s="227"/>
      <c r="K106" s="227"/>
      <c r="L106" s="227"/>
      <c r="M106" s="227"/>
      <c r="N106" s="227"/>
      <c r="O106" s="228"/>
      <c r="P106" s="229"/>
      <c r="Q106" s="229"/>
      <c r="R106" s="229"/>
      <c r="S106" s="229"/>
      <c r="T106" s="230"/>
    </row>
    <row r="107" spans="1:21" s="240" customFormat="1" x14ac:dyDescent="0.25">
      <c r="A107" s="201"/>
      <c r="B107" s="281" t="s">
        <v>1238</v>
      </c>
      <c r="C107" s="204"/>
      <c r="D107" s="204"/>
      <c r="E107" s="204"/>
      <c r="F107" s="204"/>
      <c r="G107" s="204"/>
      <c r="H107" s="204"/>
      <c r="I107" s="204"/>
      <c r="J107" s="204"/>
      <c r="K107" s="204"/>
      <c r="L107" s="204"/>
      <c r="M107" s="204"/>
      <c r="N107" s="204"/>
      <c r="O107" s="205"/>
      <c r="P107" s="206"/>
      <c r="Q107" s="206"/>
      <c r="R107" s="206"/>
      <c r="S107" s="206"/>
      <c r="T107" s="207"/>
    </row>
    <row r="108" spans="1:21" s="240" customFormat="1" ht="25.5" customHeight="1" x14ac:dyDescent="0.25">
      <c r="A108" s="201"/>
      <c r="B108" s="281" t="s">
        <v>1269</v>
      </c>
      <c r="C108" s="204"/>
      <c r="D108" s="204"/>
      <c r="E108" s="204"/>
      <c r="F108" s="204"/>
      <c r="G108" s="204"/>
      <c r="H108" s="204"/>
      <c r="I108" s="204"/>
      <c r="J108" s="204"/>
      <c r="K108" s="204"/>
      <c r="L108" s="204"/>
      <c r="M108" s="204"/>
      <c r="N108" s="204"/>
      <c r="O108" s="205"/>
      <c r="P108" s="206"/>
      <c r="Q108" s="206"/>
      <c r="R108" s="206"/>
      <c r="S108" s="206"/>
      <c r="T108" s="207"/>
    </row>
    <row r="109" spans="1:21" s="240" customFormat="1" x14ac:dyDescent="0.25">
      <c r="A109" s="201"/>
      <c r="B109" s="281" t="s">
        <v>1255</v>
      </c>
      <c r="C109" s="204"/>
      <c r="D109" s="204"/>
      <c r="E109" s="204"/>
      <c r="F109" s="204"/>
      <c r="G109" s="204"/>
      <c r="H109" s="204"/>
      <c r="I109" s="204"/>
      <c r="J109" s="204"/>
      <c r="K109" s="204"/>
      <c r="L109" s="204"/>
      <c r="M109" s="204"/>
      <c r="N109" s="204"/>
      <c r="O109" s="205"/>
      <c r="P109" s="206"/>
      <c r="Q109" s="206"/>
      <c r="R109" s="206"/>
      <c r="S109" s="206"/>
      <c r="T109" s="207"/>
    </row>
    <row r="110" spans="1:21" s="240" customFormat="1" ht="15.75" customHeight="1" thickBot="1" x14ac:dyDescent="0.3">
      <c r="A110" s="201"/>
      <c r="B110" s="281" t="s">
        <v>1248</v>
      </c>
      <c r="C110" s="204"/>
      <c r="D110" s="204"/>
      <c r="E110" s="204"/>
      <c r="F110" s="204"/>
      <c r="G110" s="204"/>
      <c r="H110" s="204"/>
      <c r="I110" s="204"/>
      <c r="J110" s="204"/>
      <c r="K110" s="204"/>
      <c r="L110" s="204"/>
      <c r="M110" s="204"/>
      <c r="N110" s="204"/>
      <c r="O110" s="205"/>
      <c r="P110" s="206"/>
      <c r="Q110" s="206"/>
      <c r="R110" s="206"/>
      <c r="S110" s="206"/>
      <c r="T110" s="207"/>
    </row>
    <row r="111" spans="1:21" s="240" customFormat="1" ht="14.25" customHeight="1" thickBot="1" x14ac:dyDescent="0.3">
      <c r="A111" s="225" t="s">
        <v>1270</v>
      </c>
      <c r="B111" s="232" t="s">
        <v>1232</v>
      </c>
      <c r="C111" s="233" t="s">
        <v>938</v>
      </c>
      <c r="D111" s="234">
        <v>0</v>
      </c>
      <c r="E111" s="234">
        <v>0</v>
      </c>
      <c r="F111" s="235">
        <v>0</v>
      </c>
      <c r="G111" s="235">
        <v>0</v>
      </c>
      <c r="H111" s="235">
        <v>0</v>
      </c>
      <c r="I111" s="235">
        <v>0</v>
      </c>
      <c r="J111" s="235">
        <v>0</v>
      </c>
      <c r="K111" s="235">
        <v>0</v>
      </c>
      <c r="L111" s="235">
        <f>L$4*2.9</f>
        <v>2.9</v>
      </c>
      <c r="M111" s="235">
        <f>M$4*0</f>
        <v>0</v>
      </c>
      <c r="N111" s="236">
        <f>N$4*0</f>
        <v>0</v>
      </c>
      <c r="O111" s="237">
        <f>SUM(D111:N111)</f>
        <v>2.9</v>
      </c>
      <c r="P111" s="206">
        <v>0</v>
      </c>
      <c r="Q111" s="206">
        <v>0</v>
      </c>
      <c r="R111" s="206">
        <f>P111+Q111</f>
        <v>0</v>
      </c>
      <c r="S111" s="206"/>
      <c r="T111" s="238">
        <f>R111*O111</f>
        <v>0</v>
      </c>
      <c r="U111" s="239"/>
    </row>
    <row r="112" spans="1:21" s="240" customFormat="1" ht="77.25" customHeight="1" thickBot="1" x14ac:dyDescent="0.3">
      <c r="A112" s="225" t="s">
        <v>1271</v>
      </c>
      <c r="B112" s="232" t="s">
        <v>1234</v>
      </c>
      <c r="C112" s="233" t="s">
        <v>938</v>
      </c>
      <c r="D112" s="234">
        <f t="shared" ref="D112:N112" si="17">D111*0.1</f>
        <v>0</v>
      </c>
      <c r="E112" s="234">
        <f t="shared" si="17"/>
        <v>0</v>
      </c>
      <c r="F112" s="235">
        <f t="shared" si="17"/>
        <v>0</v>
      </c>
      <c r="G112" s="235">
        <f t="shared" si="17"/>
        <v>0</v>
      </c>
      <c r="H112" s="235">
        <f t="shared" si="17"/>
        <v>0</v>
      </c>
      <c r="I112" s="235">
        <f t="shared" si="17"/>
        <v>0</v>
      </c>
      <c r="J112" s="235">
        <f t="shared" si="17"/>
        <v>0</v>
      </c>
      <c r="K112" s="235">
        <f t="shared" si="17"/>
        <v>0</v>
      </c>
      <c r="L112" s="235">
        <f t="shared" si="17"/>
        <v>0.28999999999999998</v>
      </c>
      <c r="M112" s="235">
        <f t="shared" si="17"/>
        <v>0</v>
      </c>
      <c r="N112" s="236">
        <f t="shared" si="17"/>
        <v>0</v>
      </c>
      <c r="O112" s="237">
        <f>SUM(D112:N112)</f>
        <v>0.28999999999999998</v>
      </c>
      <c r="P112" s="206">
        <v>0</v>
      </c>
      <c r="Q112" s="206">
        <v>0</v>
      </c>
      <c r="R112" s="206">
        <f>P112+Q112</f>
        <v>0</v>
      </c>
      <c r="S112" s="206"/>
      <c r="T112" s="238">
        <f>R112*O112</f>
        <v>0</v>
      </c>
      <c r="U112" s="239"/>
    </row>
    <row r="113" spans="1:21" s="240" customFormat="1" ht="15.75" customHeight="1" thickBot="1" x14ac:dyDescent="0.3">
      <c r="A113" s="225" t="s">
        <v>1272</v>
      </c>
      <c r="B113" s="232" t="s">
        <v>1210</v>
      </c>
      <c r="C113" s="233" t="s">
        <v>938</v>
      </c>
      <c r="D113" s="234">
        <f t="shared" ref="D113:N113" si="18">D111*0.02</f>
        <v>0</v>
      </c>
      <c r="E113" s="234">
        <f t="shared" si="18"/>
        <v>0</v>
      </c>
      <c r="F113" s="235">
        <f t="shared" si="18"/>
        <v>0</v>
      </c>
      <c r="G113" s="235">
        <f t="shared" si="18"/>
        <v>0</v>
      </c>
      <c r="H113" s="235">
        <f t="shared" si="18"/>
        <v>0</v>
      </c>
      <c r="I113" s="235">
        <f t="shared" si="18"/>
        <v>0</v>
      </c>
      <c r="J113" s="235">
        <f t="shared" si="18"/>
        <v>0</v>
      </c>
      <c r="K113" s="235">
        <f t="shared" si="18"/>
        <v>0</v>
      </c>
      <c r="L113" s="235">
        <f t="shared" si="18"/>
        <v>5.7999999999999996E-2</v>
      </c>
      <c r="M113" s="235">
        <f t="shared" si="18"/>
        <v>0</v>
      </c>
      <c r="N113" s="236">
        <f t="shared" si="18"/>
        <v>0</v>
      </c>
      <c r="O113" s="237">
        <f>SUM(D113:N113)</f>
        <v>5.7999999999999996E-2</v>
      </c>
      <c r="P113" s="206">
        <v>0</v>
      </c>
      <c r="Q113" s="206">
        <v>0</v>
      </c>
      <c r="R113" s="206">
        <f>P113+Q113</f>
        <v>0</v>
      </c>
      <c r="S113" s="206"/>
      <c r="T113" s="238">
        <f>R113*O113</f>
        <v>0</v>
      </c>
      <c r="U113" s="239"/>
    </row>
    <row r="114" spans="1:21" s="42" customFormat="1" x14ac:dyDescent="0.25">
      <c r="A114" s="157"/>
      <c r="B114" s="44"/>
      <c r="C114" s="44"/>
      <c r="D114" s="44"/>
      <c r="E114" s="44"/>
      <c r="F114" s="44"/>
      <c r="G114" s="44"/>
      <c r="H114" s="44"/>
      <c r="I114" s="44"/>
      <c r="J114" s="44"/>
      <c r="K114" s="44"/>
      <c r="L114" s="44"/>
      <c r="M114" s="44"/>
      <c r="N114" s="44"/>
      <c r="O114" s="118"/>
      <c r="P114" s="44"/>
      <c r="Q114" s="44"/>
      <c r="R114" s="44"/>
      <c r="S114" s="44"/>
      <c r="T114" s="44"/>
      <c r="U114" s="47"/>
    </row>
    <row r="115" spans="1:21" s="42" customFormat="1" ht="14.25" customHeight="1" x14ac:dyDescent="0.25">
      <c r="A115" s="166" t="s">
        <v>1273</v>
      </c>
      <c r="B115" s="147" t="s">
        <v>1274</v>
      </c>
      <c r="C115" s="28"/>
      <c r="D115" s="28"/>
      <c r="E115" s="28"/>
      <c r="F115" s="28"/>
      <c r="G115" s="28"/>
      <c r="H115" s="28"/>
      <c r="I115" s="28"/>
      <c r="J115" s="28"/>
      <c r="K115" s="28"/>
      <c r="L115" s="28"/>
      <c r="M115" s="28"/>
      <c r="N115" s="28"/>
      <c r="O115" s="60"/>
      <c r="P115" s="29"/>
      <c r="Q115" s="29"/>
      <c r="R115" s="29"/>
      <c r="S115" s="29"/>
      <c r="T115" s="23"/>
      <c r="U115" s="152"/>
    </row>
    <row r="116" spans="1:21" s="42" customFormat="1" x14ac:dyDescent="0.25">
      <c r="A116" s="167"/>
      <c r="B116" s="141" t="s">
        <v>1266</v>
      </c>
      <c r="C116" s="31"/>
      <c r="D116" s="31"/>
      <c r="E116" s="31"/>
      <c r="F116" s="31"/>
      <c r="G116" s="31"/>
      <c r="H116" s="31"/>
      <c r="I116" s="31"/>
      <c r="J116" s="31"/>
      <c r="K116" s="31"/>
      <c r="L116" s="31"/>
      <c r="M116" s="31"/>
      <c r="N116" s="31"/>
      <c r="O116" s="58"/>
      <c r="P116" s="26"/>
      <c r="Q116" s="26"/>
      <c r="R116" s="26"/>
      <c r="S116" s="26"/>
      <c r="T116" s="38"/>
      <c r="U116" s="152"/>
    </row>
    <row r="117" spans="1:21" s="42" customFormat="1" ht="26.25" customHeight="1" thickBot="1" x14ac:dyDescent="0.3">
      <c r="A117" s="167"/>
      <c r="B117" s="141" t="s">
        <v>1275</v>
      </c>
      <c r="C117" s="31"/>
      <c r="D117" s="31"/>
      <c r="E117" s="31"/>
      <c r="F117" s="31"/>
      <c r="G117" s="31"/>
      <c r="H117" s="31"/>
      <c r="I117" s="31"/>
      <c r="J117" s="31"/>
      <c r="K117" s="31"/>
      <c r="L117" s="31"/>
      <c r="M117" s="31"/>
      <c r="N117" s="31"/>
      <c r="O117" s="58"/>
      <c r="P117" s="26"/>
      <c r="Q117" s="26"/>
      <c r="R117" s="26"/>
      <c r="S117" s="26"/>
      <c r="T117" s="38"/>
      <c r="U117" s="152"/>
    </row>
    <row r="118" spans="1:21" s="42" customFormat="1" ht="15.75" customHeight="1" thickBot="1" x14ac:dyDescent="0.3">
      <c r="A118" s="166"/>
      <c r="B118" s="148" t="s">
        <v>1263</v>
      </c>
      <c r="C118" s="135" t="s">
        <v>969</v>
      </c>
      <c r="D118" s="55">
        <f>D$4*3.8</f>
        <v>3.8</v>
      </c>
      <c r="E118" s="55">
        <f>E$4*3.8</f>
        <v>3.8</v>
      </c>
      <c r="F118" s="36">
        <f>F$4*3.7</f>
        <v>3.7</v>
      </c>
      <c r="G118" s="36">
        <f>G$4*3.7</f>
        <v>3.7</v>
      </c>
      <c r="H118" s="36">
        <f>H$4*2</f>
        <v>8</v>
      </c>
      <c r="I118" s="36">
        <f>I$4*2.7</f>
        <v>2.7</v>
      </c>
      <c r="J118" s="36">
        <f>J$4*2.7</f>
        <v>2.7</v>
      </c>
      <c r="K118" s="36">
        <f>K$4*14.3</f>
        <v>28.6</v>
      </c>
      <c r="L118" s="36">
        <f>L$4*8.1</f>
        <v>8.1</v>
      </c>
      <c r="M118" s="36">
        <f>M$4*0</f>
        <v>0</v>
      </c>
      <c r="N118" s="56">
        <f>N$4*0</f>
        <v>0</v>
      </c>
      <c r="O118" s="62">
        <f>SUM(D118:N118)</f>
        <v>65.099999999999994</v>
      </c>
      <c r="P118" s="26">
        <v>0</v>
      </c>
      <c r="Q118" s="26">
        <v>0</v>
      </c>
      <c r="R118" s="26">
        <f>P118+Q118</f>
        <v>0</v>
      </c>
      <c r="S118" s="26"/>
      <c r="T118" s="22">
        <f>R118*O118</f>
        <v>0</v>
      </c>
      <c r="U118" s="47"/>
    </row>
    <row r="119" spans="1:21" s="42" customFormat="1" x14ac:dyDescent="0.25">
      <c r="A119" s="157"/>
      <c r="B119" s="44"/>
      <c r="C119" s="44"/>
      <c r="D119" s="44"/>
      <c r="E119" s="44"/>
      <c r="F119" s="44"/>
      <c r="G119" s="44"/>
      <c r="H119" s="44"/>
      <c r="I119" s="44"/>
      <c r="J119" s="44"/>
      <c r="K119" s="44"/>
      <c r="L119" s="44"/>
      <c r="M119" s="44"/>
      <c r="N119" s="44"/>
      <c r="O119" s="118"/>
      <c r="P119" s="44"/>
      <c r="Q119" s="44"/>
      <c r="R119" s="44"/>
      <c r="S119" s="44"/>
      <c r="T119" s="44"/>
      <c r="U119" s="47"/>
    </row>
    <row r="120" spans="1:21" s="42" customFormat="1" x14ac:dyDescent="0.25">
      <c r="A120" s="166" t="s">
        <v>1276</v>
      </c>
      <c r="B120" s="27" t="s">
        <v>1277</v>
      </c>
      <c r="C120" s="28"/>
      <c r="D120" s="28"/>
      <c r="E120" s="28"/>
      <c r="F120" s="28"/>
      <c r="G120" s="28"/>
      <c r="H120" s="28"/>
      <c r="I120" s="28"/>
      <c r="J120" s="28"/>
      <c r="K120" s="28"/>
      <c r="L120" s="28"/>
      <c r="M120" s="28"/>
      <c r="N120" s="28"/>
      <c r="O120" s="60"/>
      <c r="P120" s="29"/>
      <c r="Q120" s="29"/>
      <c r="R120" s="29"/>
      <c r="S120" s="29"/>
      <c r="T120" s="23"/>
      <c r="U120" s="152"/>
    </row>
    <row r="121" spans="1:21" s="42" customFormat="1" ht="38.25" customHeight="1" x14ac:dyDescent="0.25">
      <c r="A121" s="167"/>
      <c r="B121" s="30" t="s">
        <v>1278</v>
      </c>
      <c r="C121" s="31"/>
      <c r="D121" s="31"/>
      <c r="E121" s="31"/>
      <c r="F121" s="31"/>
      <c r="G121" s="31"/>
      <c r="H121" s="31"/>
      <c r="I121" s="31"/>
      <c r="J121" s="31"/>
      <c r="K121" s="31"/>
      <c r="L121" s="31"/>
      <c r="M121" s="31"/>
      <c r="N121" s="31"/>
      <c r="O121" s="58"/>
      <c r="P121" s="26"/>
      <c r="Q121" s="26"/>
      <c r="R121" s="26"/>
      <c r="S121" s="26"/>
      <c r="T121" s="38"/>
      <c r="U121" s="152"/>
    </row>
    <row r="122" spans="1:21" s="42" customFormat="1" x14ac:dyDescent="0.25">
      <c r="A122" s="167"/>
      <c r="B122" s="30" t="s">
        <v>1279</v>
      </c>
      <c r="C122" s="31"/>
      <c r="D122" s="31"/>
      <c r="E122" s="31"/>
      <c r="F122" s="31"/>
      <c r="G122" s="31"/>
      <c r="H122" s="31"/>
      <c r="I122" s="31"/>
      <c r="J122" s="31"/>
      <c r="K122" s="31"/>
      <c r="L122" s="31"/>
      <c r="M122" s="31"/>
      <c r="N122" s="31"/>
      <c r="O122" s="58"/>
      <c r="P122" s="26"/>
      <c r="Q122" s="26"/>
      <c r="R122" s="26"/>
      <c r="S122" s="26"/>
      <c r="T122" s="38"/>
      <c r="U122" s="152"/>
    </row>
    <row r="123" spans="1:21" s="42" customFormat="1" ht="15.75" customHeight="1" thickBot="1" x14ac:dyDescent="0.3">
      <c r="A123" s="167"/>
      <c r="B123" s="30" t="s">
        <v>1280</v>
      </c>
      <c r="C123" s="31"/>
      <c r="D123" s="31"/>
      <c r="E123" s="31"/>
      <c r="F123" s="31"/>
      <c r="G123" s="31"/>
      <c r="H123" s="31"/>
      <c r="I123" s="31"/>
      <c r="J123" s="31"/>
      <c r="K123" s="31"/>
      <c r="L123" s="31"/>
      <c r="M123" s="31"/>
      <c r="N123" s="31"/>
      <c r="O123" s="58"/>
      <c r="P123" s="26"/>
      <c r="Q123" s="26"/>
      <c r="R123" s="26"/>
      <c r="S123" s="26"/>
      <c r="T123" s="38"/>
      <c r="U123" s="152"/>
    </row>
    <row r="124" spans="1:21" s="156" customFormat="1" ht="15.75" customHeight="1" thickBot="1" x14ac:dyDescent="0.3">
      <c r="A124" s="168"/>
      <c r="B124" s="137" t="s">
        <v>1145</v>
      </c>
      <c r="C124" s="135" t="s">
        <v>938</v>
      </c>
      <c r="D124" s="55">
        <v>0</v>
      </c>
      <c r="E124" s="55">
        <f>E$4*3</f>
        <v>3</v>
      </c>
      <c r="F124" s="36">
        <f>F$4*0</f>
        <v>0</v>
      </c>
      <c r="G124" s="36">
        <f>G$4*3</f>
        <v>3</v>
      </c>
      <c r="H124" s="36">
        <f>H$4*3</f>
        <v>12</v>
      </c>
      <c r="I124" s="36">
        <f>I$4*0</f>
        <v>0</v>
      </c>
      <c r="J124" s="36">
        <f>J$4*4</f>
        <v>4</v>
      </c>
      <c r="K124" s="36">
        <f>K$4*3</f>
        <v>6</v>
      </c>
      <c r="L124" s="36">
        <f>L$4*28</f>
        <v>28</v>
      </c>
      <c r="M124" s="36">
        <f>M$4*0</f>
        <v>0</v>
      </c>
      <c r="N124" s="56">
        <f>N$4*0</f>
        <v>0</v>
      </c>
      <c r="O124" s="62">
        <f>SUM(D124:N124)</f>
        <v>56</v>
      </c>
      <c r="P124" s="55">
        <v>0</v>
      </c>
      <c r="Q124" s="36">
        <v>0</v>
      </c>
      <c r="R124" s="36">
        <f>P124+Q124</f>
        <v>0</v>
      </c>
      <c r="S124" s="36"/>
      <c r="T124" s="51">
        <f>R124*O124</f>
        <v>0</v>
      </c>
      <c r="U124" s="155"/>
    </row>
    <row r="125" spans="1:21" s="42" customFormat="1" x14ac:dyDescent="0.25">
      <c r="A125" s="157"/>
      <c r="B125" s="44"/>
      <c r="C125" s="44"/>
      <c r="D125" s="44"/>
      <c r="E125" s="44"/>
      <c r="F125" s="44"/>
      <c r="G125" s="44"/>
      <c r="H125" s="44"/>
      <c r="I125" s="44"/>
      <c r="J125" s="44"/>
      <c r="K125" s="44"/>
      <c r="L125" s="44"/>
      <c r="M125" s="44"/>
      <c r="N125" s="44"/>
      <c r="O125" s="118"/>
      <c r="P125" s="44"/>
      <c r="Q125" s="44"/>
      <c r="R125" s="44"/>
      <c r="S125" s="44"/>
      <c r="T125" s="44"/>
      <c r="U125" s="47"/>
    </row>
    <row r="126" spans="1:21" s="42" customFormat="1" ht="18" customHeight="1" x14ac:dyDescent="0.25">
      <c r="A126" s="166" t="s">
        <v>1281</v>
      </c>
      <c r="B126" s="147" t="s">
        <v>1282</v>
      </c>
      <c r="C126" s="28"/>
      <c r="D126" s="28"/>
      <c r="E126" s="28"/>
      <c r="F126" s="28"/>
      <c r="G126" s="28"/>
      <c r="H126" s="28"/>
      <c r="I126" s="28"/>
      <c r="J126" s="28"/>
      <c r="K126" s="28"/>
      <c r="L126" s="28"/>
      <c r="M126" s="28"/>
      <c r="N126" s="28"/>
      <c r="O126" s="60"/>
      <c r="P126" s="29"/>
      <c r="Q126" s="29"/>
      <c r="R126" s="29"/>
      <c r="S126" s="29"/>
      <c r="T126" s="23"/>
      <c r="U126" s="152"/>
    </row>
    <row r="127" spans="1:21" s="42" customFormat="1" x14ac:dyDescent="0.25">
      <c r="A127" s="167"/>
      <c r="B127" s="141" t="s">
        <v>1283</v>
      </c>
      <c r="C127" s="31"/>
      <c r="D127" s="31"/>
      <c r="E127" s="31"/>
      <c r="F127" s="31"/>
      <c r="G127" s="31"/>
      <c r="H127" s="31"/>
      <c r="I127" s="31"/>
      <c r="J127" s="31"/>
      <c r="K127" s="31"/>
      <c r="L127" s="31"/>
      <c r="M127" s="31"/>
      <c r="N127" s="31"/>
      <c r="O127" s="58"/>
      <c r="P127" s="26"/>
      <c r="Q127" s="26"/>
      <c r="R127" s="26"/>
      <c r="S127" s="26"/>
      <c r="T127" s="38"/>
      <c r="U127" s="152"/>
    </row>
    <row r="128" spans="1:21" s="42" customFormat="1" ht="25.5" customHeight="1" x14ac:dyDescent="0.25">
      <c r="A128" s="167"/>
      <c r="B128" s="141" t="s">
        <v>1284</v>
      </c>
      <c r="C128" s="31"/>
      <c r="D128" s="31"/>
      <c r="E128" s="31"/>
      <c r="F128" s="31"/>
      <c r="G128" s="31"/>
      <c r="H128" s="31"/>
      <c r="I128" s="31"/>
      <c r="J128" s="31"/>
      <c r="K128" s="31"/>
      <c r="L128" s="31"/>
      <c r="M128" s="31"/>
      <c r="N128" s="31"/>
      <c r="O128" s="58"/>
      <c r="P128" s="26"/>
      <c r="Q128" s="26"/>
      <c r="R128" s="26"/>
      <c r="S128" s="26"/>
      <c r="T128" s="38"/>
      <c r="U128" s="152"/>
    </row>
    <row r="129" spans="1:21" s="42" customFormat="1" x14ac:dyDescent="0.25">
      <c r="A129" s="167"/>
      <c r="B129" s="141" t="s">
        <v>1285</v>
      </c>
      <c r="C129" s="31"/>
      <c r="D129" s="31"/>
      <c r="E129" s="31"/>
      <c r="F129" s="31"/>
      <c r="G129" s="31"/>
      <c r="H129" s="31"/>
      <c r="I129" s="31"/>
      <c r="J129" s="31"/>
      <c r="K129" s="31"/>
      <c r="L129" s="31"/>
      <c r="M129" s="31"/>
      <c r="N129" s="31"/>
      <c r="O129" s="58"/>
      <c r="P129" s="26"/>
      <c r="Q129" s="26"/>
      <c r="R129" s="26"/>
      <c r="S129" s="26"/>
      <c r="T129" s="38"/>
      <c r="U129" s="152"/>
    </row>
    <row r="130" spans="1:21" s="42" customFormat="1" ht="15.75" customHeight="1" thickBot="1" x14ac:dyDescent="0.3">
      <c r="A130" s="167"/>
      <c r="B130" s="141" t="s">
        <v>1248</v>
      </c>
      <c r="C130" s="31"/>
      <c r="D130" s="31"/>
      <c r="E130" s="31"/>
      <c r="F130" s="31"/>
      <c r="G130" s="31"/>
      <c r="H130" s="31"/>
      <c r="I130" s="31"/>
      <c r="J130" s="31"/>
      <c r="K130" s="31"/>
      <c r="L130" s="31"/>
      <c r="M130" s="31"/>
      <c r="N130" s="31"/>
      <c r="O130" s="58"/>
      <c r="P130" s="26"/>
      <c r="Q130" s="26"/>
      <c r="R130" s="26"/>
      <c r="S130" s="26"/>
      <c r="T130" s="38"/>
      <c r="U130" s="152"/>
    </row>
    <row r="131" spans="1:21" s="286" customFormat="1" ht="26.25" customHeight="1" thickBot="1" x14ac:dyDescent="0.3">
      <c r="A131" s="187" t="s">
        <v>1286</v>
      </c>
      <c r="B131" s="188" t="s">
        <v>1232</v>
      </c>
      <c r="C131" s="189" t="s">
        <v>938</v>
      </c>
      <c r="D131" s="190">
        <f>D$4*32</f>
        <v>32</v>
      </c>
      <c r="E131" s="190">
        <f>E$4*0</f>
        <v>0</v>
      </c>
      <c r="F131" s="191">
        <f>F$4*34</f>
        <v>34</v>
      </c>
      <c r="G131" s="191">
        <f>G$4*0</f>
        <v>0</v>
      </c>
      <c r="H131" s="191">
        <f>H$4*0</f>
        <v>0</v>
      </c>
      <c r="I131" s="191">
        <f>I$4*38.4</f>
        <v>38.4</v>
      </c>
      <c r="J131" s="191">
        <f>J$4*0</f>
        <v>0</v>
      </c>
      <c r="K131" s="191">
        <f>K$4*0</f>
        <v>0</v>
      </c>
      <c r="L131" s="191">
        <f>L$4*0</f>
        <v>0</v>
      </c>
      <c r="M131" s="191">
        <f>M$4*0</f>
        <v>0</v>
      </c>
      <c r="N131" s="192">
        <f>N$4*0</f>
        <v>0</v>
      </c>
      <c r="O131" s="193">
        <f>SUM(D131:N131)</f>
        <v>104.4</v>
      </c>
      <c r="P131" s="194">
        <v>0</v>
      </c>
      <c r="Q131" s="194">
        <v>0</v>
      </c>
      <c r="R131" s="194">
        <f>P131+Q131</f>
        <v>0</v>
      </c>
      <c r="S131" s="194"/>
      <c r="T131" s="195">
        <f>R131*O131</f>
        <v>0</v>
      </c>
      <c r="U131" s="285"/>
    </row>
    <row r="132" spans="1:21" s="286" customFormat="1" ht="77.25" customHeight="1" thickBot="1" x14ac:dyDescent="0.3">
      <c r="A132" s="187" t="s">
        <v>1287</v>
      </c>
      <c r="B132" s="188" t="s">
        <v>1234</v>
      </c>
      <c r="C132" s="189" t="s">
        <v>938</v>
      </c>
      <c r="D132" s="190">
        <f t="shared" ref="D132:N132" si="19">D131*0.1</f>
        <v>3.2</v>
      </c>
      <c r="E132" s="190">
        <f t="shared" si="19"/>
        <v>0</v>
      </c>
      <c r="F132" s="191">
        <f t="shared" si="19"/>
        <v>3.4000000000000004</v>
      </c>
      <c r="G132" s="191">
        <f t="shared" si="19"/>
        <v>0</v>
      </c>
      <c r="H132" s="191">
        <f t="shared" si="19"/>
        <v>0</v>
      </c>
      <c r="I132" s="191">
        <f t="shared" si="19"/>
        <v>3.84</v>
      </c>
      <c r="J132" s="191">
        <f t="shared" si="19"/>
        <v>0</v>
      </c>
      <c r="K132" s="191">
        <f t="shared" si="19"/>
        <v>0</v>
      </c>
      <c r="L132" s="191">
        <f t="shared" si="19"/>
        <v>0</v>
      </c>
      <c r="M132" s="191">
        <f t="shared" si="19"/>
        <v>0</v>
      </c>
      <c r="N132" s="192">
        <f t="shared" si="19"/>
        <v>0</v>
      </c>
      <c r="O132" s="193">
        <f>SUM(D132:N132)</f>
        <v>10.440000000000001</v>
      </c>
      <c r="P132" s="194">
        <v>0</v>
      </c>
      <c r="Q132" s="194">
        <v>0</v>
      </c>
      <c r="R132" s="194">
        <f>P132+Q132</f>
        <v>0</v>
      </c>
      <c r="S132" s="194"/>
      <c r="T132" s="195">
        <f>R132*O132</f>
        <v>0</v>
      </c>
      <c r="U132" s="285"/>
    </row>
    <row r="133" spans="1:21" s="286" customFormat="1" ht="15.75" customHeight="1" thickBot="1" x14ac:dyDescent="0.3">
      <c r="A133" s="187" t="s">
        <v>1288</v>
      </c>
      <c r="B133" s="188" t="s">
        <v>1210</v>
      </c>
      <c r="C133" s="189" t="s">
        <v>938</v>
      </c>
      <c r="D133" s="190">
        <f t="shared" ref="D133:N133" si="20">D131*0.02</f>
        <v>0.64</v>
      </c>
      <c r="E133" s="190">
        <f t="shared" si="20"/>
        <v>0</v>
      </c>
      <c r="F133" s="191">
        <f t="shared" si="20"/>
        <v>0.68</v>
      </c>
      <c r="G133" s="191">
        <f t="shared" si="20"/>
        <v>0</v>
      </c>
      <c r="H133" s="191">
        <f t="shared" si="20"/>
        <v>0</v>
      </c>
      <c r="I133" s="191">
        <f t="shared" si="20"/>
        <v>0.76800000000000002</v>
      </c>
      <c r="J133" s="191">
        <f t="shared" si="20"/>
        <v>0</v>
      </c>
      <c r="K133" s="191">
        <f t="shared" si="20"/>
        <v>0</v>
      </c>
      <c r="L133" s="191">
        <f t="shared" si="20"/>
        <v>0</v>
      </c>
      <c r="M133" s="191">
        <f t="shared" si="20"/>
        <v>0</v>
      </c>
      <c r="N133" s="192">
        <f t="shared" si="20"/>
        <v>0</v>
      </c>
      <c r="O133" s="193">
        <f>SUM(D133:N133)</f>
        <v>2.0880000000000001</v>
      </c>
      <c r="P133" s="194">
        <v>0</v>
      </c>
      <c r="Q133" s="194">
        <v>0</v>
      </c>
      <c r="R133" s="194">
        <f>P133+Q133</f>
        <v>0</v>
      </c>
      <c r="S133" s="194"/>
      <c r="T133" s="195">
        <f>R133*O133</f>
        <v>0</v>
      </c>
      <c r="U133" s="285"/>
    </row>
    <row r="134" spans="1:21" s="42" customFormat="1" x14ac:dyDescent="0.25">
      <c r="A134" s="157"/>
      <c r="B134" s="44"/>
      <c r="C134" s="44"/>
      <c r="D134" s="44"/>
      <c r="E134" s="44"/>
      <c r="F134" s="44"/>
      <c r="G134" s="44"/>
      <c r="H134" s="44"/>
      <c r="I134" s="44"/>
      <c r="J134" s="44"/>
      <c r="K134" s="44"/>
      <c r="L134" s="44"/>
      <c r="M134" s="44"/>
      <c r="N134" s="44"/>
      <c r="O134" s="118"/>
      <c r="P134" s="44"/>
      <c r="Q134" s="44"/>
      <c r="R134" s="44"/>
      <c r="S134" s="44"/>
      <c r="T134" s="44"/>
      <c r="U134" s="47"/>
    </row>
    <row r="135" spans="1:21" s="42" customFormat="1" ht="17.25" customHeight="1" x14ac:dyDescent="0.25">
      <c r="A135" s="166" t="s">
        <v>1289</v>
      </c>
      <c r="B135" s="147" t="s">
        <v>1290</v>
      </c>
      <c r="C135" s="28"/>
      <c r="D135" s="28"/>
      <c r="E135" s="28"/>
      <c r="F135" s="28"/>
      <c r="G135" s="28"/>
      <c r="H135" s="28"/>
      <c r="I135" s="28"/>
      <c r="J135" s="28"/>
      <c r="K135" s="28"/>
      <c r="L135" s="28"/>
      <c r="M135" s="28"/>
      <c r="N135" s="28"/>
      <c r="O135" s="60"/>
      <c r="P135" s="29"/>
      <c r="Q135" s="29"/>
      <c r="R135" s="29"/>
      <c r="S135" s="29"/>
      <c r="T135" s="23"/>
      <c r="U135" s="152"/>
    </row>
    <row r="136" spans="1:21" s="42" customFormat="1" x14ac:dyDescent="0.25">
      <c r="A136" s="167"/>
      <c r="B136" s="141" t="s">
        <v>1261</v>
      </c>
      <c r="C136" s="31"/>
      <c r="D136" s="31"/>
      <c r="E136" s="31"/>
      <c r="F136" s="31"/>
      <c r="G136" s="31"/>
      <c r="H136" s="31"/>
      <c r="I136" s="31"/>
      <c r="J136" s="31"/>
      <c r="K136" s="31"/>
      <c r="L136" s="31"/>
      <c r="M136" s="31"/>
      <c r="N136" s="31"/>
      <c r="O136" s="58"/>
      <c r="P136" s="26"/>
      <c r="Q136" s="26"/>
      <c r="R136" s="26"/>
      <c r="S136" s="26"/>
      <c r="T136" s="38"/>
      <c r="U136" s="152"/>
    </row>
    <row r="137" spans="1:21" s="42" customFormat="1" ht="26.25" customHeight="1" thickBot="1" x14ac:dyDescent="0.3">
      <c r="A137" s="167"/>
      <c r="B137" s="141" t="s">
        <v>1291</v>
      </c>
      <c r="C137" s="31"/>
      <c r="D137" s="31"/>
      <c r="E137" s="31"/>
      <c r="F137" s="31"/>
      <c r="G137" s="31"/>
      <c r="H137" s="31"/>
      <c r="I137" s="31"/>
      <c r="J137" s="31"/>
      <c r="K137" s="31"/>
      <c r="L137" s="31"/>
      <c r="M137" s="31"/>
      <c r="N137" s="31"/>
      <c r="O137" s="58"/>
      <c r="P137" s="26"/>
      <c r="Q137" s="26"/>
      <c r="R137" s="26"/>
      <c r="S137" s="26"/>
      <c r="T137" s="38"/>
      <c r="U137" s="152"/>
    </row>
    <row r="138" spans="1:21" s="200" customFormat="1" ht="15.75" customHeight="1" thickBot="1" x14ac:dyDescent="0.3">
      <c r="A138" s="282"/>
      <c r="B138" s="188" t="s">
        <v>1263</v>
      </c>
      <c r="C138" s="189" t="s">
        <v>969</v>
      </c>
      <c r="D138" s="190">
        <f>D$4*7.8</f>
        <v>7.8</v>
      </c>
      <c r="E138" s="190">
        <f>E$4*0</f>
        <v>0</v>
      </c>
      <c r="F138" s="191">
        <f>F$4*10.8</f>
        <v>10.8</v>
      </c>
      <c r="G138" s="191">
        <f>G$4*0</f>
        <v>0</v>
      </c>
      <c r="H138" s="191">
        <f>H$4*0</f>
        <v>0</v>
      </c>
      <c r="I138" s="191">
        <f>I$4*8.15</f>
        <v>8.15</v>
      </c>
      <c r="J138" s="191">
        <f>J$4*0</f>
        <v>0</v>
      </c>
      <c r="K138" s="191">
        <f>K$4*0</f>
        <v>0</v>
      </c>
      <c r="L138" s="191">
        <f>L$4*0</f>
        <v>0</v>
      </c>
      <c r="M138" s="191">
        <f>M$4*0</f>
        <v>0</v>
      </c>
      <c r="N138" s="192">
        <f>N$4*0</f>
        <v>0</v>
      </c>
      <c r="O138" s="193">
        <f>SUM(D138:N138)</f>
        <v>26.75</v>
      </c>
      <c r="P138" s="194">
        <v>0</v>
      </c>
      <c r="Q138" s="194">
        <v>0</v>
      </c>
      <c r="R138" s="194">
        <f>P138+Q138</f>
        <v>0</v>
      </c>
      <c r="S138" s="194"/>
      <c r="T138" s="195">
        <f>R138*O138</f>
        <v>0</v>
      </c>
      <c r="U138" s="208"/>
    </row>
    <row r="139" spans="1:21" s="32" customFormat="1" ht="12.75" customHeight="1" x14ac:dyDescent="0.2">
      <c r="A139" s="159"/>
      <c r="B139" s="31"/>
      <c r="C139" s="25"/>
      <c r="D139" s="25"/>
      <c r="E139" s="25"/>
      <c r="F139" s="25"/>
      <c r="G139" s="25"/>
      <c r="H139" s="25"/>
      <c r="I139" s="25"/>
      <c r="J139" s="25"/>
      <c r="K139" s="25"/>
      <c r="L139" s="25"/>
      <c r="M139" s="25"/>
      <c r="N139" s="25"/>
      <c r="O139" s="58"/>
      <c r="P139" s="26"/>
      <c r="Q139" s="26"/>
      <c r="R139" s="26"/>
      <c r="S139" s="26"/>
      <c r="T139" s="35"/>
      <c r="U139" s="37"/>
    </row>
    <row r="140" spans="1:21" s="32" customFormat="1" ht="25.5" customHeight="1" x14ac:dyDescent="0.2">
      <c r="A140" s="166" t="s">
        <v>1292</v>
      </c>
      <c r="B140" s="27" t="s">
        <v>1293</v>
      </c>
      <c r="C140" s="28"/>
      <c r="D140" s="28"/>
      <c r="E140" s="28"/>
      <c r="F140" s="28"/>
      <c r="G140" s="28"/>
      <c r="H140" s="28"/>
      <c r="I140" s="28"/>
      <c r="J140" s="28"/>
      <c r="K140" s="28"/>
      <c r="L140" s="28"/>
      <c r="M140" s="28"/>
      <c r="N140" s="28"/>
      <c r="O140" s="60"/>
      <c r="P140" s="29"/>
      <c r="Q140" s="29"/>
      <c r="R140" s="29"/>
      <c r="S140" s="29"/>
      <c r="T140" s="23"/>
      <c r="U140" s="37"/>
    </row>
    <row r="141" spans="1:21" s="32" customFormat="1" ht="76.5" customHeight="1" x14ac:dyDescent="0.2">
      <c r="A141" s="159"/>
      <c r="B141" s="30" t="s">
        <v>1294</v>
      </c>
      <c r="C141" s="25"/>
      <c r="D141" s="25"/>
      <c r="E141" s="25"/>
      <c r="F141" s="25"/>
      <c r="G141" s="25"/>
      <c r="H141" s="25"/>
      <c r="I141" s="25"/>
      <c r="J141" s="25"/>
      <c r="K141" s="25"/>
      <c r="L141" s="25"/>
      <c r="M141" s="25"/>
      <c r="N141" s="25"/>
      <c r="O141" s="58"/>
      <c r="P141" s="26"/>
      <c r="Q141" s="26"/>
      <c r="R141" s="26"/>
      <c r="S141" s="26"/>
      <c r="T141" s="35"/>
      <c r="U141" s="37"/>
    </row>
    <row r="142" spans="1:21" s="32" customFormat="1" ht="26.25" customHeight="1" thickBot="1" x14ac:dyDescent="0.25">
      <c r="A142" s="159"/>
      <c r="B142" s="141" t="s">
        <v>1295</v>
      </c>
      <c r="C142" s="25"/>
      <c r="D142" s="25"/>
      <c r="E142" s="25"/>
      <c r="F142" s="25"/>
      <c r="G142" s="25"/>
      <c r="H142" s="25"/>
      <c r="I142" s="25"/>
      <c r="J142" s="25"/>
      <c r="K142" s="25"/>
      <c r="L142" s="25"/>
      <c r="M142" s="25"/>
      <c r="N142" s="25"/>
      <c r="O142" s="58"/>
      <c r="P142" s="26"/>
      <c r="Q142" s="26"/>
      <c r="R142" s="26"/>
      <c r="S142" s="26"/>
      <c r="T142" s="35"/>
      <c r="U142" s="37"/>
    </row>
    <row r="143" spans="1:21" s="288" customFormat="1" thickBot="1" x14ac:dyDescent="0.25">
      <c r="A143" s="187"/>
      <c r="B143" s="188" t="s">
        <v>1263</v>
      </c>
      <c r="C143" s="189" t="s">
        <v>969</v>
      </c>
      <c r="D143" s="190">
        <f>D$4*5.4</f>
        <v>5.4</v>
      </c>
      <c r="E143" s="190">
        <f>E$4*5.4</f>
        <v>5.4</v>
      </c>
      <c r="F143" s="191">
        <f>F$4*5.3</f>
        <v>5.3</v>
      </c>
      <c r="G143" s="191">
        <f>G$4*5.3</f>
        <v>5.3</v>
      </c>
      <c r="H143" s="191">
        <f>H$4*5.6</f>
        <v>22.4</v>
      </c>
      <c r="I143" s="191">
        <f>I$4*5.3</f>
        <v>5.3</v>
      </c>
      <c r="J143" s="191">
        <f>J$4*5.3</f>
        <v>5.3</v>
      </c>
      <c r="K143" s="191">
        <f>K$4*7.5</f>
        <v>15</v>
      </c>
      <c r="L143" s="191">
        <f>L$4*15.1</f>
        <v>15.1</v>
      </c>
      <c r="M143" s="191">
        <f>M$4*0</f>
        <v>0</v>
      </c>
      <c r="N143" s="192">
        <f>N$4*0</f>
        <v>0</v>
      </c>
      <c r="O143" s="193">
        <f>SUM(D143:N143)</f>
        <v>84.499999999999986</v>
      </c>
      <c r="P143" s="194">
        <v>0</v>
      </c>
      <c r="Q143" s="194">
        <v>0</v>
      </c>
      <c r="R143" s="194">
        <f>P143+Q143</f>
        <v>0</v>
      </c>
      <c r="S143" s="194"/>
      <c r="T143" s="195">
        <f>R143*O143</f>
        <v>0</v>
      </c>
      <c r="U143" s="287"/>
    </row>
    <row r="144" spans="1:21" s="32" customFormat="1" ht="14.25" customHeight="1" x14ac:dyDescent="0.2">
      <c r="A144" s="169"/>
      <c r="B144" s="30"/>
      <c r="C144" s="25"/>
      <c r="D144" s="25"/>
      <c r="E144" s="25"/>
      <c r="F144" s="25"/>
      <c r="G144" s="25"/>
      <c r="H144" s="25"/>
      <c r="I144" s="25"/>
      <c r="J144" s="25"/>
      <c r="K144" s="25"/>
      <c r="L144" s="25"/>
      <c r="M144" s="25"/>
      <c r="N144" s="25"/>
      <c r="O144" s="58"/>
      <c r="P144" s="26"/>
      <c r="Q144" s="26"/>
      <c r="R144" s="26"/>
      <c r="S144" s="26"/>
      <c r="T144" s="35"/>
      <c r="U144" s="37"/>
    </row>
    <row r="145" spans="1:21" s="32" customFormat="1" ht="25.5" customHeight="1" x14ac:dyDescent="0.2">
      <c r="A145" s="166" t="s">
        <v>1296</v>
      </c>
      <c r="B145" s="27" t="s">
        <v>1297</v>
      </c>
      <c r="C145" s="28"/>
      <c r="D145" s="28"/>
      <c r="E145" s="28"/>
      <c r="F145" s="28"/>
      <c r="G145" s="28"/>
      <c r="H145" s="28"/>
      <c r="I145" s="28"/>
      <c r="J145" s="28"/>
      <c r="K145" s="28"/>
      <c r="L145" s="28"/>
      <c r="M145" s="28"/>
      <c r="N145" s="28"/>
      <c r="O145" s="60"/>
      <c r="P145" s="29"/>
      <c r="Q145" s="29"/>
      <c r="R145" s="29"/>
      <c r="S145" s="29"/>
      <c r="T145" s="23"/>
      <c r="U145" s="37"/>
    </row>
    <row r="146" spans="1:21" s="32" customFormat="1" ht="52.5" customHeight="1" x14ac:dyDescent="0.2">
      <c r="A146" s="159"/>
      <c r="B146" s="30" t="s">
        <v>1298</v>
      </c>
      <c r="C146" s="25"/>
      <c r="D146" s="25"/>
      <c r="E146" s="25"/>
      <c r="F146" s="25"/>
      <c r="G146" s="25"/>
      <c r="H146" s="25"/>
      <c r="I146" s="25"/>
      <c r="J146" s="25"/>
      <c r="K146" s="25"/>
      <c r="L146" s="25"/>
      <c r="M146" s="25"/>
      <c r="N146" s="25"/>
      <c r="O146" s="58"/>
      <c r="P146" s="26"/>
      <c r="Q146" s="26"/>
      <c r="R146" s="26"/>
      <c r="S146" s="26"/>
      <c r="T146" s="35"/>
      <c r="U146" s="37"/>
    </row>
    <row r="147" spans="1:21" s="32" customFormat="1" ht="26.25" customHeight="1" thickBot="1" x14ac:dyDescent="0.25">
      <c r="A147" s="159"/>
      <c r="B147" s="141" t="s">
        <v>1299</v>
      </c>
      <c r="C147" s="25"/>
      <c r="D147" s="25"/>
      <c r="E147" s="25"/>
      <c r="F147" s="25"/>
      <c r="G147" s="25"/>
      <c r="H147" s="25"/>
      <c r="I147" s="25"/>
      <c r="J147" s="25"/>
      <c r="K147" s="25"/>
      <c r="L147" s="25"/>
      <c r="M147" s="25"/>
      <c r="N147" s="25"/>
      <c r="O147" s="58"/>
      <c r="P147" s="26"/>
      <c r="Q147" s="26"/>
      <c r="R147" s="26"/>
      <c r="S147" s="26"/>
      <c r="T147" s="35"/>
      <c r="U147" s="37"/>
    </row>
    <row r="148" spans="1:21" s="288" customFormat="1" thickBot="1" x14ac:dyDescent="0.25">
      <c r="A148" s="187"/>
      <c r="B148" s="188" t="s">
        <v>1263</v>
      </c>
      <c r="C148" s="189" t="s">
        <v>969</v>
      </c>
      <c r="D148" s="190">
        <f>D$4*2.6</f>
        <v>2.6</v>
      </c>
      <c r="E148" s="190">
        <f>E$4*2.6</f>
        <v>2.6</v>
      </c>
      <c r="F148" s="191">
        <f>F$4*1.8</f>
        <v>1.8</v>
      </c>
      <c r="G148" s="191">
        <f>G$4*1.8</f>
        <v>1.8</v>
      </c>
      <c r="H148" s="191">
        <f>H$4*3.1</f>
        <v>12.4</v>
      </c>
      <c r="I148" s="191">
        <f>I$4*1.8</f>
        <v>1.8</v>
      </c>
      <c r="J148" s="191">
        <f>J$4*1.8</f>
        <v>1.8</v>
      </c>
      <c r="K148" s="191">
        <f>K$4*6.6</f>
        <v>13.2</v>
      </c>
      <c r="L148" s="191">
        <f>L$4*0</f>
        <v>0</v>
      </c>
      <c r="M148" s="191">
        <f>M$4*0</f>
        <v>0</v>
      </c>
      <c r="N148" s="192">
        <f>N$4*0</f>
        <v>0</v>
      </c>
      <c r="O148" s="193">
        <f>SUM(D148:N148)</f>
        <v>38</v>
      </c>
      <c r="P148" s="194">
        <v>0</v>
      </c>
      <c r="Q148" s="194">
        <v>0</v>
      </c>
      <c r="R148" s="194">
        <f>P148+Q148</f>
        <v>0</v>
      </c>
      <c r="S148" s="194"/>
      <c r="T148" s="195">
        <f>R148*O148</f>
        <v>0</v>
      </c>
      <c r="U148" s="287"/>
    </row>
    <row r="149" spans="1:21" s="32" customFormat="1" ht="12.75" customHeight="1" x14ac:dyDescent="0.2">
      <c r="A149" s="159"/>
      <c r="B149" s="31"/>
      <c r="C149" s="25"/>
      <c r="D149" s="25"/>
      <c r="E149" s="25"/>
      <c r="F149" s="25"/>
      <c r="G149" s="25"/>
      <c r="H149" s="25"/>
      <c r="I149" s="25"/>
      <c r="J149" s="25"/>
      <c r="K149" s="25"/>
      <c r="L149" s="25"/>
      <c r="M149" s="25"/>
      <c r="N149" s="25"/>
      <c r="O149" s="58"/>
      <c r="P149" s="26"/>
      <c r="Q149" s="26"/>
      <c r="R149" s="26"/>
      <c r="S149" s="26"/>
      <c r="T149" s="35"/>
      <c r="U149" s="37"/>
    </row>
    <row r="150" spans="1:21" s="32" customFormat="1" ht="12.75" customHeight="1" x14ac:dyDescent="0.2">
      <c r="A150" s="159"/>
      <c r="B150" s="31"/>
      <c r="C150" s="25"/>
      <c r="D150" s="25"/>
      <c r="E150" s="25"/>
      <c r="F150" s="25"/>
      <c r="G150" s="25"/>
      <c r="H150" s="25"/>
      <c r="I150" s="25"/>
      <c r="J150" s="25"/>
      <c r="K150" s="25"/>
      <c r="L150" s="25"/>
      <c r="M150" s="25"/>
      <c r="N150" s="25"/>
      <c r="O150" s="58"/>
      <c r="P150" s="26"/>
      <c r="Q150" s="26"/>
      <c r="R150" s="26"/>
      <c r="S150" s="26"/>
      <c r="T150" s="35"/>
      <c r="U150" s="37"/>
    </row>
    <row r="151" spans="1:21" s="132" customFormat="1" ht="15.75" customHeight="1" x14ac:dyDescent="0.25">
      <c r="A151" s="160" t="s">
        <v>1300</v>
      </c>
      <c r="B151" s="130" t="s">
        <v>1195</v>
      </c>
      <c r="C151" s="49"/>
      <c r="D151" s="49"/>
      <c r="E151" s="49"/>
      <c r="F151" s="49"/>
      <c r="G151" s="49"/>
      <c r="H151" s="49"/>
      <c r="I151" s="49"/>
      <c r="J151" s="49"/>
      <c r="K151" s="49"/>
      <c r="L151" s="49"/>
      <c r="M151" s="49"/>
      <c r="N151" s="49"/>
      <c r="O151" s="131"/>
      <c r="P151" s="49"/>
      <c r="Q151" s="49"/>
      <c r="R151" s="435" t="s">
        <v>946</v>
      </c>
      <c r="S151" s="388"/>
      <c r="T151" s="50">
        <f>SUM(T12:T149)</f>
        <v>0</v>
      </c>
      <c r="U151" s="151"/>
    </row>
    <row r="153" spans="1:21" s="132" customFormat="1" ht="15.75" customHeight="1" x14ac:dyDescent="0.25">
      <c r="A153" s="160" t="s">
        <v>1300</v>
      </c>
      <c r="B153" s="130" t="s">
        <v>1301</v>
      </c>
      <c r="C153" s="49"/>
      <c r="D153" s="49"/>
      <c r="E153" s="49"/>
      <c r="F153" s="49"/>
      <c r="G153" s="49"/>
      <c r="H153" s="49"/>
      <c r="I153" s="49"/>
      <c r="J153" s="49"/>
      <c r="K153" s="49"/>
      <c r="L153" s="49"/>
      <c r="M153" s="49"/>
      <c r="N153" s="49"/>
      <c r="O153" s="131"/>
      <c r="P153" s="49"/>
      <c r="Q153" s="49"/>
      <c r="R153" s="435" t="s">
        <v>946</v>
      </c>
      <c r="S153" s="388"/>
      <c r="T153" s="50">
        <f>T151*5</f>
        <v>0</v>
      </c>
      <c r="U153" s="151"/>
    </row>
    <row r="155" spans="1:21" ht="15.75" customHeight="1" thickBot="1" x14ac:dyDescent="0.3"/>
    <row r="156" spans="1:21" s="42" customFormat="1" ht="50.1" customHeight="1" thickBot="1" x14ac:dyDescent="0.3">
      <c r="A156" s="119" t="s">
        <v>912</v>
      </c>
      <c r="B156" s="119" t="s">
        <v>913</v>
      </c>
      <c r="C156" s="120" t="s">
        <v>914</v>
      </c>
      <c r="D156" s="430"/>
      <c r="E156" s="431"/>
      <c r="F156" s="431"/>
      <c r="G156" s="431"/>
      <c r="H156" s="431"/>
      <c r="I156" s="431"/>
      <c r="J156" s="431"/>
      <c r="K156" s="121" t="s">
        <v>915</v>
      </c>
      <c r="L156" s="122" t="s">
        <v>916</v>
      </c>
      <c r="M156" s="121" t="s">
        <v>917</v>
      </c>
      <c r="N156" s="121" t="s">
        <v>918</v>
      </c>
      <c r="O156" s="121"/>
      <c r="P156" s="119" t="s">
        <v>919</v>
      </c>
      <c r="Q156" s="47"/>
    </row>
    <row r="157" spans="1:21" s="42" customFormat="1" ht="50.1" customHeight="1" thickBot="1" x14ac:dyDescent="0.3">
      <c r="A157" s="123"/>
      <c r="B157" s="123"/>
      <c r="C157" s="124"/>
      <c r="D157" s="432" t="s">
        <v>948</v>
      </c>
      <c r="E157" s="431"/>
      <c r="F157" s="431"/>
      <c r="G157" s="431"/>
      <c r="H157" s="431"/>
      <c r="I157" s="431"/>
      <c r="J157" s="433"/>
      <c r="K157" s="125"/>
      <c r="L157" s="124"/>
      <c r="M157" s="124"/>
      <c r="N157" s="124"/>
      <c r="O157" s="124"/>
      <c r="P157" s="123"/>
      <c r="Q157" s="47"/>
    </row>
    <row r="158" spans="1:21" s="42" customFormat="1" ht="62.25" customHeight="1" x14ac:dyDescent="0.25">
      <c r="A158" s="123"/>
      <c r="B158" s="123"/>
      <c r="C158" s="124"/>
      <c r="D158" s="173" t="s">
        <v>949</v>
      </c>
      <c r="E158" s="46" t="s">
        <v>950</v>
      </c>
      <c r="F158" s="46" t="s">
        <v>951</v>
      </c>
      <c r="G158" s="46" t="s">
        <v>952</v>
      </c>
      <c r="H158" s="46" t="s">
        <v>953</v>
      </c>
      <c r="I158" s="154" t="s">
        <v>930</v>
      </c>
      <c r="J158" s="126" t="s">
        <v>931</v>
      </c>
      <c r="K158" s="125"/>
      <c r="L158" s="124"/>
      <c r="M158" s="124"/>
      <c r="N158" s="124"/>
      <c r="O158" s="124"/>
      <c r="P158" s="123"/>
      <c r="Q158" s="47"/>
    </row>
    <row r="160" spans="1:21" s="42" customFormat="1" x14ac:dyDescent="0.25">
      <c r="A160" s="166" t="s">
        <v>983</v>
      </c>
      <c r="B160" s="147" t="s">
        <v>984</v>
      </c>
      <c r="C160" s="28"/>
      <c r="D160" s="181"/>
      <c r="E160" s="28"/>
      <c r="F160" s="28"/>
      <c r="G160" s="28"/>
      <c r="H160" s="28"/>
      <c r="I160" s="28"/>
      <c r="J160" s="28"/>
      <c r="K160" s="60"/>
      <c r="L160" s="29"/>
      <c r="M160" s="29"/>
      <c r="N160" s="29"/>
      <c r="O160" s="29"/>
      <c r="P160" s="23"/>
      <c r="Q160" s="152"/>
    </row>
    <row r="161" spans="1:22" s="42" customFormat="1" ht="76.5" customHeight="1" x14ac:dyDescent="0.25">
      <c r="A161" s="167"/>
      <c r="B161" s="141" t="s">
        <v>1004</v>
      </c>
      <c r="C161" s="31"/>
      <c r="D161" s="182"/>
      <c r="E161" s="31"/>
      <c r="F161" s="31"/>
      <c r="G161" s="31"/>
      <c r="H161" s="31"/>
      <c r="I161" s="31"/>
      <c r="J161" s="31"/>
      <c r="K161" s="58"/>
      <c r="L161" s="26"/>
      <c r="M161" s="26"/>
      <c r="N161" s="26"/>
      <c r="O161" s="26"/>
      <c r="P161" s="38"/>
      <c r="Q161" s="152"/>
    </row>
    <row r="162" spans="1:22" s="42" customFormat="1" ht="51" customHeight="1" x14ac:dyDescent="0.25">
      <c r="A162" s="167"/>
      <c r="B162" s="141" t="s">
        <v>1005</v>
      </c>
      <c r="C162" s="31"/>
      <c r="D162" s="182"/>
      <c r="E162" s="31"/>
      <c r="F162" s="31"/>
      <c r="G162" s="31"/>
      <c r="H162" s="31"/>
      <c r="I162" s="31"/>
      <c r="J162" s="31"/>
      <c r="K162" s="58"/>
      <c r="L162" s="26"/>
      <c r="M162" s="26"/>
      <c r="N162" s="26"/>
      <c r="O162" s="26"/>
      <c r="P162" s="38"/>
      <c r="Q162" s="152"/>
    </row>
    <row r="163" spans="1:22" s="42" customFormat="1" ht="51" customHeight="1" x14ac:dyDescent="0.25">
      <c r="A163" s="167"/>
      <c r="B163" s="141" t="s">
        <v>987</v>
      </c>
      <c r="C163" s="31"/>
      <c r="D163" s="182"/>
      <c r="E163" s="31"/>
      <c r="F163" s="31"/>
      <c r="G163" s="31"/>
      <c r="H163" s="31"/>
      <c r="I163" s="31"/>
      <c r="J163" s="31"/>
      <c r="K163" s="58"/>
      <c r="L163" s="26"/>
      <c r="M163" s="26"/>
      <c r="N163" s="26"/>
      <c r="O163" s="26"/>
      <c r="P163" s="38"/>
      <c r="Q163" s="152"/>
    </row>
    <row r="164" spans="1:22" s="42" customFormat="1" ht="25.5" customHeight="1" x14ac:dyDescent="0.25">
      <c r="A164" s="167"/>
      <c r="B164" s="141" t="s">
        <v>988</v>
      </c>
      <c r="C164" s="31"/>
      <c r="D164" s="182"/>
      <c r="E164" s="31"/>
      <c r="F164" s="31"/>
      <c r="G164" s="31"/>
      <c r="H164" s="31"/>
      <c r="I164" s="31"/>
      <c r="J164" s="31"/>
      <c r="K164" s="58"/>
      <c r="L164" s="26"/>
      <c r="M164" s="26"/>
      <c r="N164" s="26"/>
      <c r="O164" s="26"/>
      <c r="P164" s="38"/>
      <c r="Q164" s="152"/>
    </row>
    <row r="165" spans="1:22" s="42" customFormat="1" ht="102" customHeight="1" x14ac:dyDescent="0.25">
      <c r="A165" s="167"/>
      <c r="B165" s="141" t="s">
        <v>989</v>
      </c>
      <c r="C165" s="31"/>
      <c r="D165" s="182"/>
      <c r="E165" s="31"/>
      <c r="F165" s="31"/>
      <c r="G165" s="31"/>
      <c r="H165" s="31"/>
      <c r="I165" s="31"/>
      <c r="J165" s="31"/>
      <c r="K165" s="58"/>
      <c r="L165" s="26"/>
      <c r="M165" s="26"/>
      <c r="N165" s="26"/>
      <c r="O165" s="26"/>
      <c r="P165" s="38"/>
      <c r="Q165" s="152"/>
    </row>
    <row r="166" spans="1:22" s="42" customFormat="1" ht="15.75" customHeight="1" thickBot="1" x14ac:dyDescent="0.3">
      <c r="A166" s="167"/>
      <c r="B166" s="30" t="s">
        <v>937</v>
      </c>
      <c r="C166" s="31"/>
      <c r="D166" s="182"/>
      <c r="E166" s="31"/>
      <c r="F166" s="31"/>
      <c r="G166" s="31"/>
      <c r="H166" s="31"/>
      <c r="I166" s="31"/>
      <c r="J166" s="31"/>
      <c r="K166" s="58"/>
      <c r="L166" s="26"/>
      <c r="M166" s="26"/>
      <c r="N166" s="26"/>
      <c r="O166" s="26"/>
      <c r="P166" s="38"/>
      <c r="Q166" s="152"/>
    </row>
    <row r="167" spans="1:22" s="200" customFormat="1" ht="15.75" customHeight="1" thickBot="1" x14ac:dyDescent="0.3">
      <c r="A167" s="282" t="s">
        <v>990</v>
      </c>
      <c r="B167" s="188" t="s">
        <v>991</v>
      </c>
      <c r="C167" s="189" t="s">
        <v>938</v>
      </c>
      <c r="D167" s="293">
        <v>18.399999999999999</v>
      </c>
      <c r="E167" s="191">
        <v>18.399999999999999</v>
      </c>
      <c r="F167" s="191">
        <v>88</v>
      </c>
      <c r="G167" s="191">
        <v>10</v>
      </c>
      <c r="H167" s="191">
        <v>21.2</v>
      </c>
      <c r="I167" s="191">
        <v>0</v>
      </c>
      <c r="J167" s="192">
        <v>0</v>
      </c>
      <c r="K167" s="193">
        <f>SUM(D167:J167)</f>
        <v>156</v>
      </c>
      <c r="L167" s="194">
        <v>0</v>
      </c>
      <c r="M167" s="194">
        <v>0</v>
      </c>
      <c r="N167" s="194">
        <f>L167+M167</f>
        <v>0</v>
      </c>
      <c r="O167" s="194"/>
      <c r="P167" s="195">
        <f>N167*K167</f>
        <v>0</v>
      </c>
      <c r="Q167" s="208"/>
    </row>
    <row r="168" spans="1:22" s="42" customFormat="1" x14ac:dyDescent="0.25">
      <c r="A168" s="157"/>
      <c r="B168" s="44"/>
      <c r="C168" s="44"/>
      <c r="D168" s="172"/>
      <c r="E168" s="44"/>
      <c r="F168" s="44"/>
      <c r="G168" s="44"/>
      <c r="H168" s="44"/>
      <c r="I168" s="44"/>
      <c r="J168" s="44"/>
      <c r="K168" s="118"/>
      <c r="L168" s="44"/>
      <c r="M168" s="44"/>
      <c r="N168" s="44"/>
      <c r="O168" s="44"/>
      <c r="P168" s="44"/>
      <c r="Q168" s="47"/>
    </row>
    <row r="169" spans="1:22" s="42" customFormat="1" x14ac:dyDescent="0.25">
      <c r="A169" s="166" t="s">
        <v>992</v>
      </c>
      <c r="B169" s="147" t="s">
        <v>984</v>
      </c>
      <c r="C169" s="28"/>
      <c r="D169" s="181"/>
      <c r="E169" s="28"/>
      <c r="F169" s="28"/>
      <c r="G169" s="28"/>
      <c r="H169" s="28"/>
      <c r="I169" s="28"/>
      <c r="J169" s="28"/>
      <c r="K169" s="60"/>
      <c r="L169" s="29"/>
      <c r="M169" s="29"/>
      <c r="N169" s="29"/>
      <c r="O169" s="29"/>
      <c r="P169" s="23"/>
      <c r="Q169" s="152"/>
    </row>
    <row r="170" spans="1:22" s="42" customFormat="1" ht="294.75" customHeight="1" x14ac:dyDescent="0.25">
      <c r="A170" s="167"/>
      <c r="B170" s="141" t="s">
        <v>993</v>
      </c>
      <c r="C170" s="31"/>
      <c r="D170" s="182"/>
      <c r="E170" s="31"/>
      <c r="F170" s="31"/>
      <c r="G170" s="31"/>
      <c r="H170" s="31"/>
      <c r="I170" s="31"/>
      <c r="J170" s="31"/>
      <c r="K170" s="58"/>
      <c r="L170" s="26"/>
      <c r="M170" s="26"/>
      <c r="N170" s="26"/>
      <c r="O170" s="26"/>
      <c r="P170" s="38"/>
      <c r="Q170" s="152"/>
    </row>
    <row r="171" spans="1:22" s="42" customFormat="1" ht="15.75" customHeight="1" thickBot="1" x14ac:dyDescent="0.3">
      <c r="A171" s="167"/>
      <c r="B171" s="30" t="s">
        <v>937</v>
      </c>
      <c r="C171" s="31"/>
      <c r="D171" s="182"/>
      <c r="E171" s="31"/>
      <c r="F171" s="31"/>
      <c r="G171" s="31"/>
      <c r="H171" s="31"/>
      <c r="I171" s="31"/>
      <c r="J171" s="31"/>
      <c r="K171" s="58"/>
      <c r="L171" s="26"/>
      <c r="M171" s="26"/>
      <c r="N171" s="26"/>
      <c r="O171" s="26"/>
      <c r="P171" s="38"/>
      <c r="Q171" s="152"/>
    </row>
    <row r="172" spans="1:22" s="42" customFormat="1" ht="15.75" customHeight="1" thickBot="1" x14ac:dyDescent="0.3">
      <c r="A172" s="166" t="s">
        <v>994</v>
      </c>
      <c r="B172" s="137" t="s">
        <v>995</v>
      </c>
      <c r="C172" s="135" t="s">
        <v>938</v>
      </c>
      <c r="D172" s="177">
        <v>16</v>
      </c>
      <c r="E172" s="36">
        <v>16</v>
      </c>
      <c r="F172" s="36">
        <v>55</v>
      </c>
      <c r="G172" s="36">
        <v>17.5</v>
      </c>
      <c r="H172" s="36">
        <v>27.5</v>
      </c>
      <c r="I172" s="36">
        <v>0</v>
      </c>
      <c r="J172" s="56">
        <v>0</v>
      </c>
      <c r="K172" s="62">
        <f>SUM(D172:J172)</f>
        <v>132</v>
      </c>
      <c r="L172" s="26">
        <v>0</v>
      </c>
      <c r="M172" s="26">
        <v>0</v>
      </c>
      <c r="N172" s="26">
        <f>L172+M172</f>
        <v>0</v>
      </c>
      <c r="O172" s="26"/>
      <c r="P172" s="22">
        <f>N172*K172</f>
        <v>0</v>
      </c>
      <c r="Q172" s="47"/>
    </row>
    <row r="174" spans="1:22" s="117" customFormat="1" ht="15.75" customHeight="1" x14ac:dyDescent="0.25">
      <c r="A174" s="158" t="s">
        <v>1194</v>
      </c>
      <c r="B174" s="39" t="s">
        <v>1195</v>
      </c>
      <c r="C174" s="40"/>
      <c r="D174" s="175"/>
      <c r="E174" s="40"/>
      <c r="F174" s="40"/>
      <c r="G174" s="40"/>
      <c r="H174" s="40"/>
      <c r="I174" s="40"/>
      <c r="J174" s="40"/>
      <c r="K174" s="59"/>
      <c r="L174" s="40"/>
      <c r="M174" s="40"/>
      <c r="N174" s="40"/>
      <c r="O174" s="40"/>
      <c r="P174" s="41"/>
      <c r="Q174" s="149"/>
    </row>
    <row r="175" spans="1:22" s="1" customFormat="1" ht="12.75" customHeight="1" x14ac:dyDescent="0.2">
      <c r="A175" s="163"/>
      <c r="B175" s="5"/>
      <c r="C175" s="139"/>
      <c r="D175" s="182"/>
      <c r="E175" s="31"/>
      <c r="F175" s="31"/>
      <c r="G175" s="31"/>
      <c r="H175" s="31"/>
      <c r="I175" s="31"/>
      <c r="J175" s="31"/>
      <c r="K175" s="58"/>
      <c r="L175" s="26"/>
      <c r="M175" s="26"/>
      <c r="N175" s="26"/>
      <c r="O175" s="26"/>
      <c r="P175" s="38"/>
      <c r="Q175" s="153"/>
      <c r="S175" s="32"/>
      <c r="V175" s="140"/>
    </row>
    <row r="176" spans="1:22" ht="165.75" customHeight="1" x14ac:dyDescent="0.25">
      <c r="A176" s="52"/>
      <c r="B176" s="141" t="s">
        <v>1196</v>
      </c>
      <c r="C176" s="1"/>
      <c r="D176" s="182"/>
      <c r="E176" s="31"/>
      <c r="F176" s="31"/>
      <c r="G176" s="31"/>
      <c r="H176" s="31"/>
      <c r="I176" s="31"/>
      <c r="J176" s="31"/>
      <c r="K176" s="58"/>
      <c r="L176" s="26"/>
      <c r="M176" s="26"/>
      <c r="N176" s="26"/>
      <c r="O176" s="26"/>
      <c r="P176" s="38"/>
      <c r="Q176" s="152"/>
      <c r="S176" s="42"/>
      <c r="V176" s="142"/>
    </row>
    <row r="177" spans="1:22" s="1" customFormat="1" ht="63.75" customHeight="1" x14ac:dyDescent="0.2">
      <c r="A177" s="163"/>
      <c r="B177" s="141" t="s">
        <v>1197</v>
      </c>
      <c r="C177" s="139"/>
      <c r="D177" s="182"/>
      <c r="E177" s="31"/>
      <c r="F177" s="31"/>
      <c r="G177" s="31"/>
      <c r="H177" s="31"/>
      <c r="I177" s="31"/>
      <c r="J177" s="31"/>
      <c r="K177" s="58"/>
      <c r="L177" s="26"/>
      <c r="M177" s="26"/>
      <c r="N177" s="26"/>
      <c r="O177" s="26"/>
      <c r="P177" s="38"/>
      <c r="Q177" s="153"/>
      <c r="S177" s="32"/>
      <c r="V177" s="140"/>
    </row>
    <row r="178" spans="1:22" s="1" customFormat="1" ht="168" customHeight="1" x14ac:dyDescent="0.2">
      <c r="A178" s="163"/>
      <c r="B178" s="30" t="s">
        <v>1198</v>
      </c>
      <c r="C178" s="139"/>
      <c r="D178" s="182"/>
      <c r="E178" s="31"/>
      <c r="F178" s="31"/>
      <c r="G178" s="31"/>
      <c r="H178" s="31"/>
      <c r="I178" s="31"/>
      <c r="J178" s="31"/>
      <c r="K178" s="58"/>
      <c r="L178" s="26"/>
      <c r="M178" s="26"/>
      <c r="N178" s="26"/>
      <c r="O178" s="26"/>
      <c r="P178" s="38"/>
      <c r="Q178" s="153"/>
      <c r="S178" s="32"/>
      <c r="V178" s="140"/>
    </row>
    <row r="179" spans="1:22" ht="30" customHeight="1" x14ac:dyDescent="0.25">
      <c r="A179" s="52"/>
      <c r="B179" s="141" t="s">
        <v>1199</v>
      </c>
      <c r="C179" s="5"/>
      <c r="D179" s="182"/>
      <c r="E179" s="31"/>
      <c r="F179" s="31"/>
      <c r="G179" s="31"/>
      <c r="H179" s="31"/>
      <c r="I179" s="31"/>
      <c r="J179" s="31"/>
      <c r="K179" s="58"/>
      <c r="L179" s="26"/>
      <c r="M179" s="26"/>
      <c r="N179" s="26"/>
      <c r="O179" s="26"/>
      <c r="P179" s="38"/>
      <c r="Q179" s="152"/>
      <c r="S179" s="42"/>
      <c r="V179" s="142"/>
    </row>
    <row r="180" spans="1:22" s="42" customFormat="1" x14ac:dyDescent="0.25">
      <c r="A180" s="157"/>
      <c r="B180" s="44"/>
      <c r="C180" s="44"/>
      <c r="D180" s="172"/>
      <c r="E180" s="44"/>
      <c r="F180" s="44"/>
      <c r="G180" s="44"/>
      <c r="H180" s="44"/>
      <c r="I180" s="44"/>
      <c r="J180" s="44"/>
      <c r="K180" s="118"/>
      <c r="L180" s="44"/>
      <c r="M180" s="44"/>
      <c r="N180" s="44"/>
      <c r="O180" s="44"/>
      <c r="P180" s="44"/>
      <c r="Q180" s="47"/>
    </row>
    <row r="181" spans="1:22" s="42" customFormat="1" x14ac:dyDescent="0.25">
      <c r="A181" s="166" t="s">
        <v>1200</v>
      </c>
      <c r="B181" s="27" t="s">
        <v>1201</v>
      </c>
      <c r="C181" s="28"/>
      <c r="D181" s="181"/>
      <c r="E181" s="28"/>
      <c r="F181" s="28"/>
      <c r="G181" s="28"/>
      <c r="H181" s="28"/>
      <c r="I181" s="28"/>
      <c r="J181" s="28"/>
      <c r="K181" s="60"/>
      <c r="L181" s="29"/>
      <c r="M181" s="29"/>
      <c r="N181" s="29"/>
      <c r="O181" s="29"/>
      <c r="P181" s="23"/>
      <c r="Q181" s="152"/>
    </row>
    <row r="182" spans="1:22" s="42" customFormat="1" ht="25.5" customHeight="1" x14ac:dyDescent="0.25">
      <c r="A182" s="167"/>
      <c r="B182" s="30" t="s">
        <v>1202</v>
      </c>
      <c r="C182" s="31"/>
      <c r="D182" s="182"/>
      <c r="E182" s="31"/>
      <c r="F182" s="31"/>
      <c r="G182" s="31"/>
      <c r="H182" s="31"/>
      <c r="I182" s="31"/>
      <c r="J182" s="31"/>
      <c r="K182" s="58"/>
      <c r="L182" s="26"/>
      <c r="M182" s="26"/>
      <c r="N182" s="26"/>
      <c r="O182" s="26"/>
      <c r="P182" s="38"/>
      <c r="Q182" s="152"/>
    </row>
    <row r="183" spans="1:22" s="42" customFormat="1" ht="25.5" customHeight="1" x14ac:dyDescent="0.25">
      <c r="A183" s="167"/>
      <c r="B183" s="30" t="s">
        <v>1203</v>
      </c>
      <c r="C183" s="31"/>
      <c r="D183" s="182"/>
      <c r="E183" s="31"/>
      <c r="F183" s="31"/>
      <c r="G183" s="31"/>
      <c r="H183" s="31"/>
      <c r="I183" s="31"/>
      <c r="J183" s="31"/>
      <c r="K183" s="58"/>
      <c r="L183" s="26"/>
      <c r="M183" s="26"/>
      <c r="N183" s="26"/>
      <c r="O183" s="26"/>
      <c r="P183" s="38"/>
      <c r="Q183" s="152"/>
    </row>
    <row r="184" spans="1:22" s="42" customFormat="1" x14ac:dyDescent="0.25">
      <c r="A184" s="167"/>
      <c r="B184" s="30" t="s">
        <v>1204</v>
      </c>
      <c r="C184" s="31"/>
      <c r="D184" s="182"/>
      <c r="E184" s="31"/>
      <c r="F184" s="31"/>
      <c r="G184" s="31"/>
      <c r="H184" s="31"/>
      <c r="I184" s="31"/>
      <c r="J184" s="31"/>
      <c r="K184" s="58"/>
      <c r="L184" s="26"/>
      <c r="M184" s="26"/>
      <c r="N184" s="26"/>
      <c r="O184" s="26"/>
      <c r="P184" s="38"/>
      <c r="Q184" s="152"/>
    </row>
    <row r="185" spans="1:22" s="42" customFormat="1" ht="15.75" customHeight="1" thickBot="1" x14ac:dyDescent="0.3">
      <c r="A185" s="167"/>
      <c r="B185" s="30" t="s">
        <v>1205</v>
      </c>
      <c r="C185" s="31"/>
      <c r="D185" s="182"/>
      <c r="E185" s="31"/>
      <c r="F185" s="31"/>
      <c r="G185" s="31"/>
      <c r="H185" s="31"/>
      <c r="I185" s="31"/>
      <c r="J185" s="31"/>
      <c r="K185" s="58"/>
      <c r="L185" s="26"/>
      <c r="M185" s="26"/>
      <c r="N185" s="26"/>
      <c r="O185" s="26"/>
      <c r="P185" s="38"/>
      <c r="Q185" s="152"/>
    </row>
    <row r="186" spans="1:22" s="42" customFormat="1" ht="15.75" customHeight="1" thickBot="1" x14ac:dyDescent="0.3">
      <c r="A186" s="166" t="s">
        <v>1206</v>
      </c>
      <c r="B186" s="137" t="s">
        <v>937</v>
      </c>
      <c r="C186" s="135" t="s">
        <v>938</v>
      </c>
      <c r="D186" s="177">
        <v>0</v>
      </c>
      <c r="E186" s="36">
        <v>0</v>
      </c>
      <c r="F186" s="36">
        <v>0</v>
      </c>
      <c r="G186" s="36">
        <v>0</v>
      </c>
      <c r="H186" s="36">
        <v>0</v>
      </c>
      <c r="I186" s="36">
        <v>0</v>
      </c>
      <c r="J186" s="56">
        <v>129.19999999999999</v>
      </c>
      <c r="K186" s="62">
        <f>SUM(D186:J186)</f>
        <v>129.19999999999999</v>
      </c>
      <c r="L186" s="26">
        <v>0</v>
      </c>
      <c r="M186" s="26">
        <v>0</v>
      </c>
      <c r="N186" s="26">
        <f>L186+M186</f>
        <v>0</v>
      </c>
      <c r="O186" s="26"/>
      <c r="P186" s="22">
        <f>N186*K186</f>
        <v>0</v>
      </c>
      <c r="Q186" s="47"/>
    </row>
    <row r="187" spans="1:22" s="42" customFormat="1" ht="77.25" customHeight="1" thickBot="1" x14ac:dyDescent="0.3">
      <c r="A187" s="166" t="s">
        <v>1207</v>
      </c>
      <c r="B187" s="137" t="s">
        <v>1208</v>
      </c>
      <c r="C187" s="135" t="s">
        <v>938</v>
      </c>
      <c r="D187" s="177">
        <v>0</v>
      </c>
      <c r="E187" s="36">
        <v>0</v>
      </c>
      <c r="F187" s="36">
        <v>0</v>
      </c>
      <c r="G187" s="36">
        <v>0</v>
      </c>
      <c r="H187" s="36">
        <v>0</v>
      </c>
      <c r="I187" s="36">
        <v>0</v>
      </c>
      <c r="J187" s="56">
        <v>12.92</v>
      </c>
      <c r="K187" s="62">
        <f>SUM(D187:J187)</f>
        <v>12.92</v>
      </c>
      <c r="L187" s="26">
        <v>0</v>
      </c>
      <c r="M187" s="26">
        <v>0</v>
      </c>
      <c r="N187" s="26">
        <f>L187+M187</f>
        <v>0</v>
      </c>
      <c r="O187" s="26"/>
      <c r="P187" s="22">
        <f>N187*K187</f>
        <v>0</v>
      </c>
      <c r="Q187" s="47"/>
    </row>
    <row r="188" spans="1:22" s="42" customFormat="1" ht="15.75" customHeight="1" thickBot="1" x14ac:dyDescent="0.3">
      <c r="A188" s="166" t="s">
        <v>1209</v>
      </c>
      <c r="B188" s="137" t="s">
        <v>1210</v>
      </c>
      <c r="C188" s="135" t="s">
        <v>938</v>
      </c>
      <c r="D188" s="177">
        <v>0</v>
      </c>
      <c r="E188" s="36">
        <v>0</v>
      </c>
      <c r="F188" s="36">
        <v>0</v>
      </c>
      <c r="G188" s="36">
        <v>0</v>
      </c>
      <c r="H188" s="36">
        <v>0</v>
      </c>
      <c r="I188" s="36">
        <v>0</v>
      </c>
      <c r="J188" s="56">
        <v>2.5840000000000001</v>
      </c>
      <c r="K188" s="62">
        <f>SUM(D188:J188)</f>
        <v>2.5840000000000001</v>
      </c>
      <c r="L188" s="26">
        <v>0</v>
      </c>
      <c r="M188" s="26">
        <v>0</v>
      </c>
      <c r="N188" s="26">
        <f>L188+M188</f>
        <v>0</v>
      </c>
      <c r="O188" s="26"/>
      <c r="P188" s="22">
        <f>N188*K188</f>
        <v>0</v>
      </c>
      <c r="Q188" s="47"/>
    </row>
    <row r="189" spans="1:22" s="42" customFormat="1" x14ac:dyDescent="0.25">
      <c r="A189" s="157"/>
      <c r="B189" s="44"/>
      <c r="C189" s="44"/>
      <c r="D189" s="172"/>
      <c r="E189" s="44"/>
      <c r="F189" s="44"/>
      <c r="G189" s="44"/>
      <c r="H189" s="44"/>
      <c r="I189" s="44"/>
      <c r="J189" s="44"/>
      <c r="K189" s="118"/>
      <c r="L189" s="44"/>
      <c r="M189" s="44"/>
      <c r="N189" s="44"/>
      <c r="O189" s="44"/>
      <c r="P189" s="44"/>
      <c r="Q189" s="47"/>
    </row>
    <row r="190" spans="1:22" s="42" customFormat="1" x14ac:dyDescent="0.25">
      <c r="A190" s="166" t="s">
        <v>1211</v>
      </c>
      <c r="B190" s="27" t="s">
        <v>1212</v>
      </c>
      <c r="C190" s="28"/>
      <c r="D190" s="181"/>
      <c r="E190" s="28"/>
      <c r="F190" s="28"/>
      <c r="G190" s="28"/>
      <c r="H190" s="28"/>
      <c r="I190" s="28"/>
      <c r="J190" s="28"/>
      <c r="K190" s="60"/>
      <c r="L190" s="29"/>
      <c r="M190" s="29"/>
      <c r="N190" s="29"/>
      <c r="O190" s="29"/>
      <c r="P190" s="23"/>
      <c r="Q190" s="152"/>
    </row>
    <row r="191" spans="1:22" s="42" customFormat="1" ht="25.5" customHeight="1" x14ac:dyDescent="0.25">
      <c r="A191" s="167"/>
      <c r="B191" s="30" t="s">
        <v>1202</v>
      </c>
      <c r="C191" s="31"/>
      <c r="D191" s="182"/>
      <c r="E191" s="31"/>
      <c r="F191" s="31"/>
      <c r="G191" s="31"/>
      <c r="H191" s="31"/>
      <c r="I191" s="31"/>
      <c r="J191" s="31"/>
      <c r="K191" s="58"/>
      <c r="L191" s="26"/>
      <c r="M191" s="26"/>
      <c r="N191" s="26"/>
      <c r="O191" s="26"/>
      <c r="P191" s="38"/>
      <c r="Q191" s="152"/>
    </row>
    <row r="192" spans="1:22" s="42" customFormat="1" ht="25.5" customHeight="1" x14ac:dyDescent="0.25">
      <c r="A192" s="167"/>
      <c r="B192" s="30" t="s">
        <v>1213</v>
      </c>
      <c r="C192" s="31"/>
      <c r="D192" s="182"/>
      <c r="E192" s="31"/>
      <c r="F192" s="31"/>
      <c r="G192" s="31"/>
      <c r="H192" s="31"/>
      <c r="I192" s="31"/>
      <c r="J192" s="31"/>
      <c r="K192" s="58"/>
      <c r="L192" s="26"/>
      <c r="M192" s="26"/>
      <c r="N192" s="26"/>
      <c r="O192" s="26"/>
      <c r="P192" s="38"/>
      <c r="Q192" s="152"/>
    </row>
    <row r="193" spans="1:17" s="42" customFormat="1" ht="15.75" customHeight="1" thickBot="1" x14ac:dyDescent="0.3">
      <c r="A193" s="167"/>
      <c r="B193" s="30" t="s">
        <v>1214</v>
      </c>
      <c r="C193" s="31"/>
      <c r="D193" s="182"/>
      <c r="E193" s="31"/>
      <c r="F193" s="31"/>
      <c r="G193" s="31"/>
      <c r="H193" s="31"/>
      <c r="I193" s="31"/>
      <c r="J193" s="31"/>
      <c r="K193" s="58"/>
      <c r="L193" s="26"/>
      <c r="M193" s="26"/>
      <c r="N193" s="26"/>
      <c r="O193" s="26"/>
      <c r="P193" s="38"/>
      <c r="Q193" s="152"/>
    </row>
    <row r="194" spans="1:17" s="42" customFormat="1" ht="15.75" customHeight="1" thickBot="1" x14ac:dyDescent="0.3">
      <c r="A194" s="166" t="s">
        <v>1215</v>
      </c>
      <c r="B194" s="137" t="s">
        <v>937</v>
      </c>
      <c r="C194" s="135" t="s">
        <v>938</v>
      </c>
      <c r="D194" s="177">
        <v>0</v>
      </c>
      <c r="E194" s="36">
        <v>0</v>
      </c>
      <c r="F194" s="36">
        <v>0</v>
      </c>
      <c r="G194" s="36">
        <v>0</v>
      </c>
      <c r="H194" s="36">
        <v>0</v>
      </c>
      <c r="I194" s="36">
        <v>0</v>
      </c>
      <c r="J194" s="56">
        <v>104.95</v>
      </c>
      <c r="K194" s="62">
        <f>SUM(D194:J194)</f>
        <v>104.95</v>
      </c>
      <c r="L194" s="26">
        <v>0</v>
      </c>
      <c r="M194" s="26">
        <v>0</v>
      </c>
      <c r="N194" s="26">
        <f>L194+M194</f>
        <v>0</v>
      </c>
      <c r="O194" s="26"/>
      <c r="P194" s="22">
        <f>N194*K194</f>
        <v>0</v>
      </c>
      <c r="Q194" s="47"/>
    </row>
    <row r="195" spans="1:17" s="42" customFormat="1" ht="77.25" customHeight="1" thickBot="1" x14ac:dyDescent="0.3">
      <c r="A195" s="166" t="s">
        <v>1216</v>
      </c>
      <c r="B195" s="137" t="s">
        <v>1208</v>
      </c>
      <c r="C195" s="135" t="s">
        <v>938</v>
      </c>
      <c r="D195" s="177">
        <v>0</v>
      </c>
      <c r="E195" s="36">
        <v>0</v>
      </c>
      <c r="F195" s="36">
        <v>0</v>
      </c>
      <c r="G195" s="36">
        <v>0</v>
      </c>
      <c r="H195" s="36">
        <v>0</v>
      </c>
      <c r="I195" s="36">
        <v>0</v>
      </c>
      <c r="J195" s="56">
        <v>10.494999999999999</v>
      </c>
      <c r="K195" s="62">
        <f>SUM(D195:J195)</f>
        <v>10.494999999999999</v>
      </c>
      <c r="L195" s="26">
        <v>0</v>
      </c>
      <c r="M195" s="26">
        <v>0</v>
      </c>
      <c r="N195" s="26">
        <f>L195+M195</f>
        <v>0</v>
      </c>
      <c r="O195" s="26"/>
      <c r="P195" s="22">
        <f>N195*K195</f>
        <v>0</v>
      </c>
      <c r="Q195" s="47"/>
    </row>
    <row r="196" spans="1:17" s="42" customFormat="1" ht="15.75" customHeight="1" thickBot="1" x14ac:dyDescent="0.3">
      <c r="A196" s="166" t="s">
        <v>1217</v>
      </c>
      <c r="B196" s="137" t="s">
        <v>1210</v>
      </c>
      <c r="C196" s="135" t="s">
        <v>938</v>
      </c>
      <c r="D196" s="177">
        <v>0</v>
      </c>
      <c r="E196" s="36">
        <v>0</v>
      </c>
      <c r="F196" s="36">
        <v>0</v>
      </c>
      <c r="G196" s="36">
        <v>0</v>
      </c>
      <c r="H196" s="36">
        <v>0</v>
      </c>
      <c r="I196" s="36">
        <v>0</v>
      </c>
      <c r="J196" s="56">
        <v>2.0990000000000002</v>
      </c>
      <c r="K196" s="62">
        <f>SUM(D196:J196)</f>
        <v>2.0990000000000002</v>
      </c>
      <c r="L196" s="26">
        <v>0</v>
      </c>
      <c r="M196" s="26">
        <v>0</v>
      </c>
      <c r="N196" s="26">
        <f>L196+M196</f>
        <v>0</v>
      </c>
      <c r="O196" s="26"/>
      <c r="P196" s="22">
        <f>N196*K196</f>
        <v>0</v>
      </c>
      <c r="Q196" s="47"/>
    </row>
    <row r="197" spans="1:17" s="42" customFormat="1" x14ac:dyDescent="0.25">
      <c r="A197" s="157"/>
      <c r="B197" s="44"/>
      <c r="C197" s="44"/>
      <c r="D197" s="172"/>
      <c r="E197" s="44"/>
      <c r="F197" s="44"/>
      <c r="G197" s="44"/>
      <c r="H197" s="44"/>
      <c r="I197" s="44"/>
      <c r="J197" s="44"/>
      <c r="K197" s="118"/>
      <c r="L197" s="44"/>
      <c r="M197" s="44"/>
      <c r="N197" s="44"/>
      <c r="O197" s="44"/>
      <c r="P197" s="44"/>
      <c r="Q197" s="47"/>
    </row>
    <row r="198" spans="1:17" s="42" customFormat="1" x14ac:dyDescent="0.25">
      <c r="A198" s="168" t="s">
        <v>1218</v>
      </c>
      <c r="B198" s="27" t="s">
        <v>1219</v>
      </c>
      <c r="C198" s="28"/>
      <c r="D198" s="181"/>
      <c r="E198" s="28"/>
      <c r="F198" s="28"/>
      <c r="G198" s="28"/>
      <c r="H198" s="28"/>
      <c r="I198" s="28"/>
      <c r="J198" s="28"/>
      <c r="K198" s="60"/>
      <c r="L198" s="29"/>
      <c r="M198" s="29"/>
      <c r="N198" s="29"/>
      <c r="O198" s="29"/>
      <c r="P198" s="23"/>
      <c r="Q198" s="152"/>
    </row>
    <row r="199" spans="1:17" s="42" customFormat="1" ht="25.5" customHeight="1" x14ac:dyDescent="0.25">
      <c r="A199" s="169"/>
      <c r="B199" s="30" t="s">
        <v>1220</v>
      </c>
      <c r="C199" s="31"/>
      <c r="D199" s="182"/>
      <c r="E199" s="31"/>
      <c r="F199" s="31"/>
      <c r="G199" s="31"/>
      <c r="H199" s="31"/>
      <c r="I199" s="31"/>
      <c r="J199" s="31"/>
      <c r="K199" s="58"/>
      <c r="L199" s="26"/>
      <c r="M199" s="26"/>
      <c r="N199" s="26"/>
      <c r="O199" s="26"/>
      <c r="P199" s="38"/>
      <c r="Q199" s="152"/>
    </row>
    <row r="200" spans="1:17" s="42" customFormat="1" x14ac:dyDescent="0.25">
      <c r="A200" s="169"/>
      <c r="B200" s="30" t="s">
        <v>1221</v>
      </c>
      <c r="C200" s="31"/>
      <c r="D200" s="182"/>
      <c r="E200" s="31"/>
      <c r="F200" s="31"/>
      <c r="G200" s="31"/>
      <c r="H200" s="31"/>
      <c r="I200" s="31"/>
      <c r="J200" s="31"/>
      <c r="K200" s="58"/>
      <c r="L200" s="26"/>
      <c r="M200" s="26"/>
      <c r="N200" s="26"/>
      <c r="O200" s="26"/>
      <c r="P200" s="38"/>
      <c r="Q200" s="152"/>
    </row>
    <row r="201" spans="1:17" s="42" customFormat="1" ht="15.75" customHeight="1" thickBot="1" x14ac:dyDescent="0.3">
      <c r="A201" s="169"/>
      <c r="B201" s="30" t="s">
        <v>1214</v>
      </c>
      <c r="C201" s="31"/>
      <c r="D201" s="182"/>
      <c r="E201" s="31"/>
      <c r="F201" s="31"/>
      <c r="G201" s="31"/>
      <c r="H201" s="31"/>
      <c r="I201" s="31"/>
      <c r="J201" s="31"/>
      <c r="K201" s="58"/>
      <c r="L201" s="26"/>
      <c r="M201" s="26"/>
      <c r="N201" s="26"/>
      <c r="O201" s="26"/>
      <c r="P201" s="38"/>
      <c r="Q201" s="152"/>
    </row>
    <row r="202" spans="1:17" s="200" customFormat="1" ht="15.75" customHeight="1" thickBot="1" x14ac:dyDescent="0.3">
      <c r="A202" s="187" t="s">
        <v>1222</v>
      </c>
      <c r="B202" s="188" t="s">
        <v>937</v>
      </c>
      <c r="C202" s="189" t="s">
        <v>938</v>
      </c>
      <c r="D202" s="293">
        <v>0</v>
      </c>
      <c r="E202" s="191">
        <v>0</v>
      </c>
      <c r="F202" s="191">
        <v>0</v>
      </c>
      <c r="G202" s="191">
        <v>0</v>
      </c>
      <c r="H202" s="191">
        <v>0</v>
      </c>
      <c r="I202" s="191">
        <v>0</v>
      </c>
      <c r="J202" s="192">
        <v>6.4</v>
      </c>
      <c r="K202" s="193">
        <f>SUM(D202:J202)</f>
        <v>6.4</v>
      </c>
      <c r="L202" s="194">
        <v>0</v>
      </c>
      <c r="M202" s="194">
        <v>0</v>
      </c>
      <c r="N202" s="194">
        <f>L202+M202</f>
        <v>0</v>
      </c>
      <c r="O202" s="194"/>
      <c r="P202" s="195">
        <f>N202*K202</f>
        <v>0</v>
      </c>
      <c r="Q202" s="208"/>
    </row>
    <row r="203" spans="1:17" s="200" customFormat="1" ht="77.25" customHeight="1" thickBot="1" x14ac:dyDescent="0.3">
      <c r="A203" s="187" t="s">
        <v>1223</v>
      </c>
      <c r="B203" s="188" t="s">
        <v>1208</v>
      </c>
      <c r="C203" s="189" t="s">
        <v>938</v>
      </c>
      <c r="D203" s="293">
        <v>0</v>
      </c>
      <c r="E203" s="191">
        <v>0</v>
      </c>
      <c r="F203" s="191">
        <v>0</v>
      </c>
      <c r="G203" s="191">
        <v>0</v>
      </c>
      <c r="H203" s="191">
        <v>0</v>
      </c>
      <c r="I203" s="191">
        <v>0</v>
      </c>
      <c r="J203" s="192">
        <v>0.64000000000000012</v>
      </c>
      <c r="K203" s="193">
        <f>SUM(D203:J203)</f>
        <v>0.64000000000000012</v>
      </c>
      <c r="L203" s="194">
        <v>0</v>
      </c>
      <c r="M203" s="194">
        <v>0</v>
      </c>
      <c r="N203" s="194">
        <f>L203+M203</f>
        <v>0</v>
      </c>
      <c r="O203" s="194"/>
      <c r="P203" s="195">
        <f>N203*K203</f>
        <v>0</v>
      </c>
      <c r="Q203" s="208"/>
    </row>
    <row r="204" spans="1:17" s="200" customFormat="1" ht="15.75" customHeight="1" thickBot="1" x14ac:dyDescent="0.3">
      <c r="A204" s="187" t="s">
        <v>1224</v>
      </c>
      <c r="B204" s="188" t="s">
        <v>1210</v>
      </c>
      <c r="C204" s="189" t="s">
        <v>938</v>
      </c>
      <c r="D204" s="293">
        <v>0</v>
      </c>
      <c r="E204" s="191">
        <v>0</v>
      </c>
      <c r="F204" s="191">
        <v>0</v>
      </c>
      <c r="G204" s="191">
        <v>0</v>
      </c>
      <c r="H204" s="191">
        <v>0</v>
      </c>
      <c r="I204" s="191">
        <v>0</v>
      </c>
      <c r="J204" s="192">
        <v>0.128</v>
      </c>
      <c r="K204" s="193">
        <f>SUM(D204:J204)</f>
        <v>0.128</v>
      </c>
      <c r="L204" s="194">
        <v>0</v>
      </c>
      <c r="M204" s="194">
        <v>0</v>
      </c>
      <c r="N204" s="194">
        <f>L204+M204</f>
        <v>0</v>
      </c>
      <c r="O204" s="194"/>
      <c r="P204" s="195">
        <f>N204*K204</f>
        <v>0</v>
      </c>
      <c r="Q204" s="208"/>
    </row>
    <row r="205" spans="1:17" s="42" customFormat="1" x14ac:dyDescent="0.25">
      <c r="A205" s="157"/>
      <c r="B205" s="44"/>
      <c r="C205" s="44"/>
      <c r="D205" s="172"/>
      <c r="E205" s="44"/>
      <c r="F205" s="44"/>
      <c r="G205" s="44"/>
      <c r="H205" s="44"/>
      <c r="I205" s="44"/>
      <c r="J205" s="44"/>
      <c r="K205" s="118"/>
      <c r="L205" s="44"/>
      <c r="M205" s="44"/>
      <c r="N205" s="44"/>
      <c r="O205" s="44"/>
      <c r="P205" s="44"/>
      <c r="Q205" s="47"/>
    </row>
    <row r="206" spans="1:17" s="42" customFormat="1" ht="27.75" customHeight="1" x14ac:dyDescent="0.25">
      <c r="A206" s="166" t="s">
        <v>1225</v>
      </c>
      <c r="B206" s="147" t="s">
        <v>1226</v>
      </c>
      <c r="C206" s="28"/>
      <c r="D206" s="181"/>
      <c r="E206" s="28"/>
      <c r="F206" s="28"/>
      <c r="G206" s="28"/>
      <c r="H206" s="28"/>
      <c r="I206" s="28"/>
      <c r="J206" s="28"/>
      <c r="K206" s="60"/>
      <c r="L206" s="29"/>
      <c r="M206" s="29"/>
      <c r="N206" s="29"/>
      <c r="O206" s="29"/>
      <c r="P206" s="23"/>
      <c r="Q206" s="152"/>
    </row>
    <row r="207" spans="1:17" s="42" customFormat="1" ht="25.5" customHeight="1" x14ac:dyDescent="0.25">
      <c r="A207" s="167"/>
      <c r="B207" s="141" t="s">
        <v>1227</v>
      </c>
      <c r="C207" s="31"/>
      <c r="D207" s="182"/>
      <c r="E207" s="31"/>
      <c r="F207" s="31"/>
      <c r="G207" s="31"/>
      <c r="H207" s="31"/>
      <c r="I207" s="31"/>
      <c r="J207" s="31"/>
      <c r="K207" s="58"/>
      <c r="L207" s="26"/>
      <c r="M207" s="26"/>
      <c r="N207" s="26"/>
      <c r="O207" s="26"/>
      <c r="P207" s="38"/>
      <c r="Q207" s="152"/>
    </row>
    <row r="208" spans="1:17" s="42" customFormat="1" ht="25.5" customHeight="1" x14ac:dyDescent="0.25">
      <c r="A208" s="167"/>
      <c r="B208" s="141" t="s">
        <v>1228</v>
      </c>
      <c r="C208" s="31"/>
      <c r="D208" s="182"/>
      <c r="E208" s="31"/>
      <c r="F208" s="31"/>
      <c r="G208" s="31"/>
      <c r="H208" s="31"/>
      <c r="I208" s="31"/>
      <c r="J208" s="31"/>
      <c r="K208" s="58"/>
      <c r="L208" s="26"/>
      <c r="M208" s="26"/>
      <c r="N208" s="26"/>
      <c r="O208" s="26"/>
      <c r="P208" s="38"/>
      <c r="Q208" s="152"/>
    </row>
    <row r="209" spans="1:17" s="42" customFormat="1" x14ac:dyDescent="0.25">
      <c r="A209" s="167"/>
      <c r="B209" s="30" t="s">
        <v>1229</v>
      </c>
      <c r="C209" s="31"/>
      <c r="D209" s="182"/>
      <c r="E209" s="31"/>
      <c r="F209" s="31"/>
      <c r="G209" s="31"/>
      <c r="H209" s="31"/>
      <c r="I209" s="31"/>
      <c r="J209" s="31"/>
      <c r="K209" s="58"/>
      <c r="L209" s="26"/>
      <c r="M209" s="26"/>
      <c r="N209" s="26"/>
      <c r="O209" s="26"/>
      <c r="P209" s="38"/>
      <c r="Q209" s="152"/>
    </row>
    <row r="210" spans="1:17" s="42" customFormat="1" ht="15.75" customHeight="1" thickBot="1" x14ac:dyDescent="0.3">
      <c r="A210" s="167"/>
      <c r="B210" s="30" t="s">
        <v>1230</v>
      </c>
      <c r="C210" s="31"/>
      <c r="D210" s="182"/>
      <c r="E210" s="31"/>
      <c r="F210" s="31"/>
      <c r="G210" s="31"/>
      <c r="H210" s="31"/>
      <c r="I210" s="31"/>
      <c r="J210" s="31"/>
      <c r="K210" s="58"/>
      <c r="L210" s="26"/>
      <c r="M210" s="26"/>
      <c r="N210" s="26"/>
      <c r="O210" s="26"/>
      <c r="P210" s="38"/>
      <c r="Q210" s="152"/>
    </row>
    <row r="211" spans="1:17" s="200" customFormat="1" ht="26.25" customHeight="1" thickBot="1" x14ac:dyDescent="0.3">
      <c r="A211" s="282" t="s">
        <v>1231</v>
      </c>
      <c r="B211" s="188" t="s">
        <v>1232</v>
      </c>
      <c r="C211" s="189" t="s">
        <v>938</v>
      </c>
      <c r="D211" s="293">
        <v>9.1999999999999993</v>
      </c>
      <c r="E211" s="191">
        <v>9.1999999999999993</v>
      </c>
      <c r="F211" s="191">
        <v>22</v>
      </c>
      <c r="G211" s="191">
        <v>10</v>
      </c>
      <c r="H211" s="191">
        <v>10.6</v>
      </c>
      <c r="I211" s="191">
        <v>0</v>
      </c>
      <c r="J211" s="192">
        <v>0</v>
      </c>
      <c r="K211" s="193">
        <f>SUM(D211:J211)</f>
        <v>61</v>
      </c>
      <c r="L211" s="194">
        <v>0</v>
      </c>
      <c r="M211" s="194">
        <v>0</v>
      </c>
      <c r="N211" s="194">
        <f>L211+M211</f>
        <v>0</v>
      </c>
      <c r="O211" s="194"/>
      <c r="P211" s="195">
        <f>N211*K211</f>
        <v>0</v>
      </c>
      <c r="Q211" s="208"/>
    </row>
    <row r="212" spans="1:17" s="200" customFormat="1" ht="77.25" customHeight="1" thickBot="1" x14ac:dyDescent="0.3">
      <c r="A212" s="282" t="s">
        <v>1233</v>
      </c>
      <c r="B212" s="188" t="s">
        <v>1234</v>
      </c>
      <c r="C212" s="189" t="s">
        <v>938</v>
      </c>
      <c r="D212" s="293">
        <v>0.91999999999999993</v>
      </c>
      <c r="E212" s="191">
        <v>0.91999999999999993</v>
      </c>
      <c r="F212" s="191">
        <v>2.2000000000000002</v>
      </c>
      <c r="G212" s="191">
        <v>1</v>
      </c>
      <c r="H212" s="191">
        <v>1.06</v>
      </c>
      <c r="I212" s="191">
        <v>0</v>
      </c>
      <c r="J212" s="192">
        <v>0</v>
      </c>
      <c r="K212" s="193">
        <f>SUM(D212:J212)</f>
        <v>6.1</v>
      </c>
      <c r="L212" s="194">
        <v>0</v>
      </c>
      <c r="M212" s="194">
        <v>0</v>
      </c>
      <c r="N212" s="194">
        <f>L212+M212</f>
        <v>0</v>
      </c>
      <c r="O212" s="194"/>
      <c r="P212" s="195">
        <f>N212*K212</f>
        <v>0</v>
      </c>
      <c r="Q212" s="208"/>
    </row>
    <row r="213" spans="1:17" s="200" customFormat="1" ht="15.75" customHeight="1" thickBot="1" x14ac:dyDescent="0.3">
      <c r="A213" s="282" t="s">
        <v>1235</v>
      </c>
      <c r="B213" s="188" t="s">
        <v>1210</v>
      </c>
      <c r="C213" s="189" t="s">
        <v>938</v>
      </c>
      <c r="D213" s="293">
        <v>0.184</v>
      </c>
      <c r="E213" s="191">
        <v>0.184</v>
      </c>
      <c r="F213" s="191">
        <v>0.44</v>
      </c>
      <c r="G213" s="191">
        <v>0.2</v>
      </c>
      <c r="H213" s="191">
        <v>0.21199999999999999</v>
      </c>
      <c r="I213" s="191">
        <v>0</v>
      </c>
      <c r="J213" s="192">
        <v>0</v>
      </c>
      <c r="K213" s="193">
        <f>SUM(D213:J213)</f>
        <v>1.22</v>
      </c>
      <c r="L213" s="194">
        <v>0</v>
      </c>
      <c r="M213" s="194">
        <v>0</v>
      </c>
      <c r="N213" s="194">
        <f>L213+M213</f>
        <v>0</v>
      </c>
      <c r="O213" s="194"/>
      <c r="P213" s="195">
        <f>N213*K213</f>
        <v>0</v>
      </c>
      <c r="Q213" s="208"/>
    </row>
    <row r="214" spans="1:17" s="42" customFormat="1" x14ac:dyDescent="0.25">
      <c r="A214" s="157"/>
      <c r="B214" s="44"/>
      <c r="C214" s="44"/>
      <c r="D214" s="172"/>
      <c r="E214" s="44"/>
      <c r="F214" s="44"/>
      <c r="G214" s="44"/>
      <c r="H214" s="44"/>
      <c r="I214" s="44"/>
      <c r="J214" s="44"/>
      <c r="K214" s="118"/>
      <c r="L214" s="44"/>
      <c r="M214" s="44"/>
      <c r="N214" s="44"/>
      <c r="O214" s="44"/>
      <c r="P214" s="44"/>
      <c r="Q214" s="47"/>
    </row>
    <row r="215" spans="1:17" s="42" customFormat="1" ht="27.75" customHeight="1" x14ac:dyDescent="0.25">
      <c r="A215" s="166" t="s">
        <v>1236</v>
      </c>
      <c r="B215" s="27" t="s">
        <v>1237</v>
      </c>
      <c r="C215" s="28"/>
      <c r="D215" s="181"/>
      <c r="E215" s="28"/>
      <c r="F215" s="28"/>
      <c r="G215" s="28"/>
      <c r="H215" s="28"/>
      <c r="I215" s="28"/>
      <c r="J215" s="28"/>
      <c r="K215" s="60"/>
      <c r="L215" s="29"/>
      <c r="M215" s="29"/>
      <c r="N215" s="29"/>
      <c r="O215" s="29"/>
      <c r="P215" s="23"/>
      <c r="Q215" s="152"/>
    </row>
    <row r="216" spans="1:17" s="42" customFormat="1" x14ac:dyDescent="0.25">
      <c r="A216" s="167"/>
      <c r="B216" s="30" t="s">
        <v>1238</v>
      </c>
      <c r="C216" s="31"/>
      <c r="D216" s="182"/>
      <c r="E216" s="31"/>
      <c r="F216" s="31"/>
      <c r="G216" s="31"/>
      <c r="H216" s="31"/>
      <c r="I216" s="31"/>
      <c r="J216" s="31"/>
      <c r="K216" s="58"/>
      <c r="L216" s="26"/>
      <c r="M216" s="26"/>
      <c r="N216" s="26"/>
      <c r="O216" s="26"/>
      <c r="P216" s="38"/>
      <c r="Q216" s="152"/>
    </row>
    <row r="217" spans="1:17" s="42" customFormat="1" ht="25.5" customHeight="1" x14ac:dyDescent="0.25">
      <c r="A217" s="167"/>
      <c r="B217" s="30" t="s">
        <v>1239</v>
      </c>
      <c r="C217" s="31"/>
      <c r="D217" s="182"/>
      <c r="E217" s="31"/>
      <c r="F217" s="31"/>
      <c r="G217" s="31"/>
      <c r="H217" s="31"/>
      <c r="I217" s="31"/>
      <c r="J217" s="31"/>
      <c r="K217" s="58"/>
      <c r="L217" s="26"/>
      <c r="M217" s="26"/>
      <c r="N217" s="26"/>
      <c r="O217" s="26"/>
      <c r="P217" s="38"/>
      <c r="Q217" s="152"/>
    </row>
    <row r="218" spans="1:17" s="42" customFormat="1" x14ac:dyDescent="0.25">
      <c r="A218" s="167"/>
      <c r="B218" s="30" t="s">
        <v>1240</v>
      </c>
      <c r="C218" s="31"/>
      <c r="D218" s="182"/>
      <c r="E218" s="31"/>
      <c r="F218" s="31"/>
      <c r="G218" s="31"/>
      <c r="H218" s="31"/>
      <c r="I218" s="31"/>
      <c r="J218" s="31"/>
      <c r="K218" s="58"/>
      <c r="L218" s="26"/>
      <c r="M218" s="26"/>
      <c r="N218" s="26"/>
      <c r="O218" s="26"/>
      <c r="P218" s="38"/>
      <c r="Q218" s="152"/>
    </row>
    <row r="219" spans="1:17" s="42" customFormat="1" ht="15.75" customHeight="1" thickBot="1" x14ac:dyDescent="0.3">
      <c r="A219" s="167"/>
      <c r="B219" s="30" t="s">
        <v>1241</v>
      </c>
      <c r="C219" s="31"/>
      <c r="D219" s="182"/>
      <c r="E219" s="31"/>
      <c r="F219" s="31"/>
      <c r="G219" s="31"/>
      <c r="H219" s="31"/>
      <c r="I219" s="31"/>
      <c r="J219" s="31"/>
      <c r="K219" s="58"/>
      <c r="L219" s="26"/>
      <c r="M219" s="26"/>
      <c r="N219" s="26"/>
      <c r="O219" s="26"/>
      <c r="P219" s="38"/>
      <c r="Q219" s="152"/>
    </row>
    <row r="220" spans="1:17" s="200" customFormat="1" ht="26.25" customHeight="1" thickBot="1" x14ac:dyDescent="0.3">
      <c r="A220" s="282" t="s">
        <v>1242</v>
      </c>
      <c r="B220" s="188" t="s">
        <v>1232</v>
      </c>
      <c r="C220" s="189" t="s">
        <v>938</v>
      </c>
      <c r="D220" s="293">
        <v>6.8</v>
      </c>
      <c r="E220" s="191">
        <v>6.8</v>
      </c>
      <c r="F220" s="191">
        <v>23.6</v>
      </c>
      <c r="G220" s="191">
        <v>9.8000000000000007</v>
      </c>
      <c r="H220" s="191">
        <v>13</v>
      </c>
      <c r="I220" s="191">
        <v>0</v>
      </c>
      <c r="J220" s="192">
        <v>0</v>
      </c>
      <c r="K220" s="193">
        <f>SUM(D220:J220)</f>
        <v>60</v>
      </c>
      <c r="L220" s="194">
        <v>0</v>
      </c>
      <c r="M220" s="194">
        <v>0</v>
      </c>
      <c r="N220" s="194">
        <f>L220+M220</f>
        <v>0</v>
      </c>
      <c r="O220" s="194"/>
      <c r="P220" s="195">
        <f>N220*K220</f>
        <v>0</v>
      </c>
      <c r="Q220" s="208"/>
    </row>
    <row r="221" spans="1:17" s="200" customFormat="1" ht="77.25" customHeight="1" thickBot="1" x14ac:dyDescent="0.3">
      <c r="A221" s="282" t="s">
        <v>1243</v>
      </c>
      <c r="B221" s="188" t="s">
        <v>1234</v>
      </c>
      <c r="C221" s="189" t="s">
        <v>938</v>
      </c>
      <c r="D221" s="293">
        <v>0.68</v>
      </c>
      <c r="E221" s="191">
        <v>0.68</v>
      </c>
      <c r="F221" s="191">
        <v>2.36</v>
      </c>
      <c r="G221" s="191">
        <v>0.98000000000000009</v>
      </c>
      <c r="H221" s="191">
        <v>1.3</v>
      </c>
      <c r="I221" s="191">
        <v>0</v>
      </c>
      <c r="J221" s="192">
        <v>0</v>
      </c>
      <c r="K221" s="193">
        <f>SUM(D221:J221)</f>
        <v>6</v>
      </c>
      <c r="L221" s="194">
        <v>0</v>
      </c>
      <c r="M221" s="194">
        <v>0</v>
      </c>
      <c r="N221" s="194">
        <f>L221+M221</f>
        <v>0</v>
      </c>
      <c r="O221" s="194"/>
      <c r="P221" s="195">
        <f>N221*K221</f>
        <v>0</v>
      </c>
      <c r="Q221" s="208"/>
    </row>
    <row r="222" spans="1:17" s="200" customFormat="1" ht="15.75" customHeight="1" thickBot="1" x14ac:dyDescent="0.3">
      <c r="A222" s="282" t="s">
        <v>1244</v>
      </c>
      <c r="B222" s="188" t="s">
        <v>1210</v>
      </c>
      <c r="C222" s="189" t="s">
        <v>938</v>
      </c>
      <c r="D222" s="293">
        <v>0.13600000000000001</v>
      </c>
      <c r="E222" s="191">
        <v>0.13600000000000001</v>
      </c>
      <c r="F222" s="191">
        <v>0.47199999999999998</v>
      </c>
      <c r="G222" s="191">
        <v>0.19600000000000001</v>
      </c>
      <c r="H222" s="191">
        <v>0.26</v>
      </c>
      <c r="I222" s="191">
        <v>0</v>
      </c>
      <c r="J222" s="192">
        <v>0</v>
      </c>
      <c r="K222" s="193">
        <f>SUM(D222:J222)</f>
        <v>1.2</v>
      </c>
      <c r="L222" s="194">
        <v>0</v>
      </c>
      <c r="M222" s="194">
        <v>0</v>
      </c>
      <c r="N222" s="194">
        <f>L222+M222</f>
        <v>0</v>
      </c>
      <c r="O222" s="194"/>
      <c r="P222" s="195">
        <f>N222*K222</f>
        <v>0</v>
      </c>
      <c r="Q222" s="208"/>
    </row>
    <row r="223" spans="1:17" s="42" customFormat="1" x14ac:dyDescent="0.25">
      <c r="A223" s="157"/>
      <c r="B223" s="44"/>
      <c r="C223" s="44"/>
      <c r="D223" s="172"/>
      <c r="E223" s="44"/>
      <c r="F223" s="44"/>
      <c r="G223" s="44"/>
      <c r="H223" s="44"/>
      <c r="I223" s="44"/>
      <c r="J223" s="44"/>
      <c r="K223" s="118"/>
      <c r="L223" s="44"/>
      <c r="M223" s="44"/>
      <c r="N223" s="44"/>
      <c r="O223" s="44"/>
      <c r="P223" s="44"/>
      <c r="Q223" s="47"/>
    </row>
    <row r="224" spans="1:17" s="42" customFormat="1" ht="27.75" customHeight="1" x14ac:dyDescent="0.25">
      <c r="A224" s="166" t="s">
        <v>1245</v>
      </c>
      <c r="B224" s="27" t="s">
        <v>1246</v>
      </c>
      <c r="C224" s="28"/>
      <c r="D224" s="181"/>
      <c r="E224" s="28"/>
      <c r="F224" s="28"/>
      <c r="G224" s="28"/>
      <c r="H224" s="28"/>
      <c r="I224" s="28"/>
      <c r="J224" s="28"/>
      <c r="K224" s="60"/>
      <c r="L224" s="29"/>
      <c r="M224" s="29"/>
      <c r="N224" s="29"/>
      <c r="O224" s="29"/>
      <c r="P224" s="23"/>
      <c r="Q224" s="152"/>
    </row>
    <row r="225" spans="1:17" s="42" customFormat="1" x14ac:dyDescent="0.25">
      <c r="A225" s="167"/>
      <c r="B225" s="30" t="s">
        <v>1238</v>
      </c>
      <c r="C225" s="31"/>
      <c r="D225" s="182"/>
      <c r="E225" s="31"/>
      <c r="F225" s="31"/>
      <c r="G225" s="31"/>
      <c r="H225" s="31"/>
      <c r="I225" s="31"/>
      <c r="J225" s="31"/>
      <c r="K225" s="58"/>
      <c r="L225" s="26"/>
      <c r="M225" s="26"/>
      <c r="N225" s="26"/>
      <c r="O225" s="26"/>
      <c r="P225" s="38"/>
      <c r="Q225" s="152"/>
    </row>
    <row r="226" spans="1:17" s="42" customFormat="1" ht="25.5" customHeight="1" x14ac:dyDescent="0.25">
      <c r="A226" s="167"/>
      <c r="B226" s="30" t="s">
        <v>1247</v>
      </c>
      <c r="C226" s="31"/>
      <c r="D226" s="182"/>
      <c r="E226" s="31"/>
      <c r="F226" s="31"/>
      <c r="G226" s="31"/>
      <c r="H226" s="31"/>
      <c r="I226" s="31"/>
      <c r="J226" s="31"/>
      <c r="K226" s="58"/>
      <c r="L226" s="26"/>
      <c r="M226" s="26"/>
      <c r="N226" s="26"/>
      <c r="O226" s="26"/>
      <c r="P226" s="38"/>
      <c r="Q226" s="152"/>
    </row>
    <row r="227" spans="1:17" s="42" customFormat="1" x14ac:dyDescent="0.25">
      <c r="A227" s="167"/>
      <c r="B227" s="30" t="s">
        <v>1240</v>
      </c>
      <c r="C227" s="31"/>
      <c r="D227" s="182"/>
      <c r="E227" s="31"/>
      <c r="F227" s="31"/>
      <c r="G227" s="31"/>
      <c r="H227" s="31"/>
      <c r="I227" s="31"/>
      <c r="J227" s="31"/>
      <c r="K227" s="58"/>
      <c r="L227" s="26"/>
      <c r="M227" s="26"/>
      <c r="N227" s="26"/>
      <c r="O227" s="26"/>
      <c r="P227" s="38"/>
      <c r="Q227" s="152"/>
    </row>
    <row r="228" spans="1:17" s="42" customFormat="1" ht="15.75" customHeight="1" thickBot="1" x14ac:dyDescent="0.3">
      <c r="A228" s="167"/>
      <c r="B228" s="30" t="s">
        <v>1248</v>
      </c>
      <c r="C228" s="31"/>
      <c r="D228" s="182"/>
      <c r="E228" s="31"/>
      <c r="F228" s="31"/>
      <c r="G228" s="31"/>
      <c r="H228" s="31"/>
      <c r="I228" s="31"/>
      <c r="J228" s="31"/>
      <c r="K228" s="58"/>
      <c r="L228" s="26"/>
      <c r="M228" s="26"/>
      <c r="N228" s="26"/>
      <c r="O228" s="26"/>
      <c r="P228" s="38"/>
      <c r="Q228" s="152"/>
    </row>
    <row r="229" spans="1:17" s="200" customFormat="1" ht="26.25" customHeight="1" thickBot="1" x14ac:dyDescent="0.3">
      <c r="A229" s="282" t="s">
        <v>1249</v>
      </c>
      <c r="B229" s="188" t="s">
        <v>1232</v>
      </c>
      <c r="C229" s="189" t="s">
        <v>938</v>
      </c>
      <c r="D229" s="293">
        <v>47.2</v>
      </c>
      <c r="E229" s="191">
        <v>47.2</v>
      </c>
      <c r="F229" s="191">
        <v>116</v>
      </c>
      <c r="G229" s="191">
        <v>54</v>
      </c>
      <c r="H229" s="191">
        <v>64</v>
      </c>
      <c r="I229" s="191">
        <v>0</v>
      </c>
      <c r="J229" s="192">
        <v>0</v>
      </c>
      <c r="K229" s="193">
        <f>SUM(D229:J229)</f>
        <v>328.4</v>
      </c>
      <c r="L229" s="194">
        <v>0</v>
      </c>
      <c r="M229" s="194">
        <v>0</v>
      </c>
      <c r="N229" s="194">
        <f>L229+M229</f>
        <v>0</v>
      </c>
      <c r="O229" s="194"/>
      <c r="P229" s="195">
        <f>N229*K229</f>
        <v>0</v>
      </c>
      <c r="Q229" s="208"/>
    </row>
    <row r="230" spans="1:17" s="200" customFormat="1" ht="77.25" customHeight="1" thickBot="1" x14ac:dyDescent="0.3">
      <c r="A230" s="282" t="s">
        <v>1250</v>
      </c>
      <c r="B230" s="188" t="s">
        <v>1234</v>
      </c>
      <c r="C230" s="189" t="s">
        <v>938</v>
      </c>
      <c r="D230" s="293">
        <v>4.7200000000000006</v>
      </c>
      <c r="E230" s="191">
        <v>4.7200000000000006</v>
      </c>
      <c r="F230" s="191">
        <v>11.6</v>
      </c>
      <c r="G230" s="191">
        <v>5.4</v>
      </c>
      <c r="H230" s="191">
        <v>6.4</v>
      </c>
      <c r="I230" s="191">
        <v>0</v>
      </c>
      <c r="J230" s="192">
        <v>0</v>
      </c>
      <c r="K230" s="193">
        <f>SUM(D230:J230)</f>
        <v>32.839999999999996</v>
      </c>
      <c r="L230" s="194">
        <v>0</v>
      </c>
      <c r="M230" s="194">
        <v>0</v>
      </c>
      <c r="N230" s="194">
        <f>L230+M230</f>
        <v>0</v>
      </c>
      <c r="O230" s="194"/>
      <c r="P230" s="195">
        <f>N230*K230</f>
        <v>0</v>
      </c>
      <c r="Q230" s="208"/>
    </row>
    <row r="231" spans="1:17" s="200" customFormat="1" ht="15.75" customHeight="1" thickBot="1" x14ac:dyDescent="0.3">
      <c r="A231" s="282" t="s">
        <v>1251</v>
      </c>
      <c r="B231" s="188" t="s">
        <v>1210</v>
      </c>
      <c r="C231" s="189" t="s">
        <v>938</v>
      </c>
      <c r="D231" s="293">
        <v>0.94400000000000006</v>
      </c>
      <c r="E231" s="191">
        <v>0.94400000000000006</v>
      </c>
      <c r="F231" s="191">
        <v>2.3199999999999998</v>
      </c>
      <c r="G231" s="191">
        <v>1.08</v>
      </c>
      <c r="H231" s="191">
        <v>1.28</v>
      </c>
      <c r="I231" s="191">
        <v>0</v>
      </c>
      <c r="J231" s="192">
        <v>0</v>
      </c>
      <c r="K231" s="193">
        <f>SUM(D231:J231)</f>
        <v>6.5680000000000005</v>
      </c>
      <c r="L231" s="194">
        <v>0</v>
      </c>
      <c r="M231" s="194">
        <v>0</v>
      </c>
      <c r="N231" s="194">
        <f>L231+M231</f>
        <v>0</v>
      </c>
      <c r="O231" s="194"/>
      <c r="P231" s="195">
        <f>N231*K231</f>
        <v>0</v>
      </c>
      <c r="Q231" s="208"/>
    </row>
    <row r="232" spans="1:17" s="42" customFormat="1" x14ac:dyDescent="0.25">
      <c r="A232" s="157"/>
      <c r="B232" s="44"/>
      <c r="C232" s="44"/>
      <c r="D232" s="172"/>
      <c r="E232" s="44"/>
      <c r="F232" s="44"/>
      <c r="G232" s="44"/>
      <c r="H232" s="44"/>
      <c r="I232" s="44"/>
      <c r="J232" s="44"/>
      <c r="K232" s="118"/>
      <c r="L232" s="44"/>
      <c r="M232" s="44"/>
      <c r="N232" s="44"/>
      <c r="O232" s="44"/>
      <c r="P232" s="44"/>
      <c r="Q232" s="47"/>
    </row>
    <row r="233" spans="1:17" s="42" customFormat="1" ht="27.75" customHeight="1" x14ac:dyDescent="0.25">
      <c r="A233" s="166" t="s">
        <v>1252</v>
      </c>
      <c r="B233" s="27" t="s">
        <v>1253</v>
      </c>
      <c r="C233" s="28"/>
      <c r="D233" s="181"/>
      <c r="E233" s="28"/>
      <c r="F233" s="28"/>
      <c r="G233" s="28"/>
      <c r="H233" s="28"/>
      <c r="I233" s="28"/>
      <c r="J233" s="28"/>
      <c r="K233" s="60"/>
      <c r="L233" s="29"/>
      <c r="M233" s="29"/>
      <c r="N233" s="29"/>
      <c r="O233" s="29"/>
      <c r="P233" s="23"/>
      <c r="Q233" s="152"/>
    </row>
    <row r="234" spans="1:17" s="42" customFormat="1" x14ac:dyDescent="0.25">
      <c r="A234" s="167"/>
      <c r="B234" s="30" t="s">
        <v>1238</v>
      </c>
      <c r="C234" s="31"/>
      <c r="D234" s="182"/>
      <c r="E234" s="31"/>
      <c r="F234" s="31"/>
      <c r="G234" s="31"/>
      <c r="H234" s="31"/>
      <c r="I234" s="31"/>
      <c r="J234" s="31"/>
      <c r="K234" s="58"/>
      <c r="L234" s="26"/>
      <c r="M234" s="26"/>
      <c r="N234" s="26"/>
      <c r="O234" s="26"/>
      <c r="P234" s="38"/>
      <c r="Q234" s="152"/>
    </row>
    <row r="235" spans="1:17" s="42" customFormat="1" ht="25.5" customHeight="1" x14ac:dyDescent="0.25">
      <c r="A235" s="167"/>
      <c r="B235" s="30" t="s">
        <v>1254</v>
      </c>
      <c r="C235" s="31"/>
      <c r="D235" s="182"/>
      <c r="E235" s="31"/>
      <c r="F235" s="31"/>
      <c r="G235" s="31"/>
      <c r="H235" s="31"/>
      <c r="I235" s="31"/>
      <c r="J235" s="31"/>
      <c r="K235" s="58"/>
      <c r="L235" s="26"/>
      <c r="M235" s="26"/>
      <c r="N235" s="26"/>
      <c r="O235" s="26"/>
      <c r="P235" s="38"/>
      <c r="Q235" s="152"/>
    </row>
    <row r="236" spans="1:17" s="42" customFormat="1" x14ac:dyDescent="0.25">
      <c r="A236" s="167"/>
      <c r="B236" s="30" t="s">
        <v>1255</v>
      </c>
      <c r="C236" s="31"/>
      <c r="D236" s="182"/>
      <c r="E236" s="31"/>
      <c r="F236" s="31"/>
      <c r="G236" s="31"/>
      <c r="H236" s="31"/>
      <c r="I236" s="31"/>
      <c r="J236" s="31"/>
      <c r="K236" s="58"/>
      <c r="L236" s="26"/>
      <c r="M236" s="26"/>
      <c r="N236" s="26"/>
      <c r="O236" s="26"/>
      <c r="P236" s="38"/>
      <c r="Q236" s="152"/>
    </row>
    <row r="237" spans="1:17" s="42" customFormat="1" ht="15.75" customHeight="1" thickBot="1" x14ac:dyDescent="0.3">
      <c r="A237" s="167"/>
      <c r="B237" s="30" t="s">
        <v>1248</v>
      </c>
      <c r="C237" s="31"/>
      <c r="D237" s="182"/>
      <c r="E237" s="31"/>
      <c r="F237" s="31"/>
      <c r="G237" s="31"/>
      <c r="H237" s="31"/>
      <c r="I237" s="31"/>
      <c r="J237" s="31"/>
      <c r="K237" s="58"/>
      <c r="L237" s="26"/>
      <c r="M237" s="26"/>
      <c r="N237" s="26"/>
      <c r="O237" s="26"/>
      <c r="P237" s="38"/>
      <c r="Q237" s="152"/>
    </row>
    <row r="238" spans="1:17" s="42" customFormat="1" ht="26.25" customHeight="1" thickBot="1" x14ac:dyDescent="0.3">
      <c r="A238" s="166" t="s">
        <v>1256</v>
      </c>
      <c r="B238" s="137" t="s">
        <v>1232</v>
      </c>
      <c r="C238" s="135" t="s">
        <v>938</v>
      </c>
      <c r="D238" s="177">
        <v>10.6</v>
      </c>
      <c r="E238" s="36">
        <v>10.6</v>
      </c>
      <c r="F238" s="36">
        <v>12.8</v>
      </c>
      <c r="G238" s="36">
        <v>0</v>
      </c>
      <c r="H238" s="36">
        <v>8.4</v>
      </c>
      <c r="I238" s="36">
        <v>0</v>
      </c>
      <c r="J238" s="56">
        <v>0</v>
      </c>
      <c r="K238" s="62">
        <f>SUM(D238:J238)</f>
        <v>42.4</v>
      </c>
      <c r="L238" s="26">
        <v>0</v>
      </c>
      <c r="M238" s="26">
        <v>0</v>
      </c>
      <c r="N238" s="26">
        <f>L238+M238</f>
        <v>0</v>
      </c>
      <c r="O238" s="26"/>
      <c r="P238" s="22">
        <f>N238*K238</f>
        <v>0</v>
      </c>
      <c r="Q238" s="47"/>
    </row>
    <row r="239" spans="1:17" s="42" customFormat="1" ht="77.25" customHeight="1" thickBot="1" x14ac:dyDescent="0.3">
      <c r="A239" s="166" t="s">
        <v>1257</v>
      </c>
      <c r="B239" s="137" t="s">
        <v>1234</v>
      </c>
      <c r="C239" s="135" t="s">
        <v>938</v>
      </c>
      <c r="D239" s="177">
        <v>1.06</v>
      </c>
      <c r="E239" s="36">
        <v>1.06</v>
      </c>
      <c r="F239" s="36">
        <v>1.28</v>
      </c>
      <c r="G239" s="36">
        <v>0</v>
      </c>
      <c r="H239" s="36">
        <v>0.84000000000000008</v>
      </c>
      <c r="I239" s="36">
        <v>0</v>
      </c>
      <c r="J239" s="56">
        <v>0</v>
      </c>
      <c r="K239" s="62">
        <f>SUM(D239:J239)</f>
        <v>4.24</v>
      </c>
      <c r="L239" s="26">
        <v>0</v>
      </c>
      <c r="M239" s="26">
        <v>0</v>
      </c>
      <c r="N239" s="26">
        <f>L239+M239</f>
        <v>0</v>
      </c>
      <c r="O239" s="26"/>
      <c r="P239" s="22">
        <f>N239*K239</f>
        <v>0</v>
      </c>
      <c r="Q239" s="47"/>
    </row>
    <row r="240" spans="1:17" s="42" customFormat="1" ht="15.75" customHeight="1" thickBot="1" x14ac:dyDescent="0.3">
      <c r="A240" s="166" t="s">
        <v>1258</v>
      </c>
      <c r="B240" s="137" t="s">
        <v>1210</v>
      </c>
      <c r="C240" s="135" t="s">
        <v>938</v>
      </c>
      <c r="D240" s="177">
        <v>0.21199999999999999</v>
      </c>
      <c r="E240" s="36">
        <v>0.21199999999999999</v>
      </c>
      <c r="F240" s="36">
        <v>0.25600000000000001</v>
      </c>
      <c r="G240" s="36">
        <v>0</v>
      </c>
      <c r="H240" s="36">
        <v>0.16800000000000001</v>
      </c>
      <c r="I240" s="36">
        <v>0</v>
      </c>
      <c r="J240" s="56">
        <v>0</v>
      </c>
      <c r="K240" s="62">
        <f>SUM(D240:J240)</f>
        <v>0.84799999999999998</v>
      </c>
      <c r="L240" s="26">
        <v>0</v>
      </c>
      <c r="M240" s="26">
        <v>0</v>
      </c>
      <c r="N240" s="26">
        <f>L240+M240</f>
        <v>0</v>
      </c>
      <c r="O240" s="26"/>
      <c r="P240" s="22">
        <f>N240*K240</f>
        <v>0</v>
      </c>
      <c r="Q240" s="47"/>
    </row>
    <row r="241" spans="1:17" s="42" customFormat="1" x14ac:dyDescent="0.25">
      <c r="A241" s="157"/>
      <c r="B241" s="44"/>
      <c r="C241" s="44"/>
      <c r="D241" s="172"/>
      <c r="E241" s="44"/>
      <c r="F241" s="44"/>
      <c r="G241" s="44"/>
      <c r="H241" s="44"/>
      <c r="I241" s="44"/>
      <c r="J241" s="44"/>
      <c r="K241" s="118"/>
      <c r="L241" s="44"/>
      <c r="M241" s="44"/>
      <c r="N241" s="44"/>
      <c r="O241" s="44"/>
      <c r="P241" s="44"/>
      <c r="Q241" s="47"/>
    </row>
    <row r="242" spans="1:17" s="42" customFormat="1" ht="27.75" customHeight="1" x14ac:dyDescent="0.25">
      <c r="A242" s="166" t="s">
        <v>1259</v>
      </c>
      <c r="B242" s="27" t="s">
        <v>1260</v>
      </c>
      <c r="C242" s="28"/>
      <c r="D242" s="181"/>
      <c r="E242" s="28"/>
      <c r="F242" s="28"/>
      <c r="G242" s="28"/>
      <c r="H242" s="28"/>
      <c r="I242" s="28"/>
      <c r="J242" s="28"/>
      <c r="K242" s="60"/>
      <c r="L242" s="29"/>
      <c r="M242" s="29"/>
      <c r="N242" s="29"/>
      <c r="O242" s="29"/>
      <c r="P242" s="23"/>
      <c r="Q242" s="152"/>
    </row>
    <row r="243" spans="1:17" s="42" customFormat="1" x14ac:dyDescent="0.25">
      <c r="A243" s="167"/>
      <c r="B243" s="30" t="s">
        <v>1261</v>
      </c>
      <c r="C243" s="31"/>
      <c r="D243" s="182"/>
      <c r="E243" s="31"/>
      <c r="F243" s="31"/>
      <c r="G243" s="31"/>
      <c r="H243" s="31"/>
      <c r="I243" s="31"/>
      <c r="J243" s="31"/>
      <c r="K243" s="58"/>
      <c r="L243" s="26"/>
      <c r="M243" s="26"/>
      <c r="N243" s="26"/>
      <c r="O243" s="26"/>
      <c r="P243" s="38"/>
      <c r="Q243" s="152"/>
    </row>
    <row r="244" spans="1:17" s="42" customFormat="1" ht="26.25" customHeight="1" thickBot="1" x14ac:dyDescent="0.3">
      <c r="A244" s="167"/>
      <c r="B244" s="30" t="s">
        <v>1262</v>
      </c>
      <c r="C244" s="31"/>
      <c r="D244" s="182"/>
      <c r="E244" s="31"/>
      <c r="F244" s="31"/>
      <c r="G244" s="31"/>
      <c r="H244" s="31"/>
      <c r="I244" s="31"/>
      <c r="J244" s="31"/>
      <c r="K244" s="58"/>
      <c r="L244" s="26"/>
      <c r="M244" s="26"/>
      <c r="N244" s="26"/>
      <c r="O244" s="26"/>
      <c r="P244" s="38"/>
      <c r="Q244" s="152"/>
    </row>
    <row r="245" spans="1:17" s="200" customFormat="1" ht="15.75" customHeight="1" thickBot="1" x14ac:dyDescent="0.3">
      <c r="A245" s="282"/>
      <c r="B245" s="188" t="s">
        <v>1263</v>
      </c>
      <c r="C245" s="189" t="s">
        <v>969</v>
      </c>
      <c r="D245" s="293">
        <v>23.2</v>
      </c>
      <c r="E245" s="191">
        <v>23.2</v>
      </c>
      <c r="F245" s="191">
        <v>14.8</v>
      </c>
      <c r="G245" s="191">
        <v>30</v>
      </c>
      <c r="H245" s="191">
        <v>7.4</v>
      </c>
      <c r="I245" s="191">
        <v>0</v>
      </c>
      <c r="J245" s="192">
        <v>0</v>
      </c>
      <c r="K245" s="193">
        <f>SUM(D245:J245)</f>
        <v>98.600000000000009</v>
      </c>
      <c r="L245" s="194">
        <v>0</v>
      </c>
      <c r="M245" s="194">
        <v>0</v>
      </c>
      <c r="N245" s="194">
        <f>L245+M245</f>
        <v>0</v>
      </c>
      <c r="O245" s="194"/>
      <c r="P245" s="195">
        <f>N245*K245</f>
        <v>0</v>
      </c>
      <c r="Q245" s="208"/>
    </row>
    <row r="246" spans="1:17" s="42" customFormat="1" x14ac:dyDescent="0.25">
      <c r="A246" s="157"/>
      <c r="B246" s="44"/>
      <c r="C246" s="44"/>
      <c r="D246" s="172"/>
      <c r="E246" s="44"/>
      <c r="F246" s="44"/>
      <c r="G246" s="44"/>
      <c r="H246" s="44"/>
      <c r="I246" s="44"/>
      <c r="J246" s="44"/>
      <c r="K246" s="118"/>
      <c r="L246" s="44"/>
      <c r="M246" s="44"/>
      <c r="N246" s="44"/>
      <c r="O246" s="44"/>
      <c r="P246" s="44"/>
      <c r="Q246" s="47"/>
    </row>
    <row r="247" spans="1:17" s="42" customFormat="1" ht="27.75" customHeight="1" x14ac:dyDescent="0.25">
      <c r="A247" s="166" t="s">
        <v>1268</v>
      </c>
      <c r="B247" s="147" t="s">
        <v>1253</v>
      </c>
      <c r="C247" s="28"/>
      <c r="D247" s="181"/>
      <c r="E247" s="28"/>
      <c r="F247" s="28"/>
      <c r="G247" s="28"/>
      <c r="H247" s="28"/>
      <c r="I247" s="28"/>
      <c r="J247" s="28"/>
      <c r="K247" s="60"/>
      <c r="L247" s="29"/>
      <c r="M247" s="29"/>
      <c r="N247" s="29"/>
      <c r="O247" s="29"/>
      <c r="P247" s="23"/>
      <c r="Q247" s="152"/>
    </row>
    <row r="248" spans="1:17" s="42" customFormat="1" x14ac:dyDescent="0.25">
      <c r="A248" s="167"/>
      <c r="B248" s="30" t="s">
        <v>1238</v>
      </c>
      <c r="C248" s="31"/>
      <c r="D248" s="182"/>
      <c r="E248" s="31"/>
      <c r="F248" s="31"/>
      <c r="G248" s="31"/>
      <c r="H248" s="31"/>
      <c r="I248" s="31"/>
      <c r="J248" s="31"/>
      <c r="K248" s="58"/>
      <c r="L248" s="26"/>
      <c r="M248" s="26"/>
      <c r="N248" s="26"/>
      <c r="O248" s="26"/>
      <c r="P248" s="38"/>
      <c r="Q248" s="152"/>
    </row>
    <row r="249" spans="1:17" s="42" customFormat="1" ht="25.5" customHeight="1" x14ac:dyDescent="0.25">
      <c r="A249" s="167"/>
      <c r="B249" s="30" t="s">
        <v>1269</v>
      </c>
      <c r="C249" s="31"/>
      <c r="D249" s="182"/>
      <c r="E249" s="31"/>
      <c r="F249" s="31"/>
      <c r="G249" s="31"/>
      <c r="H249" s="31"/>
      <c r="I249" s="31"/>
      <c r="J249" s="31"/>
      <c r="K249" s="58"/>
      <c r="L249" s="26"/>
      <c r="M249" s="26"/>
      <c r="N249" s="26"/>
      <c r="O249" s="26"/>
      <c r="P249" s="38"/>
      <c r="Q249" s="152"/>
    </row>
    <row r="250" spans="1:17" s="42" customFormat="1" x14ac:dyDescent="0.25">
      <c r="A250" s="167"/>
      <c r="B250" s="30" t="s">
        <v>1255</v>
      </c>
      <c r="C250" s="31"/>
      <c r="D250" s="182"/>
      <c r="E250" s="31"/>
      <c r="F250" s="31"/>
      <c r="G250" s="31"/>
      <c r="H250" s="31"/>
      <c r="I250" s="31"/>
      <c r="J250" s="31"/>
      <c r="K250" s="58"/>
      <c r="L250" s="26"/>
      <c r="M250" s="26"/>
      <c r="N250" s="26"/>
      <c r="O250" s="26"/>
      <c r="P250" s="38"/>
      <c r="Q250" s="152"/>
    </row>
    <row r="251" spans="1:17" s="42" customFormat="1" ht="15.75" customHeight="1" thickBot="1" x14ac:dyDescent="0.3">
      <c r="A251" s="167"/>
      <c r="B251" s="30" t="s">
        <v>1248</v>
      </c>
      <c r="C251" s="31"/>
      <c r="D251" s="182"/>
      <c r="E251" s="31"/>
      <c r="F251" s="31"/>
      <c r="G251" s="31"/>
      <c r="H251" s="31"/>
      <c r="I251" s="31"/>
      <c r="J251" s="31"/>
      <c r="K251" s="58"/>
      <c r="L251" s="26"/>
      <c r="M251" s="26"/>
      <c r="N251" s="26"/>
      <c r="O251" s="26"/>
      <c r="P251" s="38"/>
      <c r="Q251" s="152"/>
    </row>
    <row r="252" spans="1:17" s="200" customFormat="1" ht="26.25" customHeight="1" thickBot="1" x14ac:dyDescent="0.3">
      <c r="A252" s="282" t="s">
        <v>1270</v>
      </c>
      <c r="B252" s="188" t="s">
        <v>1232</v>
      </c>
      <c r="C252" s="189" t="s">
        <v>938</v>
      </c>
      <c r="D252" s="293">
        <v>0</v>
      </c>
      <c r="E252" s="191">
        <v>0</v>
      </c>
      <c r="F252" s="191">
        <v>0</v>
      </c>
      <c r="G252" s="191">
        <v>2</v>
      </c>
      <c r="H252" s="191">
        <v>0</v>
      </c>
      <c r="I252" s="191">
        <v>0</v>
      </c>
      <c r="J252" s="192">
        <v>0</v>
      </c>
      <c r="K252" s="193">
        <f>SUM(D252:J252)</f>
        <v>2</v>
      </c>
      <c r="L252" s="194">
        <v>0</v>
      </c>
      <c r="M252" s="194">
        <v>0</v>
      </c>
      <c r="N252" s="194">
        <f>L252+M252</f>
        <v>0</v>
      </c>
      <c r="O252" s="194"/>
      <c r="P252" s="195">
        <f>N252*K252</f>
        <v>0</v>
      </c>
      <c r="Q252" s="208"/>
    </row>
    <row r="253" spans="1:17" s="200" customFormat="1" ht="77.25" customHeight="1" thickBot="1" x14ac:dyDescent="0.3">
      <c r="A253" s="282" t="s">
        <v>1271</v>
      </c>
      <c r="B253" s="188" t="s">
        <v>1234</v>
      </c>
      <c r="C253" s="189" t="s">
        <v>938</v>
      </c>
      <c r="D253" s="293">
        <v>0</v>
      </c>
      <c r="E253" s="191">
        <v>0</v>
      </c>
      <c r="F253" s="191">
        <v>0</v>
      </c>
      <c r="G253" s="191">
        <v>0.2</v>
      </c>
      <c r="H253" s="191">
        <v>0</v>
      </c>
      <c r="I253" s="191">
        <v>0</v>
      </c>
      <c r="J253" s="192">
        <v>0</v>
      </c>
      <c r="K253" s="193">
        <f>SUM(D253:J253)</f>
        <v>0.2</v>
      </c>
      <c r="L253" s="194">
        <v>0</v>
      </c>
      <c r="M253" s="194">
        <v>0</v>
      </c>
      <c r="N253" s="194">
        <f>L253+M253</f>
        <v>0</v>
      </c>
      <c r="O253" s="194"/>
      <c r="P253" s="195">
        <f>N253*K253</f>
        <v>0</v>
      </c>
      <c r="Q253" s="208"/>
    </row>
    <row r="254" spans="1:17" s="200" customFormat="1" ht="15.75" customHeight="1" thickBot="1" x14ac:dyDescent="0.3">
      <c r="A254" s="282" t="s">
        <v>1272</v>
      </c>
      <c r="B254" s="188" t="s">
        <v>1210</v>
      </c>
      <c r="C254" s="189" t="s">
        <v>938</v>
      </c>
      <c r="D254" s="293">
        <v>0</v>
      </c>
      <c r="E254" s="191">
        <v>0</v>
      </c>
      <c r="F254" s="191">
        <v>0</v>
      </c>
      <c r="G254" s="191">
        <v>0.04</v>
      </c>
      <c r="H254" s="191">
        <v>0</v>
      </c>
      <c r="I254" s="191">
        <v>0</v>
      </c>
      <c r="J254" s="192">
        <v>0</v>
      </c>
      <c r="K254" s="193">
        <f>SUM(D254:J254)</f>
        <v>0.04</v>
      </c>
      <c r="L254" s="194">
        <v>0</v>
      </c>
      <c r="M254" s="194">
        <v>0</v>
      </c>
      <c r="N254" s="194">
        <f>L254+M254</f>
        <v>0</v>
      </c>
      <c r="O254" s="194"/>
      <c r="P254" s="195">
        <f>N254*K254</f>
        <v>0</v>
      </c>
      <c r="Q254" s="208"/>
    </row>
    <row r="255" spans="1:17" s="42" customFormat="1" x14ac:dyDescent="0.25">
      <c r="A255" s="157"/>
      <c r="B255" s="44"/>
      <c r="C255" s="44"/>
      <c r="D255" s="172"/>
      <c r="E255" s="44"/>
      <c r="F255" s="44"/>
      <c r="G255" s="44"/>
      <c r="H255" s="44"/>
      <c r="I255" s="44"/>
      <c r="J255" s="44"/>
      <c r="K255" s="118"/>
      <c r="L255" s="44"/>
      <c r="M255" s="44"/>
      <c r="N255" s="44"/>
      <c r="O255" s="44"/>
      <c r="P255" s="44"/>
      <c r="Q255" s="47"/>
    </row>
    <row r="256" spans="1:17" s="42" customFormat="1" ht="27.75" customHeight="1" x14ac:dyDescent="0.25">
      <c r="A256" s="166" t="s">
        <v>1273</v>
      </c>
      <c r="B256" s="147" t="s">
        <v>1274</v>
      </c>
      <c r="C256" s="28"/>
      <c r="D256" s="181"/>
      <c r="E256" s="28"/>
      <c r="F256" s="28"/>
      <c r="G256" s="28"/>
      <c r="H256" s="28"/>
      <c r="I256" s="28"/>
      <c r="J256" s="28"/>
      <c r="K256" s="60"/>
      <c r="L256" s="29"/>
      <c r="M256" s="29"/>
      <c r="N256" s="29"/>
      <c r="O256" s="29"/>
      <c r="P256" s="23"/>
      <c r="Q256" s="152"/>
    </row>
    <row r="257" spans="1:17" s="42" customFormat="1" x14ac:dyDescent="0.25">
      <c r="A257" s="167"/>
      <c r="B257" s="141" t="s">
        <v>1266</v>
      </c>
      <c r="C257" s="31"/>
      <c r="D257" s="182"/>
      <c r="E257" s="31"/>
      <c r="F257" s="31"/>
      <c r="G257" s="31"/>
      <c r="H257" s="31"/>
      <c r="I257" s="31"/>
      <c r="J257" s="31"/>
      <c r="K257" s="58"/>
      <c r="L257" s="26"/>
      <c r="M257" s="26"/>
      <c r="N257" s="26"/>
      <c r="O257" s="26"/>
      <c r="P257" s="38"/>
      <c r="Q257" s="152"/>
    </row>
    <row r="258" spans="1:17" s="42" customFormat="1" ht="26.25" customHeight="1" thickBot="1" x14ac:dyDescent="0.3">
      <c r="A258" s="167"/>
      <c r="B258" s="141" t="s">
        <v>1275</v>
      </c>
      <c r="C258" s="31"/>
      <c r="D258" s="182"/>
      <c r="E258" s="31"/>
      <c r="F258" s="31"/>
      <c r="G258" s="31"/>
      <c r="H258" s="31"/>
      <c r="I258" s="31"/>
      <c r="J258" s="31"/>
      <c r="K258" s="58"/>
      <c r="L258" s="26"/>
      <c r="M258" s="26"/>
      <c r="N258" s="26"/>
      <c r="O258" s="26"/>
      <c r="P258" s="38"/>
      <c r="Q258" s="152"/>
    </row>
    <row r="259" spans="1:17" s="200" customFormat="1" ht="15.75" customHeight="1" thickBot="1" x14ac:dyDescent="0.3">
      <c r="A259" s="282"/>
      <c r="B259" s="188" t="s">
        <v>1263</v>
      </c>
      <c r="C259" s="189" t="s">
        <v>969</v>
      </c>
      <c r="D259" s="293">
        <v>0</v>
      </c>
      <c r="E259" s="191">
        <v>0</v>
      </c>
      <c r="F259" s="191">
        <v>10.8</v>
      </c>
      <c r="G259" s="191">
        <v>5.2</v>
      </c>
      <c r="H259" s="191">
        <v>5.4</v>
      </c>
      <c r="I259" s="191">
        <v>0</v>
      </c>
      <c r="J259" s="192">
        <v>0</v>
      </c>
      <c r="K259" s="193">
        <f>SUM(D259:J259)</f>
        <v>21.4</v>
      </c>
      <c r="L259" s="194">
        <v>0</v>
      </c>
      <c r="M259" s="194">
        <v>0</v>
      </c>
      <c r="N259" s="194">
        <f>L259+M259</f>
        <v>0</v>
      </c>
      <c r="O259" s="194"/>
      <c r="P259" s="195">
        <f>N259*K259</f>
        <v>0</v>
      </c>
      <c r="Q259" s="208"/>
    </row>
    <row r="260" spans="1:17" s="42" customFormat="1" x14ac:dyDescent="0.25">
      <c r="A260" s="157"/>
      <c r="B260" s="44"/>
      <c r="C260" s="44"/>
      <c r="D260" s="172"/>
      <c r="E260" s="44"/>
      <c r="F260" s="44"/>
      <c r="G260" s="44"/>
      <c r="H260" s="44"/>
      <c r="I260" s="44"/>
      <c r="J260" s="44"/>
      <c r="K260" s="118"/>
      <c r="L260" s="44"/>
      <c r="M260" s="44"/>
      <c r="N260" s="44"/>
      <c r="O260" s="44"/>
      <c r="P260" s="44"/>
      <c r="Q260" s="47"/>
    </row>
    <row r="261" spans="1:17" s="42" customFormat="1" x14ac:dyDescent="0.25">
      <c r="A261" s="166" t="s">
        <v>1276</v>
      </c>
      <c r="B261" s="27" t="s">
        <v>1277</v>
      </c>
      <c r="C261" s="28"/>
      <c r="D261" s="181"/>
      <c r="E261" s="28"/>
      <c r="F261" s="28"/>
      <c r="G261" s="28"/>
      <c r="H261" s="28"/>
      <c r="I261" s="28"/>
      <c r="J261" s="28"/>
      <c r="K261" s="60"/>
      <c r="L261" s="29"/>
      <c r="M261" s="29"/>
      <c r="N261" s="29"/>
      <c r="O261" s="29"/>
      <c r="P261" s="23"/>
      <c r="Q261" s="152"/>
    </row>
    <row r="262" spans="1:17" s="42" customFormat="1" ht="38.25" customHeight="1" x14ac:dyDescent="0.25">
      <c r="A262" s="167"/>
      <c r="B262" s="30" t="s">
        <v>1278</v>
      </c>
      <c r="C262" s="31"/>
      <c r="D262" s="182"/>
      <c r="E262" s="31"/>
      <c r="F262" s="31"/>
      <c r="G262" s="31"/>
      <c r="H262" s="31"/>
      <c r="I262" s="31"/>
      <c r="J262" s="31"/>
      <c r="K262" s="58"/>
      <c r="L262" s="26"/>
      <c r="M262" s="26"/>
      <c r="N262" s="26"/>
      <c r="O262" s="26"/>
      <c r="P262" s="38"/>
      <c r="Q262" s="152"/>
    </row>
    <row r="263" spans="1:17" s="42" customFormat="1" x14ac:dyDescent="0.25">
      <c r="A263" s="167"/>
      <c r="B263" s="30" t="s">
        <v>1279</v>
      </c>
      <c r="C263" s="31"/>
      <c r="D263" s="182"/>
      <c r="E263" s="31"/>
      <c r="F263" s="31"/>
      <c r="G263" s="31"/>
      <c r="H263" s="31"/>
      <c r="I263" s="31"/>
      <c r="J263" s="31"/>
      <c r="K263" s="58"/>
      <c r="L263" s="26"/>
      <c r="M263" s="26"/>
      <c r="N263" s="26"/>
      <c r="O263" s="26"/>
      <c r="P263" s="38"/>
      <c r="Q263" s="152"/>
    </row>
    <row r="264" spans="1:17" s="42" customFormat="1" ht="15.75" customHeight="1" thickBot="1" x14ac:dyDescent="0.3">
      <c r="A264" s="167"/>
      <c r="B264" s="30" t="s">
        <v>1280</v>
      </c>
      <c r="C264" s="31"/>
      <c r="D264" s="182"/>
      <c r="E264" s="31"/>
      <c r="F264" s="31"/>
      <c r="G264" s="31"/>
      <c r="H264" s="31"/>
      <c r="I264" s="31"/>
      <c r="J264" s="31"/>
      <c r="K264" s="58"/>
      <c r="L264" s="26"/>
      <c r="M264" s="26"/>
      <c r="N264" s="26"/>
      <c r="O264" s="26"/>
      <c r="P264" s="38"/>
      <c r="Q264" s="152"/>
    </row>
    <row r="265" spans="1:17" s="156" customFormat="1" ht="15.75" customHeight="1" thickBot="1" x14ac:dyDescent="0.3">
      <c r="A265" s="168"/>
      <c r="B265" s="137" t="s">
        <v>1145</v>
      </c>
      <c r="C265" s="135" t="s">
        <v>938</v>
      </c>
      <c r="D265" s="177">
        <v>0</v>
      </c>
      <c r="E265" s="36">
        <v>4</v>
      </c>
      <c r="F265" s="36">
        <v>20</v>
      </c>
      <c r="G265" s="36">
        <v>5</v>
      </c>
      <c r="H265" s="36">
        <v>12</v>
      </c>
      <c r="I265" s="36">
        <v>0</v>
      </c>
      <c r="J265" s="56">
        <v>0</v>
      </c>
      <c r="K265" s="62">
        <f>SUM(D265:J265)</f>
        <v>41</v>
      </c>
      <c r="L265" s="55">
        <v>0</v>
      </c>
      <c r="M265" s="36">
        <v>0</v>
      </c>
      <c r="N265" s="36">
        <f>L265+M265</f>
        <v>0</v>
      </c>
      <c r="O265" s="36"/>
      <c r="P265" s="51">
        <f>N265*K265</f>
        <v>0</v>
      </c>
      <c r="Q265" s="155"/>
    </row>
    <row r="266" spans="1:17" s="42" customFormat="1" x14ac:dyDescent="0.25">
      <c r="A266" s="157"/>
      <c r="B266" s="44"/>
      <c r="C266" s="44"/>
      <c r="D266" s="172"/>
      <c r="E266" s="44"/>
      <c r="F266" s="44"/>
      <c r="G266" s="44"/>
      <c r="H266" s="44"/>
      <c r="I266" s="44"/>
      <c r="J266" s="44"/>
      <c r="K266" s="118"/>
      <c r="L266" s="44"/>
      <c r="M266" s="44"/>
      <c r="N266" s="44"/>
      <c r="O266" s="44"/>
      <c r="P266" s="44"/>
      <c r="Q266" s="47"/>
    </row>
    <row r="267" spans="1:17" s="42" customFormat="1" ht="27.75" customHeight="1" x14ac:dyDescent="0.25">
      <c r="A267" s="166" t="s">
        <v>1281</v>
      </c>
      <c r="B267" s="147" t="s">
        <v>1282</v>
      </c>
      <c r="C267" s="28"/>
      <c r="D267" s="181"/>
      <c r="E267" s="28"/>
      <c r="F267" s="28"/>
      <c r="G267" s="28"/>
      <c r="H267" s="28"/>
      <c r="I267" s="28"/>
      <c r="J267" s="28"/>
      <c r="K267" s="60"/>
      <c r="L267" s="29"/>
      <c r="M267" s="29"/>
      <c r="N267" s="29"/>
      <c r="O267" s="29"/>
      <c r="P267" s="23"/>
      <c r="Q267" s="152"/>
    </row>
    <row r="268" spans="1:17" s="42" customFormat="1" x14ac:dyDescent="0.25">
      <c r="A268" s="167"/>
      <c r="B268" s="141" t="s">
        <v>1283</v>
      </c>
      <c r="C268" s="31"/>
      <c r="D268" s="182"/>
      <c r="E268" s="31"/>
      <c r="F268" s="31"/>
      <c r="G268" s="31"/>
      <c r="H268" s="31"/>
      <c r="I268" s="31"/>
      <c r="J268" s="31"/>
      <c r="K268" s="58"/>
      <c r="L268" s="26"/>
      <c r="M268" s="26"/>
      <c r="N268" s="26"/>
      <c r="O268" s="26"/>
      <c r="P268" s="38"/>
      <c r="Q268" s="152"/>
    </row>
    <row r="269" spans="1:17" s="42" customFormat="1" ht="25.5" customHeight="1" x14ac:dyDescent="0.25">
      <c r="A269" s="167"/>
      <c r="B269" s="141" t="s">
        <v>1284</v>
      </c>
      <c r="C269" s="31"/>
      <c r="D269" s="182"/>
      <c r="E269" s="31"/>
      <c r="F269" s="31"/>
      <c r="G269" s="31"/>
      <c r="H269" s="31"/>
      <c r="I269" s="31"/>
      <c r="J269" s="31"/>
      <c r="K269" s="58"/>
      <c r="L269" s="26"/>
      <c r="M269" s="26"/>
      <c r="N269" s="26"/>
      <c r="O269" s="26"/>
      <c r="P269" s="38"/>
      <c r="Q269" s="152"/>
    </row>
    <row r="270" spans="1:17" s="42" customFormat="1" x14ac:dyDescent="0.25">
      <c r="A270" s="167"/>
      <c r="B270" s="141" t="s">
        <v>1285</v>
      </c>
      <c r="C270" s="31"/>
      <c r="D270" s="182"/>
      <c r="E270" s="31"/>
      <c r="F270" s="31"/>
      <c r="G270" s="31"/>
      <c r="H270" s="31"/>
      <c r="I270" s="31"/>
      <c r="J270" s="31"/>
      <c r="K270" s="58"/>
      <c r="L270" s="26"/>
      <c r="M270" s="26"/>
      <c r="N270" s="26"/>
      <c r="O270" s="26"/>
      <c r="P270" s="38"/>
      <c r="Q270" s="152"/>
    </row>
    <row r="271" spans="1:17" s="42" customFormat="1" ht="15.75" customHeight="1" thickBot="1" x14ac:dyDescent="0.3">
      <c r="A271" s="167"/>
      <c r="B271" s="141" t="s">
        <v>1248</v>
      </c>
      <c r="C271" s="31"/>
      <c r="D271" s="182"/>
      <c r="E271" s="31"/>
      <c r="F271" s="31"/>
      <c r="G271" s="31"/>
      <c r="H271" s="31"/>
      <c r="I271" s="31"/>
      <c r="J271" s="31"/>
      <c r="K271" s="58"/>
      <c r="L271" s="26"/>
      <c r="M271" s="26"/>
      <c r="N271" s="26"/>
      <c r="O271" s="26"/>
      <c r="P271" s="38"/>
      <c r="Q271" s="152"/>
    </row>
    <row r="272" spans="1:17" s="200" customFormat="1" ht="26.25" customHeight="1" thickBot="1" x14ac:dyDescent="0.3">
      <c r="A272" s="282" t="s">
        <v>1286</v>
      </c>
      <c r="B272" s="188" t="s">
        <v>1232</v>
      </c>
      <c r="C272" s="189" t="s">
        <v>938</v>
      </c>
      <c r="D272" s="293">
        <v>56</v>
      </c>
      <c r="E272" s="191">
        <v>0</v>
      </c>
      <c r="F272" s="191">
        <v>0</v>
      </c>
      <c r="G272" s="191">
        <v>0</v>
      </c>
      <c r="H272" s="191">
        <v>0</v>
      </c>
      <c r="I272" s="191">
        <v>0</v>
      </c>
      <c r="J272" s="192">
        <v>0</v>
      </c>
      <c r="K272" s="193">
        <f>SUM(D272:J272)</f>
        <v>56</v>
      </c>
      <c r="L272" s="194">
        <v>0</v>
      </c>
      <c r="M272" s="194">
        <v>0</v>
      </c>
      <c r="N272" s="194">
        <f>L272+M272</f>
        <v>0</v>
      </c>
      <c r="O272" s="194"/>
      <c r="P272" s="195">
        <f>N272*K272</f>
        <v>0</v>
      </c>
      <c r="Q272" s="208"/>
    </row>
    <row r="273" spans="1:17" s="200" customFormat="1" ht="77.25" customHeight="1" thickBot="1" x14ac:dyDescent="0.3">
      <c r="A273" s="282" t="s">
        <v>1287</v>
      </c>
      <c r="B273" s="188" t="s">
        <v>1234</v>
      </c>
      <c r="C273" s="189" t="s">
        <v>938</v>
      </c>
      <c r="D273" s="293">
        <v>5.6000000000000014</v>
      </c>
      <c r="E273" s="191">
        <v>0</v>
      </c>
      <c r="F273" s="191">
        <v>0</v>
      </c>
      <c r="G273" s="191">
        <v>0</v>
      </c>
      <c r="H273" s="191">
        <v>0</v>
      </c>
      <c r="I273" s="191">
        <v>0</v>
      </c>
      <c r="J273" s="192">
        <v>0</v>
      </c>
      <c r="K273" s="193">
        <f>SUM(D273:J273)</f>
        <v>5.6000000000000014</v>
      </c>
      <c r="L273" s="194">
        <v>0</v>
      </c>
      <c r="M273" s="194">
        <v>0</v>
      </c>
      <c r="N273" s="194">
        <f>L273+M273</f>
        <v>0</v>
      </c>
      <c r="O273" s="194"/>
      <c r="P273" s="195">
        <f>N273*K273</f>
        <v>0</v>
      </c>
      <c r="Q273" s="208"/>
    </row>
    <row r="274" spans="1:17" s="200" customFormat="1" ht="15.75" customHeight="1" thickBot="1" x14ac:dyDescent="0.3">
      <c r="A274" s="282" t="s">
        <v>1288</v>
      </c>
      <c r="B274" s="188" t="s">
        <v>1210</v>
      </c>
      <c r="C274" s="189" t="s">
        <v>938</v>
      </c>
      <c r="D274" s="293">
        <v>1.1200000000000001</v>
      </c>
      <c r="E274" s="191">
        <v>0</v>
      </c>
      <c r="F274" s="191">
        <v>0</v>
      </c>
      <c r="G274" s="191">
        <v>0</v>
      </c>
      <c r="H274" s="191">
        <v>0</v>
      </c>
      <c r="I274" s="191">
        <v>0</v>
      </c>
      <c r="J274" s="192">
        <v>0</v>
      </c>
      <c r="K274" s="193">
        <f>SUM(D274:J274)</f>
        <v>1.1200000000000001</v>
      </c>
      <c r="L274" s="194">
        <v>0</v>
      </c>
      <c r="M274" s="194">
        <v>0</v>
      </c>
      <c r="N274" s="194">
        <f>L274+M274</f>
        <v>0</v>
      </c>
      <c r="O274" s="194"/>
      <c r="P274" s="195">
        <f>N274*K274</f>
        <v>0</v>
      </c>
      <c r="Q274" s="208"/>
    </row>
    <row r="275" spans="1:17" s="42" customFormat="1" x14ac:dyDescent="0.25">
      <c r="A275" s="157"/>
      <c r="B275" s="44"/>
      <c r="C275" s="44"/>
      <c r="D275" s="172"/>
      <c r="E275" s="44"/>
      <c r="F275" s="44"/>
      <c r="G275" s="44"/>
      <c r="H275" s="44"/>
      <c r="I275" s="44"/>
      <c r="J275" s="44"/>
      <c r="K275" s="118"/>
      <c r="L275" s="44"/>
      <c r="M275" s="44"/>
      <c r="N275" s="44"/>
      <c r="O275" s="44"/>
      <c r="P275" s="44"/>
      <c r="Q275" s="47"/>
    </row>
    <row r="276" spans="1:17" s="42" customFormat="1" ht="17.25" customHeight="1" x14ac:dyDescent="0.25">
      <c r="A276" s="166" t="s">
        <v>1289</v>
      </c>
      <c r="B276" s="147" t="s">
        <v>1290</v>
      </c>
      <c r="C276" s="28"/>
      <c r="D276" s="181"/>
      <c r="E276" s="28"/>
      <c r="F276" s="28"/>
      <c r="G276" s="28"/>
      <c r="H276" s="28"/>
      <c r="I276" s="28"/>
      <c r="J276" s="28"/>
      <c r="K276" s="60"/>
      <c r="L276" s="29"/>
      <c r="M276" s="29"/>
      <c r="N276" s="29"/>
      <c r="O276" s="29"/>
      <c r="P276" s="23"/>
      <c r="Q276" s="152"/>
    </row>
    <row r="277" spans="1:17" s="42" customFormat="1" x14ac:dyDescent="0.25">
      <c r="A277" s="167"/>
      <c r="B277" s="141" t="s">
        <v>1261</v>
      </c>
      <c r="C277" s="31"/>
      <c r="D277" s="182"/>
      <c r="E277" s="31"/>
      <c r="F277" s="31"/>
      <c r="G277" s="31"/>
      <c r="H277" s="31"/>
      <c r="I277" s="31"/>
      <c r="J277" s="31"/>
      <c r="K277" s="58"/>
      <c r="L277" s="26"/>
      <c r="M277" s="26"/>
      <c r="N277" s="26"/>
      <c r="O277" s="26"/>
      <c r="P277" s="38"/>
      <c r="Q277" s="152"/>
    </row>
    <row r="278" spans="1:17" s="42" customFormat="1" ht="26.25" customHeight="1" thickBot="1" x14ac:dyDescent="0.3">
      <c r="A278" s="167"/>
      <c r="B278" s="141" t="s">
        <v>1291</v>
      </c>
      <c r="C278" s="31"/>
      <c r="D278" s="182"/>
      <c r="E278" s="31"/>
      <c r="F278" s="31"/>
      <c r="G278" s="31"/>
      <c r="H278" s="31"/>
      <c r="I278" s="31"/>
      <c r="J278" s="31"/>
      <c r="K278" s="58"/>
      <c r="L278" s="26"/>
      <c r="M278" s="26"/>
      <c r="N278" s="26"/>
      <c r="O278" s="26"/>
      <c r="P278" s="38"/>
      <c r="Q278" s="152"/>
    </row>
    <row r="279" spans="1:17" s="42" customFormat="1" ht="15.75" customHeight="1" thickBot="1" x14ac:dyDescent="0.3">
      <c r="A279" s="166"/>
      <c r="B279" s="148" t="s">
        <v>1263</v>
      </c>
      <c r="C279" s="135" t="s">
        <v>969</v>
      </c>
      <c r="D279" s="177">
        <v>21.7</v>
      </c>
      <c r="E279" s="36">
        <v>0</v>
      </c>
      <c r="F279" s="36">
        <v>0</v>
      </c>
      <c r="G279" s="36">
        <v>0</v>
      </c>
      <c r="H279" s="36">
        <v>0</v>
      </c>
      <c r="I279" s="36">
        <v>0</v>
      </c>
      <c r="J279" s="56">
        <v>0</v>
      </c>
      <c r="K279" s="62">
        <f>SUM(D279:J279)</f>
        <v>21.7</v>
      </c>
      <c r="L279" s="26">
        <v>0</v>
      </c>
      <c r="M279" s="26">
        <v>0</v>
      </c>
      <c r="N279" s="26">
        <f>L279+M279</f>
        <v>0</v>
      </c>
      <c r="O279" s="26"/>
      <c r="P279" s="22">
        <f>N279*K279</f>
        <v>0</v>
      </c>
      <c r="Q279" s="47"/>
    </row>
    <row r="280" spans="1:17" s="42" customFormat="1" x14ac:dyDescent="0.25">
      <c r="A280" s="167"/>
      <c r="B280" s="141"/>
      <c r="C280" s="25"/>
      <c r="D280" s="178"/>
      <c r="E280" s="26"/>
      <c r="F280" s="26"/>
      <c r="G280" s="26"/>
      <c r="H280" s="26"/>
      <c r="I280" s="26"/>
      <c r="J280" s="26"/>
      <c r="K280" s="58"/>
      <c r="L280" s="26"/>
      <c r="M280" s="26"/>
      <c r="N280" s="26"/>
      <c r="O280" s="26"/>
      <c r="P280" s="22"/>
      <c r="Q280" s="47"/>
    </row>
    <row r="281" spans="1:17" s="42" customFormat="1" ht="25.5" customHeight="1" x14ac:dyDescent="0.25">
      <c r="A281" s="282" t="s">
        <v>1292</v>
      </c>
      <c r="B281" s="27" t="s">
        <v>1293</v>
      </c>
      <c r="C281" s="28"/>
      <c r="D281" s="181"/>
      <c r="E281" s="28"/>
      <c r="F281" s="28"/>
      <c r="G281" s="28"/>
      <c r="H281" s="28"/>
      <c r="I281" s="28"/>
      <c r="J281" s="28"/>
      <c r="K281" s="60"/>
      <c r="L281" s="29"/>
      <c r="M281" s="29"/>
      <c r="N281" s="29"/>
      <c r="O281" s="29"/>
      <c r="P281" s="23"/>
      <c r="Q281" s="47"/>
    </row>
    <row r="282" spans="1:17" s="42" customFormat="1" ht="76.5" customHeight="1" x14ac:dyDescent="0.25">
      <c r="A282" s="159"/>
      <c r="B282" s="202" t="s">
        <v>1294</v>
      </c>
      <c r="C282" s="25"/>
      <c r="D282" s="178"/>
      <c r="E282" s="26"/>
      <c r="F282" s="26"/>
      <c r="G282" s="26"/>
      <c r="H282" s="26"/>
      <c r="I282" s="26"/>
      <c r="J282" s="26"/>
      <c r="K282" s="58"/>
      <c r="L282" s="26"/>
      <c r="M282" s="26"/>
      <c r="N282" s="26"/>
      <c r="O282" s="26"/>
      <c r="P282" s="22"/>
      <c r="Q282" s="47"/>
    </row>
    <row r="283" spans="1:17" s="42" customFormat="1" ht="26.25" customHeight="1" thickBot="1" x14ac:dyDescent="0.3">
      <c r="A283" s="159"/>
      <c r="B283" s="141" t="s">
        <v>1295</v>
      </c>
      <c r="C283" s="25"/>
      <c r="D283" s="178"/>
      <c r="E283" s="26"/>
      <c r="F283" s="26"/>
      <c r="G283" s="26"/>
      <c r="H283" s="26"/>
      <c r="I283" s="26"/>
      <c r="J283" s="26"/>
      <c r="K283" s="58"/>
      <c r="L283" s="26"/>
      <c r="M283" s="26"/>
      <c r="N283" s="26"/>
      <c r="O283" s="26"/>
      <c r="P283" s="22"/>
      <c r="Q283" s="47"/>
    </row>
    <row r="284" spans="1:17" s="200" customFormat="1" ht="15.75" customHeight="1" thickBot="1" x14ac:dyDescent="0.3">
      <c r="A284" s="187"/>
      <c r="B284" s="188" t="s">
        <v>1263</v>
      </c>
      <c r="C284" s="189" t="s">
        <v>969</v>
      </c>
      <c r="D284" s="293">
        <v>13.2</v>
      </c>
      <c r="E284" s="191">
        <v>13.2</v>
      </c>
      <c r="F284" s="191">
        <v>35.200000000000003</v>
      </c>
      <c r="G284" s="191">
        <v>15</v>
      </c>
      <c r="H284" s="191">
        <v>21.4</v>
      </c>
      <c r="I284" s="191">
        <v>0</v>
      </c>
      <c r="J284" s="192">
        <v>0</v>
      </c>
      <c r="K284" s="193">
        <f>SUM(D284:J284)</f>
        <v>98</v>
      </c>
      <c r="L284" s="194">
        <v>0</v>
      </c>
      <c r="M284" s="194">
        <v>0</v>
      </c>
      <c r="N284" s="194">
        <f>L284+M284</f>
        <v>0</v>
      </c>
      <c r="O284" s="194"/>
      <c r="P284" s="195">
        <f>N284*K284</f>
        <v>0</v>
      </c>
      <c r="Q284" s="208"/>
    </row>
    <row r="285" spans="1:17" s="42" customFormat="1" x14ac:dyDescent="0.25">
      <c r="A285" s="169"/>
      <c r="B285" s="30"/>
      <c r="C285" s="25"/>
      <c r="D285" s="178"/>
      <c r="E285" s="26"/>
      <c r="F285" s="26"/>
      <c r="G285" s="26"/>
      <c r="H285" s="26"/>
      <c r="I285" s="26"/>
      <c r="J285" s="26"/>
      <c r="K285" s="58"/>
      <c r="L285" s="26"/>
      <c r="M285" s="26"/>
      <c r="N285" s="26"/>
      <c r="O285" s="26"/>
      <c r="P285" s="22"/>
      <c r="Q285" s="47"/>
    </row>
    <row r="286" spans="1:17" s="42" customFormat="1" ht="25.5" customHeight="1" x14ac:dyDescent="0.25">
      <c r="A286" s="282" t="s">
        <v>1296</v>
      </c>
      <c r="B286" s="27" t="s">
        <v>1297</v>
      </c>
      <c r="C286" s="28"/>
      <c r="D286" s="181"/>
      <c r="E286" s="28"/>
      <c r="F286" s="28"/>
      <c r="G286" s="28"/>
      <c r="H286" s="28"/>
      <c r="I286" s="28"/>
      <c r="J286" s="28"/>
      <c r="K286" s="60"/>
      <c r="L286" s="29"/>
      <c r="M286" s="29"/>
      <c r="N286" s="29"/>
      <c r="O286" s="29"/>
      <c r="P286" s="23"/>
      <c r="Q286" s="47"/>
    </row>
    <row r="287" spans="1:17" s="42" customFormat="1" ht="63.75" customHeight="1" x14ac:dyDescent="0.25">
      <c r="A287" s="159"/>
      <c r="B287" s="202" t="s">
        <v>1298</v>
      </c>
      <c r="C287" s="25"/>
      <c r="D287" s="178"/>
      <c r="E287" s="26"/>
      <c r="F287" s="26"/>
      <c r="G287" s="26"/>
      <c r="H287" s="26"/>
      <c r="I287" s="26"/>
      <c r="J287" s="26"/>
      <c r="K287" s="58"/>
      <c r="L287" s="26"/>
      <c r="M287" s="26"/>
      <c r="N287" s="26"/>
      <c r="O287" s="26"/>
      <c r="P287" s="22"/>
      <c r="Q287" s="47"/>
    </row>
    <row r="288" spans="1:17" s="42" customFormat="1" ht="26.25" customHeight="1" thickBot="1" x14ac:dyDescent="0.3">
      <c r="A288" s="159"/>
      <c r="B288" s="141" t="s">
        <v>1299</v>
      </c>
      <c r="C288" s="25"/>
      <c r="D288" s="178"/>
      <c r="E288" s="26"/>
      <c r="F288" s="26"/>
      <c r="G288" s="26"/>
      <c r="H288" s="26"/>
      <c r="I288" s="26"/>
      <c r="J288" s="26"/>
      <c r="K288" s="58"/>
      <c r="L288" s="26"/>
      <c r="M288" s="26"/>
      <c r="N288" s="26"/>
      <c r="O288" s="26"/>
      <c r="P288" s="22"/>
      <c r="Q288" s="47"/>
    </row>
    <row r="289" spans="1:22" s="288" customFormat="1" thickBot="1" x14ac:dyDescent="0.25">
      <c r="A289" s="187"/>
      <c r="B289" s="188" t="s">
        <v>1263</v>
      </c>
      <c r="C289" s="189" t="s">
        <v>969</v>
      </c>
      <c r="D289" s="293">
        <v>6</v>
      </c>
      <c r="E289" s="191">
        <v>6</v>
      </c>
      <c r="F289" s="191">
        <v>32.799999999999997</v>
      </c>
      <c r="G289" s="191">
        <v>0</v>
      </c>
      <c r="H289" s="191">
        <v>9.4</v>
      </c>
      <c r="I289" s="191">
        <v>0</v>
      </c>
      <c r="J289" s="192">
        <v>0</v>
      </c>
      <c r="K289" s="193">
        <f>SUM(D289:J289)</f>
        <v>54.199999999999996</v>
      </c>
      <c r="L289" s="194">
        <v>0</v>
      </c>
      <c r="M289" s="194">
        <v>0</v>
      </c>
      <c r="N289" s="194">
        <f>L289+M289</f>
        <v>0</v>
      </c>
      <c r="O289" s="194"/>
      <c r="P289" s="195">
        <f>N289*K289</f>
        <v>0</v>
      </c>
      <c r="Q289" s="287"/>
    </row>
    <row r="290" spans="1:22" s="1" customFormat="1" ht="12.75" customHeight="1" x14ac:dyDescent="0.2">
      <c r="A290" s="163"/>
      <c r="B290" s="5"/>
      <c r="C290" s="139"/>
      <c r="D290" s="182"/>
      <c r="E290" s="31"/>
      <c r="F290" s="31"/>
      <c r="G290" s="31"/>
      <c r="H290" s="31"/>
      <c r="I290" s="31"/>
      <c r="J290" s="31"/>
      <c r="K290" s="58"/>
      <c r="L290" s="26"/>
      <c r="M290" s="26"/>
      <c r="N290" s="26"/>
      <c r="O290" s="26"/>
      <c r="P290" s="38"/>
      <c r="Q290" s="153"/>
      <c r="S290" s="32"/>
      <c r="V290" s="140"/>
    </row>
    <row r="291" spans="1:22" s="32" customFormat="1" ht="14.25" customHeight="1" x14ac:dyDescent="0.2">
      <c r="A291" s="168"/>
      <c r="B291" s="137"/>
      <c r="C291" s="135"/>
      <c r="D291" s="174"/>
      <c r="E291" s="25"/>
      <c r="F291" s="25"/>
      <c r="G291" s="25"/>
      <c r="H291" s="25"/>
      <c r="I291" s="25"/>
      <c r="J291" s="25"/>
      <c r="K291" s="58"/>
      <c r="L291" s="26"/>
      <c r="M291" s="26"/>
      <c r="N291" s="26"/>
      <c r="O291" s="26"/>
      <c r="P291" s="35"/>
      <c r="Q291" s="37"/>
    </row>
    <row r="292" spans="1:22" s="132" customFormat="1" ht="15.75" customHeight="1" x14ac:dyDescent="0.25">
      <c r="A292" s="160" t="s">
        <v>1300</v>
      </c>
      <c r="B292" s="130" t="s">
        <v>1195</v>
      </c>
      <c r="C292" s="49"/>
      <c r="D292" s="180"/>
      <c r="E292" s="49"/>
      <c r="F292" s="49"/>
      <c r="G292" s="49"/>
      <c r="H292" s="49"/>
      <c r="I292" s="49"/>
      <c r="J292" s="49"/>
      <c r="K292" s="131"/>
      <c r="L292" s="49"/>
      <c r="M292" s="49"/>
      <c r="N292" s="435" t="s">
        <v>946</v>
      </c>
      <c r="O292" s="388"/>
      <c r="P292" s="50">
        <f>SUM(P159:P290)</f>
        <v>0</v>
      </c>
      <c r="Q292" s="151"/>
    </row>
    <row r="294" spans="1:22" s="132" customFormat="1" ht="15.75" customHeight="1" x14ac:dyDescent="0.25">
      <c r="A294" s="160" t="s">
        <v>1300</v>
      </c>
      <c r="B294" s="130" t="s">
        <v>1302</v>
      </c>
      <c r="C294" s="49"/>
      <c r="D294" s="49"/>
      <c r="E294" s="49"/>
      <c r="F294" s="49"/>
      <c r="G294" s="49"/>
      <c r="H294" s="49"/>
      <c r="I294" s="49"/>
      <c r="J294" s="49"/>
      <c r="K294" s="49"/>
      <c r="L294" s="49"/>
      <c r="M294" s="49"/>
      <c r="N294" s="49"/>
      <c r="O294" s="131"/>
      <c r="P294" s="49"/>
      <c r="Q294" s="49"/>
      <c r="R294" s="435" t="s">
        <v>946</v>
      </c>
      <c r="S294" s="388"/>
      <c r="T294" s="50">
        <f>P292*6</f>
        <v>0</v>
      </c>
      <c r="U294" s="151"/>
    </row>
    <row r="296" spans="1:22" s="132" customFormat="1" ht="15.75" customHeight="1" x14ac:dyDescent="0.25">
      <c r="A296" s="160"/>
      <c r="B296" s="130" t="s">
        <v>963</v>
      </c>
      <c r="C296" s="49"/>
      <c r="D296" s="49"/>
      <c r="E296" s="49"/>
      <c r="F296" s="49"/>
      <c r="G296" s="49"/>
      <c r="H296" s="49"/>
      <c r="I296" s="49"/>
      <c r="J296" s="49"/>
      <c r="K296" s="49"/>
      <c r="L296" s="49"/>
      <c r="M296" s="49"/>
      <c r="N296" s="49"/>
      <c r="O296" s="131"/>
      <c r="P296" s="49"/>
      <c r="Q296" s="49"/>
      <c r="R296" s="435"/>
      <c r="S296" s="388"/>
      <c r="T296" s="50">
        <f>SUM(T294,T153)</f>
        <v>0</v>
      </c>
      <c r="U296" s="151"/>
    </row>
  </sheetData>
  <mergeCells count="11">
    <mergeCell ref="B2:R3"/>
    <mergeCell ref="R151:S151"/>
    <mergeCell ref="R294:S294"/>
    <mergeCell ref="B5:T5"/>
    <mergeCell ref="D8:N8"/>
    <mergeCell ref="R296:S296"/>
    <mergeCell ref="R153:S153"/>
    <mergeCell ref="D7:N7"/>
    <mergeCell ref="N292:O292"/>
    <mergeCell ref="D156:J156"/>
    <mergeCell ref="D157:J157"/>
  </mergeCells>
  <conditionalFormatting sqref="P291:P292">
    <cfRule type="cellIs" dxfId="59" priority="5" stopIfTrue="1" operator="greaterThan">
      <formula>0</formula>
    </cfRule>
  </conditionalFormatting>
  <conditionalFormatting sqref="T11">
    <cfRule type="cellIs" dxfId="58" priority="7" stopIfTrue="1" operator="greaterThan">
      <formula>0</formula>
    </cfRule>
  </conditionalFormatting>
  <conditionalFormatting sqref="T139 T141:T142 T144 T146:T147 T149:T151">
    <cfRule type="cellIs" dxfId="57" priority="1" stopIfTrue="1" operator="greaterThan">
      <formula>0</formula>
    </cfRule>
  </conditionalFormatting>
  <conditionalFormatting sqref="T153">
    <cfRule type="cellIs" dxfId="56" priority="4" stopIfTrue="1" operator="greaterThan">
      <formula>0</formula>
    </cfRule>
  </conditionalFormatting>
  <conditionalFormatting sqref="T294">
    <cfRule type="cellIs" dxfId="55" priority="3" stopIfTrue="1" operator="greaterThan">
      <formula>0</formula>
    </cfRule>
  </conditionalFormatting>
  <conditionalFormatting sqref="T296">
    <cfRule type="cellIs" dxfId="54" priority="2" stopIfTrue="1" operator="greaterThan">
      <formula>0</formula>
    </cfRule>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7" tint="0.79998168889431442"/>
  </sheetPr>
  <dimension ref="A1:U80"/>
  <sheetViews>
    <sheetView topLeftCell="A20" zoomScale="70" zoomScaleNormal="70" workbookViewId="0">
      <selection activeCell="A75" sqref="A75:XFD91"/>
    </sheetView>
  </sheetViews>
  <sheetFormatPr defaultRowHeight="15" x14ac:dyDescent="0.25"/>
  <cols>
    <col min="2" max="2" width="39.5703125" customWidth="1"/>
  </cols>
  <sheetData>
    <row r="1" spans="1:21" s="42" customFormat="1" x14ac:dyDescent="0.25">
      <c r="A1" s="157"/>
      <c r="B1" s="112" t="s">
        <v>906</v>
      </c>
      <c r="C1" s="44"/>
      <c r="D1" s="53"/>
      <c r="E1" s="53"/>
      <c r="F1" s="53"/>
      <c r="G1" s="53"/>
      <c r="H1" s="53"/>
      <c r="I1" s="53"/>
      <c r="J1" s="53"/>
      <c r="K1" s="53"/>
      <c r="L1" s="53"/>
      <c r="M1" s="53"/>
      <c r="N1" s="53"/>
      <c r="O1" s="113"/>
      <c r="P1" s="44"/>
      <c r="Q1" s="44"/>
      <c r="R1" s="44"/>
      <c r="S1" s="44"/>
      <c r="T1" s="44"/>
      <c r="U1" s="47"/>
    </row>
    <row r="2" spans="1:21" s="42" customFormat="1" ht="15" customHeight="1" x14ac:dyDescent="0.25">
      <c r="A2" s="157"/>
      <c r="B2" s="436" t="s">
        <v>907</v>
      </c>
      <c r="C2" s="437"/>
      <c r="D2" s="437"/>
      <c r="E2" s="437"/>
      <c r="F2" s="437"/>
      <c r="G2" s="437"/>
      <c r="H2" s="437"/>
      <c r="I2" s="437"/>
      <c r="J2" s="437"/>
      <c r="K2" s="437"/>
      <c r="L2" s="437"/>
      <c r="M2" s="437"/>
      <c r="N2" s="437"/>
      <c r="O2" s="437"/>
      <c r="P2" s="437"/>
      <c r="Q2" s="437"/>
      <c r="R2" s="438"/>
      <c r="S2" s="7" t="s">
        <v>25</v>
      </c>
      <c r="T2" s="133">
        <v>0</v>
      </c>
      <c r="U2" s="47"/>
    </row>
    <row r="3" spans="1:21" s="42" customFormat="1" x14ac:dyDescent="0.25">
      <c r="A3" s="157"/>
      <c r="B3" s="439"/>
      <c r="C3" s="393"/>
      <c r="D3" s="393"/>
      <c r="E3" s="393"/>
      <c r="F3" s="393"/>
      <c r="G3" s="393"/>
      <c r="H3" s="393"/>
      <c r="I3" s="393"/>
      <c r="J3" s="393"/>
      <c r="K3" s="393"/>
      <c r="L3" s="393"/>
      <c r="M3" s="393"/>
      <c r="N3" s="393"/>
      <c r="O3" s="393"/>
      <c r="P3" s="393"/>
      <c r="Q3" s="393"/>
      <c r="R3" s="394"/>
      <c r="S3" s="7" t="s">
        <v>27</v>
      </c>
      <c r="T3" s="134" t="s">
        <v>22</v>
      </c>
      <c r="U3" s="47"/>
    </row>
    <row r="4" spans="1:21" s="42" customFormat="1" x14ac:dyDescent="0.25">
      <c r="A4" s="157"/>
      <c r="B4" s="114" t="s">
        <v>908</v>
      </c>
      <c r="C4" s="114" t="s">
        <v>909</v>
      </c>
      <c r="D4" s="115">
        <f>1*N4</f>
        <v>1</v>
      </c>
      <c r="E4" s="115">
        <f>1*N4</f>
        <v>1</v>
      </c>
      <c r="F4" s="115">
        <f>1*N4</f>
        <v>1</v>
      </c>
      <c r="G4" s="115">
        <f>1*N4</f>
        <v>1</v>
      </c>
      <c r="H4" s="115">
        <f>4*$N4</f>
        <v>4</v>
      </c>
      <c r="I4" s="115">
        <f>1*N4</f>
        <v>1</v>
      </c>
      <c r="J4" s="115">
        <f>1*N4</f>
        <v>1</v>
      </c>
      <c r="K4" s="115">
        <f>2*$N4</f>
        <v>2</v>
      </c>
      <c r="L4" s="115">
        <f>1*N4</f>
        <v>1</v>
      </c>
      <c r="M4" s="45">
        <v>1</v>
      </c>
      <c r="N4" s="57">
        <v>1</v>
      </c>
      <c r="O4" s="116">
        <v>13</v>
      </c>
      <c r="P4" s="114"/>
      <c r="Q4" s="114"/>
      <c r="R4" s="114"/>
      <c r="S4" s="44"/>
      <c r="T4" s="44"/>
      <c r="U4" s="47"/>
    </row>
    <row r="5" spans="1:21" s="117" customFormat="1" ht="15.75" customHeight="1" x14ac:dyDescent="0.25">
      <c r="A5" s="158" t="s">
        <v>910</v>
      </c>
      <c r="B5" s="434" t="s">
        <v>911</v>
      </c>
      <c r="C5" s="387"/>
      <c r="D5" s="387"/>
      <c r="E5" s="387"/>
      <c r="F5" s="387"/>
      <c r="G5" s="387"/>
      <c r="H5" s="387"/>
      <c r="I5" s="387"/>
      <c r="J5" s="387"/>
      <c r="K5" s="387"/>
      <c r="L5" s="387"/>
      <c r="M5" s="387"/>
      <c r="N5" s="387"/>
      <c r="O5" s="387"/>
      <c r="P5" s="387"/>
      <c r="Q5" s="387"/>
      <c r="R5" s="387"/>
      <c r="S5" s="387"/>
      <c r="T5" s="388"/>
      <c r="U5" s="149"/>
    </row>
    <row r="6" spans="1:21" s="42" customFormat="1" ht="15.75" customHeight="1" thickBot="1" x14ac:dyDescent="0.3">
      <c r="A6" s="157"/>
      <c r="B6" s="44"/>
      <c r="C6" s="44"/>
      <c r="D6" s="44"/>
      <c r="E6" s="44"/>
      <c r="F6" s="44"/>
      <c r="G6" s="44"/>
      <c r="H6" s="44"/>
      <c r="I6" s="44"/>
      <c r="J6" s="44"/>
      <c r="K6" s="44"/>
      <c r="L6" s="44"/>
      <c r="M6" s="44"/>
      <c r="N6" s="44"/>
      <c r="O6" s="118"/>
      <c r="P6" s="44"/>
      <c r="Q6" s="44"/>
      <c r="R6" s="44"/>
      <c r="S6" s="44"/>
      <c r="T6" s="44"/>
      <c r="U6" s="47"/>
    </row>
    <row r="7" spans="1:21" s="42" customFormat="1" ht="50.1" customHeight="1" thickBot="1" x14ac:dyDescent="0.3">
      <c r="A7" s="119" t="s">
        <v>912</v>
      </c>
      <c r="B7" s="119" t="s">
        <v>913</v>
      </c>
      <c r="C7" s="120" t="s">
        <v>914</v>
      </c>
      <c r="D7" s="430"/>
      <c r="E7" s="431"/>
      <c r="F7" s="431"/>
      <c r="G7" s="431"/>
      <c r="H7" s="431"/>
      <c r="I7" s="431"/>
      <c r="J7" s="431"/>
      <c r="K7" s="431"/>
      <c r="L7" s="431"/>
      <c r="M7" s="431"/>
      <c r="N7" s="431"/>
      <c r="O7" s="121" t="s">
        <v>915</v>
      </c>
      <c r="P7" s="122" t="s">
        <v>916</v>
      </c>
      <c r="Q7" s="121" t="s">
        <v>917</v>
      </c>
      <c r="R7" s="121" t="s">
        <v>918</v>
      </c>
      <c r="S7" s="121"/>
      <c r="T7" s="119" t="s">
        <v>919</v>
      </c>
      <c r="U7" s="47"/>
    </row>
    <row r="8" spans="1:21" s="42" customFormat="1" ht="50.1" customHeight="1" thickBot="1" x14ac:dyDescent="0.3">
      <c r="A8" s="123"/>
      <c r="B8" s="123"/>
      <c r="C8" s="124"/>
      <c r="D8" s="432" t="s">
        <v>920</v>
      </c>
      <c r="E8" s="431"/>
      <c r="F8" s="431"/>
      <c r="G8" s="431"/>
      <c r="H8" s="431"/>
      <c r="I8" s="431"/>
      <c r="J8" s="431"/>
      <c r="K8" s="431"/>
      <c r="L8" s="431"/>
      <c r="M8" s="431"/>
      <c r="N8" s="433"/>
      <c r="O8" s="125"/>
      <c r="P8" s="124"/>
      <c r="Q8" s="124"/>
      <c r="R8" s="124"/>
      <c r="S8" s="124"/>
      <c r="T8" s="123"/>
      <c r="U8" s="47"/>
    </row>
    <row r="9" spans="1:21" s="42" customFormat="1" ht="62.25" customHeight="1" x14ac:dyDescent="0.25">
      <c r="A9" s="123"/>
      <c r="B9" s="123"/>
      <c r="C9" s="124"/>
      <c r="D9" s="127" t="s">
        <v>921</v>
      </c>
      <c r="E9" s="127" t="s">
        <v>922</v>
      </c>
      <c r="F9" s="46" t="s">
        <v>923</v>
      </c>
      <c r="G9" s="46" t="s">
        <v>924</v>
      </c>
      <c r="H9" s="46" t="s">
        <v>925</v>
      </c>
      <c r="I9" s="46" t="s">
        <v>926</v>
      </c>
      <c r="J9" s="46" t="s">
        <v>927</v>
      </c>
      <c r="K9" s="46" t="s">
        <v>928</v>
      </c>
      <c r="L9" s="46" t="s">
        <v>929</v>
      </c>
      <c r="M9" s="154" t="s">
        <v>930</v>
      </c>
      <c r="N9" s="126" t="s">
        <v>931</v>
      </c>
      <c r="O9" s="125"/>
      <c r="P9" s="124"/>
      <c r="Q9" s="124"/>
      <c r="R9" s="124"/>
      <c r="S9" s="124"/>
      <c r="T9" s="123"/>
      <c r="U9" s="47"/>
    </row>
    <row r="10" spans="1:21" s="32" customFormat="1" ht="12.75" customHeight="1" x14ac:dyDescent="0.2">
      <c r="A10" s="159"/>
      <c r="B10" s="30"/>
      <c r="C10" s="25"/>
      <c r="D10" s="25"/>
      <c r="E10" s="25"/>
      <c r="F10" s="25"/>
      <c r="G10" s="25"/>
      <c r="H10" s="25"/>
      <c r="I10" s="25"/>
      <c r="J10" s="25"/>
      <c r="K10" s="25"/>
      <c r="L10" s="25"/>
      <c r="M10" s="25"/>
      <c r="N10" s="25"/>
      <c r="O10" s="58"/>
      <c r="P10" s="26"/>
      <c r="Q10" s="26"/>
      <c r="R10" s="26"/>
      <c r="S10" s="26"/>
      <c r="T10" s="22"/>
      <c r="U10" s="37"/>
    </row>
    <row r="11" spans="1:21" s="32" customFormat="1" ht="12.75" customHeight="1" x14ac:dyDescent="0.2">
      <c r="A11" s="159"/>
      <c r="B11" s="31"/>
      <c r="C11" s="25"/>
      <c r="D11" s="25"/>
      <c r="E11" s="25"/>
      <c r="F11" s="25"/>
      <c r="G11" s="25"/>
      <c r="H11" s="25"/>
      <c r="I11" s="25"/>
      <c r="J11" s="25"/>
      <c r="K11" s="25"/>
      <c r="L11" s="25"/>
      <c r="M11" s="25"/>
      <c r="N11" s="25"/>
      <c r="O11" s="58"/>
      <c r="P11" s="26"/>
      <c r="Q11" s="26"/>
      <c r="R11" s="26"/>
      <c r="S11" s="26"/>
      <c r="T11" s="35"/>
      <c r="U11" s="37"/>
    </row>
    <row r="12" spans="1:21" s="117" customFormat="1" ht="15.75" customHeight="1" x14ac:dyDescent="0.25">
      <c r="A12" s="160" t="s">
        <v>932</v>
      </c>
      <c r="B12" s="39" t="s">
        <v>933</v>
      </c>
      <c r="C12" s="40"/>
      <c r="D12" s="40"/>
      <c r="E12" s="40"/>
      <c r="F12" s="40"/>
      <c r="G12" s="40"/>
      <c r="H12" s="40"/>
      <c r="I12" s="40"/>
      <c r="J12" s="40"/>
      <c r="K12" s="40"/>
      <c r="L12" s="40"/>
      <c r="M12" s="40"/>
      <c r="N12" s="40"/>
      <c r="O12" s="59"/>
      <c r="P12" s="40"/>
      <c r="Q12" s="40"/>
      <c r="R12" s="40"/>
      <c r="S12" s="40"/>
      <c r="T12" s="41"/>
      <c r="U12" s="149"/>
    </row>
    <row r="15" spans="1:21" s="42" customFormat="1" x14ac:dyDescent="0.25">
      <c r="A15" s="166" t="s">
        <v>1303</v>
      </c>
      <c r="B15" s="28" t="s">
        <v>1304</v>
      </c>
      <c r="C15" s="28"/>
      <c r="D15" s="28"/>
      <c r="E15" s="28"/>
      <c r="F15" s="28"/>
      <c r="G15" s="28"/>
      <c r="H15" s="28"/>
      <c r="I15" s="28"/>
      <c r="J15" s="28"/>
      <c r="K15" s="28"/>
      <c r="L15" s="28"/>
      <c r="M15" s="28"/>
      <c r="N15" s="28"/>
      <c r="O15" s="60"/>
      <c r="P15" s="29"/>
      <c r="Q15" s="29"/>
      <c r="R15" s="29"/>
      <c r="S15" s="29"/>
      <c r="T15" s="23"/>
      <c r="U15" s="152"/>
    </row>
    <row r="16" spans="1:21" s="42" customFormat="1" ht="128.25" customHeight="1" x14ac:dyDescent="0.25">
      <c r="A16" s="167"/>
      <c r="B16" s="48" t="s">
        <v>1305</v>
      </c>
      <c r="C16" s="25"/>
      <c r="D16" s="31"/>
      <c r="E16" s="31"/>
      <c r="F16" s="31"/>
      <c r="G16" s="31"/>
      <c r="H16" s="31"/>
      <c r="I16" s="31"/>
      <c r="J16" s="31"/>
      <c r="K16" s="31"/>
      <c r="L16" s="31"/>
      <c r="M16" s="31"/>
      <c r="N16" s="31"/>
      <c r="O16" s="58"/>
      <c r="P16" s="26"/>
      <c r="Q16" s="26"/>
      <c r="R16" s="26"/>
      <c r="S16" s="26"/>
      <c r="T16" s="38"/>
      <c r="U16" s="152"/>
    </row>
    <row r="17" spans="1:21" s="42" customFormat="1" ht="15.75" customHeight="1" thickBot="1" x14ac:dyDescent="0.3">
      <c r="A17" s="167"/>
      <c r="B17" s="48" t="s">
        <v>937</v>
      </c>
      <c r="C17" s="25"/>
      <c r="D17" s="31"/>
      <c r="E17" s="31"/>
      <c r="F17" s="31"/>
      <c r="G17" s="31"/>
      <c r="H17" s="31"/>
      <c r="I17" s="31"/>
      <c r="J17" s="31"/>
      <c r="K17" s="31"/>
      <c r="L17" s="31"/>
      <c r="M17" s="31"/>
      <c r="N17" s="31"/>
      <c r="O17" s="58"/>
      <c r="P17" s="26"/>
      <c r="Q17" s="26"/>
      <c r="R17" s="26"/>
      <c r="S17" s="26"/>
      <c r="T17" s="38"/>
      <c r="U17" s="152"/>
    </row>
    <row r="18" spans="1:21" s="42" customFormat="1" ht="15.75" customHeight="1" thickBot="1" x14ac:dyDescent="0.3">
      <c r="A18" s="166" t="s">
        <v>1306</v>
      </c>
      <c r="B18" s="137" t="s">
        <v>1307</v>
      </c>
      <c r="C18" s="135" t="s">
        <v>938</v>
      </c>
      <c r="D18" s="55">
        <v>0</v>
      </c>
      <c r="E18" s="55">
        <f>E$4*3</f>
        <v>3</v>
      </c>
      <c r="F18" s="36">
        <f>F$4*0</f>
        <v>0</v>
      </c>
      <c r="G18" s="36">
        <f>G$4*3</f>
        <v>3</v>
      </c>
      <c r="H18" s="36">
        <f>H$4*3</f>
        <v>12</v>
      </c>
      <c r="I18" s="36">
        <f>I$4*0</f>
        <v>0</v>
      </c>
      <c r="J18" s="36">
        <f>J$4*4</f>
        <v>4</v>
      </c>
      <c r="K18" s="36">
        <f>K$4*3</f>
        <v>6</v>
      </c>
      <c r="L18" s="36">
        <f>L$4*28</f>
        <v>28</v>
      </c>
      <c r="M18" s="36">
        <f>M$4*0</f>
        <v>0</v>
      </c>
      <c r="N18" s="56">
        <f>N$4*0</f>
        <v>0</v>
      </c>
      <c r="O18" s="62">
        <f>SUM(D18:N18)</f>
        <v>56</v>
      </c>
      <c r="P18" s="55">
        <v>0</v>
      </c>
      <c r="Q18" s="36">
        <v>0</v>
      </c>
      <c r="R18" s="36">
        <f>P18+Q18</f>
        <v>0</v>
      </c>
      <c r="S18" s="36"/>
      <c r="T18" s="51">
        <f>R18*O18</f>
        <v>0</v>
      </c>
      <c r="U18" s="44"/>
    </row>
    <row r="21" spans="1:21" s="117" customFormat="1" ht="15.75" customHeight="1" x14ac:dyDescent="0.25">
      <c r="A21" s="158" t="s">
        <v>1308</v>
      </c>
      <c r="B21" s="39" t="s">
        <v>1309</v>
      </c>
      <c r="C21" s="40"/>
      <c r="D21" s="40"/>
      <c r="E21" s="40"/>
      <c r="F21" s="40"/>
      <c r="G21" s="40"/>
      <c r="H21" s="40"/>
      <c r="I21" s="40"/>
      <c r="J21" s="40"/>
      <c r="K21" s="40"/>
      <c r="L21" s="40"/>
      <c r="M21" s="40"/>
      <c r="N21" s="40"/>
      <c r="O21" s="59"/>
      <c r="P21" s="40"/>
      <c r="Q21" s="40"/>
      <c r="R21" s="40"/>
      <c r="S21" s="40"/>
      <c r="T21" s="41"/>
      <c r="U21" s="149"/>
    </row>
    <row r="22" spans="1:21" s="42" customFormat="1" x14ac:dyDescent="0.25">
      <c r="A22" s="157"/>
      <c r="B22" s="44"/>
      <c r="C22" s="44"/>
      <c r="D22" s="44"/>
      <c r="E22" s="44"/>
      <c r="F22" s="44"/>
      <c r="G22" s="44"/>
      <c r="H22" s="44"/>
      <c r="I22" s="44"/>
      <c r="J22" s="44"/>
      <c r="K22" s="44"/>
      <c r="L22" s="44"/>
      <c r="M22" s="44"/>
      <c r="N22" s="44"/>
      <c r="O22" s="118"/>
      <c r="P22" s="44"/>
      <c r="Q22" s="44"/>
      <c r="R22" s="44"/>
      <c r="S22" s="44"/>
      <c r="T22" s="44"/>
      <c r="U22" s="47"/>
    </row>
    <row r="23" spans="1:21" s="42" customFormat="1" x14ac:dyDescent="0.25">
      <c r="A23" s="166" t="s">
        <v>1310</v>
      </c>
      <c r="B23" s="147" t="s">
        <v>1311</v>
      </c>
      <c r="C23" s="28"/>
      <c r="D23" s="28"/>
      <c r="E23" s="28"/>
      <c r="F23" s="28"/>
      <c r="G23" s="28"/>
      <c r="H23" s="28"/>
      <c r="I23" s="28"/>
      <c r="J23" s="28"/>
      <c r="K23" s="28"/>
      <c r="L23" s="28"/>
      <c r="M23" s="28"/>
      <c r="N23" s="28"/>
      <c r="O23" s="60"/>
      <c r="P23" s="29"/>
      <c r="Q23" s="29"/>
      <c r="R23" s="29"/>
      <c r="S23" s="29"/>
      <c r="T23" s="23"/>
      <c r="U23" s="152"/>
    </row>
    <row r="24" spans="1:21" s="42" customFormat="1" x14ac:dyDescent="0.25">
      <c r="A24" s="167"/>
      <c r="B24" s="141" t="s">
        <v>1312</v>
      </c>
      <c r="C24" s="31"/>
      <c r="D24" s="31"/>
      <c r="E24" s="31"/>
      <c r="F24" s="31"/>
      <c r="G24" s="31"/>
      <c r="H24" s="31"/>
      <c r="I24" s="31"/>
      <c r="J24" s="31"/>
      <c r="K24" s="31"/>
      <c r="L24" s="31"/>
      <c r="M24" s="31"/>
      <c r="N24" s="31"/>
      <c r="O24" s="58"/>
      <c r="P24" s="26"/>
      <c r="Q24" s="26"/>
      <c r="R24" s="26"/>
      <c r="S24" s="26"/>
      <c r="T24" s="38"/>
      <c r="U24" s="152"/>
    </row>
    <row r="25" spans="1:21" s="42" customFormat="1" ht="25.5" customHeight="1" x14ac:dyDescent="0.25">
      <c r="A25" s="167"/>
      <c r="B25" s="141" t="s">
        <v>1313</v>
      </c>
      <c r="C25" s="31"/>
      <c r="D25" s="31"/>
      <c r="E25" s="31"/>
      <c r="F25" s="31"/>
      <c r="G25" s="31"/>
      <c r="H25" s="31"/>
      <c r="I25" s="31"/>
      <c r="J25" s="31"/>
      <c r="K25" s="31"/>
      <c r="L25" s="31"/>
      <c r="M25" s="31"/>
      <c r="N25" s="31"/>
      <c r="O25" s="58"/>
      <c r="P25" s="26"/>
      <c r="Q25" s="26"/>
      <c r="R25" s="26"/>
      <c r="S25" s="26"/>
      <c r="T25" s="38"/>
      <c r="U25" s="152"/>
    </row>
    <row r="26" spans="1:21" s="42" customFormat="1" x14ac:dyDescent="0.25">
      <c r="A26" s="167"/>
      <c r="B26" s="141" t="s">
        <v>1314</v>
      </c>
      <c r="C26" s="31"/>
      <c r="D26" s="31"/>
      <c r="E26" s="31"/>
      <c r="F26" s="31"/>
      <c r="G26" s="31"/>
      <c r="H26" s="31"/>
      <c r="I26" s="31"/>
      <c r="J26" s="31"/>
      <c r="K26" s="31"/>
      <c r="L26" s="31"/>
      <c r="M26" s="31"/>
      <c r="N26" s="31"/>
      <c r="O26" s="58"/>
      <c r="P26" s="26"/>
      <c r="Q26" s="26"/>
      <c r="R26" s="26"/>
      <c r="S26" s="26"/>
      <c r="T26" s="38"/>
      <c r="U26" s="152"/>
    </row>
    <row r="27" spans="1:21" s="42" customFormat="1" ht="15.75" customHeight="1" thickBot="1" x14ac:dyDescent="0.3">
      <c r="A27" s="167"/>
      <c r="B27" s="141" t="s">
        <v>1315</v>
      </c>
      <c r="C27" s="31"/>
      <c r="D27" s="31"/>
      <c r="E27" s="31"/>
      <c r="F27" s="31"/>
      <c r="G27" s="31"/>
      <c r="H27" s="31"/>
      <c r="I27" s="31"/>
      <c r="J27" s="31"/>
      <c r="K27" s="31"/>
      <c r="L27" s="31"/>
      <c r="M27" s="31"/>
      <c r="N27" s="31"/>
      <c r="O27" s="58"/>
      <c r="P27" s="26"/>
      <c r="Q27" s="26"/>
      <c r="R27" s="26"/>
      <c r="S27" s="26"/>
      <c r="T27" s="38"/>
      <c r="U27" s="152"/>
    </row>
    <row r="28" spans="1:21" s="42" customFormat="1" ht="27.75" customHeight="1" thickBot="1" x14ac:dyDescent="0.3">
      <c r="A28" s="166" t="s">
        <v>1316</v>
      </c>
      <c r="B28" s="148" t="s">
        <v>1145</v>
      </c>
      <c r="C28" s="135" t="s">
        <v>938</v>
      </c>
      <c r="D28" s="55">
        <f>D$4*12.05</f>
        <v>12.05</v>
      </c>
      <c r="E28" s="55">
        <f>E$4*12.05</f>
        <v>12.05</v>
      </c>
      <c r="F28" s="36">
        <f>F$4*10.5</f>
        <v>10.5</v>
      </c>
      <c r="G28" s="36">
        <f>G$4*10.5</f>
        <v>10.5</v>
      </c>
      <c r="H28" s="36">
        <f>H$4*21.4</f>
        <v>85.6</v>
      </c>
      <c r="I28" s="36">
        <f>I$4*10.95</f>
        <v>10.95</v>
      </c>
      <c r="J28" s="36">
        <f>J$4*10.95</f>
        <v>10.95</v>
      </c>
      <c r="K28" s="36">
        <f>K$4*11.65</f>
        <v>23.3</v>
      </c>
      <c r="L28" s="36">
        <f>L$4*50</f>
        <v>50</v>
      </c>
      <c r="M28" s="36">
        <f>M$4*0</f>
        <v>0</v>
      </c>
      <c r="N28" s="56">
        <f>N$4*0</f>
        <v>0</v>
      </c>
      <c r="O28" s="62">
        <f>SUM(D28:N28)</f>
        <v>225.89999999999998</v>
      </c>
      <c r="P28" s="26">
        <v>0</v>
      </c>
      <c r="Q28" s="26">
        <v>0</v>
      </c>
      <c r="R28" s="26">
        <f>P28+Q28</f>
        <v>0</v>
      </c>
      <c r="S28" s="26"/>
      <c r="T28" s="22">
        <f>R28*O28</f>
        <v>0</v>
      </c>
      <c r="U28" s="47"/>
    </row>
    <row r="29" spans="1:21" s="42" customFormat="1" ht="77.25" customHeight="1" thickBot="1" x14ac:dyDescent="0.3">
      <c r="A29" s="166" t="s">
        <v>1317</v>
      </c>
      <c r="B29" s="148" t="s">
        <v>1318</v>
      </c>
      <c r="C29" s="135" t="s">
        <v>938</v>
      </c>
      <c r="D29" s="55">
        <f t="shared" ref="D29:N29" si="0">D28*0.1</f>
        <v>1.2050000000000001</v>
      </c>
      <c r="E29" s="55">
        <f t="shared" si="0"/>
        <v>1.2050000000000001</v>
      </c>
      <c r="F29" s="36">
        <f t="shared" si="0"/>
        <v>1.05</v>
      </c>
      <c r="G29" s="36">
        <f t="shared" si="0"/>
        <v>1.05</v>
      </c>
      <c r="H29" s="36">
        <f t="shared" si="0"/>
        <v>8.56</v>
      </c>
      <c r="I29" s="36">
        <f t="shared" si="0"/>
        <v>1.095</v>
      </c>
      <c r="J29" s="36">
        <f t="shared" si="0"/>
        <v>1.095</v>
      </c>
      <c r="K29" s="36">
        <f t="shared" si="0"/>
        <v>2.33</v>
      </c>
      <c r="L29" s="36">
        <f t="shared" si="0"/>
        <v>5</v>
      </c>
      <c r="M29" s="36">
        <f t="shared" si="0"/>
        <v>0</v>
      </c>
      <c r="N29" s="56">
        <f t="shared" si="0"/>
        <v>0</v>
      </c>
      <c r="O29" s="62">
        <f>SUM(D29:N29)</f>
        <v>22.590000000000003</v>
      </c>
      <c r="P29" s="26">
        <v>0</v>
      </c>
      <c r="Q29" s="26">
        <v>0</v>
      </c>
      <c r="R29" s="26">
        <f>P29+Q29</f>
        <v>0</v>
      </c>
      <c r="S29" s="26"/>
      <c r="T29" s="22">
        <f>R29*O29</f>
        <v>0</v>
      </c>
      <c r="U29" s="47"/>
    </row>
    <row r="30" spans="1:21" s="42" customFormat="1" ht="15.75" customHeight="1" thickBot="1" x14ac:dyDescent="0.3">
      <c r="A30" s="166" t="s">
        <v>1319</v>
      </c>
      <c r="B30" s="148" t="s">
        <v>1320</v>
      </c>
      <c r="C30" s="135" t="s">
        <v>938</v>
      </c>
      <c r="D30" s="55">
        <f t="shared" ref="D30:N30" si="1">D28*0.02</f>
        <v>0.24100000000000002</v>
      </c>
      <c r="E30" s="55">
        <f t="shared" si="1"/>
        <v>0.24100000000000002</v>
      </c>
      <c r="F30" s="36">
        <f t="shared" si="1"/>
        <v>0.21</v>
      </c>
      <c r="G30" s="36">
        <f t="shared" si="1"/>
        <v>0.21</v>
      </c>
      <c r="H30" s="36">
        <f t="shared" si="1"/>
        <v>1.712</v>
      </c>
      <c r="I30" s="36">
        <f t="shared" si="1"/>
        <v>0.219</v>
      </c>
      <c r="J30" s="36">
        <f t="shared" si="1"/>
        <v>0.219</v>
      </c>
      <c r="K30" s="36">
        <f t="shared" si="1"/>
        <v>0.46600000000000003</v>
      </c>
      <c r="L30" s="36">
        <f t="shared" si="1"/>
        <v>1</v>
      </c>
      <c r="M30" s="36">
        <f t="shared" si="1"/>
        <v>0</v>
      </c>
      <c r="N30" s="56">
        <f t="shared" si="1"/>
        <v>0</v>
      </c>
      <c r="O30" s="62">
        <f>SUM(D30:N30)</f>
        <v>4.5179999999999998</v>
      </c>
      <c r="P30" s="26">
        <v>0</v>
      </c>
      <c r="Q30" s="26">
        <v>0</v>
      </c>
      <c r="R30" s="26">
        <f>P30+Q30</f>
        <v>0</v>
      </c>
      <c r="S30" s="26"/>
      <c r="T30" s="22">
        <f>R30*O30</f>
        <v>0</v>
      </c>
      <c r="U30" s="47"/>
    </row>
    <row r="31" spans="1:21" s="42" customFormat="1" x14ac:dyDescent="0.25">
      <c r="A31" s="157"/>
      <c r="B31" s="44"/>
      <c r="C31" s="44"/>
      <c r="D31" s="44"/>
      <c r="E31" s="44"/>
      <c r="F31" s="44"/>
      <c r="G31" s="44"/>
      <c r="H31" s="44"/>
      <c r="I31" s="44"/>
      <c r="J31" s="44"/>
      <c r="K31" s="44"/>
      <c r="L31" s="44"/>
      <c r="M31" s="44"/>
      <c r="N31" s="44"/>
      <c r="O31" s="118"/>
      <c r="P31" s="44"/>
      <c r="Q31" s="44"/>
      <c r="R31" s="44"/>
      <c r="S31" s="44"/>
      <c r="T31" s="44"/>
      <c r="U31" s="47"/>
    </row>
    <row r="32" spans="1:21" s="42" customFormat="1" x14ac:dyDescent="0.25">
      <c r="A32" s="166" t="s">
        <v>1321</v>
      </c>
      <c r="B32" s="147" t="s">
        <v>1322</v>
      </c>
      <c r="C32" s="28"/>
      <c r="D32" s="28"/>
      <c r="E32" s="28"/>
      <c r="F32" s="28"/>
      <c r="G32" s="28"/>
      <c r="H32" s="28"/>
      <c r="I32" s="28"/>
      <c r="J32" s="28"/>
      <c r="K32" s="28"/>
      <c r="L32" s="28"/>
      <c r="M32" s="28"/>
      <c r="N32" s="28"/>
      <c r="O32" s="60"/>
      <c r="P32" s="29"/>
      <c r="Q32" s="29"/>
      <c r="R32" s="29"/>
      <c r="S32" s="29"/>
      <c r="T32" s="23"/>
      <c r="U32" s="152"/>
    </row>
    <row r="33" spans="1:21" s="42" customFormat="1" ht="38.25" customHeight="1" x14ac:dyDescent="0.25">
      <c r="A33" s="167"/>
      <c r="B33" s="141" t="s">
        <v>1323</v>
      </c>
      <c r="C33" s="31"/>
      <c r="D33" s="31"/>
      <c r="E33" s="31"/>
      <c r="F33" s="31"/>
      <c r="G33" s="31"/>
      <c r="H33" s="31"/>
      <c r="I33" s="31"/>
      <c r="J33" s="31"/>
      <c r="K33" s="31"/>
      <c r="L33" s="31"/>
      <c r="M33" s="31"/>
      <c r="N33" s="31"/>
      <c r="O33" s="58"/>
      <c r="P33" s="26"/>
      <c r="Q33" s="26"/>
      <c r="R33" s="26"/>
      <c r="S33" s="26"/>
      <c r="T33" s="38"/>
      <c r="U33" s="152"/>
    </row>
    <row r="34" spans="1:21" s="42" customFormat="1" ht="38.25" customHeight="1" x14ac:dyDescent="0.25">
      <c r="A34" s="167"/>
      <c r="B34" s="141" t="s">
        <v>1324</v>
      </c>
      <c r="C34" s="31"/>
      <c r="D34" s="31"/>
      <c r="E34" s="31"/>
      <c r="F34" s="31"/>
      <c r="G34" s="31"/>
      <c r="H34" s="31"/>
      <c r="I34" s="31"/>
      <c r="J34" s="31"/>
      <c r="K34" s="31"/>
      <c r="L34" s="31"/>
      <c r="M34" s="31"/>
      <c r="N34" s="31"/>
      <c r="O34" s="58"/>
      <c r="P34" s="26"/>
      <c r="Q34" s="26"/>
      <c r="R34" s="26"/>
      <c r="S34" s="26"/>
      <c r="T34" s="38"/>
      <c r="U34" s="152"/>
    </row>
    <row r="35" spans="1:21" s="42" customFormat="1" ht="25.5" customHeight="1" x14ac:dyDescent="0.25">
      <c r="A35" s="167"/>
      <c r="B35" s="141" t="s">
        <v>1325</v>
      </c>
      <c r="C35" s="31"/>
      <c r="D35" s="31"/>
      <c r="E35" s="31"/>
      <c r="F35" s="31"/>
      <c r="G35" s="31"/>
      <c r="H35" s="31"/>
      <c r="I35" s="31"/>
      <c r="J35" s="31"/>
      <c r="K35" s="31"/>
      <c r="L35" s="31"/>
      <c r="M35" s="31"/>
      <c r="N35" s="31"/>
      <c r="O35" s="58"/>
      <c r="P35" s="26"/>
      <c r="Q35" s="26"/>
      <c r="R35" s="26"/>
      <c r="S35" s="26"/>
      <c r="T35" s="38"/>
      <c r="U35" s="152"/>
    </row>
    <row r="36" spans="1:21" s="42" customFormat="1" ht="15.75" customHeight="1" thickBot="1" x14ac:dyDescent="0.3">
      <c r="A36" s="167"/>
      <c r="B36" s="141" t="s">
        <v>1326</v>
      </c>
      <c r="C36" s="31"/>
      <c r="D36" s="31"/>
      <c r="E36" s="31"/>
      <c r="F36" s="31"/>
      <c r="G36" s="31"/>
      <c r="H36" s="31"/>
      <c r="I36" s="31"/>
      <c r="J36" s="31"/>
      <c r="K36" s="31"/>
      <c r="L36" s="31"/>
      <c r="M36" s="31"/>
      <c r="N36" s="31"/>
      <c r="O36" s="58"/>
      <c r="P36" s="26"/>
      <c r="Q36" s="26"/>
      <c r="R36" s="26"/>
      <c r="S36" s="26"/>
      <c r="T36" s="38"/>
      <c r="U36" s="152"/>
    </row>
    <row r="37" spans="1:21" s="42" customFormat="1" ht="26.25" customHeight="1" thickBot="1" x14ac:dyDescent="0.3">
      <c r="A37" s="166" t="s">
        <v>1327</v>
      </c>
      <c r="B37" s="148" t="s">
        <v>1263</v>
      </c>
      <c r="C37" s="135" t="s">
        <v>969</v>
      </c>
      <c r="D37" s="55">
        <f>D$4*26.8</f>
        <v>26.8</v>
      </c>
      <c r="E37" s="55">
        <f>E$4*26.8</f>
        <v>26.8</v>
      </c>
      <c r="F37" s="36">
        <f>F$4*30.55</f>
        <v>30.55</v>
      </c>
      <c r="G37" s="36">
        <f>G$4*30.55</f>
        <v>30.55</v>
      </c>
      <c r="H37" s="36">
        <f>H$4*35</f>
        <v>140</v>
      </c>
      <c r="I37" s="36">
        <f>I$4*34.85</f>
        <v>34.85</v>
      </c>
      <c r="J37" s="36">
        <f>J$4*34.85</f>
        <v>34.85</v>
      </c>
      <c r="K37" s="36">
        <f>K$4*29.15</f>
        <v>58.3</v>
      </c>
      <c r="L37" s="36">
        <f>L$4*67.1</f>
        <v>67.099999999999994</v>
      </c>
      <c r="M37" s="36">
        <f>M$4*0</f>
        <v>0</v>
      </c>
      <c r="N37" s="56">
        <f>N$4*0</f>
        <v>0</v>
      </c>
      <c r="O37" s="62">
        <f>SUM(D37:N37)</f>
        <v>449.80000000000007</v>
      </c>
      <c r="P37" s="26">
        <v>0</v>
      </c>
      <c r="Q37" s="26">
        <v>0</v>
      </c>
      <c r="R37" s="26">
        <f>P37+Q37</f>
        <v>0</v>
      </c>
      <c r="S37" s="26"/>
      <c r="T37" s="22">
        <f>R37*O37</f>
        <v>0</v>
      </c>
      <c r="U37" s="47"/>
    </row>
    <row r="38" spans="1:21" s="42" customFormat="1" ht="77.25" customHeight="1" thickBot="1" x14ac:dyDescent="0.3">
      <c r="A38" s="166" t="s">
        <v>1328</v>
      </c>
      <c r="B38" s="148" t="s">
        <v>1329</v>
      </c>
      <c r="C38" s="135" t="s">
        <v>969</v>
      </c>
      <c r="D38" s="55">
        <f t="shared" ref="D38:N38" si="2">D37*0.1</f>
        <v>2.68</v>
      </c>
      <c r="E38" s="55">
        <f t="shared" si="2"/>
        <v>2.68</v>
      </c>
      <c r="F38" s="36">
        <f t="shared" si="2"/>
        <v>3.0550000000000002</v>
      </c>
      <c r="G38" s="36">
        <f t="shared" si="2"/>
        <v>3.0550000000000002</v>
      </c>
      <c r="H38" s="36">
        <f t="shared" si="2"/>
        <v>14</v>
      </c>
      <c r="I38" s="36">
        <f t="shared" si="2"/>
        <v>3.4850000000000003</v>
      </c>
      <c r="J38" s="36">
        <f t="shared" si="2"/>
        <v>3.4850000000000003</v>
      </c>
      <c r="K38" s="36">
        <f t="shared" si="2"/>
        <v>5.83</v>
      </c>
      <c r="L38" s="36">
        <f t="shared" si="2"/>
        <v>6.71</v>
      </c>
      <c r="M38" s="36">
        <f t="shared" si="2"/>
        <v>0</v>
      </c>
      <c r="N38" s="56">
        <f t="shared" si="2"/>
        <v>0</v>
      </c>
      <c r="O38" s="62">
        <f>SUM(D38:N38)</f>
        <v>44.98</v>
      </c>
      <c r="P38" s="26">
        <v>0</v>
      </c>
      <c r="Q38" s="26">
        <v>0</v>
      </c>
      <c r="R38" s="26">
        <f>P38+Q38</f>
        <v>0</v>
      </c>
      <c r="S38" s="26"/>
      <c r="T38" s="22">
        <f>R38*O38</f>
        <v>0</v>
      </c>
      <c r="U38" s="47"/>
    </row>
    <row r="39" spans="1:21" s="42" customFormat="1" ht="15.75" customHeight="1" thickBot="1" x14ac:dyDescent="0.3">
      <c r="A39" s="166" t="s">
        <v>1330</v>
      </c>
      <c r="B39" s="148" t="s">
        <v>1331</v>
      </c>
      <c r="C39" s="135" t="s">
        <v>969</v>
      </c>
      <c r="D39" s="55">
        <f t="shared" ref="D39:N39" si="3">0.02*D37</f>
        <v>0.53600000000000003</v>
      </c>
      <c r="E39" s="55">
        <f t="shared" si="3"/>
        <v>0.53600000000000003</v>
      </c>
      <c r="F39" s="36">
        <f t="shared" si="3"/>
        <v>0.61099999999999999</v>
      </c>
      <c r="G39" s="36">
        <f t="shared" si="3"/>
        <v>0.61099999999999999</v>
      </c>
      <c r="H39" s="36">
        <f t="shared" si="3"/>
        <v>2.8000000000000003</v>
      </c>
      <c r="I39" s="36">
        <f t="shared" si="3"/>
        <v>0.69700000000000006</v>
      </c>
      <c r="J39" s="36">
        <f t="shared" si="3"/>
        <v>0.69700000000000006</v>
      </c>
      <c r="K39" s="36">
        <f t="shared" si="3"/>
        <v>1.1659999999999999</v>
      </c>
      <c r="L39" s="36">
        <f t="shared" si="3"/>
        <v>1.3419999999999999</v>
      </c>
      <c r="M39" s="36">
        <f t="shared" si="3"/>
        <v>0</v>
      </c>
      <c r="N39" s="56">
        <f t="shared" si="3"/>
        <v>0</v>
      </c>
      <c r="O39" s="62">
        <f>SUM(D39:N39)</f>
        <v>8.9960000000000004</v>
      </c>
      <c r="P39" s="26">
        <v>0</v>
      </c>
      <c r="Q39" s="26">
        <v>0</v>
      </c>
      <c r="R39" s="26">
        <f>P39+Q39</f>
        <v>0</v>
      </c>
      <c r="S39" s="26"/>
      <c r="T39" s="22">
        <f>R39*O39</f>
        <v>0</v>
      </c>
      <c r="U39" s="47"/>
    </row>
    <row r="40" spans="1:21" s="32" customFormat="1" ht="12.75" customHeight="1" x14ac:dyDescent="0.2">
      <c r="A40" s="159"/>
      <c r="B40" s="31"/>
      <c r="C40" s="25"/>
      <c r="D40" s="25"/>
      <c r="E40" s="25"/>
      <c r="F40" s="25"/>
      <c r="G40" s="25"/>
      <c r="H40" s="25"/>
      <c r="I40" s="25"/>
      <c r="J40" s="25"/>
      <c r="K40" s="25"/>
      <c r="L40" s="25"/>
      <c r="M40" s="25"/>
      <c r="N40" s="25"/>
      <c r="O40" s="58"/>
      <c r="P40" s="26"/>
      <c r="Q40" s="26"/>
      <c r="R40" s="26"/>
      <c r="S40" s="26"/>
      <c r="T40" s="35"/>
      <c r="U40" s="37"/>
    </row>
    <row r="41" spans="1:21" s="132" customFormat="1" ht="15.75" customHeight="1" x14ac:dyDescent="0.25">
      <c r="A41" s="160" t="s">
        <v>1332</v>
      </c>
      <c r="B41" s="130" t="s">
        <v>1309</v>
      </c>
      <c r="C41" s="49"/>
      <c r="D41" s="49"/>
      <c r="E41" s="49"/>
      <c r="F41" s="49"/>
      <c r="G41" s="49"/>
      <c r="H41" s="49"/>
      <c r="I41" s="49"/>
      <c r="J41" s="49"/>
      <c r="K41" s="49"/>
      <c r="L41" s="49"/>
      <c r="M41" s="49"/>
      <c r="N41" s="49"/>
      <c r="O41" s="131"/>
      <c r="P41" s="49"/>
      <c r="Q41" s="49"/>
      <c r="R41" s="435" t="s">
        <v>946</v>
      </c>
      <c r="S41" s="388"/>
      <c r="T41" s="50">
        <f>SUM(T12:T40)</f>
        <v>0</v>
      </c>
      <c r="U41" s="151"/>
    </row>
    <row r="43" spans="1:21" s="132" customFormat="1" ht="15.75" customHeight="1" x14ac:dyDescent="0.25">
      <c r="A43" s="160" t="s">
        <v>1332</v>
      </c>
      <c r="B43" s="130" t="s">
        <v>1333</v>
      </c>
      <c r="C43" s="49"/>
      <c r="D43" s="49"/>
      <c r="E43" s="49"/>
      <c r="F43" s="49"/>
      <c r="G43" s="49"/>
      <c r="H43" s="49"/>
      <c r="I43" s="49"/>
      <c r="J43" s="49"/>
      <c r="K43" s="49"/>
      <c r="L43" s="49"/>
      <c r="M43" s="49"/>
      <c r="N43" s="49"/>
      <c r="O43" s="131"/>
      <c r="P43" s="49"/>
      <c r="Q43" s="49"/>
      <c r="R43" s="435" t="s">
        <v>946</v>
      </c>
      <c r="S43" s="388"/>
      <c r="T43" s="50">
        <f>T41*5</f>
        <v>0</v>
      </c>
      <c r="U43" s="151"/>
    </row>
    <row r="44" spans="1:21" ht="15.75" customHeight="1" thickBot="1" x14ac:dyDescent="0.3"/>
    <row r="45" spans="1:21" s="42" customFormat="1" ht="50.1" customHeight="1" thickBot="1" x14ac:dyDescent="0.3">
      <c r="A45" s="119" t="s">
        <v>912</v>
      </c>
      <c r="B45" s="119" t="s">
        <v>913</v>
      </c>
      <c r="C45" s="120" t="s">
        <v>914</v>
      </c>
      <c r="D45" s="430"/>
      <c r="E45" s="431"/>
      <c r="F45" s="431"/>
      <c r="G45" s="431"/>
      <c r="H45" s="431"/>
      <c r="I45" s="431"/>
      <c r="J45" s="431"/>
      <c r="K45" s="121" t="s">
        <v>915</v>
      </c>
      <c r="L45" s="122" t="s">
        <v>916</v>
      </c>
      <c r="M45" s="121" t="s">
        <v>917</v>
      </c>
      <c r="N45" s="121" t="s">
        <v>918</v>
      </c>
      <c r="O45" s="121"/>
      <c r="P45" s="119" t="s">
        <v>919</v>
      </c>
      <c r="Q45" s="47"/>
    </row>
    <row r="46" spans="1:21" s="42" customFormat="1" ht="50.1" customHeight="1" thickBot="1" x14ac:dyDescent="0.3">
      <c r="A46" s="123"/>
      <c r="B46" s="123"/>
      <c r="C46" s="124"/>
      <c r="D46" s="432" t="s">
        <v>948</v>
      </c>
      <c r="E46" s="431"/>
      <c r="F46" s="431"/>
      <c r="G46" s="431"/>
      <c r="H46" s="431"/>
      <c r="I46" s="431"/>
      <c r="J46" s="433"/>
      <c r="K46" s="125"/>
      <c r="L46" s="124"/>
      <c r="M46" s="124"/>
      <c r="N46" s="124"/>
      <c r="O46" s="124"/>
      <c r="P46" s="123"/>
      <c r="Q46" s="47"/>
    </row>
    <row r="47" spans="1:21" s="42" customFormat="1" ht="62.25" customHeight="1" x14ac:dyDescent="0.25">
      <c r="A47" s="123"/>
      <c r="B47" s="123"/>
      <c r="C47" s="124"/>
      <c r="D47" s="173" t="s">
        <v>949</v>
      </c>
      <c r="E47" s="46" t="s">
        <v>950</v>
      </c>
      <c r="F47" s="46" t="s">
        <v>951</v>
      </c>
      <c r="G47" s="46" t="s">
        <v>952</v>
      </c>
      <c r="H47" s="46" t="s">
        <v>953</v>
      </c>
      <c r="I47" s="154" t="s">
        <v>930</v>
      </c>
      <c r="J47" s="126" t="s">
        <v>931</v>
      </c>
      <c r="K47" s="125"/>
      <c r="L47" s="124"/>
      <c r="M47" s="124"/>
      <c r="N47" s="124"/>
      <c r="O47" s="124"/>
      <c r="P47" s="123"/>
      <c r="Q47" s="47"/>
    </row>
    <row r="50" spans="1:17" s="42" customFormat="1" x14ac:dyDescent="0.25">
      <c r="A50" s="166" t="s">
        <v>1303</v>
      </c>
      <c r="B50" s="28" t="s">
        <v>1304</v>
      </c>
      <c r="C50" s="28"/>
      <c r="D50" s="181"/>
      <c r="E50" s="28"/>
      <c r="F50" s="28"/>
      <c r="G50" s="28"/>
      <c r="H50" s="28"/>
      <c r="I50" s="28"/>
      <c r="J50" s="28"/>
      <c r="K50" s="60"/>
      <c r="L50" s="29"/>
      <c r="M50" s="29"/>
      <c r="N50" s="29"/>
      <c r="O50" s="29"/>
      <c r="P50" s="23"/>
      <c r="Q50" s="152"/>
    </row>
    <row r="51" spans="1:17" s="42" customFormat="1" ht="128.25" customHeight="1" x14ac:dyDescent="0.25">
      <c r="A51" s="167"/>
      <c r="B51" s="48" t="s">
        <v>1305</v>
      </c>
      <c r="C51" s="25"/>
      <c r="D51" s="182"/>
      <c r="E51" s="31"/>
      <c r="F51" s="31"/>
      <c r="G51" s="31"/>
      <c r="H51" s="31"/>
      <c r="I51" s="31"/>
      <c r="J51" s="31"/>
      <c r="K51" s="58"/>
      <c r="L51" s="26"/>
      <c r="M51" s="26"/>
      <c r="N51" s="26"/>
      <c r="O51" s="26"/>
      <c r="P51" s="38"/>
      <c r="Q51" s="152"/>
    </row>
    <row r="52" spans="1:17" s="42" customFormat="1" ht="15.75" customHeight="1" thickBot="1" x14ac:dyDescent="0.3">
      <c r="A52" s="167"/>
      <c r="B52" s="48" t="s">
        <v>937</v>
      </c>
      <c r="C52" s="25"/>
      <c r="D52" s="182"/>
      <c r="E52" s="31"/>
      <c r="F52" s="31"/>
      <c r="G52" s="31"/>
      <c r="H52" s="31"/>
      <c r="I52" s="31"/>
      <c r="J52" s="31"/>
      <c r="K52" s="58"/>
      <c r="L52" s="26"/>
      <c r="M52" s="26"/>
      <c r="N52" s="26"/>
      <c r="O52" s="26"/>
      <c r="P52" s="38"/>
      <c r="Q52" s="152"/>
    </row>
    <row r="53" spans="1:17" s="42" customFormat="1" ht="15.75" customHeight="1" thickBot="1" x14ac:dyDescent="0.3">
      <c r="A53" s="166" t="s">
        <v>1306</v>
      </c>
      <c r="B53" s="137" t="s">
        <v>1307</v>
      </c>
      <c r="C53" s="135" t="s">
        <v>938</v>
      </c>
      <c r="D53" s="177">
        <f>D$4*0</f>
        <v>0</v>
      </c>
      <c r="E53" s="36">
        <f>E$4*2</f>
        <v>2</v>
      </c>
      <c r="F53" s="36">
        <f>F$4*5</f>
        <v>5</v>
      </c>
      <c r="G53" s="36">
        <f>G$4*5</f>
        <v>5</v>
      </c>
      <c r="H53" s="36">
        <f>H$4*6</f>
        <v>24</v>
      </c>
      <c r="I53" s="36">
        <f>I$4*0</f>
        <v>0</v>
      </c>
      <c r="J53" s="56">
        <f>J$4*0</f>
        <v>0</v>
      </c>
      <c r="K53" s="62">
        <f>SUM(D53:J53)</f>
        <v>36</v>
      </c>
      <c r="L53" s="55">
        <v>0</v>
      </c>
      <c r="M53" s="36">
        <v>0</v>
      </c>
      <c r="N53" s="36">
        <f>L53+M53</f>
        <v>0</v>
      </c>
      <c r="O53" s="36"/>
      <c r="P53" s="51">
        <f>N53*K53</f>
        <v>0</v>
      </c>
      <c r="Q53" s="44"/>
    </row>
    <row r="55" spans="1:17" s="117" customFormat="1" ht="15.75" customHeight="1" x14ac:dyDescent="0.25">
      <c r="A55" s="158" t="s">
        <v>1308</v>
      </c>
      <c r="B55" s="39" t="s">
        <v>1309</v>
      </c>
      <c r="C55" s="40"/>
      <c r="D55" s="175"/>
      <c r="E55" s="40"/>
      <c r="F55" s="40"/>
      <c r="G55" s="40"/>
      <c r="H55" s="40"/>
      <c r="I55" s="40"/>
      <c r="J55" s="40"/>
      <c r="K55" s="59"/>
      <c r="L55" s="40"/>
      <c r="M55" s="40"/>
      <c r="N55" s="40"/>
      <c r="O55" s="40"/>
      <c r="P55" s="41"/>
      <c r="Q55" s="149"/>
    </row>
    <row r="56" spans="1:17" s="42" customFormat="1" x14ac:dyDescent="0.25">
      <c r="A56" s="157"/>
      <c r="B56" s="44"/>
      <c r="C56" s="44"/>
      <c r="D56" s="172"/>
      <c r="E56" s="44"/>
      <c r="F56" s="44"/>
      <c r="G56" s="44"/>
      <c r="H56" s="44"/>
      <c r="I56" s="44"/>
      <c r="J56" s="44"/>
      <c r="K56" s="118"/>
      <c r="L56" s="44"/>
      <c r="M56" s="44"/>
      <c r="N56" s="44"/>
      <c r="O56" s="44"/>
      <c r="P56" s="44"/>
      <c r="Q56" s="47"/>
    </row>
    <row r="57" spans="1:17" s="42" customFormat="1" x14ac:dyDescent="0.25">
      <c r="A57" s="166" t="s">
        <v>1310</v>
      </c>
      <c r="B57" s="147" t="s">
        <v>1311</v>
      </c>
      <c r="C57" s="28"/>
      <c r="D57" s="181"/>
      <c r="E57" s="28"/>
      <c r="F57" s="28"/>
      <c r="G57" s="28"/>
      <c r="H57" s="28"/>
      <c r="I57" s="28"/>
      <c r="J57" s="28"/>
      <c r="K57" s="60"/>
      <c r="L57" s="29"/>
      <c r="M57" s="29"/>
      <c r="N57" s="29"/>
      <c r="O57" s="29"/>
      <c r="P57" s="23"/>
      <c r="Q57" s="152"/>
    </row>
    <row r="58" spans="1:17" s="42" customFormat="1" x14ac:dyDescent="0.25">
      <c r="A58" s="167"/>
      <c r="B58" s="141" t="s">
        <v>1312</v>
      </c>
      <c r="C58" s="31"/>
      <c r="D58" s="182"/>
      <c r="E58" s="31"/>
      <c r="F58" s="31"/>
      <c r="G58" s="31"/>
      <c r="H58" s="31"/>
      <c r="I58" s="31"/>
      <c r="J58" s="31"/>
      <c r="K58" s="58"/>
      <c r="L58" s="26"/>
      <c r="M58" s="26"/>
      <c r="N58" s="26"/>
      <c r="O58" s="26"/>
      <c r="P58" s="38"/>
      <c r="Q58" s="152"/>
    </row>
    <row r="59" spans="1:17" s="42" customFormat="1" ht="25.5" customHeight="1" x14ac:dyDescent="0.25">
      <c r="A59" s="169"/>
      <c r="B59" s="30" t="s">
        <v>1313</v>
      </c>
      <c r="C59" s="31"/>
      <c r="D59" s="182"/>
      <c r="E59" s="31"/>
      <c r="F59" s="31"/>
      <c r="G59" s="31"/>
      <c r="H59" s="31"/>
      <c r="I59" s="31"/>
      <c r="J59" s="31"/>
      <c r="K59" s="58"/>
      <c r="L59" s="26"/>
      <c r="M59" s="26"/>
      <c r="N59" s="26"/>
      <c r="O59" s="26"/>
      <c r="P59" s="38"/>
      <c r="Q59" s="152"/>
    </row>
    <row r="60" spans="1:17" s="42" customFormat="1" x14ac:dyDescent="0.25">
      <c r="A60" s="169"/>
      <c r="B60" s="30" t="s">
        <v>1314</v>
      </c>
      <c r="C60" s="31"/>
      <c r="D60" s="182"/>
      <c r="E60" s="31"/>
      <c r="F60" s="31"/>
      <c r="G60" s="31"/>
      <c r="H60" s="31"/>
      <c r="I60" s="31"/>
      <c r="J60" s="31"/>
      <c r="K60" s="58"/>
      <c r="L60" s="26"/>
      <c r="M60" s="26"/>
      <c r="N60" s="26"/>
      <c r="O60" s="26"/>
      <c r="P60" s="38"/>
      <c r="Q60" s="152"/>
    </row>
    <row r="61" spans="1:17" s="42" customFormat="1" ht="15.75" customHeight="1" thickBot="1" x14ac:dyDescent="0.3">
      <c r="A61" s="169"/>
      <c r="B61" s="30" t="s">
        <v>1315</v>
      </c>
      <c r="C61" s="31"/>
      <c r="D61" s="182"/>
      <c r="E61" s="31"/>
      <c r="F61" s="31"/>
      <c r="G61" s="31"/>
      <c r="H61" s="31"/>
      <c r="I61" s="31"/>
      <c r="J61" s="31"/>
      <c r="K61" s="58"/>
      <c r="L61" s="26"/>
      <c r="M61" s="26"/>
      <c r="N61" s="26"/>
      <c r="O61" s="26"/>
      <c r="P61" s="38"/>
      <c r="Q61" s="152"/>
    </row>
    <row r="62" spans="1:17" s="200" customFormat="1" ht="27.75" customHeight="1" thickBot="1" x14ac:dyDescent="0.3">
      <c r="A62" s="187" t="s">
        <v>1316</v>
      </c>
      <c r="B62" s="188" t="s">
        <v>1145</v>
      </c>
      <c r="C62" s="189" t="s">
        <v>938</v>
      </c>
      <c r="D62" s="293">
        <v>53</v>
      </c>
      <c r="E62" s="191">
        <v>53</v>
      </c>
      <c r="F62" s="191">
        <v>120</v>
      </c>
      <c r="G62" s="191">
        <v>36</v>
      </c>
      <c r="H62" s="191">
        <v>67</v>
      </c>
      <c r="I62" s="191">
        <v>0</v>
      </c>
      <c r="J62" s="192">
        <v>0</v>
      </c>
      <c r="K62" s="193">
        <f>SUM(D62:J62)</f>
        <v>329</v>
      </c>
      <c r="L62" s="194">
        <v>0</v>
      </c>
      <c r="M62" s="194">
        <v>0</v>
      </c>
      <c r="N62" s="194">
        <f>L62+M62</f>
        <v>0</v>
      </c>
      <c r="O62" s="194"/>
      <c r="P62" s="195">
        <f>N62*K62</f>
        <v>0</v>
      </c>
      <c r="Q62" s="208"/>
    </row>
    <row r="63" spans="1:17" s="200" customFormat="1" ht="77.25" customHeight="1" thickBot="1" x14ac:dyDescent="0.3">
      <c r="A63" s="187" t="s">
        <v>1317</v>
      </c>
      <c r="B63" s="188" t="s">
        <v>1318</v>
      </c>
      <c r="C63" s="189" t="s">
        <v>938</v>
      </c>
      <c r="D63" s="293">
        <v>5.3000000000000007</v>
      </c>
      <c r="E63" s="191">
        <v>5.3000000000000007</v>
      </c>
      <c r="F63" s="191">
        <v>12</v>
      </c>
      <c r="G63" s="191">
        <v>3.6</v>
      </c>
      <c r="H63" s="191">
        <v>6.7</v>
      </c>
      <c r="I63" s="191">
        <v>0</v>
      </c>
      <c r="J63" s="192">
        <v>0</v>
      </c>
      <c r="K63" s="193">
        <f>SUM(D63:J63)</f>
        <v>32.900000000000006</v>
      </c>
      <c r="L63" s="194">
        <v>0</v>
      </c>
      <c r="M63" s="194">
        <v>0</v>
      </c>
      <c r="N63" s="194">
        <f>L63+M63</f>
        <v>0</v>
      </c>
      <c r="O63" s="194"/>
      <c r="P63" s="195">
        <f>N63*K63</f>
        <v>0</v>
      </c>
      <c r="Q63" s="208"/>
    </row>
    <row r="64" spans="1:17" s="200" customFormat="1" ht="15.75" customHeight="1" thickBot="1" x14ac:dyDescent="0.3">
      <c r="A64" s="187" t="s">
        <v>1319</v>
      </c>
      <c r="B64" s="188" t="s">
        <v>1320</v>
      </c>
      <c r="C64" s="189" t="s">
        <v>938</v>
      </c>
      <c r="D64" s="293">
        <v>1.06</v>
      </c>
      <c r="E64" s="191">
        <v>1.06</v>
      </c>
      <c r="F64" s="191">
        <v>2.4</v>
      </c>
      <c r="G64" s="191">
        <v>0.72</v>
      </c>
      <c r="H64" s="191">
        <v>1.34</v>
      </c>
      <c r="I64" s="191">
        <v>0</v>
      </c>
      <c r="J64" s="192">
        <v>0</v>
      </c>
      <c r="K64" s="193">
        <f>SUM(D64:J64)</f>
        <v>6.5799999999999992</v>
      </c>
      <c r="L64" s="194">
        <v>0</v>
      </c>
      <c r="M64" s="194">
        <v>0</v>
      </c>
      <c r="N64" s="194">
        <f>L64+M64</f>
        <v>0</v>
      </c>
      <c r="O64" s="194"/>
      <c r="P64" s="195">
        <f>N64*K64</f>
        <v>0</v>
      </c>
      <c r="Q64" s="208"/>
    </row>
    <row r="65" spans="1:21" s="42" customFormat="1" x14ac:dyDescent="0.25">
      <c r="A65" s="337"/>
      <c r="B65" s="44"/>
      <c r="C65" s="44"/>
      <c r="D65" s="172"/>
      <c r="E65" s="44"/>
      <c r="F65" s="44"/>
      <c r="G65" s="44"/>
      <c r="H65" s="44"/>
      <c r="I65" s="44"/>
      <c r="J65" s="44"/>
      <c r="K65" s="118"/>
      <c r="L65" s="44"/>
      <c r="M65" s="44"/>
      <c r="N65" s="44"/>
      <c r="O65" s="44"/>
      <c r="P65" s="44"/>
      <c r="Q65" s="47"/>
    </row>
    <row r="66" spans="1:21" s="42" customFormat="1" x14ac:dyDescent="0.25">
      <c r="A66" s="168" t="s">
        <v>1321</v>
      </c>
      <c r="B66" s="27" t="s">
        <v>1322</v>
      </c>
      <c r="C66" s="28"/>
      <c r="D66" s="181"/>
      <c r="E66" s="28"/>
      <c r="F66" s="28"/>
      <c r="G66" s="28"/>
      <c r="H66" s="28"/>
      <c r="I66" s="28"/>
      <c r="J66" s="28"/>
      <c r="K66" s="60"/>
      <c r="L66" s="29"/>
      <c r="M66" s="29"/>
      <c r="N66" s="29"/>
      <c r="O66" s="29"/>
      <c r="P66" s="23"/>
      <c r="Q66" s="152"/>
    </row>
    <row r="67" spans="1:21" s="42" customFormat="1" ht="38.25" customHeight="1" x14ac:dyDescent="0.25">
      <c r="A67" s="169"/>
      <c r="B67" s="30" t="s">
        <v>1323</v>
      </c>
      <c r="C67" s="31"/>
      <c r="D67" s="182"/>
      <c r="E67" s="31"/>
      <c r="F67" s="31"/>
      <c r="G67" s="31"/>
      <c r="H67" s="31"/>
      <c r="I67" s="31"/>
      <c r="J67" s="31"/>
      <c r="K67" s="58"/>
      <c r="L67" s="26"/>
      <c r="M67" s="26"/>
      <c r="N67" s="26"/>
      <c r="O67" s="26"/>
      <c r="P67" s="38"/>
      <c r="Q67" s="152"/>
    </row>
    <row r="68" spans="1:21" s="42" customFormat="1" ht="38.25" customHeight="1" x14ac:dyDescent="0.25">
      <c r="A68" s="169"/>
      <c r="B68" s="30" t="s">
        <v>1324</v>
      </c>
      <c r="C68" s="31"/>
      <c r="D68" s="182"/>
      <c r="E68" s="31"/>
      <c r="F68" s="31"/>
      <c r="G68" s="31"/>
      <c r="H68" s="31"/>
      <c r="I68" s="31"/>
      <c r="J68" s="31"/>
      <c r="K68" s="58"/>
      <c r="L68" s="26"/>
      <c r="M68" s="26"/>
      <c r="N68" s="26"/>
      <c r="O68" s="26"/>
      <c r="P68" s="38"/>
      <c r="Q68" s="152"/>
    </row>
    <row r="69" spans="1:21" s="42" customFormat="1" ht="25.5" customHeight="1" x14ac:dyDescent="0.25">
      <c r="A69" s="169"/>
      <c r="B69" s="30" t="s">
        <v>1325</v>
      </c>
      <c r="C69" s="31"/>
      <c r="D69" s="182"/>
      <c r="E69" s="31"/>
      <c r="F69" s="31"/>
      <c r="G69" s="31"/>
      <c r="H69" s="31"/>
      <c r="I69" s="31"/>
      <c r="J69" s="31"/>
      <c r="K69" s="58"/>
      <c r="L69" s="26"/>
      <c r="M69" s="26"/>
      <c r="N69" s="26"/>
      <c r="O69" s="26"/>
      <c r="P69" s="38"/>
      <c r="Q69" s="152"/>
    </row>
    <row r="70" spans="1:21" s="42" customFormat="1" ht="15.75" customHeight="1" thickBot="1" x14ac:dyDescent="0.3">
      <c r="A70" s="169"/>
      <c r="B70" s="30" t="s">
        <v>1326</v>
      </c>
      <c r="C70" s="31"/>
      <c r="D70" s="182"/>
      <c r="E70" s="31"/>
      <c r="F70" s="31"/>
      <c r="G70" s="31"/>
      <c r="H70" s="31"/>
      <c r="I70" s="31"/>
      <c r="J70" s="31"/>
      <c r="K70" s="58"/>
      <c r="L70" s="26"/>
      <c r="M70" s="26"/>
      <c r="N70" s="26"/>
      <c r="O70" s="26"/>
      <c r="P70" s="38"/>
      <c r="Q70" s="152"/>
    </row>
    <row r="71" spans="1:21" s="200" customFormat="1" ht="26.25" customHeight="1" thickBot="1" x14ac:dyDescent="0.3">
      <c r="A71" s="187" t="s">
        <v>1327</v>
      </c>
      <c r="B71" s="188" t="s">
        <v>1263</v>
      </c>
      <c r="C71" s="189" t="s">
        <v>969</v>
      </c>
      <c r="D71" s="293">
        <v>65.5</v>
      </c>
      <c r="E71" s="191">
        <v>65.5</v>
      </c>
      <c r="F71" s="191">
        <v>176</v>
      </c>
      <c r="G71" s="191">
        <v>53.5</v>
      </c>
      <c r="H71" s="191">
        <v>73</v>
      </c>
      <c r="I71" s="191">
        <v>0</v>
      </c>
      <c r="J71" s="192">
        <v>0</v>
      </c>
      <c r="K71" s="193">
        <f>SUM(D71:J71)</f>
        <v>433.5</v>
      </c>
      <c r="L71" s="194">
        <v>0</v>
      </c>
      <c r="M71" s="194">
        <v>0</v>
      </c>
      <c r="N71" s="194">
        <f>L71+M71</f>
        <v>0</v>
      </c>
      <c r="O71" s="194"/>
      <c r="P71" s="195">
        <f>N71*K71</f>
        <v>0</v>
      </c>
      <c r="Q71" s="208"/>
    </row>
    <row r="72" spans="1:21" s="200" customFormat="1" ht="77.25" customHeight="1" thickBot="1" x14ac:dyDescent="0.3">
      <c r="A72" s="187" t="s">
        <v>1328</v>
      </c>
      <c r="B72" s="188" t="s">
        <v>1329</v>
      </c>
      <c r="C72" s="189" t="s">
        <v>969</v>
      </c>
      <c r="D72" s="293">
        <v>6.5500000000000007</v>
      </c>
      <c r="E72" s="191">
        <v>6.5500000000000007</v>
      </c>
      <c r="F72" s="191">
        <v>17.600000000000001</v>
      </c>
      <c r="G72" s="191">
        <v>5.3500000000000014</v>
      </c>
      <c r="H72" s="191">
        <v>7.3000000000000007</v>
      </c>
      <c r="I72" s="191">
        <v>0</v>
      </c>
      <c r="J72" s="192">
        <v>0</v>
      </c>
      <c r="K72" s="193">
        <f>SUM(D72:J72)</f>
        <v>43.350000000000009</v>
      </c>
      <c r="L72" s="194">
        <v>0</v>
      </c>
      <c r="M72" s="194">
        <v>0</v>
      </c>
      <c r="N72" s="194">
        <f>L72+M72</f>
        <v>0</v>
      </c>
      <c r="O72" s="194"/>
      <c r="P72" s="195">
        <f>N72*K72</f>
        <v>0</v>
      </c>
      <c r="Q72" s="208"/>
    </row>
    <row r="73" spans="1:21" s="200" customFormat="1" ht="15.75" customHeight="1" thickBot="1" x14ac:dyDescent="0.3">
      <c r="A73" s="187" t="s">
        <v>1330</v>
      </c>
      <c r="B73" s="188" t="s">
        <v>1331</v>
      </c>
      <c r="C73" s="189" t="s">
        <v>969</v>
      </c>
      <c r="D73" s="293">
        <v>1.31</v>
      </c>
      <c r="E73" s="191">
        <v>1.31</v>
      </c>
      <c r="F73" s="191">
        <v>3.52</v>
      </c>
      <c r="G73" s="191">
        <v>1.07</v>
      </c>
      <c r="H73" s="191">
        <v>1.46</v>
      </c>
      <c r="I73" s="191">
        <v>0</v>
      </c>
      <c r="J73" s="192">
        <v>0</v>
      </c>
      <c r="K73" s="193">
        <f>SUM(D73:J73)</f>
        <v>8.6700000000000017</v>
      </c>
      <c r="L73" s="194">
        <v>0</v>
      </c>
      <c r="M73" s="194">
        <v>0</v>
      </c>
      <c r="N73" s="194">
        <f>L73+M73</f>
        <v>0</v>
      </c>
      <c r="O73" s="194"/>
      <c r="P73" s="195">
        <f>N73*K73</f>
        <v>0</v>
      </c>
      <c r="Q73" s="208"/>
    </row>
    <row r="74" spans="1:21" s="42" customFormat="1" x14ac:dyDescent="0.25">
      <c r="A74" s="157"/>
      <c r="B74" s="44"/>
      <c r="C74" s="44"/>
      <c r="D74" s="172"/>
      <c r="E74" s="44"/>
      <c r="F74" s="44"/>
      <c r="G74" s="44"/>
      <c r="H74" s="44"/>
      <c r="I74" s="44"/>
      <c r="J74" s="44"/>
      <c r="K74" s="118"/>
      <c r="L74" s="44"/>
      <c r="M74" s="44"/>
      <c r="N74" s="44"/>
      <c r="O74" s="44"/>
      <c r="P74" s="44"/>
      <c r="Q74" s="47"/>
    </row>
    <row r="75" spans="1:21" s="32" customFormat="1" ht="12.75" customHeight="1" x14ac:dyDescent="0.2">
      <c r="A75" s="159"/>
      <c r="B75" s="31"/>
      <c r="C75" s="25"/>
      <c r="D75" s="174"/>
      <c r="E75" s="25"/>
      <c r="F75" s="25"/>
      <c r="G75" s="25"/>
      <c r="H75" s="25"/>
      <c r="I75" s="25"/>
      <c r="J75" s="25"/>
      <c r="K75" s="58"/>
      <c r="L75" s="26"/>
      <c r="M75" s="26"/>
      <c r="N75" s="26"/>
      <c r="O75" s="26"/>
      <c r="P75" s="35"/>
      <c r="Q75" s="37"/>
    </row>
    <row r="76" spans="1:21" s="132" customFormat="1" ht="15.75" customHeight="1" x14ac:dyDescent="0.25">
      <c r="A76" s="160" t="s">
        <v>1332</v>
      </c>
      <c r="B76" s="130" t="s">
        <v>1309</v>
      </c>
      <c r="C76" s="49"/>
      <c r="D76" s="180"/>
      <c r="E76" s="49"/>
      <c r="F76" s="49"/>
      <c r="G76" s="49"/>
      <c r="H76" s="49"/>
      <c r="I76" s="49"/>
      <c r="J76" s="49"/>
      <c r="K76" s="131"/>
      <c r="L76" s="49"/>
      <c r="M76" s="49"/>
      <c r="N76" s="435" t="s">
        <v>946</v>
      </c>
      <c r="O76" s="388"/>
      <c r="P76" s="50">
        <f>SUM(P50:P75)</f>
        <v>0</v>
      </c>
      <c r="Q76" s="151"/>
    </row>
    <row r="78" spans="1:21" s="132" customFormat="1" ht="15.75" customHeight="1" x14ac:dyDescent="0.25">
      <c r="A78" s="160" t="s">
        <v>1332</v>
      </c>
      <c r="B78" s="130" t="s">
        <v>1334</v>
      </c>
      <c r="C78" s="49"/>
      <c r="D78" s="49"/>
      <c r="E78" s="49"/>
      <c r="F78" s="49"/>
      <c r="G78" s="49"/>
      <c r="H78" s="49"/>
      <c r="I78" s="49"/>
      <c r="J78" s="49"/>
      <c r="K78" s="49"/>
      <c r="L78" s="49"/>
      <c r="M78" s="49"/>
      <c r="N78" s="49"/>
      <c r="O78" s="131"/>
      <c r="P78" s="49"/>
      <c r="Q78" s="49"/>
      <c r="R78" s="435" t="s">
        <v>946</v>
      </c>
      <c r="S78" s="388"/>
      <c r="T78" s="50">
        <f>P76*6</f>
        <v>0</v>
      </c>
      <c r="U78" s="151"/>
    </row>
    <row r="80" spans="1:21" s="132" customFormat="1" ht="15.75" customHeight="1" x14ac:dyDescent="0.25">
      <c r="A80" s="160"/>
      <c r="B80" s="130" t="s">
        <v>963</v>
      </c>
      <c r="C80" s="49"/>
      <c r="D80" s="49"/>
      <c r="E80" s="49"/>
      <c r="F80" s="49"/>
      <c r="G80" s="49"/>
      <c r="H80" s="49"/>
      <c r="I80" s="49"/>
      <c r="J80" s="49"/>
      <c r="K80" s="49"/>
      <c r="L80" s="49"/>
      <c r="M80" s="49"/>
      <c r="N80" s="49"/>
      <c r="O80" s="131"/>
      <c r="P80" s="49"/>
      <c r="Q80" s="49"/>
      <c r="R80" s="435"/>
      <c r="S80" s="388"/>
      <c r="T80" s="50">
        <f>SUM(T78,T43)</f>
        <v>0</v>
      </c>
      <c r="U80" s="151"/>
    </row>
  </sheetData>
  <mergeCells count="11">
    <mergeCell ref="B2:R3"/>
    <mergeCell ref="R41:S41"/>
    <mergeCell ref="R80:S80"/>
    <mergeCell ref="R78:S78"/>
    <mergeCell ref="B5:T5"/>
    <mergeCell ref="D46:J46"/>
    <mergeCell ref="D8:N8"/>
    <mergeCell ref="N76:O76"/>
    <mergeCell ref="R43:S43"/>
    <mergeCell ref="D7:N7"/>
    <mergeCell ref="D45:J45"/>
  </mergeCells>
  <conditionalFormatting sqref="P75:P76">
    <cfRule type="cellIs" dxfId="53" priority="4" stopIfTrue="1" operator="greaterThan">
      <formula>0</formula>
    </cfRule>
  </conditionalFormatting>
  <conditionalFormatting sqref="T11">
    <cfRule type="cellIs" dxfId="52" priority="6" stopIfTrue="1" operator="greaterThan">
      <formula>0</formula>
    </cfRule>
  </conditionalFormatting>
  <conditionalFormatting sqref="T40:T41">
    <cfRule type="cellIs" dxfId="51" priority="5" stopIfTrue="1" operator="greaterThan">
      <formula>0</formula>
    </cfRule>
  </conditionalFormatting>
  <conditionalFormatting sqref="T43">
    <cfRule type="cellIs" dxfId="50" priority="3" stopIfTrue="1" operator="greaterThan">
      <formula>0</formula>
    </cfRule>
  </conditionalFormatting>
  <conditionalFormatting sqref="T78">
    <cfRule type="cellIs" dxfId="49" priority="2" stopIfTrue="1" operator="greaterThan">
      <formula>0</formula>
    </cfRule>
  </conditionalFormatting>
  <conditionalFormatting sqref="T80">
    <cfRule type="cellIs" dxfId="48" priority="1" stopIfTrue="1" operator="greaterThan">
      <formula>0</formula>
    </cfRule>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tint="0.79998168889431442"/>
  </sheetPr>
  <dimension ref="A1:U77"/>
  <sheetViews>
    <sheetView topLeftCell="A9" zoomScale="70" zoomScaleNormal="70" workbookViewId="0">
      <selection activeCell="A75" sqref="A75:XFD77"/>
    </sheetView>
  </sheetViews>
  <sheetFormatPr defaultRowHeight="15" x14ac:dyDescent="0.25"/>
  <cols>
    <col min="2" max="2" width="59.140625" customWidth="1"/>
  </cols>
  <sheetData>
    <row r="1" spans="1:21" s="42" customFormat="1" x14ac:dyDescent="0.25">
      <c r="A1" s="157"/>
      <c r="B1" s="112" t="s">
        <v>906</v>
      </c>
      <c r="C1" s="44"/>
      <c r="D1" s="53"/>
      <c r="E1" s="53"/>
      <c r="F1" s="53"/>
      <c r="G1" s="53"/>
      <c r="H1" s="53"/>
      <c r="I1" s="53"/>
      <c r="J1" s="53"/>
      <c r="K1" s="53"/>
      <c r="L1" s="53"/>
      <c r="M1" s="53"/>
      <c r="N1" s="53"/>
      <c r="O1" s="113"/>
      <c r="P1" s="44"/>
      <c r="Q1" s="44"/>
      <c r="R1" s="44"/>
      <c r="S1" s="44"/>
      <c r="T1" s="44"/>
      <c r="U1" s="47"/>
    </row>
    <row r="2" spans="1:21" s="42" customFormat="1" x14ac:dyDescent="0.25">
      <c r="A2" s="157"/>
      <c r="B2" s="436" t="s">
        <v>907</v>
      </c>
      <c r="C2" s="437"/>
      <c r="D2" s="437"/>
      <c r="E2" s="437"/>
      <c r="F2" s="437"/>
      <c r="G2" s="437"/>
      <c r="H2" s="437"/>
      <c r="I2" s="437"/>
      <c r="J2" s="437"/>
      <c r="K2" s="437"/>
      <c r="L2" s="437"/>
      <c r="M2" s="437"/>
      <c r="N2" s="437"/>
      <c r="O2" s="437"/>
      <c r="P2" s="437"/>
      <c r="Q2" s="437"/>
      <c r="R2" s="438"/>
      <c r="S2" s="7" t="s">
        <v>25</v>
      </c>
      <c r="T2" s="133">
        <v>0</v>
      </c>
      <c r="U2" s="47"/>
    </row>
    <row r="3" spans="1:21" s="42" customFormat="1" x14ac:dyDescent="0.25">
      <c r="A3" s="157"/>
      <c r="B3" s="439"/>
      <c r="C3" s="393"/>
      <c r="D3" s="393"/>
      <c r="E3" s="393"/>
      <c r="F3" s="393"/>
      <c r="G3" s="393"/>
      <c r="H3" s="393"/>
      <c r="I3" s="393"/>
      <c r="J3" s="393"/>
      <c r="K3" s="393"/>
      <c r="L3" s="393"/>
      <c r="M3" s="393"/>
      <c r="N3" s="393"/>
      <c r="O3" s="393"/>
      <c r="P3" s="393"/>
      <c r="Q3" s="393"/>
      <c r="R3" s="394"/>
      <c r="S3" s="7" t="s">
        <v>27</v>
      </c>
      <c r="T3" s="134" t="s">
        <v>22</v>
      </c>
      <c r="U3" s="47"/>
    </row>
    <row r="4" spans="1:21" s="42" customFormat="1" x14ac:dyDescent="0.25">
      <c r="A4" s="157"/>
      <c r="B4" s="114" t="s">
        <v>908</v>
      </c>
      <c r="C4" s="114" t="s">
        <v>909</v>
      </c>
      <c r="D4" s="115">
        <f>1*N4</f>
        <v>1</v>
      </c>
      <c r="E4" s="115">
        <f>1*N4</f>
        <v>1</v>
      </c>
      <c r="F4" s="115">
        <f>1*N4</f>
        <v>1</v>
      </c>
      <c r="G4" s="115">
        <f>1*N4</f>
        <v>1</v>
      </c>
      <c r="H4" s="115">
        <f>4*$N4</f>
        <v>4</v>
      </c>
      <c r="I4" s="115">
        <f>1*N4</f>
        <v>1</v>
      </c>
      <c r="J4" s="115">
        <f>1*N4</f>
        <v>1</v>
      </c>
      <c r="K4" s="115">
        <f>2*$N4</f>
        <v>2</v>
      </c>
      <c r="L4" s="115">
        <f>1*N4</f>
        <v>1</v>
      </c>
      <c r="M4" s="45">
        <v>1</v>
      </c>
      <c r="N4" s="57">
        <v>1</v>
      </c>
      <c r="O4" s="116">
        <v>13</v>
      </c>
      <c r="P4" s="114"/>
      <c r="Q4" s="114"/>
      <c r="R4" s="114"/>
      <c r="S4" s="44"/>
      <c r="T4" s="44"/>
      <c r="U4" s="47"/>
    </row>
    <row r="5" spans="1:21" s="117" customFormat="1" ht="15.75" customHeight="1" x14ac:dyDescent="0.25">
      <c r="A5" s="158" t="s">
        <v>910</v>
      </c>
      <c r="B5" s="434" t="s">
        <v>911</v>
      </c>
      <c r="C5" s="387"/>
      <c r="D5" s="387"/>
      <c r="E5" s="387"/>
      <c r="F5" s="387"/>
      <c r="G5" s="387"/>
      <c r="H5" s="387"/>
      <c r="I5" s="387"/>
      <c r="J5" s="387"/>
      <c r="K5" s="387"/>
      <c r="L5" s="387"/>
      <c r="M5" s="387"/>
      <c r="N5" s="387"/>
      <c r="O5" s="387"/>
      <c r="P5" s="387"/>
      <c r="Q5" s="387"/>
      <c r="R5" s="387"/>
      <c r="S5" s="387"/>
      <c r="T5" s="388"/>
      <c r="U5" s="149"/>
    </row>
    <row r="6" spans="1:21" s="42" customFormat="1" ht="15.75" customHeight="1" thickBot="1" x14ac:dyDescent="0.3">
      <c r="A6" s="157"/>
      <c r="B6" s="44"/>
      <c r="C6" s="44"/>
      <c r="D6" s="44"/>
      <c r="E6" s="44"/>
      <c r="F6" s="44"/>
      <c r="G6" s="44"/>
      <c r="H6" s="44"/>
      <c r="I6" s="44"/>
      <c r="J6" s="44"/>
      <c r="K6" s="44"/>
      <c r="L6" s="44"/>
      <c r="M6" s="44"/>
      <c r="N6" s="44"/>
      <c r="O6" s="118"/>
      <c r="P6" s="44"/>
      <c r="Q6" s="44"/>
      <c r="R6" s="44"/>
      <c r="S6" s="44"/>
      <c r="T6" s="44"/>
      <c r="U6" s="47"/>
    </row>
    <row r="7" spans="1:21" s="42" customFormat="1" ht="51.75" customHeight="1" thickBot="1" x14ac:dyDescent="0.3">
      <c r="A7" s="119" t="s">
        <v>912</v>
      </c>
      <c r="B7" s="119" t="s">
        <v>913</v>
      </c>
      <c r="C7" s="120" t="s">
        <v>914</v>
      </c>
      <c r="D7" s="430"/>
      <c r="E7" s="431"/>
      <c r="F7" s="431"/>
      <c r="G7" s="431"/>
      <c r="H7" s="431"/>
      <c r="I7" s="431"/>
      <c r="J7" s="431"/>
      <c r="K7" s="431"/>
      <c r="L7" s="431"/>
      <c r="M7" s="431"/>
      <c r="N7" s="431"/>
      <c r="O7" s="121" t="s">
        <v>915</v>
      </c>
      <c r="P7" s="122" t="s">
        <v>916</v>
      </c>
      <c r="Q7" s="121" t="s">
        <v>917</v>
      </c>
      <c r="R7" s="121" t="s">
        <v>918</v>
      </c>
      <c r="S7" s="121"/>
      <c r="T7" s="119" t="s">
        <v>919</v>
      </c>
      <c r="U7" s="47"/>
    </row>
    <row r="8" spans="1:21" s="42" customFormat="1" ht="15.75" customHeight="1" thickBot="1" x14ac:dyDescent="0.3">
      <c r="A8" s="123"/>
      <c r="B8" s="123"/>
      <c r="C8" s="124"/>
      <c r="D8" s="432" t="s">
        <v>920</v>
      </c>
      <c r="E8" s="431"/>
      <c r="F8" s="431"/>
      <c r="G8" s="431"/>
      <c r="H8" s="431"/>
      <c r="I8" s="431"/>
      <c r="J8" s="431"/>
      <c r="K8" s="431"/>
      <c r="L8" s="431"/>
      <c r="M8" s="431"/>
      <c r="N8" s="433"/>
      <c r="O8" s="125"/>
      <c r="P8" s="124"/>
      <c r="Q8" s="124"/>
      <c r="R8" s="124"/>
      <c r="S8" s="124"/>
      <c r="T8" s="123"/>
      <c r="U8" s="47"/>
    </row>
    <row r="9" spans="1:21" s="42" customFormat="1" ht="60" customHeight="1" x14ac:dyDescent="0.25">
      <c r="A9" s="123"/>
      <c r="B9" s="123"/>
      <c r="C9" s="124"/>
      <c r="D9" s="127" t="s">
        <v>921</v>
      </c>
      <c r="E9" s="127" t="s">
        <v>922</v>
      </c>
      <c r="F9" s="46" t="s">
        <v>923</v>
      </c>
      <c r="G9" s="46" t="s">
        <v>924</v>
      </c>
      <c r="H9" s="46" t="s">
        <v>925</v>
      </c>
      <c r="I9" s="46" t="s">
        <v>926</v>
      </c>
      <c r="J9" s="46" t="s">
        <v>927</v>
      </c>
      <c r="K9" s="46" t="s">
        <v>928</v>
      </c>
      <c r="L9" s="46" t="s">
        <v>929</v>
      </c>
      <c r="M9" s="154" t="s">
        <v>930</v>
      </c>
      <c r="N9" s="126" t="s">
        <v>931</v>
      </c>
      <c r="O9" s="125"/>
      <c r="P9" s="124"/>
      <c r="Q9" s="124"/>
      <c r="R9" s="124"/>
      <c r="S9" s="124"/>
      <c r="T9" s="123"/>
      <c r="U9" s="47"/>
    </row>
    <row r="10" spans="1:21" s="32" customFormat="1" ht="12.75" customHeight="1" x14ac:dyDescent="0.2">
      <c r="A10" s="159"/>
      <c r="B10" s="30"/>
      <c r="C10" s="25"/>
      <c r="D10" s="25"/>
      <c r="E10" s="25"/>
      <c r="F10" s="25"/>
      <c r="G10" s="25"/>
      <c r="H10" s="25"/>
      <c r="I10" s="25"/>
      <c r="J10" s="25"/>
      <c r="K10" s="25"/>
      <c r="L10" s="25"/>
      <c r="M10" s="25"/>
      <c r="N10" s="25"/>
      <c r="O10" s="58"/>
      <c r="P10" s="26"/>
      <c r="Q10" s="26"/>
      <c r="R10" s="26"/>
      <c r="S10" s="26"/>
      <c r="T10" s="22"/>
      <c r="U10" s="37"/>
    </row>
    <row r="11" spans="1:21" s="32" customFormat="1" ht="12.75" customHeight="1" x14ac:dyDescent="0.2">
      <c r="A11" s="159"/>
      <c r="B11" s="31"/>
      <c r="C11" s="25"/>
      <c r="D11" s="25"/>
      <c r="E11" s="25"/>
      <c r="F11" s="25"/>
      <c r="G11" s="25"/>
      <c r="H11" s="25"/>
      <c r="I11" s="25"/>
      <c r="J11" s="25"/>
      <c r="K11" s="25"/>
      <c r="L11" s="25"/>
      <c r="M11" s="25"/>
      <c r="N11" s="25"/>
      <c r="O11" s="58"/>
      <c r="P11" s="26"/>
      <c r="Q11" s="26"/>
      <c r="R11" s="26"/>
      <c r="S11" s="26"/>
      <c r="T11" s="35"/>
      <c r="U11" s="37"/>
    </row>
    <row r="12" spans="1:21" s="117" customFormat="1" ht="15.75" customHeight="1" x14ac:dyDescent="0.25">
      <c r="A12" s="160" t="s">
        <v>932</v>
      </c>
      <c r="B12" s="39" t="s">
        <v>933</v>
      </c>
      <c r="C12" s="40"/>
      <c r="D12" s="40"/>
      <c r="E12" s="40"/>
      <c r="F12" s="40"/>
      <c r="G12" s="40"/>
      <c r="H12" s="40"/>
      <c r="I12" s="40"/>
      <c r="J12" s="40"/>
      <c r="K12" s="40"/>
      <c r="L12" s="40"/>
      <c r="M12" s="40"/>
      <c r="N12" s="40"/>
      <c r="O12" s="59"/>
      <c r="P12" s="40"/>
      <c r="Q12" s="40"/>
      <c r="R12" s="40"/>
      <c r="S12" s="40"/>
      <c r="T12" s="41"/>
      <c r="U12" s="149"/>
    </row>
    <row r="14" spans="1:21" s="117" customFormat="1" ht="15.75" customHeight="1" x14ac:dyDescent="0.25">
      <c r="A14" s="158" t="s">
        <v>1335</v>
      </c>
      <c r="B14" s="39" t="s">
        <v>1336</v>
      </c>
      <c r="C14" s="40"/>
      <c r="D14" s="40"/>
      <c r="E14" s="40"/>
      <c r="F14" s="40"/>
      <c r="G14" s="40"/>
      <c r="H14" s="40"/>
      <c r="I14" s="40"/>
      <c r="J14" s="40"/>
      <c r="K14" s="40"/>
      <c r="L14" s="40"/>
      <c r="M14" s="40"/>
      <c r="N14" s="40"/>
      <c r="O14" s="59"/>
      <c r="P14" s="40"/>
      <c r="Q14" s="40"/>
      <c r="R14" s="40"/>
      <c r="S14" s="40"/>
      <c r="T14" s="41"/>
      <c r="U14" s="149"/>
    </row>
    <row r="15" spans="1:21" s="42" customFormat="1" x14ac:dyDescent="0.25">
      <c r="A15" s="157"/>
      <c r="B15" s="44"/>
      <c r="C15" s="44"/>
      <c r="D15" s="44"/>
      <c r="E15" s="44"/>
      <c r="F15" s="44"/>
      <c r="G15" s="44"/>
      <c r="H15" s="44"/>
      <c r="I15" s="44"/>
      <c r="J15" s="44"/>
      <c r="K15" s="44"/>
      <c r="L15" s="44"/>
      <c r="M15" s="44"/>
      <c r="N15" s="44"/>
      <c r="O15" s="118"/>
      <c r="P15" s="44"/>
      <c r="Q15" s="44"/>
      <c r="R15" s="44"/>
      <c r="S15" s="44"/>
      <c r="T15" s="44"/>
      <c r="U15" s="47"/>
    </row>
    <row r="16" spans="1:21" s="42" customFormat="1" ht="120" customHeight="1" x14ac:dyDescent="0.25">
      <c r="A16" s="157"/>
      <c r="B16" s="143" t="s">
        <v>1337</v>
      </c>
      <c r="C16" s="44"/>
      <c r="D16" s="44"/>
      <c r="E16" s="44"/>
      <c r="F16" s="44"/>
      <c r="G16" s="44"/>
      <c r="H16" s="44"/>
      <c r="I16" s="44"/>
      <c r="J16" s="44"/>
      <c r="K16" s="44"/>
      <c r="L16" s="44"/>
      <c r="M16" s="44"/>
      <c r="N16" s="44"/>
      <c r="O16" s="118"/>
      <c r="P16" s="44"/>
      <c r="Q16" s="44"/>
      <c r="R16" s="44"/>
      <c r="S16" s="44"/>
      <c r="T16" s="44"/>
      <c r="U16" s="47"/>
    </row>
    <row r="17" spans="1:21" s="32" customFormat="1" ht="12.75" customHeight="1" x14ac:dyDescent="0.2">
      <c r="A17" s="159"/>
      <c r="B17" s="31"/>
      <c r="C17" s="25"/>
      <c r="D17" s="25"/>
      <c r="E17" s="25"/>
      <c r="F17" s="25"/>
      <c r="G17" s="25"/>
      <c r="H17" s="25"/>
      <c r="I17" s="25"/>
      <c r="J17" s="25"/>
      <c r="K17" s="25"/>
      <c r="L17" s="25"/>
      <c r="M17" s="25"/>
      <c r="N17" s="25"/>
      <c r="O17" s="58"/>
      <c r="P17" s="26"/>
      <c r="Q17" s="26"/>
      <c r="R17" s="26"/>
      <c r="S17" s="26"/>
      <c r="T17" s="35"/>
      <c r="U17" s="37"/>
    </row>
    <row r="18" spans="1:21" s="32" customFormat="1" ht="12.75" customHeight="1" x14ac:dyDescent="0.2">
      <c r="A18" s="159"/>
      <c r="B18" s="31"/>
      <c r="C18" s="25"/>
      <c r="D18" s="25"/>
      <c r="E18" s="25"/>
      <c r="F18" s="25"/>
      <c r="G18" s="25"/>
      <c r="H18" s="25"/>
      <c r="I18" s="25"/>
      <c r="J18" s="25"/>
      <c r="K18" s="25"/>
      <c r="L18" s="25"/>
      <c r="M18" s="25"/>
      <c r="N18" s="25"/>
      <c r="O18" s="58"/>
      <c r="P18" s="26"/>
      <c r="Q18" s="26"/>
      <c r="R18" s="26"/>
      <c r="S18" s="26"/>
      <c r="T18" s="35"/>
      <c r="U18" s="37"/>
    </row>
    <row r="19" spans="1:21" s="42" customFormat="1" x14ac:dyDescent="0.25">
      <c r="A19" s="161" t="s">
        <v>1338</v>
      </c>
      <c r="B19" s="441" t="s">
        <v>1339</v>
      </c>
      <c r="C19" s="387"/>
      <c r="D19" s="387"/>
      <c r="E19" s="387"/>
      <c r="F19" s="387"/>
      <c r="G19" s="387"/>
      <c r="H19" s="387"/>
      <c r="I19" s="387"/>
      <c r="J19" s="387"/>
      <c r="K19" s="387"/>
      <c r="L19" s="387"/>
      <c r="M19" s="387"/>
      <c r="N19" s="387"/>
      <c r="O19" s="387"/>
      <c r="P19" s="387"/>
      <c r="Q19" s="387"/>
      <c r="R19" s="387"/>
      <c r="S19" s="43"/>
      <c r="T19" s="33"/>
      <c r="U19" s="47"/>
    </row>
    <row r="20" spans="1:21" s="42" customFormat="1" x14ac:dyDescent="0.25">
      <c r="A20" s="157"/>
      <c r="B20" s="44"/>
      <c r="C20" s="44"/>
      <c r="D20" s="44"/>
      <c r="E20" s="44"/>
      <c r="F20" s="44"/>
      <c r="G20" s="44"/>
      <c r="H20" s="44"/>
      <c r="I20" s="44"/>
      <c r="J20" s="44"/>
      <c r="K20" s="44"/>
      <c r="L20" s="44"/>
      <c r="M20" s="44"/>
      <c r="N20" s="44"/>
      <c r="O20" s="118"/>
      <c r="P20" s="44"/>
      <c r="Q20" s="44"/>
      <c r="R20" s="44"/>
      <c r="S20" s="44"/>
      <c r="T20" s="44"/>
      <c r="U20" s="47"/>
    </row>
    <row r="21" spans="1:21" s="42" customFormat="1" x14ac:dyDescent="0.25">
      <c r="A21" s="157"/>
      <c r="B21" s="44"/>
      <c r="C21" s="44"/>
      <c r="D21" s="44"/>
      <c r="E21" s="44"/>
      <c r="F21" s="44"/>
      <c r="G21" s="44"/>
      <c r="H21" s="44"/>
      <c r="I21" s="44"/>
      <c r="J21" s="44"/>
      <c r="K21" s="44"/>
      <c r="L21" s="44"/>
      <c r="M21" s="44"/>
      <c r="N21" s="44"/>
      <c r="O21" s="118"/>
      <c r="P21" s="44"/>
      <c r="Q21" s="44"/>
      <c r="R21" s="44"/>
      <c r="S21" s="44"/>
      <c r="T21" s="44"/>
      <c r="U21" s="47"/>
    </row>
    <row r="22" spans="1:21" s="42" customFormat="1" x14ac:dyDescent="0.25">
      <c r="A22" s="166" t="s">
        <v>1340</v>
      </c>
      <c r="B22" s="27" t="s">
        <v>1341</v>
      </c>
      <c r="C22" s="28"/>
      <c r="D22" s="28"/>
      <c r="E22" s="28"/>
      <c r="F22" s="28"/>
      <c r="G22" s="28"/>
      <c r="H22" s="28"/>
      <c r="I22" s="28"/>
      <c r="J22" s="28"/>
      <c r="K22" s="28"/>
      <c r="L22" s="28"/>
      <c r="M22" s="28"/>
      <c r="N22" s="28"/>
      <c r="O22" s="60"/>
      <c r="P22" s="29"/>
      <c r="Q22" s="29"/>
      <c r="R22" s="29"/>
      <c r="S22" s="29"/>
      <c r="T22" s="23"/>
      <c r="U22" s="152"/>
    </row>
    <row r="23" spans="1:21" s="42" customFormat="1" ht="102" customHeight="1" x14ac:dyDescent="0.25">
      <c r="A23" s="167"/>
      <c r="B23" s="30" t="s">
        <v>1342</v>
      </c>
      <c r="C23" s="31"/>
      <c r="D23" s="31"/>
      <c r="E23" s="31"/>
      <c r="F23" s="31"/>
      <c r="G23" s="31"/>
      <c r="H23" s="31"/>
      <c r="I23" s="31"/>
      <c r="J23" s="31"/>
      <c r="K23" s="31"/>
      <c r="L23" s="31"/>
      <c r="M23" s="31"/>
      <c r="N23" s="31"/>
      <c r="O23" s="58"/>
      <c r="P23" s="26"/>
      <c r="Q23" s="26"/>
      <c r="R23" s="26"/>
      <c r="S23" s="26"/>
      <c r="T23" s="38"/>
      <c r="U23" s="152"/>
    </row>
    <row r="24" spans="1:21" s="42" customFormat="1" ht="25.5" customHeight="1" x14ac:dyDescent="0.25">
      <c r="A24" s="167"/>
      <c r="B24" s="30" t="s">
        <v>1343</v>
      </c>
      <c r="C24" s="31"/>
      <c r="D24" s="31"/>
      <c r="E24" s="31"/>
      <c r="F24" s="31"/>
      <c r="G24" s="31"/>
      <c r="H24" s="31"/>
      <c r="I24" s="31"/>
      <c r="J24" s="31"/>
      <c r="K24" s="31"/>
      <c r="L24" s="31"/>
      <c r="M24" s="31"/>
      <c r="N24" s="31"/>
      <c r="O24" s="58"/>
      <c r="P24" s="26"/>
      <c r="Q24" s="26"/>
      <c r="R24" s="26"/>
      <c r="S24" s="26"/>
      <c r="T24" s="38"/>
      <c r="U24" s="152"/>
    </row>
    <row r="25" spans="1:21" s="42" customFormat="1" ht="15.75" customHeight="1" thickBot="1" x14ac:dyDescent="0.3">
      <c r="A25" s="167"/>
      <c r="B25" s="30" t="s">
        <v>1344</v>
      </c>
      <c r="C25" s="31"/>
      <c r="D25" s="31"/>
      <c r="E25" s="31"/>
      <c r="F25" s="31"/>
      <c r="G25" s="31"/>
      <c r="H25" s="31"/>
      <c r="I25" s="31"/>
      <c r="J25" s="31"/>
      <c r="K25" s="31"/>
      <c r="L25" s="31"/>
      <c r="M25" s="31"/>
      <c r="N25" s="31"/>
      <c r="O25" s="58"/>
      <c r="P25" s="26"/>
      <c r="Q25" s="26"/>
      <c r="R25" s="26"/>
      <c r="S25" s="26"/>
      <c r="T25" s="38"/>
      <c r="U25" s="152"/>
    </row>
    <row r="26" spans="1:21" s="42" customFormat="1" ht="15.75" customHeight="1" thickBot="1" x14ac:dyDescent="0.3">
      <c r="A26" s="166"/>
      <c r="B26" s="137" t="s">
        <v>968</v>
      </c>
      <c r="C26" s="135" t="s">
        <v>969</v>
      </c>
      <c r="D26" s="55">
        <f t="shared" ref="D26:M26" si="0">D$4*0</f>
        <v>0</v>
      </c>
      <c r="E26" s="55">
        <f t="shared" si="0"/>
        <v>0</v>
      </c>
      <c r="F26" s="36">
        <f t="shared" si="0"/>
        <v>0</v>
      </c>
      <c r="G26" s="36">
        <f t="shared" si="0"/>
        <v>0</v>
      </c>
      <c r="H26" s="36">
        <f t="shared" si="0"/>
        <v>0</v>
      </c>
      <c r="I26" s="36">
        <f t="shared" si="0"/>
        <v>0</v>
      </c>
      <c r="J26" s="36">
        <f t="shared" si="0"/>
        <v>0</v>
      </c>
      <c r="K26" s="36">
        <f t="shared" si="0"/>
        <v>0</v>
      </c>
      <c r="L26" s="36">
        <f t="shared" si="0"/>
        <v>0</v>
      </c>
      <c r="M26" s="36">
        <f t="shared" si="0"/>
        <v>0</v>
      </c>
      <c r="N26" s="56">
        <f>N$4*105.75</f>
        <v>105.75</v>
      </c>
      <c r="O26" s="62">
        <f>SUM(D26:N26)</f>
        <v>105.75</v>
      </c>
      <c r="P26" s="26">
        <v>0</v>
      </c>
      <c r="Q26" s="26">
        <v>0</v>
      </c>
      <c r="R26" s="26">
        <f>P26+Q26</f>
        <v>0</v>
      </c>
      <c r="S26" s="26"/>
      <c r="T26" s="22">
        <f>R26*O26</f>
        <v>0</v>
      </c>
      <c r="U26" s="47"/>
    </row>
    <row r="27" spans="1:21" s="42" customFormat="1" x14ac:dyDescent="0.25">
      <c r="A27" s="157"/>
      <c r="B27" s="44"/>
      <c r="C27" s="44"/>
      <c r="D27" s="44"/>
      <c r="E27" s="44"/>
      <c r="F27" s="44"/>
      <c r="G27" s="44"/>
      <c r="H27" s="44"/>
      <c r="I27" s="44"/>
      <c r="J27" s="44"/>
      <c r="K27" s="44"/>
      <c r="L27" s="44"/>
      <c r="M27" s="44"/>
      <c r="N27" s="44"/>
      <c r="O27" s="118"/>
      <c r="P27" s="44"/>
      <c r="Q27" s="44"/>
      <c r="R27" s="44"/>
      <c r="S27" s="44"/>
      <c r="T27" s="44"/>
      <c r="U27" s="47"/>
    </row>
    <row r="28" spans="1:21" s="42" customFormat="1" x14ac:dyDescent="0.25">
      <c r="A28" s="166" t="s">
        <v>1345</v>
      </c>
      <c r="B28" s="147" t="s">
        <v>1346</v>
      </c>
      <c r="C28" s="28"/>
      <c r="D28" s="28"/>
      <c r="E28" s="28"/>
      <c r="F28" s="28"/>
      <c r="G28" s="28"/>
      <c r="H28" s="28"/>
      <c r="I28" s="28"/>
      <c r="J28" s="28"/>
      <c r="K28" s="28"/>
      <c r="L28" s="28"/>
      <c r="M28" s="28"/>
      <c r="N28" s="28"/>
      <c r="O28" s="60"/>
      <c r="P28" s="29"/>
      <c r="Q28" s="29"/>
      <c r="R28" s="29"/>
      <c r="S28" s="29"/>
      <c r="T28" s="23"/>
      <c r="U28" s="152"/>
    </row>
    <row r="29" spans="1:21" s="42" customFormat="1" x14ac:dyDescent="0.25">
      <c r="A29" s="167"/>
      <c r="B29" s="24" t="s">
        <v>1347</v>
      </c>
      <c r="C29" s="31"/>
      <c r="D29" s="31"/>
      <c r="E29" s="31"/>
      <c r="F29" s="31"/>
      <c r="G29" s="31"/>
      <c r="H29" s="31"/>
      <c r="I29" s="31"/>
      <c r="J29" s="31"/>
      <c r="K29" s="31"/>
      <c r="L29" s="31"/>
      <c r="M29" s="31"/>
      <c r="N29" s="31"/>
      <c r="O29" s="58"/>
      <c r="P29" s="26"/>
      <c r="Q29" s="26"/>
      <c r="R29" s="26"/>
      <c r="S29" s="26"/>
      <c r="T29" s="38"/>
      <c r="U29" s="152"/>
    </row>
    <row r="30" spans="1:21" s="42" customFormat="1" ht="54.75" customHeight="1" x14ac:dyDescent="0.25">
      <c r="A30" s="167"/>
      <c r="B30" s="24" t="s">
        <v>1348</v>
      </c>
      <c r="C30" s="31"/>
      <c r="D30" s="31"/>
      <c r="E30" s="31"/>
      <c r="F30" s="31"/>
      <c r="G30" s="31"/>
      <c r="H30" s="31"/>
      <c r="I30" s="31"/>
      <c r="J30" s="31"/>
      <c r="K30" s="31"/>
      <c r="L30" s="31"/>
      <c r="M30" s="31"/>
      <c r="N30" s="31"/>
      <c r="O30" s="58"/>
      <c r="P30" s="26"/>
      <c r="Q30" s="26"/>
      <c r="R30" s="26"/>
      <c r="S30" s="26"/>
      <c r="T30" s="38"/>
      <c r="U30" s="152"/>
    </row>
    <row r="31" spans="1:21" s="42" customFormat="1" ht="25.5" customHeight="1" x14ac:dyDescent="0.25">
      <c r="A31" s="167"/>
      <c r="B31" s="141" t="s">
        <v>1349</v>
      </c>
      <c r="C31" s="31"/>
      <c r="D31" s="31"/>
      <c r="E31" s="31"/>
      <c r="F31" s="31"/>
      <c r="G31" s="31"/>
      <c r="H31" s="31"/>
      <c r="I31" s="31"/>
      <c r="J31" s="31"/>
      <c r="K31" s="31"/>
      <c r="L31" s="31"/>
      <c r="M31" s="31"/>
      <c r="N31" s="31"/>
      <c r="O31" s="58"/>
      <c r="P31" s="26"/>
      <c r="Q31" s="26"/>
      <c r="R31" s="26"/>
      <c r="S31" s="26"/>
      <c r="T31" s="38"/>
      <c r="U31" s="152"/>
    </row>
    <row r="32" spans="1:21" s="42" customFormat="1" ht="38.25" customHeight="1" x14ac:dyDescent="0.25">
      <c r="A32" s="167"/>
      <c r="B32" s="141" t="s">
        <v>1350</v>
      </c>
      <c r="C32" s="31"/>
      <c r="D32" s="31"/>
      <c r="E32" s="31"/>
      <c r="F32" s="31"/>
      <c r="G32" s="31"/>
      <c r="H32" s="31"/>
      <c r="I32" s="31"/>
      <c r="J32" s="31"/>
      <c r="K32" s="31"/>
      <c r="L32" s="31"/>
      <c r="M32" s="31"/>
      <c r="N32" s="31"/>
      <c r="O32" s="58"/>
      <c r="P32" s="26"/>
      <c r="Q32" s="26"/>
      <c r="R32" s="26"/>
      <c r="S32" s="26"/>
      <c r="T32" s="38"/>
      <c r="U32" s="152"/>
    </row>
    <row r="33" spans="1:21" s="42" customFormat="1" x14ac:dyDescent="0.25">
      <c r="A33" s="167"/>
      <c r="B33" s="17" t="s">
        <v>1351</v>
      </c>
      <c r="C33" s="31"/>
      <c r="D33" s="31"/>
      <c r="E33" s="31"/>
      <c r="F33" s="31"/>
      <c r="G33" s="31"/>
      <c r="H33" s="31"/>
      <c r="I33" s="31"/>
      <c r="J33" s="31"/>
      <c r="K33" s="31"/>
      <c r="L33" s="31"/>
      <c r="M33" s="31"/>
      <c r="N33" s="31"/>
      <c r="O33" s="58"/>
      <c r="P33" s="26"/>
      <c r="Q33" s="26"/>
      <c r="R33" s="26"/>
      <c r="S33" s="26"/>
      <c r="T33" s="38"/>
      <c r="U33" s="152"/>
    </row>
    <row r="34" spans="1:21" s="42" customFormat="1" ht="15.75" customHeight="1" thickBot="1" x14ac:dyDescent="0.3">
      <c r="A34" s="167"/>
      <c r="B34" s="141" t="s">
        <v>1352</v>
      </c>
      <c r="C34" s="31"/>
      <c r="D34" s="31"/>
      <c r="E34" s="31"/>
      <c r="F34" s="31"/>
      <c r="G34" s="31"/>
      <c r="H34" s="31"/>
      <c r="I34" s="31"/>
      <c r="J34" s="31"/>
      <c r="K34" s="31"/>
      <c r="L34" s="31"/>
      <c r="M34" s="31"/>
      <c r="N34" s="31"/>
      <c r="O34" s="58"/>
      <c r="P34" s="26"/>
      <c r="Q34" s="26"/>
      <c r="R34" s="26"/>
      <c r="S34" s="26"/>
      <c r="T34" s="38"/>
      <c r="U34" s="152"/>
    </row>
    <row r="35" spans="1:21" s="42" customFormat="1" ht="15.75" customHeight="1" thickBot="1" x14ac:dyDescent="0.3">
      <c r="A35" s="166" t="s">
        <v>1353</v>
      </c>
      <c r="B35" s="137" t="s">
        <v>1354</v>
      </c>
      <c r="C35" s="135" t="s">
        <v>1001</v>
      </c>
      <c r="D35" s="55">
        <f>D$4*1</f>
        <v>1</v>
      </c>
      <c r="E35" s="55">
        <f>E$4*1</f>
        <v>1</v>
      </c>
      <c r="F35" s="36">
        <f>F$4*1</f>
        <v>1</v>
      </c>
      <c r="G35" s="36">
        <f>G$4*1</f>
        <v>1</v>
      </c>
      <c r="H35" s="36">
        <f>H$4*0</f>
        <v>0</v>
      </c>
      <c r="I35" s="36">
        <f>I$4*1</f>
        <v>1</v>
      </c>
      <c r="J35" s="36">
        <f>J$4*0</f>
        <v>0</v>
      </c>
      <c r="K35" s="36">
        <f>K$4*1</f>
        <v>2</v>
      </c>
      <c r="L35" s="36">
        <f>L$4*0</f>
        <v>0</v>
      </c>
      <c r="M35" s="36">
        <f>M$4*0</f>
        <v>0</v>
      </c>
      <c r="N35" s="56">
        <f>N$4*0</f>
        <v>0</v>
      </c>
      <c r="O35" s="62">
        <f>SUM(D35:N35)</f>
        <v>7</v>
      </c>
      <c r="P35" s="26">
        <v>0</v>
      </c>
      <c r="Q35" s="26">
        <v>0</v>
      </c>
      <c r="R35" s="26">
        <f>P35+Q35</f>
        <v>0</v>
      </c>
      <c r="S35" s="26"/>
      <c r="T35" s="22">
        <f>R35*O35</f>
        <v>0</v>
      </c>
      <c r="U35" s="47"/>
    </row>
    <row r="36" spans="1:21" s="42" customFormat="1" ht="15.75" customHeight="1" thickBot="1" x14ac:dyDescent="0.3">
      <c r="A36" s="166" t="s">
        <v>1355</v>
      </c>
      <c r="B36" s="137" t="s">
        <v>1356</v>
      </c>
      <c r="C36" s="135" t="s">
        <v>1001</v>
      </c>
      <c r="D36" s="55">
        <f t="shared" ref="D36:G37" si="1">D$4*0</f>
        <v>0</v>
      </c>
      <c r="E36" s="55">
        <f t="shared" si="1"/>
        <v>0</v>
      </c>
      <c r="F36" s="36">
        <f t="shared" si="1"/>
        <v>0</v>
      </c>
      <c r="G36" s="36">
        <f t="shared" si="1"/>
        <v>0</v>
      </c>
      <c r="H36" s="36">
        <f>H$4*0</f>
        <v>0</v>
      </c>
      <c r="I36" s="36">
        <f>I$4*0</f>
        <v>0</v>
      </c>
      <c r="J36" s="36">
        <f>J$4*0</f>
        <v>0</v>
      </c>
      <c r="K36" s="36">
        <f>K$4*0</f>
        <v>0</v>
      </c>
      <c r="L36" s="36">
        <f>L$4*1</f>
        <v>1</v>
      </c>
      <c r="M36" s="36">
        <f>M$4*0</f>
        <v>0</v>
      </c>
      <c r="N36" s="56">
        <f>N$4*0</f>
        <v>0</v>
      </c>
      <c r="O36" s="62">
        <f>SUM(D36:N36)</f>
        <v>1</v>
      </c>
      <c r="P36" s="26">
        <v>0</v>
      </c>
      <c r="Q36" s="26">
        <v>0</v>
      </c>
      <c r="R36" s="26">
        <f>P36+Q36</f>
        <v>0</v>
      </c>
      <c r="S36" s="26"/>
      <c r="T36" s="22">
        <f>R36*O36</f>
        <v>0</v>
      </c>
      <c r="U36" s="47"/>
    </row>
    <row r="37" spans="1:21" s="42" customFormat="1" ht="15.75" customHeight="1" thickBot="1" x14ac:dyDescent="0.3">
      <c r="A37" s="166" t="s">
        <v>1357</v>
      </c>
      <c r="B37" s="137" t="s">
        <v>1358</v>
      </c>
      <c r="C37" s="135" t="s">
        <v>1001</v>
      </c>
      <c r="D37" s="55">
        <f t="shared" si="1"/>
        <v>0</v>
      </c>
      <c r="E37" s="55">
        <f t="shared" si="1"/>
        <v>0</v>
      </c>
      <c r="F37" s="36">
        <f t="shared" si="1"/>
        <v>0</v>
      </c>
      <c r="G37" s="36">
        <f t="shared" si="1"/>
        <v>0</v>
      </c>
      <c r="H37" s="36">
        <f>H$4*2</f>
        <v>8</v>
      </c>
      <c r="I37" s="36">
        <f>I$4*0</f>
        <v>0</v>
      </c>
      <c r="J37" s="36">
        <f>J$4*0</f>
        <v>0</v>
      </c>
      <c r="K37" s="36">
        <f>K$4*0</f>
        <v>0</v>
      </c>
      <c r="L37" s="36">
        <f>L$4*0</f>
        <v>0</v>
      </c>
      <c r="M37" s="36">
        <f>M$4*0</f>
        <v>0</v>
      </c>
      <c r="N37" s="56">
        <f>N$4*0</f>
        <v>0</v>
      </c>
      <c r="O37" s="62">
        <f>SUM(D37:N37)</f>
        <v>8</v>
      </c>
      <c r="P37" s="26">
        <v>0</v>
      </c>
      <c r="Q37" s="26">
        <v>0</v>
      </c>
      <c r="R37" s="26">
        <f>P37+Q37</f>
        <v>0</v>
      </c>
      <c r="S37" s="26"/>
      <c r="T37" s="22">
        <f>R37*O37</f>
        <v>0</v>
      </c>
      <c r="U37" s="47"/>
    </row>
    <row r="38" spans="1:21" s="32" customFormat="1" ht="12.75" customHeight="1" x14ac:dyDescent="0.2">
      <c r="A38" s="159"/>
      <c r="B38" s="31"/>
      <c r="C38" s="25"/>
      <c r="D38" s="25"/>
      <c r="E38" s="25"/>
      <c r="F38" s="25"/>
      <c r="G38" s="25"/>
      <c r="H38" s="25"/>
      <c r="I38" s="25"/>
      <c r="J38" s="25"/>
      <c r="K38" s="25"/>
      <c r="L38" s="25"/>
      <c r="M38" s="25"/>
      <c r="N38" s="25"/>
      <c r="O38" s="58"/>
      <c r="P38" s="26"/>
      <c r="Q38" s="26"/>
      <c r="R38" s="26"/>
      <c r="S38" s="26"/>
      <c r="T38" s="22"/>
      <c r="U38" s="37"/>
    </row>
    <row r="39" spans="1:21" s="129" customFormat="1" x14ac:dyDescent="0.25">
      <c r="A39" s="165" t="s">
        <v>1359</v>
      </c>
      <c r="B39" s="440" t="s">
        <v>1339</v>
      </c>
      <c r="C39" s="387"/>
      <c r="D39" s="387"/>
      <c r="E39" s="387"/>
      <c r="F39" s="387"/>
      <c r="G39" s="387"/>
      <c r="H39" s="387"/>
      <c r="I39" s="387"/>
      <c r="J39" s="387"/>
      <c r="K39" s="387"/>
      <c r="L39" s="387"/>
      <c r="M39" s="387"/>
      <c r="N39" s="387"/>
      <c r="O39" s="387"/>
      <c r="P39" s="387"/>
      <c r="Q39" s="388"/>
      <c r="R39" s="34" t="s">
        <v>1107</v>
      </c>
      <c r="S39" s="34"/>
      <c r="T39" s="9">
        <f>SUM(T20:T38)</f>
        <v>0</v>
      </c>
      <c r="U39" s="150"/>
    </row>
    <row r="41" spans="1:21" s="132" customFormat="1" ht="15.75" customHeight="1" x14ac:dyDescent="0.25">
      <c r="A41" s="160" t="s">
        <v>1359</v>
      </c>
      <c r="B41" s="130" t="s">
        <v>1360</v>
      </c>
      <c r="C41" s="49"/>
      <c r="D41" s="49"/>
      <c r="E41" s="49"/>
      <c r="F41" s="49"/>
      <c r="G41" s="49"/>
      <c r="H41" s="49"/>
      <c r="I41" s="49"/>
      <c r="J41" s="49"/>
      <c r="K41" s="49"/>
      <c r="L41" s="49"/>
      <c r="M41" s="49"/>
      <c r="N41" s="49"/>
      <c r="O41" s="131"/>
      <c r="P41" s="49"/>
      <c r="Q41" s="49"/>
      <c r="R41" s="435" t="s">
        <v>946</v>
      </c>
      <c r="S41" s="388"/>
      <c r="T41" s="50">
        <f>T39*5</f>
        <v>0</v>
      </c>
      <c r="U41" s="151"/>
    </row>
    <row r="42" spans="1:21" ht="15.75" customHeight="1" thickBot="1" x14ac:dyDescent="0.3"/>
    <row r="43" spans="1:21" s="42" customFormat="1" ht="50.1" customHeight="1" thickBot="1" x14ac:dyDescent="0.3">
      <c r="A43" s="119" t="s">
        <v>912</v>
      </c>
      <c r="B43" s="119" t="s">
        <v>913</v>
      </c>
      <c r="C43" s="120" t="s">
        <v>914</v>
      </c>
      <c r="D43" s="430"/>
      <c r="E43" s="431"/>
      <c r="F43" s="431"/>
      <c r="G43" s="431"/>
      <c r="H43" s="431"/>
      <c r="I43" s="431"/>
      <c r="J43" s="431"/>
      <c r="K43" s="121" t="s">
        <v>915</v>
      </c>
      <c r="L43" s="122" t="s">
        <v>916</v>
      </c>
      <c r="M43" s="121" t="s">
        <v>917</v>
      </c>
      <c r="N43" s="121" t="s">
        <v>918</v>
      </c>
      <c r="O43" s="121"/>
      <c r="P43" s="119" t="s">
        <v>919</v>
      </c>
      <c r="Q43" s="47"/>
    </row>
    <row r="44" spans="1:21" s="42" customFormat="1" ht="50.1" customHeight="1" thickBot="1" x14ac:dyDescent="0.3">
      <c r="A44" s="123"/>
      <c r="B44" s="123"/>
      <c r="C44" s="124"/>
      <c r="D44" s="432" t="s">
        <v>948</v>
      </c>
      <c r="E44" s="431"/>
      <c r="F44" s="431"/>
      <c r="G44" s="431"/>
      <c r="H44" s="431"/>
      <c r="I44" s="431"/>
      <c r="J44" s="433"/>
      <c r="K44" s="125"/>
      <c r="L44" s="124"/>
      <c r="M44" s="124"/>
      <c r="N44" s="124"/>
      <c r="O44" s="124"/>
      <c r="P44" s="123"/>
      <c r="Q44" s="47"/>
    </row>
    <row r="45" spans="1:21" s="42" customFormat="1" ht="62.25" customHeight="1" x14ac:dyDescent="0.25">
      <c r="A45" s="123"/>
      <c r="B45" s="123"/>
      <c r="C45" s="124"/>
      <c r="D45" s="173" t="s">
        <v>949</v>
      </c>
      <c r="E45" s="46" t="s">
        <v>950</v>
      </c>
      <c r="F45" s="46" t="s">
        <v>951</v>
      </c>
      <c r="G45" s="46" t="s">
        <v>952</v>
      </c>
      <c r="H45" s="46" t="s">
        <v>953</v>
      </c>
      <c r="I45" s="154" t="s">
        <v>930</v>
      </c>
      <c r="J45" s="126" t="s">
        <v>931</v>
      </c>
      <c r="K45" s="125"/>
      <c r="L45" s="124"/>
      <c r="M45" s="124"/>
      <c r="N45" s="124"/>
      <c r="O45" s="124"/>
      <c r="P45" s="123"/>
      <c r="Q45" s="47"/>
    </row>
    <row r="47" spans="1:21" s="117" customFormat="1" ht="15.75" customHeight="1" x14ac:dyDescent="0.25">
      <c r="A47" s="158" t="s">
        <v>1335</v>
      </c>
      <c r="B47" s="39" t="s">
        <v>1336</v>
      </c>
      <c r="C47" s="40"/>
      <c r="D47" s="175"/>
      <c r="E47" s="40"/>
      <c r="F47" s="40"/>
      <c r="G47" s="40"/>
      <c r="H47" s="40"/>
      <c r="I47" s="40"/>
      <c r="J47" s="40"/>
      <c r="K47" s="59"/>
      <c r="L47" s="40"/>
      <c r="M47" s="40"/>
      <c r="N47" s="40"/>
      <c r="O47" s="40"/>
      <c r="P47" s="41"/>
      <c r="Q47" s="149"/>
    </row>
    <row r="48" spans="1:21" s="42" customFormat="1" x14ac:dyDescent="0.25">
      <c r="A48" s="157"/>
      <c r="B48" s="44"/>
      <c r="C48" s="44"/>
      <c r="D48" s="172"/>
      <c r="E48" s="44"/>
      <c r="F48" s="44"/>
      <c r="G48" s="44"/>
      <c r="H48" s="44"/>
      <c r="I48" s="44"/>
      <c r="J48" s="44"/>
      <c r="K48" s="118"/>
      <c r="L48" s="44"/>
      <c r="M48" s="44"/>
      <c r="N48" s="44"/>
      <c r="O48" s="44"/>
      <c r="P48" s="44"/>
      <c r="Q48" s="47"/>
    </row>
    <row r="49" spans="1:17" s="42" customFormat="1" ht="126" customHeight="1" x14ac:dyDescent="0.25">
      <c r="A49" s="157"/>
      <c r="B49" s="143" t="s">
        <v>1337</v>
      </c>
      <c r="C49" s="44"/>
      <c r="D49" s="172"/>
      <c r="E49" s="44"/>
      <c r="F49" s="44"/>
      <c r="G49" s="44"/>
      <c r="H49" s="44"/>
      <c r="I49" s="44"/>
      <c r="J49" s="44"/>
      <c r="K49" s="118"/>
      <c r="L49" s="44"/>
      <c r="M49" s="44"/>
      <c r="N49" s="44"/>
      <c r="O49" s="44"/>
      <c r="P49" s="44"/>
      <c r="Q49" s="47"/>
    </row>
    <row r="50" spans="1:17" s="32" customFormat="1" ht="12.75" customHeight="1" x14ac:dyDescent="0.2">
      <c r="A50" s="159"/>
      <c r="B50" s="31"/>
      <c r="C50" s="25"/>
      <c r="D50" s="174"/>
      <c r="E50" s="25"/>
      <c r="F50" s="25"/>
      <c r="G50" s="25"/>
      <c r="H50" s="25"/>
      <c r="I50" s="25"/>
      <c r="J50" s="25"/>
      <c r="K50" s="58"/>
      <c r="L50" s="26"/>
      <c r="M50" s="26"/>
      <c r="N50" s="26"/>
      <c r="O50" s="26"/>
      <c r="P50" s="35"/>
      <c r="Q50" s="37"/>
    </row>
    <row r="51" spans="1:17" s="32" customFormat="1" ht="12.75" customHeight="1" x14ac:dyDescent="0.2">
      <c r="A51" s="159"/>
      <c r="B51" s="31"/>
      <c r="C51" s="25"/>
      <c r="D51" s="174"/>
      <c r="E51" s="25"/>
      <c r="F51" s="25"/>
      <c r="G51" s="25"/>
      <c r="H51" s="25"/>
      <c r="I51" s="25"/>
      <c r="J51" s="25"/>
      <c r="K51" s="58"/>
      <c r="L51" s="26"/>
      <c r="M51" s="26"/>
      <c r="N51" s="26"/>
      <c r="O51" s="26"/>
      <c r="P51" s="35"/>
      <c r="Q51" s="37"/>
    </row>
    <row r="52" spans="1:17" s="42" customFormat="1" x14ac:dyDescent="0.25">
      <c r="A52" s="157"/>
      <c r="B52" s="44"/>
      <c r="C52" s="44"/>
      <c r="D52" s="172"/>
      <c r="E52" s="44"/>
      <c r="F52" s="44"/>
      <c r="G52" s="44"/>
      <c r="H52" s="44"/>
      <c r="I52" s="44"/>
      <c r="J52" s="44"/>
      <c r="K52" s="118"/>
      <c r="L52" s="44"/>
      <c r="M52" s="44"/>
      <c r="N52" s="44"/>
      <c r="O52" s="44"/>
      <c r="P52" s="44"/>
      <c r="Q52" s="47"/>
    </row>
    <row r="53" spans="1:17" s="42" customFormat="1" x14ac:dyDescent="0.25">
      <c r="A53" s="166" t="s">
        <v>1340</v>
      </c>
      <c r="B53" s="27" t="s">
        <v>1341</v>
      </c>
      <c r="C53" s="28"/>
      <c r="D53" s="181"/>
      <c r="E53" s="28"/>
      <c r="F53" s="28"/>
      <c r="G53" s="28"/>
      <c r="H53" s="28"/>
      <c r="I53" s="28"/>
      <c r="J53" s="28"/>
      <c r="K53" s="60"/>
      <c r="L53" s="29"/>
      <c r="M53" s="29"/>
      <c r="N53" s="29"/>
      <c r="O53" s="29"/>
      <c r="P53" s="23"/>
      <c r="Q53" s="152"/>
    </row>
    <row r="54" spans="1:17" s="42" customFormat="1" ht="102" customHeight="1" x14ac:dyDescent="0.25">
      <c r="A54" s="167"/>
      <c r="B54" s="30" t="s">
        <v>1342</v>
      </c>
      <c r="C54" s="31"/>
      <c r="D54" s="182"/>
      <c r="E54" s="31"/>
      <c r="F54" s="31"/>
      <c r="G54" s="31"/>
      <c r="H54" s="31"/>
      <c r="I54" s="31"/>
      <c r="J54" s="31"/>
      <c r="K54" s="58"/>
      <c r="L54" s="26"/>
      <c r="M54" s="26"/>
      <c r="N54" s="26"/>
      <c r="O54" s="26"/>
      <c r="P54" s="38"/>
      <c r="Q54" s="152"/>
    </row>
    <row r="55" spans="1:17" s="42" customFormat="1" ht="25.5" customHeight="1" x14ac:dyDescent="0.25">
      <c r="A55" s="167"/>
      <c r="B55" s="30" t="s">
        <v>1343</v>
      </c>
      <c r="C55" s="31"/>
      <c r="D55" s="182"/>
      <c r="E55" s="31"/>
      <c r="F55" s="31"/>
      <c r="G55" s="31"/>
      <c r="H55" s="31"/>
      <c r="I55" s="31"/>
      <c r="J55" s="31"/>
      <c r="K55" s="58"/>
      <c r="L55" s="26"/>
      <c r="M55" s="26"/>
      <c r="N55" s="26"/>
      <c r="O55" s="26"/>
      <c r="P55" s="38"/>
      <c r="Q55" s="152"/>
    </row>
    <row r="56" spans="1:17" s="42" customFormat="1" ht="15.75" customHeight="1" thickBot="1" x14ac:dyDescent="0.3">
      <c r="A56" s="167"/>
      <c r="B56" s="30" t="s">
        <v>1344</v>
      </c>
      <c r="C56" s="31"/>
      <c r="D56" s="182"/>
      <c r="E56" s="31"/>
      <c r="F56" s="31"/>
      <c r="G56" s="31"/>
      <c r="H56" s="31"/>
      <c r="I56" s="31"/>
      <c r="J56" s="31"/>
      <c r="K56" s="58"/>
      <c r="L56" s="26"/>
      <c r="M56" s="26"/>
      <c r="N56" s="26"/>
      <c r="O56" s="26"/>
      <c r="P56" s="38"/>
      <c r="Q56" s="152"/>
    </row>
    <row r="57" spans="1:17" s="42" customFormat="1" x14ac:dyDescent="0.25">
      <c r="A57" s="166"/>
      <c r="B57" s="137" t="s">
        <v>968</v>
      </c>
      <c r="C57" s="135" t="s">
        <v>969</v>
      </c>
      <c r="D57" s="177">
        <f t="shared" ref="D57:I57" si="2">D$4*0</f>
        <v>0</v>
      </c>
      <c r="E57" s="36">
        <f t="shared" si="2"/>
        <v>0</v>
      </c>
      <c r="F57" s="36">
        <f t="shared" si="2"/>
        <v>0</v>
      </c>
      <c r="G57" s="36">
        <f t="shared" si="2"/>
        <v>0</v>
      </c>
      <c r="H57" s="36">
        <f t="shared" si="2"/>
        <v>0</v>
      </c>
      <c r="I57" s="36">
        <f t="shared" si="2"/>
        <v>0</v>
      </c>
      <c r="J57" s="56">
        <f>J$4*77.9</f>
        <v>77.900000000000006</v>
      </c>
      <c r="K57" s="62">
        <f>SUM(D57:J57)</f>
        <v>77.900000000000006</v>
      </c>
      <c r="L57" s="26">
        <v>0</v>
      </c>
      <c r="M57" s="26">
        <v>0</v>
      </c>
      <c r="N57" s="26">
        <f>L57+M57</f>
        <v>0</v>
      </c>
      <c r="O57" s="26"/>
      <c r="P57" s="22">
        <f>N57*K57</f>
        <v>0</v>
      </c>
      <c r="Q57" s="47"/>
    </row>
    <row r="58" spans="1:17" s="32" customFormat="1" ht="12.75" customHeight="1" x14ac:dyDescent="0.2">
      <c r="A58" s="159"/>
      <c r="B58" s="31"/>
      <c r="C58" s="25"/>
      <c r="D58" s="174"/>
      <c r="E58" s="25"/>
      <c r="F58" s="25"/>
      <c r="G58" s="25"/>
      <c r="H58" s="25"/>
      <c r="I58" s="25"/>
      <c r="J58" s="25"/>
      <c r="K58" s="58"/>
      <c r="L58" s="26"/>
      <c r="M58" s="26"/>
      <c r="N58" s="26"/>
      <c r="O58" s="26"/>
      <c r="P58" s="35"/>
      <c r="Q58" s="37"/>
    </row>
    <row r="59" spans="1:17" s="129" customFormat="1" x14ac:dyDescent="0.25">
      <c r="A59" s="165" t="s">
        <v>1359</v>
      </c>
      <c r="B59" s="440" t="s">
        <v>1339</v>
      </c>
      <c r="C59" s="387"/>
      <c r="D59" s="387"/>
      <c r="E59" s="387"/>
      <c r="F59" s="387"/>
      <c r="G59" s="387"/>
      <c r="H59" s="387"/>
      <c r="I59" s="387"/>
      <c r="J59" s="387"/>
      <c r="K59" s="387"/>
      <c r="L59" s="387"/>
      <c r="M59" s="388"/>
      <c r="N59" s="34" t="s">
        <v>1107</v>
      </c>
      <c r="O59" s="34"/>
      <c r="P59" s="9">
        <f>SUM(P52:P58)</f>
        <v>0</v>
      </c>
      <c r="Q59" s="150"/>
    </row>
    <row r="60" spans="1:17" s="32" customFormat="1" ht="12.75" customHeight="1" x14ac:dyDescent="0.2">
      <c r="A60" s="159"/>
      <c r="B60" s="31"/>
      <c r="C60" s="25"/>
      <c r="D60" s="174"/>
      <c r="E60" s="25"/>
      <c r="F60" s="25"/>
      <c r="G60" s="25"/>
      <c r="H60" s="25"/>
      <c r="I60" s="25"/>
      <c r="J60" s="25"/>
      <c r="K60" s="58"/>
      <c r="L60" s="26"/>
      <c r="M60" s="26"/>
      <c r="N60" s="26"/>
      <c r="O60" s="26"/>
      <c r="P60" s="35"/>
      <c r="Q60" s="37"/>
    </row>
    <row r="61" spans="1:17" s="42" customFormat="1" x14ac:dyDescent="0.25">
      <c r="A61" s="161" t="s">
        <v>1361</v>
      </c>
      <c r="B61" s="441" t="s">
        <v>1362</v>
      </c>
      <c r="C61" s="387"/>
      <c r="D61" s="387"/>
      <c r="E61" s="387"/>
      <c r="F61" s="387"/>
      <c r="G61" s="387"/>
      <c r="H61" s="387"/>
      <c r="I61" s="387"/>
      <c r="J61" s="387"/>
      <c r="K61" s="387"/>
      <c r="L61" s="387"/>
      <c r="M61" s="387"/>
      <c r="N61" s="387"/>
      <c r="O61" s="43"/>
      <c r="P61" s="33"/>
      <c r="Q61" s="47"/>
    </row>
    <row r="62" spans="1:17" s="42" customFormat="1" x14ac:dyDescent="0.25">
      <c r="A62" s="157"/>
      <c r="B62" s="44"/>
      <c r="C62" s="44"/>
      <c r="D62" s="172"/>
      <c r="E62" s="44"/>
      <c r="F62" s="44"/>
      <c r="G62" s="44"/>
      <c r="H62" s="44"/>
      <c r="I62" s="44"/>
      <c r="J62" s="44"/>
      <c r="K62" s="118"/>
      <c r="L62" s="44"/>
      <c r="M62" s="44"/>
      <c r="N62" s="44"/>
      <c r="O62" s="44"/>
      <c r="P62" s="44"/>
      <c r="Q62" s="47"/>
    </row>
    <row r="63" spans="1:17" s="42" customFormat="1" x14ac:dyDescent="0.25">
      <c r="A63" s="166" t="s">
        <v>1345</v>
      </c>
      <c r="B63" s="147" t="s">
        <v>1346</v>
      </c>
      <c r="C63" s="28"/>
      <c r="D63" s="181"/>
      <c r="E63" s="28"/>
      <c r="F63" s="28"/>
      <c r="G63" s="28"/>
      <c r="H63" s="28"/>
      <c r="I63" s="28"/>
      <c r="J63" s="28"/>
      <c r="K63" s="60"/>
      <c r="L63" s="29"/>
      <c r="M63" s="29"/>
      <c r="N63" s="29"/>
      <c r="O63" s="29"/>
      <c r="P63" s="23"/>
      <c r="Q63" s="152"/>
    </row>
    <row r="64" spans="1:17" s="42" customFormat="1" x14ac:dyDescent="0.25">
      <c r="A64" s="167"/>
      <c r="B64" s="24" t="s">
        <v>1347</v>
      </c>
      <c r="C64" s="31"/>
      <c r="D64" s="182"/>
      <c r="E64" s="31"/>
      <c r="F64" s="31"/>
      <c r="G64" s="31"/>
      <c r="H64" s="31"/>
      <c r="I64" s="31"/>
      <c r="J64" s="31"/>
      <c r="K64" s="58"/>
      <c r="L64" s="26"/>
      <c r="M64" s="26"/>
      <c r="N64" s="26"/>
      <c r="O64" s="26"/>
      <c r="P64" s="38"/>
      <c r="Q64" s="152"/>
    </row>
    <row r="65" spans="1:21" s="42" customFormat="1" ht="54.75" customHeight="1" x14ac:dyDescent="0.25">
      <c r="A65" s="167"/>
      <c r="B65" s="24" t="s">
        <v>1348</v>
      </c>
      <c r="C65" s="31"/>
      <c r="D65" s="182"/>
      <c r="E65" s="31"/>
      <c r="F65" s="31"/>
      <c r="G65" s="31"/>
      <c r="H65" s="31"/>
      <c r="I65" s="31"/>
      <c r="J65" s="31"/>
      <c r="K65" s="58"/>
      <c r="L65" s="26"/>
      <c r="M65" s="26"/>
      <c r="N65" s="26"/>
      <c r="O65" s="26"/>
      <c r="P65" s="38"/>
      <c r="Q65" s="152"/>
    </row>
    <row r="66" spans="1:21" s="42" customFormat="1" ht="25.5" customHeight="1" x14ac:dyDescent="0.25">
      <c r="A66" s="167"/>
      <c r="B66" s="141" t="s">
        <v>1349</v>
      </c>
      <c r="C66" s="31"/>
      <c r="D66" s="182"/>
      <c r="E66" s="31"/>
      <c r="F66" s="31"/>
      <c r="G66" s="31"/>
      <c r="H66" s="31"/>
      <c r="I66" s="31"/>
      <c r="J66" s="31"/>
      <c r="K66" s="58"/>
      <c r="L66" s="26"/>
      <c r="M66" s="26"/>
      <c r="N66" s="26"/>
      <c r="O66" s="26"/>
      <c r="P66" s="38"/>
      <c r="Q66" s="152"/>
    </row>
    <row r="67" spans="1:21" s="42" customFormat="1" ht="38.25" customHeight="1" x14ac:dyDescent="0.25">
      <c r="A67" s="167"/>
      <c r="B67" s="141" t="s">
        <v>1350</v>
      </c>
      <c r="C67" s="31"/>
      <c r="D67" s="182"/>
      <c r="E67" s="31"/>
      <c r="F67" s="31"/>
      <c r="G67" s="31"/>
      <c r="H67" s="31"/>
      <c r="I67" s="31"/>
      <c r="J67" s="31"/>
      <c r="K67" s="58"/>
      <c r="L67" s="26"/>
      <c r="M67" s="26"/>
      <c r="N67" s="26"/>
      <c r="O67" s="26"/>
      <c r="P67" s="38"/>
      <c r="Q67" s="152"/>
    </row>
    <row r="68" spans="1:21" s="42" customFormat="1" x14ac:dyDescent="0.25">
      <c r="A68" s="167"/>
      <c r="B68" s="17" t="s">
        <v>1351</v>
      </c>
      <c r="C68" s="31"/>
      <c r="D68" s="182"/>
      <c r="E68" s="31"/>
      <c r="F68" s="31"/>
      <c r="G68" s="31"/>
      <c r="H68" s="31"/>
      <c r="I68" s="31"/>
      <c r="J68" s="31"/>
      <c r="K68" s="58"/>
      <c r="L68" s="26"/>
      <c r="M68" s="26"/>
      <c r="N68" s="26"/>
      <c r="O68" s="26"/>
      <c r="P68" s="38"/>
      <c r="Q68" s="152"/>
    </row>
    <row r="69" spans="1:21" s="42" customFormat="1" ht="15.75" customHeight="1" thickBot="1" x14ac:dyDescent="0.3">
      <c r="A69" s="167"/>
      <c r="B69" s="141" t="s">
        <v>1352</v>
      </c>
      <c r="C69" s="31"/>
      <c r="D69" s="182"/>
      <c r="E69" s="31"/>
      <c r="F69" s="31"/>
      <c r="G69" s="31"/>
      <c r="H69" s="31"/>
      <c r="I69" s="31"/>
      <c r="J69" s="31"/>
      <c r="K69" s="58"/>
      <c r="L69" s="26"/>
      <c r="M69" s="26"/>
      <c r="N69" s="26"/>
      <c r="O69" s="26"/>
      <c r="P69" s="38"/>
      <c r="Q69" s="152"/>
    </row>
    <row r="70" spans="1:21" s="42" customFormat="1" ht="15.75" customHeight="1" thickBot="1" x14ac:dyDescent="0.3">
      <c r="A70" s="166" t="s">
        <v>1353</v>
      </c>
      <c r="B70" s="137" t="s">
        <v>1354</v>
      </c>
      <c r="C70" s="135" t="s">
        <v>1001</v>
      </c>
      <c r="D70" s="177">
        <f>D$4*1</f>
        <v>1</v>
      </c>
      <c r="E70" s="36">
        <f>E$4*1</f>
        <v>1</v>
      </c>
      <c r="F70" s="36">
        <f>F$4*1</f>
        <v>1</v>
      </c>
      <c r="G70" s="36">
        <f>G$4*2</f>
        <v>2</v>
      </c>
      <c r="H70" s="36">
        <f>H$4*1</f>
        <v>4</v>
      </c>
      <c r="I70" s="36">
        <f>I$4*0</f>
        <v>0</v>
      </c>
      <c r="J70" s="56">
        <f>J$4*0</f>
        <v>0</v>
      </c>
      <c r="K70" s="62">
        <f>SUM(D70:J70)</f>
        <v>9</v>
      </c>
      <c r="L70" s="26">
        <v>0</v>
      </c>
      <c r="M70" s="26">
        <v>0</v>
      </c>
      <c r="N70" s="26">
        <f>L70+M70</f>
        <v>0</v>
      </c>
      <c r="O70" s="26"/>
      <c r="P70" s="22">
        <f>N70*K70</f>
        <v>0</v>
      </c>
      <c r="Q70" s="47"/>
    </row>
    <row r="71" spans="1:21" s="42" customFormat="1" ht="15.75" customHeight="1" thickBot="1" x14ac:dyDescent="0.3">
      <c r="A71" s="166" t="s">
        <v>1357</v>
      </c>
      <c r="B71" s="137" t="s">
        <v>1358</v>
      </c>
      <c r="C71" s="135" t="s">
        <v>1001</v>
      </c>
      <c r="D71" s="177">
        <f>D$4*0</f>
        <v>0</v>
      </c>
      <c r="E71" s="36">
        <f>E$4*0</f>
        <v>0</v>
      </c>
      <c r="F71" s="36">
        <f>F$4*1</f>
        <v>1</v>
      </c>
      <c r="G71" s="36">
        <f>G$4*0</f>
        <v>0</v>
      </c>
      <c r="H71" s="36">
        <f>H$4*1</f>
        <v>4</v>
      </c>
      <c r="I71" s="36">
        <f>I$4*0</f>
        <v>0</v>
      </c>
      <c r="J71" s="56">
        <f>J$4*0</f>
        <v>0</v>
      </c>
      <c r="K71" s="62">
        <f>SUM(D71:J71)</f>
        <v>5</v>
      </c>
      <c r="L71" s="26">
        <v>0</v>
      </c>
      <c r="M71" s="26">
        <v>0</v>
      </c>
      <c r="N71" s="26">
        <f>L71+M71</f>
        <v>0</v>
      </c>
      <c r="O71" s="26"/>
      <c r="P71" s="22">
        <f>N71*K71</f>
        <v>0</v>
      </c>
      <c r="Q71" s="47"/>
    </row>
    <row r="72" spans="1:21" s="32" customFormat="1" ht="12.75" customHeight="1" x14ac:dyDescent="0.2">
      <c r="A72" s="159"/>
      <c r="B72" s="31"/>
      <c r="C72" s="25"/>
      <c r="D72" s="174"/>
      <c r="E72" s="25"/>
      <c r="F72" s="25"/>
      <c r="G72" s="25"/>
      <c r="H72" s="25"/>
      <c r="I72" s="25"/>
      <c r="J72" s="25"/>
      <c r="K72" s="58"/>
      <c r="L72" s="26"/>
      <c r="M72" s="26"/>
      <c r="N72" s="26"/>
      <c r="O72" s="26"/>
      <c r="P72" s="22"/>
      <c r="Q72" s="37"/>
    </row>
    <row r="73" spans="1:21" s="129" customFormat="1" x14ac:dyDescent="0.25">
      <c r="A73" s="165" t="s">
        <v>1363</v>
      </c>
      <c r="B73" s="440" t="s">
        <v>1362</v>
      </c>
      <c r="C73" s="387"/>
      <c r="D73" s="387"/>
      <c r="E73" s="387"/>
      <c r="F73" s="387"/>
      <c r="G73" s="387"/>
      <c r="H73" s="387"/>
      <c r="I73" s="387"/>
      <c r="J73" s="387"/>
      <c r="K73" s="387"/>
      <c r="L73" s="387"/>
      <c r="M73" s="388"/>
      <c r="N73" s="34" t="s">
        <v>1107</v>
      </c>
      <c r="O73" s="34"/>
      <c r="P73" s="9">
        <f>SUM(P62:P72)</f>
        <v>0</v>
      </c>
      <c r="Q73" s="150"/>
    </row>
    <row r="74" spans="1:21" s="32" customFormat="1" ht="12.75" customHeight="1" x14ac:dyDescent="0.2">
      <c r="A74" s="159"/>
      <c r="B74" s="31"/>
      <c r="C74" s="25"/>
      <c r="D74" s="174"/>
      <c r="E74" s="25"/>
      <c r="F74" s="25"/>
      <c r="G74" s="25"/>
      <c r="H74" s="25"/>
      <c r="I74" s="25"/>
      <c r="J74" s="25"/>
      <c r="K74" s="58"/>
      <c r="L74" s="26"/>
      <c r="M74" s="26"/>
      <c r="N74" s="26"/>
      <c r="O74" s="26"/>
      <c r="P74" s="35"/>
      <c r="Q74" s="37"/>
    </row>
    <row r="75" spans="1:21" s="132" customFormat="1" ht="15.75" customHeight="1" x14ac:dyDescent="0.25">
      <c r="A75" s="160" t="s">
        <v>1363</v>
      </c>
      <c r="B75" s="130" t="s">
        <v>1364</v>
      </c>
      <c r="C75" s="49"/>
      <c r="D75" s="49"/>
      <c r="E75" s="49"/>
      <c r="F75" s="49"/>
      <c r="G75" s="49"/>
      <c r="H75" s="49"/>
      <c r="I75" s="49"/>
      <c r="J75" s="49"/>
      <c r="K75" s="49"/>
      <c r="L75" s="49"/>
      <c r="M75" s="49"/>
      <c r="N75" s="49"/>
      <c r="O75" s="131"/>
      <c r="P75" s="49"/>
      <c r="Q75" s="49"/>
      <c r="R75" s="435" t="s">
        <v>946</v>
      </c>
      <c r="S75" s="388"/>
      <c r="T75" s="50">
        <f>(P73+P59)*6</f>
        <v>0</v>
      </c>
      <c r="U75" s="151"/>
    </row>
    <row r="77" spans="1:21" s="132" customFormat="1" ht="15.75" customHeight="1" x14ac:dyDescent="0.25">
      <c r="A77" s="160"/>
      <c r="B77" s="130" t="s">
        <v>963</v>
      </c>
      <c r="C77" s="49"/>
      <c r="D77" s="49"/>
      <c r="E77" s="49"/>
      <c r="F77" s="49"/>
      <c r="G77" s="49"/>
      <c r="H77" s="49"/>
      <c r="I77" s="49"/>
      <c r="J77" s="49"/>
      <c r="K77" s="49"/>
      <c r="L77" s="49"/>
      <c r="M77" s="49"/>
      <c r="N77" s="49"/>
      <c r="O77" s="131"/>
      <c r="P77" s="49"/>
      <c r="Q77" s="49"/>
      <c r="R77" s="435"/>
      <c r="S77" s="388"/>
      <c r="T77" s="50">
        <f>SUM(T75,T41)</f>
        <v>0</v>
      </c>
      <c r="U77" s="151"/>
    </row>
  </sheetData>
  <mergeCells count="14">
    <mergeCell ref="R77:S77"/>
    <mergeCell ref="D7:N7"/>
    <mergeCell ref="B2:R3"/>
    <mergeCell ref="R41:S41"/>
    <mergeCell ref="B19:R19"/>
    <mergeCell ref="D43:J43"/>
    <mergeCell ref="B39:Q39"/>
    <mergeCell ref="B73:M73"/>
    <mergeCell ref="R75:S75"/>
    <mergeCell ref="B5:T5"/>
    <mergeCell ref="D8:N8"/>
    <mergeCell ref="B61:N61"/>
    <mergeCell ref="B59:M59"/>
    <mergeCell ref="D44:J44"/>
  </mergeCells>
  <conditionalFormatting sqref="P50:P51">
    <cfRule type="cellIs" dxfId="47" priority="6" stopIfTrue="1" operator="greaterThan">
      <formula>0</formula>
    </cfRule>
  </conditionalFormatting>
  <conditionalFormatting sqref="P58:P60">
    <cfRule type="cellIs" dxfId="46" priority="4" stopIfTrue="1" operator="greaterThan">
      <formula>0</formula>
    </cfRule>
  </conditionalFormatting>
  <conditionalFormatting sqref="P73:P74">
    <cfRule type="cellIs" dxfId="45" priority="5" stopIfTrue="1" operator="greaterThan">
      <formula>0</formula>
    </cfRule>
  </conditionalFormatting>
  <conditionalFormatting sqref="T11">
    <cfRule type="cellIs" dxfId="44" priority="9" stopIfTrue="1" operator="greaterThan">
      <formula>0</formula>
    </cfRule>
  </conditionalFormatting>
  <conditionalFormatting sqref="T17:T18">
    <cfRule type="cellIs" dxfId="43" priority="8" stopIfTrue="1" operator="greaterThan">
      <formula>0</formula>
    </cfRule>
  </conditionalFormatting>
  <conditionalFormatting sqref="T39">
    <cfRule type="cellIs" dxfId="42" priority="7" stopIfTrue="1" operator="greaterThan">
      <formula>0</formula>
    </cfRule>
  </conditionalFormatting>
  <conditionalFormatting sqref="T41">
    <cfRule type="cellIs" dxfId="41" priority="3" stopIfTrue="1" operator="greaterThan">
      <formula>0</formula>
    </cfRule>
  </conditionalFormatting>
  <conditionalFormatting sqref="T75">
    <cfRule type="cellIs" dxfId="40" priority="2" stopIfTrue="1" operator="greaterThan">
      <formula>0</formula>
    </cfRule>
  </conditionalFormatting>
  <conditionalFormatting sqref="T77">
    <cfRule type="cellIs" dxfId="39" priority="1" stopIfTrue="1" operator="greaterThan">
      <formula>0</formula>
    </cfRule>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79998168889431442"/>
  </sheetPr>
  <dimension ref="A1:U127"/>
  <sheetViews>
    <sheetView tabSelected="1" topLeftCell="A10" zoomScale="70" zoomScaleNormal="70" workbookViewId="0"/>
  </sheetViews>
  <sheetFormatPr defaultRowHeight="15" x14ac:dyDescent="0.25"/>
  <cols>
    <col min="2" max="2" width="59.140625" customWidth="1"/>
  </cols>
  <sheetData>
    <row r="1" spans="1:21" s="42" customFormat="1" x14ac:dyDescent="0.25">
      <c r="A1" s="157"/>
      <c r="B1" s="112" t="s">
        <v>906</v>
      </c>
      <c r="C1" s="44"/>
      <c r="D1" s="53"/>
      <c r="E1" s="53"/>
      <c r="F1" s="53"/>
      <c r="G1" s="53"/>
      <c r="H1" s="53"/>
      <c r="I1" s="53"/>
      <c r="J1" s="53"/>
      <c r="K1" s="53"/>
      <c r="L1" s="53"/>
      <c r="M1" s="53"/>
      <c r="N1" s="53"/>
      <c r="O1" s="113"/>
      <c r="P1" s="44"/>
      <c r="Q1" s="44"/>
      <c r="R1" s="44"/>
      <c r="S1" s="44"/>
      <c r="T1" s="44"/>
      <c r="U1" s="47"/>
    </row>
    <row r="2" spans="1:21" s="42" customFormat="1" x14ac:dyDescent="0.25">
      <c r="A2" s="157"/>
      <c r="B2" s="436" t="s">
        <v>907</v>
      </c>
      <c r="C2" s="437"/>
      <c r="D2" s="437"/>
      <c r="E2" s="437"/>
      <c r="F2" s="437"/>
      <c r="G2" s="437"/>
      <c r="H2" s="437"/>
      <c r="I2" s="437"/>
      <c r="J2" s="437"/>
      <c r="K2" s="437"/>
      <c r="L2" s="437"/>
      <c r="M2" s="437"/>
      <c r="N2" s="437"/>
      <c r="O2" s="437"/>
      <c r="P2" s="437"/>
      <c r="Q2" s="437"/>
      <c r="R2" s="438"/>
      <c r="S2" s="7" t="s">
        <v>25</v>
      </c>
      <c r="T2" s="133">
        <v>0</v>
      </c>
      <c r="U2" s="47"/>
    </row>
    <row r="3" spans="1:21" s="42" customFormat="1" x14ac:dyDescent="0.25">
      <c r="A3" s="157"/>
      <c r="B3" s="439"/>
      <c r="C3" s="393"/>
      <c r="D3" s="393"/>
      <c r="E3" s="393"/>
      <c r="F3" s="393"/>
      <c r="G3" s="393"/>
      <c r="H3" s="393"/>
      <c r="I3" s="393"/>
      <c r="J3" s="393"/>
      <c r="K3" s="393"/>
      <c r="L3" s="393"/>
      <c r="M3" s="393"/>
      <c r="N3" s="393"/>
      <c r="O3" s="393"/>
      <c r="P3" s="393"/>
      <c r="Q3" s="393"/>
      <c r="R3" s="394"/>
      <c r="S3" s="7" t="s">
        <v>27</v>
      </c>
      <c r="T3" s="134" t="s">
        <v>22</v>
      </c>
      <c r="U3" s="47"/>
    </row>
    <row r="4" spans="1:21" s="42" customFormat="1" x14ac:dyDescent="0.25">
      <c r="A4" s="157"/>
      <c r="B4" s="114" t="s">
        <v>908</v>
      </c>
      <c r="C4" s="114" t="s">
        <v>909</v>
      </c>
      <c r="D4" s="115">
        <f>1*N4</f>
        <v>1</v>
      </c>
      <c r="E4" s="115">
        <f>1*N4</f>
        <v>1</v>
      </c>
      <c r="F4" s="115">
        <f>1*N4</f>
        <v>1</v>
      </c>
      <c r="G4" s="115">
        <f>1*N4</f>
        <v>1</v>
      </c>
      <c r="H4" s="115">
        <f>4*$N4</f>
        <v>4</v>
      </c>
      <c r="I4" s="115">
        <f>1*N4</f>
        <v>1</v>
      </c>
      <c r="J4" s="115">
        <f>1*N4</f>
        <v>1</v>
      </c>
      <c r="K4" s="115">
        <f>2*$N4</f>
        <v>2</v>
      </c>
      <c r="L4" s="115">
        <f>1*N4</f>
        <v>1</v>
      </c>
      <c r="M4" s="45">
        <v>1</v>
      </c>
      <c r="N4" s="57">
        <v>1</v>
      </c>
      <c r="O4" s="116">
        <v>13</v>
      </c>
      <c r="P4" s="114"/>
      <c r="Q4" s="114"/>
      <c r="R4" s="114"/>
      <c r="S4" s="44"/>
      <c r="T4" s="44"/>
      <c r="U4" s="47"/>
    </row>
    <row r="5" spans="1:21" s="117" customFormat="1" ht="15.75" customHeight="1" x14ac:dyDescent="0.25">
      <c r="A5" s="158" t="s">
        <v>910</v>
      </c>
      <c r="B5" s="434" t="s">
        <v>911</v>
      </c>
      <c r="C5" s="387"/>
      <c r="D5" s="387"/>
      <c r="E5" s="387"/>
      <c r="F5" s="387"/>
      <c r="G5" s="387"/>
      <c r="H5" s="387"/>
      <c r="I5" s="387"/>
      <c r="J5" s="387"/>
      <c r="K5" s="387"/>
      <c r="L5" s="387"/>
      <c r="M5" s="387"/>
      <c r="N5" s="387"/>
      <c r="O5" s="387"/>
      <c r="P5" s="387"/>
      <c r="Q5" s="387"/>
      <c r="R5" s="387"/>
      <c r="S5" s="387"/>
      <c r="T5" s="388"/>
      <c r="U5" s="149"/>
    </row>
    <row r="6" spans="1:21" s="42" customFormat="1" ht="15.75" customHeight="1" thickBot="1" x14ac:dyDescent="0.3">
      <c r="A6" s="157"/>
      <c r="B6" s="44"/>
      <c r="C6" s="44"/>
      <c r="D6" s="44"/>
      <c r="E6" s="44"/>
      <c r="F6" s="44"/>
      <c r="G6" s="44"/>
      <c r="H6" s="44"/>
      <c r="I6" s="44"/>
      <c r="J6" s="44"/>
      <c r="K6" s="44"/>
      <c r="L6" s="44"/>
      <c r="M6" s="44"/>
      <c r="N6" s="44"/>
      <c r="O6" s="118"/>
      <c r="P6" s="44"/>
      <c r="Q6" s="44"/>
      <c r="R6" s="44"/>
      <c r="S6" s="44"/>
      <c r="T6" s="44"/>
      <c r="U6" s="47"/>
    </row>
    <row r="7" spans="1:21" s="42" customFormat="1" ht="51.75" customHeight="1" thickBot="1" x14ac:dyDescent="0.3">
      <c r="A7" s="119" t="s">
        <v>912</v>
      </c>
      <c r="B7" s="119" t="s">
        <v>913</v>
      </c>
      <c r="C7" s="120" t="s">
        <v>914</v>
      </c>
      <c r="D7" s="430"/>
      <c r="E7" s="431"/>
      <c r="F7" s="431"/>
      <c r="G7" s="431"/>
      <c r="H7" s="431"/>
      <c r="I7" s="431"/>
      <c r="J7" s="431"/>
      <c r="K7" s="431"/>
      <c r="L7" s="431"/>
      <c r="M7" s="431"/>
      <c r="N7" s="431"/>
      <c r="O7" s="121" t="s">
        <v>915</v>
      </c>
      <c r="P7" s="122" t="s">
        <v>916</v>
      </c>
      <c r="Q7" s="121" t="s">
        <v>917</v>
      </c>
      <c r="R7" s="121" t="s">
        <v>918</v>
      </c>
      <c r="S7" s="121"/>
      <c r="T7" s="119" t="s">
        <v>919</v>
      </c>
      <c r="U7" s="47"/>
    </row>
    <row r="8" spans="1:21" s="42" customFormat="1" ht="15.75" customHeight="1" thickBot="1" x14ac:dyDescent="0.3">
      <c r="A8" s="123"/>
      <c r="B8" s="123"/>
      <c r="C8" s="124"/>
      <c r="D8" s="432" t="s">
        <v>920</v>
      </c>
      <c r="E8" s="431"/>
      <c r="F8" s="431"/>
      <c r="G8" s="431"/>
      <c r="H8" s="431"/>
      <c r="I8" s="431"/>
      <c r="J8" s="431"/>
      <c r="K8" s="431"/>
      <c r="L8" s="431"/>
      <c r="M8" s="431"/>
      <c r="N8" s="433"/>
      <c r="O8" s="125"/>
      <c r="P8" s="124"/>
      <c r="Q8" s="124"/>
      <c r="R8" s="124"/>
      <c r="S8" s="124"/>
      <c r="T8" s="123"/>
      <c r="U8" s="47"/>
    </row>
    <row r="9" spans="1:21" s="42" customFormat="1" ht="60" customHeight="1" x14ac:dyDescent="0.25">
      <c r="A9" s="123"/>
      <c r="B9" s="123"/>
      <c r="C9" s="124"/>
      <c r="D9" s="127" t="s">
        <v>921</v>
      </c>
      <c r="E9" s="127" t="s">
        <v>922</v>
      </c>
      <c r="F9" s="46" t="s">
        <v>923</v>
      </c>
      <c r="G9" s="46" t="s">
        <v>924</v>
      </c>
      <c r="H9" s="46" t="s">
        <v>925</v>
      </c>
      <c r="I9" s="46" t="s">
        <v>926</v>
      </c>
      <c r="J9" s="46" t="s">
        <v>927</v>
      </c>
      <c r="K9" s="46" t="s">
        <v>928</v>
      </c>
      <c r="L9" s="46" t="s">
        <v>929</v>
      </c>
      <c r="M9" s="154" t="s">
        <v>930</v>
      </c>
      <c r="N9" s="126" t="s">
        <v>931</v>
      </c>
      <c r="O9" s="125"/>
      <c r="P9" s="124"/>
      <c r="Q9" s="124"/>
      <c r="R9" s="124"/>
      <c r="S9" s="124"/>
      <c r="T9" s="123"/>
      <c r="U9" s="47"/>
    </row>
    <row r="10" spans="1:21" s="32" customFormat="1" ht="12.75" customHeight="1" x14ac:dyDescent="0.2">
      <c r="A10" s="159"/>
      <c r="B10" s="30"/>
      <c r="C10" s="25"/>
      <c r="D10" s="25"/>
      <c r="E10" s="25"/>
      <c r="F10" s="25"/>
      <c r="G10" s="25"/>
      <c r="H10" s="25"/>
      <c r="I10" s="25"/>
      <c r="J10" s="25"/>
      <c r="K10" s="25"/>
      <c r="L10" s="25"/>
      <c r="M10" s="25"/>
      <c r="N10" s="25"/>
      <c r="O10" s="58"/>
      <c r="P10" s="26"/>
      <c r="Q10" s="26"/>
      <c r="R10" s="26"/>
      <c r="S10" s="26"/>
      <c r="T10" s="22"/>
      <c r="U10" s="37"/>
    </row>
    <row r="11" spans="1:21" s="32" customFormat="1" ht="12.75" customHeight="1" x14ac:dyDescent="0.2">
      <c r="A11" s="159"/>
      <c r="B11" s="31"/>
      <c r="C11" s="25"/>
      <c r="D11" s="25"/>
      <c r="E11" s="25"/>
      <c r="F11" s="25"/>
      <c r="G11" s="25"/>
      <c r="H11" s="25"/>
      <c r="I11" s="25"/>
      <c r="J11" s="25"/>
      <c r="K11" s="25"/>
      <c r="L11" s="25"/>
      <c r="M11" s="25"/>
      <c r="N11" s="25"/>
      <c r="O11" s="58"/>
      <c r="P11" s="26"/>
      <c r="Q11" s="26"/>
      <c r="R11" s="26"/>
      <c r="S11" s="26"/>
      <c r="T11" s="35"/>
      <c r="U11" s="37"/>
    </row>
    <row r="12" spans="1:21" s="117" customFormat="1" ht="15.75" customHeight="1" x14ac:dyDescent="0.25">
      <c r="A12" s="160" t="s">
        <v>932</v>
      </c>
      <c r="B12" s="39" t="s">
        <v>933</v>
      </c>
      <c r="C12" s="40"/>
      <c r="D12" s="40"/>
      <c r="E12" s="40"/>
      <c r="F12" s="40"/>
      <c r="G12" s="40"/>
      <c r="H12" s="40"/>
      <c r="I12" s="40"/>
      <c r="J12" s="40"/>
      <c r="K12" s="40"/>
      <c r="L12" s="40"/>
      <c r="M12" s="40"/>
      <c r="N12" s="40"/>
      <c r="O12" s="59"/>
      <c r="P12" s="40"/>
      <c r="Q12" s="40"/>
      <c r="R12" s="40"/>
      <c r="S12" s="40"/>
      <c r="T12" s="41"/>
      <c r="U12" s="149"/>
    </row>
    <row r="14" spans="1:21" s="32" customFormat="1" ht="12.75" customHeight="1" x14ac:dyDescent="0.2">
      <c r="A14" s="159"/>
      <c r="B14" s="31"/>
      <c r="C14" s="25"/>
      <c r="D14" s="25"/>
      <c r="E14" s="25"/>
      <c r="F14" s="25"/>
      <c r="G14" s="25"/>
      <c r="H14" s="25"/>
      <c r="I14" s="25"/>
      <c r="J14" s="25"/>
      <c r="K14" s="25"/>
      <c r="L14" s="25"/>
      <c r="M14" s="25"/>
      <c r="N14" s="25"/>
      <c r="O14" s="58"/>
      <c r="P14" s="26"/>
      <c r="Q14" s="26"/>
      <c r="R14" s="26"/>
      <c r="S14" s="26"/>
      <c r="T14" s="35"/>
      <c r="U14" s="37"/>
    </row>
    <row r="15" spans="1:21" s="32" customFormat="1" ht="12.75" customHeight="1" x14ac:dyDescent="0.2">
      <c r="A15" s="159"/>
      <c r="B15" s="31"/>
      <c r="C15" s="25"/>
      <c r="D15" s="25"/>
      <c r="E15" s="25"/>
      <c r="F15" s="25"/>
      <c r="G15" s="25"/>
      <c r="H15" s="25"/>
      <c r="I15" s="25"/>
      <c r="J15" s="25"/>
      <c r="K15" s="25"/>
      <c r="L15" s="25"/>
      <c r="M15" s="25"/>
      <c r="N15" s="25"/>
      <c r="O15" s="58"/>
      <c r="P15" s="26"/>
      <c r="Q15" s="26"/>
      <c r="R15" s="26"/>
      <c r="S15" s="26"/>
      <c r="T15" s="35"/>
      <c r="U15" s="37"/>
    </row>
    <row r="16" spans="1:21" s="117" customFormat="1" ht="15.75" customHeight="1" x14ac:dyDescent="0.25">
      <c r="A16" s="158" t="s">
        <v>1335</v>
      </c>
      <c r="B16" s="39" t="s">
        <v>1336</v>
      </c>
      <c r="C16" s="40"/>
      <c r="D16" s="40"/>
      <c r="E16" s="40"/>
      <c r="F16" s="40"/>
      <c r="G16" s="40"/>
      <c r="H16" s="40"/>
      <c r="I16" s="40"/>
      <c r="J16" s="40"/>
      <c r="K16" s="40"/>
      <c r="L16" s="40"/>
      <c r="M16" s="40"/>
      <c r="N16" s="40"/>
      <c r="O16" s="59"/>
      <c r="P16" s="40"/>
      <c r="Q16" s="40"/>
      <c r="R16" s="40"/>
      <c r="S16" s="40"/>
      <c r="T16" s="41"/>
      <c r="U16" s="149"/>
    </row>
    <row r="17" spans="1:21" s="42" customFormat="1" x14ac:dyDescent="0.25">
      <c r="A17" s="157"/>
      <c r="B17" s="44"/>
      <c r="C17" s="44"/>
      <c r="D17" s="44"/>
      <c r="E17" s="44"/>
      <c r="F17" s="44"/>
      <c r="G17" s="44"/>
      <c r="H17" s="44"/>
      <c r="I17" s="44"/>
      <c r="J17" s="44"/>
      <c r="K17" s="44"/>
      <c r="L17" s="44"/>
      <c r="M17" s="44"/>
      <c r="N17" s="44"/>
      <c r="O17" s="118"/>
      <c r="P17" s="44"/>
      <c r="Q17" s="44"/>
      <c r="R17" s="44"/>
      <c r="S17" s="44"/>
      <c r="T17" s="44"/>
      <c r="U17" s="47"/>
    </row>
    <row r="18" spans="1:21" s="42" customFormat="1" ht="137.25" customHeight="1" x14ac:dyDescent="0.25">
      <c r="A18" s="157"/>
      <c r="B18" s="143" t="s">
        <v>1337</v>
      </c>
      <c r="C18" s="44"/>
      <c r="D18" s="44"/>
      <c r="E18" s="44"/>
      <c r="F18" s="44"/>
      <c r="G18" s="44"/>
      <c r="H18" s="44"/>
      <c r="I18" s="44"/>
      <c r="J18" s="44"/>
      <c r="K18" s="44"/>
      <c r="L18" s="44"/>
      <c r="M18" s="44"/>
      <c r="N18" s="44"/>
      <c r="O18" s="118"/>
      <c r="P18" s="44"/>
      <c r="Q18" s="44"/>
      <c r="R18" s="44"/>
      <c r="S18" s="44"/>
      <c r="T18" s="44"/>
      <c r="U18" s="47"/>
    </row>
    <row r="19" spans="1:21" s="32" customFormat="1" ht="12.75" customHeight="1" x14ac:dyDescent="0.2">
      <c r="A19" s="159"/>
      <c r="B19" s="31"/>
      <c r="C19" s="25"/>
      <c r="D19" s="25"/>
      <c r="E19" s="25"/>
      <c r="F19" s="25"/>
      <c r="G19" s="25"/>
      <c r="H19" s="25"/>
      <c r="I19" s="25"/>
      <c r="J19" s="25"/>
      <c r="K19" s="25"/>
      <c r="L19" s="25"/>
      <c r="M19" s="25"/>
      <c r="N19" s="25"/>
      <c r="O19" s="58"/>
      <c r="P19" s="26"/>
      <c r="Q19" s="26"/>
      <c r="R19" s="26"/>
      <c r="S19" s="26"/>
      <c r="T19" s="35"/>
      <c r="U19" s="37"/>
    </row>
    <row r="20" spans="1:21" s="32" customFormat="1" ht="12.75" customHeight="1" x14ac:dyDescent="0.2">
      <c r="A20" s="159"/>
      <c r="B20" s="31"/>
      <c r="C20" s="25"/>
      <c r="D20" s="25"/>
      <c r="E20" s="25"/>
      <c r="F20" s="25"/>
      <c r="G20" s="25"/>
      <c r="H20" s="25"/>
      <c r="I20" s="25"/>
      <c r="J20" s="25"/>
      <c r="K20" s="25"/>
      <c r="L20" s="25"/>
      <c r="M20" s="25"/>
      <c r="N20" s="25"/>
      <c r="O20" s="58"/>
      <c r="P20" s="26"/>
      <c r="Q20" s="26"/>
      <c r="R20" s="26"/>
      <c r="S20" s="26"/>
      <c r="T20" s="35"/>
      <c r="U20" s="37"/>
    </row>
    <row r="21" spans="1:21" s="42" customFormat="1" x14ac:dyDescent="0.25">
      <c r="A21" s="161" t="s">
        <v>1338</v>
      </c>
      <c r="B21" s="441" t="s">
        <v>1339</v>
      </c>
      <c r="C21" s="387"/>
      <c r="D21" s="387"/>
      <c r="E21" s="387"/>
      <c r="F21" s="387"/>
      <c r="G21" s="387"/>
      <c r="H21" s="387"/>
      <c r="I21" s="387"/>
      <c r="J21" s="387"/>
      <c r="K21" s="387"/>
      <c r="L21" s="387"/>
      <c r="M21" s="387"/>
      <c r="N21" s="387"/>
      <c r="O21" s="387"/>
      <c r="P21" s="387"/>
      <c r="Q21" s="387"/>
      <c r="R21" s="387"/>
      <c r="S21" s="43"/>
      <c r="T21" s="33"/>
      <c r="U21" s="47"/>
    </row>
    <row r="22" spans="1:21" s="42" customFormat="1" x14ac:dyDescent="0.25">
      <c r="A22" s="157"/>
      <c r="B22" s="44"/>
      <c r="C22" s="44"/>
      <c r="D22" s="44"/>
      <c r="E22" s="44"/>
      <c r="F22" s="44"/>
      <c r="G22" s="44"/>
      <c r="H22" s="44"/>
      <c r="I22" s="44"/>
      <c r="J22" s="44"/>
      <c r="K22" s="44"/>
      <c r="L22" s="44"/>
      <c r="M22" s="44"/>
      <c r="N22" s="44"/>
      <c r="O22" s="118"/>
      <c r="P22" s="44"/>
      <c r="Q22" s="44"/>
      <c r="R22" s="44"/>
      <c r="S22" s="44"/>
      <c r="T22" s="44"/>
      <c r="U22" s="47"/>
    </row>
    <row r="23" spans="1:21" s="42" customFormat="1" x14ac:dyDescent="0.25">
      <c r="A23" s="166" t="s">
        <v>1365</v>
      </c>
      <c r="B23" s="27" t="s">
        <v>1366</v>
      </c>
      <c r="C23" s="28"/>
      <c r="D23" s="28"/>
      <c r="E23" s="28"/>
      <c r="F23" s="28"/>
      <c r="G23" s="28"/>
      <c r="H23" s="28"/>
      <c r="I23" s="28"/>
      <c r="J23" s="28"/>
      <c r="K23" s="28"/>
      <c r="L23" s="28"/>
      <c r="M23" s="28"/>
      <c r="N23" s="28"/>
      <c r="O23" s="60"/>
      <c r="P23" s="29"/>
      <c r="Q23" s="29"/>
      <c r="R23" s="29"/>
      <c r="S23" s="29"/>
      <c r="T23" s="23"/>
      <c r="U23" s="152"/>
    </row>
    <row r="24" spans="1:21" s="42" customFormat="1" x14ac:dyDescent="0.25">
      <c r="A24" s="167"/>
      <c r="B24" s="30" t="s">
        <v>1367</v>
      </c>
      <c r="C24" s="31"/>
      <c r="D24" s="31"/>
      <c r="E24" s="31"/>
      <c r="F24" s="31"/>
      <c r="G24" s="31"/>
      <c r="H24" s="31"/>
      <c r="I24" s="31"/>
      <c r="J24" s="31"/>
      <c r="K24" s="31"/>
      <c r="L24" s="31"/>
      <c r="M24" s="31"/>
      <c r="N24" s="31"/>
      <c r="O24" s="58"/>
      <c r="P24" s="26"/>
      <c r="Q24" s="26"/>
      <c r="R24" s="26"/>
      <c r="S24" s="26"/>
      <c r="T24" s="38"/>
      <c r="U24" s="152"/>
    </row>
    <row r="25" spans="1:21" s="42" customFormat="1" x14ac:dyDescent="0.25">
      <c r="A25" s="167"/>
      <c r="B25" s="30" t="s">
        <v>1368</v>
      </c>
      <c r="C25" s="31"/>
      <c r="D25" s="31"/>
      <c r="E25" s="31"/>
      <c r="F25" s="31"/>
      <c r="G25" s="31"/>
      <c r="H25" s="31"/>
      <c r="I25" s="31"/>
      <c r="J25" s="31"/>
      <c r="K25" s="31"/>
      <c r="L25" s="31"/>
      <c r="M25" s="31"/>
      <c r="N25" s="31"/>
      <c r="O25" s="58"/>
      <c r="P25" s="26"/>
      <c r="Q25" s="26"/>
      <c r="R25" s="26"/>
      <c r="S25" s="26"/>
      <c r="T25" s="38"/>
      <c r="U25" s="152"/>
    </row>
    <row r="26" spans="1:21" s="42" customFormat="1" ht="15.75" customHeight="1" thickBot="1" x14ac:dyDescent="0.3">
      <c r="A26" s="167"/>
      <c r="B26" s="30" t="s">
        <v>1369</v>
      </c>
      <c r="C26" s="31"/>
      <c r="D26" s="31"/>
      <c r="E26" s="31"/>
      <c r="F26" s="31"/>
      <c r="G26" s="31"/>
      <c r="H26" s="31"/>
      <c r="I26" s="31"/>
      <c r="J26" s="31"/>
      <c r="K26" s="31"/>
      <c r="L26" s="31"/>
      <c r="M26" s="31"/>
      <c r="N26" s="31"/>
      <c r="O26" s="58"/>
      <c r="P26" s="26"/>
      <c r="Q26" s="26"/>
      <c r="R26" s="26"/>
      <c r="S26" s="26"/>
      <c r="T26" s="38"/>
      <c r="U26" s="152"/>
    </row>
    <row r="27" spans="1:21" s="42" customFormat="1" ht="15.75" customHeight="1" thickBot="1" x14ac:dyDescent="0.3">
      <c r="A27" s="166" t="s">
        <v>1370</v>
      </c>
      <c r="B27" s="137" t="s">
        <v>1371</v>
      </c>
      <c r="C27" s="135" t="s">
        <v>1001</v>
      </c>
      <c r="D27" s="55">
        <f t="shared" ref="D27:M27" si="0">D$4*0</f>
        <v>0</v>
      </c>
      <c r="E27" s="55">
        <f t="shared" si="0"/>
        <v>0</v>
      </c>
      <c r="F27" s="36">
        <f t="shared" si="0"/>
        <v>0</v>
      </c>
      <c r="G27" s="36">
        <f t="shared" si="0"/>
        <v>0</v>
      </c>
      <c r="H27" s="36">
        <f t="shared" si="0"/>
        <v>0</v>
      </c>
      <c r="I27" s="36">
        <f t="shared" si="0"/>
        <v>0</v>
      </c>
      <c r="J27" s="36">
        <f t="shared" si="0"/>
        <v>0</v>
      </c>
      <c r="K27" s="36">
        <f t="shared" si="0"/>
        <v>0</v>
      </c>
      <c r="L27" s="36">
        <f t="shared" si="0"/>
        <v>0</v>
      </c>
      <c r="M27" s="36">
        <f t="shared" si="0"/>
        <v>0</v>
      </c>
      <c r="N27" s="56">
        <f>N$4*1</f>
        <v>1</v>
      </c>
      <c r="O27" s="62">
        <f>SUM(D27:N27)</f>
        <v>1</v>
      </c>
      <c r="P27" s="26">
        <v>0</v>
      </c>
      <c r="Q27" s="26">
        <v>0</v>
      </c>
      <c r="R27" s="26">
        <f>P27+Q27</f>
        <v>0</v>
      </c>
      <c r="S27" s="26"/>
      <c r="T27" s="22">
        <f>R27*O27</f>
        <v>0</v>
      </c>
      <c r="U27" s="47"/>
    </row>
    <row r="28" spans="1:21" s="42" customFormat="1" x14ac:dyDescent="0.25">
      <c r="A28" s="157"/>
      <c r="B28" s="44"/>
      <c r="C28" s="44"/>
      <c r="D28" s="44"/>
      <c r="E28" s="44"/>
      <c r="F28" s="44"/>
      <c r="G28" s="44"/>
      <c r="H28" s="44"/>
      <c r="I28" s="44"/>
      <c r="J28" s="44"/>
      <c r="K28" s="44"/>
      <c r="L28" s="44"/>
      <c r="M28" s="44"/>
      <c r="N28" s="44"/>
      <c r="O28" s="118"/>
      <c r="P28" s="44"/>
      <c r="Q28" s="44"/>
      <c r="R28" s="44"/>
      <c r="S28" s="44"/>
      <c r="T28" s="44"/>
      <c r="U28" s="47"/>
    </row>
    <row r="29" spans="1:21" s="42" customFormat="1" x14ac:dyDescent="0.25">
      <c r="A29" s="166" t="s">
        <v>1340</v>
      </c>
      <c r="B29" s="27" t="s">
        <v>1341</v>
      </c>
      <c r="C29" s="28"/>
      <c r="D29" s="28"/>
      <c r="E29" s="28"/>
      <c r="F29" s="28"/>
      <c r="G29" s="28"/>
      <c r="H29" s="28"/>
      <c r="I29" s="28"/>
      <c r="J29" s="28"/>
      <c r="K29" s="28"/>
      <c r="L29" s="28"/>
      <c r="M29" s="28"/>
      <c r="N29" s="28"/>
      <c r="O29" s="60"/>
      <c r="P29" s="29"/>
      <c r="Q29" s="29"/>
      <c r="R29" s="29"/>
      <c r="S29" s="29"/>
      <c r="T29" s="23"/>
      <c r="U29" s="152"/>
    </row>
    <row r="30" spans="1:21" s="42" customFormat="1" ht="132" customHeight="1" x14ac:dyDescent="0.25">
      <c r="A30" s="167"/>
      <c r="B30" s="30" t="s">
        <v>1342</v>
      </c>
      <c r="C30" s="31"/>
      <c r="D30" s="31"/>
      <c r="E30" s="31"/>
      <c r="F30" s="31"/>
      <c r="G30" s="31"/>
      <c r="H30" s="31"/>
      <c r="I30" s="31"/>
      <c r="J30" s="31"/>
      <c r="K30" s="31"/>
      <c r="L30" s="31"/>
      <c r="M30" s="31"/>
      <c r="N30" s="31"/>
      <c r="O30" s="58"/>
      <c r="P30" s="26"/>
      <c r="Q30" s="26"/>
      <c r="R30" s="26"/>
      <c r="S30" s="26"/>
      <c r="T30" s="38"/>
      <c r="U30" s="152"/>
    </row>
    <row r="31" spans="1:21" s="42" customFormat="1" ht="25.5" customHeight="1" x14ac:dyDescent="0.25">
      <c r="A31" s="167"/>
      <c r="B31" s="30" t="s">
        <v>1343</v>
      </c>
      <c r="C31" s="31"/>
      <c r="D31" s="31"/>
      <c r="E31" s="31"/>
      <c r="F31" s="31"/>
      <c r="G31" s="31"/>
      <c r="H31" s="31"/>
      <c r="I31" s="31"/>
      <c r="J31" s="31"/>
      <c r="K31" s="31"/>
      <c r="L31" s="31"/>
      <c r="M31" s="31"/>
      <c r="N31" s="31"/>
      <c r="O31" s="58"/>
      <c r="P31" s="26"/>
      <c r="Q31" s="26"/>
      <c r="R31" s="26"/>
      <c r="S31" s="26"/>
      <c r="T31" s="38"/>
      <c r="U31" s="152"/>
    </row>
    <row r="32" spans="1:21" s="42" customFormat="1" ht="15.75" customHeight="1" thickBot="1" x14ac:dyDescent="0.3">
      <c r="A32" s="167"/>
      <c r="B32" s="30" t="s">
        <v>1344</v>
      </c>
      <c r="C32" s="31"/>
      <c r="D32" s="31"/>
      <c r="E32" s="31"/>
      <c r="F32" s="31"/>
      <c r="G32" s="31"/>
      <c r="H32" s="31"/>
      <c r="I32" s="31"/>
      <c r="J32" s="31"/>
      <c r="K32" s="31"/>
      <c r="L32" s="31"/>
      <c r="M32" s="31"/>
      <c r="N32" s="31"/>
      <c r="O32" s="58"/>
      <c r="P32" s="26"/>
      <c r="Q32" s="26"/>
      <c r="R32" s="26"/>
      <c r="S32" s="26"/>
      <c r="T32" s="38"/>
      <c r="U32" s="152"/>
    </row>
    <row r="33" spans="1:21" s="42" customFormat="1" ht="15.75" customHeight="1" thickBot="1" x14ac:dyDescent="0.3">
      <c r="A33" s="166"/>
      <c r="B33" s="137" t="s">
        <v>968</v>
      </c>
      <c r="C33" s="135" t="s">
        <v>969</v>
      </c>
      <c r="D33" s="55">
        <f t="shared" ref="D33:M33" si="1">D$4*0</f>
        <v>0</v>
      </c>
      <c r="E33" s="55">
        <f t="shared" si="1"/>
        <v>0</v>
      </c>
      <c r="F33" s="36">
        <f t="shared" si="1"/>
        <v>0</v>
      </c>
      <c r="G33" s="36">
        <f t="shared" si="1"/>
        <v>0</v>
      </c>
      <c r="H33" s="36">
        <f t="shared" si="1"/>
        <v>0</v>
      </c>
      <c r="I33" s="36">
        <f t="shared" si="1"/>
        <v>0</v>
      </c>
      <c r="J33" s="36">
        <f t="shared" si="1"/>
        <v>0</v>
      </c>
      <c r="K33" s="36">
        <f t="shared" si="1"/>
        <v>0</v>
      </c>
      <c r="L33" s="36">
        <f t="shared" si="1"/>
        <v>0</v>
      </c>
      <c r="M33" s="36">
        <f t="shared" si="1"/>
        <v>0</v>
      </c>
      <c r="N33" s="56">
        <f>N$4*105.75</f>
        <v>105.75</v>
      </c>
      <c r="O33" s="62">
        <f>SUM(D33:N33)</f>
        <v>105.75</v>
      </c>
      <c r="P33" s="26">
        <v>0</v>
      </c>
      <c r="Q33" s="26">
        <v>0</v>
      </c>
      <c r="R33" s="26">
        <f>P33+Q33</f>
        <v>0</v>
      </c>
      <c r="S33" s="26"/>
      <c r="T33" s="22">
        <f>R33*O33</f>
        <v>0</v>
      </c>
      <c r="U33" s="47"/>
    </row>
    <row r="34" spans="1:21" s="42" customFormat="1" x14ac:dyDescent="0.25">
      <c r="A34" s="157"/>
      <c r="B34" s="44"/>
      <c r="C34" s="44"/>
      <c r="D34" s="44"/>
      <c r="E34" s="44"/>
      <c r="F34" s="44"/>
      <c r="G34" s="44"/>
      <c r="H34" s="44"/>
      <c r="I34" s="44"/>
      <c r="J34" s="44"/>
      <c r="K34" s="44"/>
      <c r="L34" s="44"/>
      <c r="M34" s="44"/>
      <c r="N34" s="44"/>
      <c r="O34" s="118"/>
      <c r="P34" s="44"/>
      <c r="Q34" s="44"/>
      <c r="R34" s="44"/>
      <c r="S34" s="44"/>
      <c r="T34" s="44"/>
      <c r="U34" s="47"/>
    </row>
    <row r="35" spans="1:21" s="42" customFormat="1" x14ac:dyDescent="0.25">
      <c r="A35" s="166" t="s">
        <v>1372</v>
      </c>
      <c r="B35" s="27" t="s">
        <v>1373</v>
      </c>
      <c r="C35" s="28"/>
      <c r="D35" s="28"/>
      <c r="E35" s="28"/>
      <c r="F35" s="28"/>
      <c r="G35" s="28"/>
      <c r="H35" s="28"/>
      <c r="I35" s="28"/>
      <c r="J35" s="28"/>
      <c r="K35" s="28"/>
      <c r="L35" s="28"/>
      <c r="M35" s="28"/>
      <c r="N35" s="28"/>
      <c r="O35" s="60"/>
      <c r="P35" s="29"/>
      <c r="Q35" s="29"/>
      <c r="R35" s="29"/>
      <c r="S35" s="29"/>
      <c r="T35" s="23"/>
      <c r="U35" s="152"/>
    </row>
    <row r="36" spans="1:21" s="42" customFormat="1" ht="25.5" customHeight="1" x14ac:dyDescent="0.25">
      <c r="A36" s="167"/>
      <c r="B36" s="30" t="s">
        <v>1374</v>
      </c>
      <c r="C36" s="31"/>
      <c r="D36" s="31"/>
      <c r="E36" s="31"/>
      <c r="F36" s="31"/>
      <c r="G36" s="31"/>
      <c r="H36" s="31"/>
      <c r="I36" s="31"/>
      <c r="J36" s="31"/>
      <c r="K36" s="31"/>
      <c r="L36" s="31"/>
      <c r="M36" s="31"/>
      <c r="N36" s="31"/>
      <c r="O36" s="58"/>
      <c r="P36" s="26"/>
      <c r="Q36" s="26"/>
      <c r="R36" s="26"/>
      <c r="S36" s="26"/>
      <c r="T36" s="38"/>
      <c r="U36" s="152"/>
    </row>
    <row r="37" spans="1:21" s="42" customFormat="1" ht="25.5" customHeight="1" x14ac:dyDescent="0.25">
      <c r="A37" s="167"/>
      <c r="B37" s="30" t="s">
        <v>1375</v>
      </c>
      <c r="C37" s="31"/>
      <c r="D37" s="31"/>
      <c r="E37" s="31"/>
      <c r="F37" s="31"/>
      <c r="G37" s="31"/>
      <c r="H37" s="31"/>
      <c r="I37" s="31"/>
      <c r="J37" s="31"/>
      <c r="K37" s="31"/>
      <c r="L37" s="31"/>
      <c r="M37" s="31"/>
      <c r="N37" s="31"/>
      <c r="O37" s="58"/>
      <c r="P37" s="26"/>
      <c r="Q37" s="26"/>
      <c r="R37" s="26"/>
      <c r="S37" s="26"/>
      <c r="T37" s="38"/>
      <c r="U37" s="152"/>
    </row>
    <row r="38" spans="1:21" s="42" customFormat="1" ht="15.75" customHeight="1" thickBot="1" x14ac:dyDescent="0.3">
      <c r="A38" s="167"/>
      <c r="B38" s="30" t="s">
        <v>1344</v>
      </c>
      <c r="C38" s="31"/>
      <c r="D38" s="31"/>
      <c r="E38" s="31"/>
      <c r="F38" s="31"/>
      <c r="G38" s="31"/>
      <c r="H38" s="31"/>
      <c r="I38" s="31"/>
      <c r="J38" s="31"/>
      <c r="K38" s="31"/>
      <c r="L38" s="31"/>
      <c r="M38" s="31"/>
      <c r="N38" s="31"/>
      <c r="O38" s="58"/>
      <c r="P38" s="26"/>
      <c r="Q38" s="26"/>
      <c r="R38" s="26"/>
      <c r="S38" s="26"/>
      <c r="T38" s="38"/>
      <c r="U38" s="152"/>
    </row>
    <row r="39" spans="1:21" s="42" customFormat="1" ht="15.75" customHeight="1" thickBot="1" x14ac:dyDescent="0.3">
      <c r="A39" s="166"/>
      <c r="B39" s="137" t="s">
        <v>968</v>
      </c>
      <c r="C39" s="135" t="s">
        <v>969</v>
      </c>
      <c r="D39" s="55">
        <f t="shared" ref="D39:M39" si="2">D$4*0</f>
        <v>0</v>
      </c>
      <c r="E39" s="55">
        <f t="shared" si="2"/>
        <v>0</v>
      </c>
      <c r="F39" s="36">
        <f t="shared" si="2"/>
        <v>0</v>
      </c>
      <c r="G39" s="36">
        <f t="shared" si="2"/>
        <v>0</v>
      </c>
      <c r="H39" s="36">
        <f t="shared" si="2"/>
        <v>0</v>
      </c>
      <c r="I39" s="36">
        <f t="shared" si="2"/>
        <v>0</v>
      </c>
      <c r="J39" s="36">
        <f t="shared" si="2"/>
        <v>0</v>
      </c>
      <c r="K39" s="36">
        <f t="shared" si="2"/>
        <v>0</v>
      </c>
      <c r="L39" s="36">
        <f t="shared" si="2"/>
        <v>0</v>
      </c>
      <c r="M39" s="36">
        <f t="shared" si="2"/>
        <v>0</v>
      </c>
      <c r="N39" s="56">
        <f>N$4*35.7</f>
        <v>35.700000000000003</v>
      </c>
      <c r="O39" s="62">
        <f>SUM(D39:N39)</f>
        <v>35.700000000000003</v>
      </c>
      <c r="P39" s="26">
        <v>0</v>
      </c>
      <c r="Q39" s="26">
        <v>0</v>
      </c>
      <c r="R39" s="26">
        <f>P39+Q39</f>
        <v>0</v>
      </c>
      <c r="S39" s="26"/>
      <c r="T39" s="22">
        <f>R39*O39</f>
        <v>0</v>
      </c>
      <c r="U39" s="47"/>
    </row>
    <row r="40" spans="1:21" s="42" customFormat="1" x14ac:dyDescent="0.25">
      <c r="A40" s="167"/>
      <c r="B40" s="30"/>
      <c r="C40" s="25"/>
      <c r="D40" s="26"/>
      <c r="E40" s="26"/>
      <c r="F40" s="26"/>
      <c r="G40" s="26"/>
      <c r="H40" s="26"/>
      <c r="I40" s="26"/>
      <c r="J40" s="26"/>
      <c r="K40" s="26"/>
      <c r="L40" s="26"/>
      <c r="M40" s="26"/>
      <c r="N40" s="26"/>
      <c r="O40" s="58"/>
      <c r="P40" s="26"/>
      <c r="Q40" s="26"/>
      <c r="R40" s="26"/>
      <c r="S40" s="26"/>
      <c r="T40" s="22"/>
      <c r="U40" s="47"/>
    </row>
    <row r="41" spans="1:21" s="42" customFormat="1" x14ac:dyDescent="0.25">
      <c r="A41" s="225" t="s">
        <v>1376</v>
      </c>
      <c r="B41" s="226" t="s">
        <v>1377</v>
      </c>
      <c r="C41" s="227"/>
      <c r="D41" s="28"/>
      <c r="E41" s="28"/>
      <c r="F41" s="28"/>
      <c r="G41" s="28"/>
      <c r="H41" s="28"/>
      <c r="I41" s="28"/>
      <c r="J41" s="28"/>
      <c r="K41" s="28"/>
      <c r="L41" s="28"/>
      <c r="M41" s="28"/>
      <c r="N41" s="28"/>
      <c r="O41" s="60"/>
      <c r="P41" s="29"/>
      <c r="Q41" s="29"/>
      <c r="R41" s="29"/>
      <c r="S41" s="29"/>
      <c r="T41" s="23"/>
      <c r="U41" s="47"/>
    </row>
    <row r="42" spans="1:21" s="42" customFormat="1" ht="39" customHeight="1" thickBot="1" x14ac:dyDescent="0.3">
      <c r="A42" s="201"/>
      <c r="B42" s="281" t="s">
        <v>1378</v>
      </c>
      <c r="C42" s="204"/>
      <c r="D42" s="31"/>
      <c r="E42" s="31"/>
      <c r="F42" s="31"/>
      <c r="G42" s="31"/>
      <c r="H42" s="31"/>
      <c r="I42" s="31"/>
      <c r="J42" s="31"/>
      <c r="K42" s="31"/>
      <c r="L42" s="31"/>
      <c r="M42" s="31"/>
      <c r="N42" s="31"/>
      <c r="O42" s="58"/>
      <c r="P42" s="26"/>
      <c r="Q42" s="26"/>
      <c r="R42" s="26"/>
      <c r="S42" s="26"/>
      <c r="T42" s="38"/>
      <c r="U42" s="47"/>
    </row>
    <row r="43" spans="1:21" s="286" customFormat="1" ht="15.75" customHeight="1" thickBot="1" x14ac:dyDescent="0.3">
      <c r="A43" s="289"/>
      <c r="B43" s="232" t="s">
        <v>968</v>
      </c>
      <c r="C43" s="233" t="s">
        <v>969</v>
      </c>
      <c r="D43" s="234">
        <f>D$4*2.6</f>
        <v>2.6</v>
      </c>
      <c r="E43" s="234">
        <f>E$4*2.6</f>
        <v>2.6</v>
      </c>
      <c r="F43" s="235">
        <f>F$4*3.5</f>
        <v>3.5</v>
      </c>
      <c r="G43" s="235">
        <f>G$4*3.5</f>
        <v>3.5</v>
      </c>
      <c r="H43" s="235">
        <f>H$4*1.8</f>
        <v>7.2</v>
      </c>
      <c r="I43" s="235">
        <f>I$4*3.5</f>
        <v>3.5</v>
      </c>
      <c r="J43" s="235">
        <f>J$4*3.5</f>
        <v>3.5</v>
      </c>
      <c r="K43" s="235">
        <f>K$4*1.8</f>
        <v>3.6</v>
      </c>
      <c r="L43" s="235">
        <f>L$4*13.3</f>
        <v>13.3</v>
      </c>
      <c r="M43" s="235">
        <f>M$4*0</f>
        <v>0</v>
      </c>
      <c r="N43" s="236">
        <f>N$4*0</f>
        <v>0</v>
      </c>
      <c r="O43" s="237">
        <f>SUM(D43:N43)</f>
        <v>43.3</v>
      </c>
      <c r="P43" s="206">
        <v>0</v>
      </c>
      <c r="Q43" s="206">
        <v>0</v>
      </c>
      <c r="R43" s="206">
        <f>P43+Q43</f>
        <v>0</v>
      </c>
      <c r="S43" s="206"/>
      <c r="T43" s="238">
        <f>R43*O43</f>
        <v>0</v>
      </c>
      <c r="U43" s="285"/>
    </row>
    <row r="44" spans="1:21" s="32" customFormat="1" ht="12.75" customHeight="1" x14ac:dyDescent="0.2">
      <c r="A44" s="159"/>
      <c r="B44" s="31"/>
      <c r="C44" s="25"/>
      <c r="D44" s="25"/>
      <c r="E44" s="25"/>
      <c r="F44" s="25"/>
      <c r="G44" s="25"/>
      <c r="H44" s="25"/>
      <c r="I44" s="25"/>
      <c r="J44" s="25"/>
      <c r="K44" s="25"/>
      <c r="L44" s="25"/>
      <c r="M44" s="25"/>
      <c r="N44" s="25"/>
      <c r="O44" s="58"/>
      <c r="P44" s="26"/>
      <c r="Q44" s="26"/>
      <c r="R44" s="26"/>
      <c r="S44" s="26"/>
      <c r="T44" s="22"/>
      <c r="U44" s="37"/>
    </row>
    <row r="45" spans="1:21" s="32" customFormat="1" ht="14.25" customHeight="1" x14ac:dyDescent="0.2">
      <c r="A45" s="225" t="s">
        <v>1379</v>
      </c>
      <c r="B45" s="226" t="s">
        <v>1380</v>
      </c>
      <c r="C45" s="227"/>
      <c r="D45" s="28"/>
      <c r="E45" s="28"/>
      <c r="F45" s="28"/>
      <c r="G45" s="28"/>
      <c r="H45" s="28"/>
      <c r="I45" s="28"/>
      <c r="J45" s="28"/>
      <c r="K45" s="28"/>
      <c r="L45" s="28"/>
      <c r="M45" s="28"/>
      <c r="N45" s="28"/>
      <c r="O45" s="60"/>
      <c r="P45" s="29"/>
      <c r="Q45" s="29"/>
      <c r="R45" s="29"/>
      <c r="S45" s="29"/>
      <c r="T45" s="23"/>
      <c r="U45" s="37"/>
    </row>
    <row r="46" spans="1:21" s="32" customFormat="1" ht="115.5" customHeight="1" thickBot="1" x14ac:dyDescent="0.25">
      <c r="A46" s="201"/>
      <c r="B46" s="281" t="s">
        <v>1381</v>
      </c>
      <c r="C46" s="204"/>
      <c r="D46" s="31"/>
      <c r="E46" s="31"/>
      <c r="F46" s="31"/>
      <c r="G46" s="31"/>
      <c r="H46" s="31"/>
      <c r="I46" s="31"/>
      <c r="J46" s="31"/>
      <c r="K46" s="31"/>
      <c r="L46" s="31"/>
      <c r="M46" s="31"/>
      <c r="N46" s="31"/>
      <c r="O46" s="58"/>
      <c r="P46" s="26"/>
      <c r="Q46" s="26"/>
      <c r="R46" s="26"/>
      <c r="S46" s="26"/>
      <c r="T46" s="38"/>
      <c r="U46" s="37"/>
    </row>
    <row r="47" spans="1:21" s="32" customFormat="1" thickBot="1" x14ac:dyDescent="0.25">
      <c r="A47" s="289"/>
      <c r="B47" s="232" t="s">
        <v>968</v>
      </c>
      <c r="C47" s="233" t="s">
        <v>969</v>
      </c>
      <c r="D47" s="234">
        <f>D$4*0</f>
        <v>0</v>
      </c>
      <c r="E47" s="234">
        <f>E$4*0</f>
        <v>0</v>
      </c>
      <c r="F47" s="235">
        <f>F$4*0</f>
        <v>0</v>
      </c>
      <c r="G47" s="235">
        <f>G$4*0</f>
        <v>0</v>
      </c>
      <c r="H47" s="235">
        <f>H$4*2.5</f>
        <v>10</v>
      </c>
      <c r="I47" s="235">
        <f>I$4*0</f>
        <v>0</v>
      </c>
      <c r="J47" s="235">
        <f>J$4*0</f>
        <v>0</v>
      </c>
      <c r="K47" s="235">
        <f>K$4*5</f>
        <v>10</v>
      </c>
      <c r="L47" s="235">
        <f>L$4*0</f>
        <v>0</v>
      </c>
      <c r="M47" s="235">
        <f>M$4*0</f>
        <v>0</v>
      </c>
      <c r="N47" s="236">
        <f>N$4*0</f>
        <v>0</v>
      </c>
      <c r="O47" s="237">
        <f>SUM(D47:N47)</f>
        <v>20</v>
      </c>
      <c r="P47" s="206">
        <v>0</v>
      </c>
      <c r="Q47" s="206">
        <v>0</v>
      </c>
      <c r="R47" s="206">
        <f>P47+Q47</f>
        <v>0</v>
      </c>
      <c r="S47" s="206"/>
      <c r="T47" s="238">
        <f>R47*O47</f>
        <v>0</v>
      </c>
      <c r="U47" s="37"/>
    </row>
    <row r="48" spans="1:21" s="32" customFormat="1" ht="12.75" customHeight="1" x14ac:dyDescent="0.2">
      <c r="A48" s="159"/>
      <c r="B48" s="31"/>
      <c r="C48" s="25"/>
      <c r="D48" s="25"/>
      <c r="E48" s="25"/>
      <c r="F48" s="25"/>
      <c r="G48" s="25"/>
      <c r="H48" s="25"/>
      <c r="I48" s="25"/>
      <c r="J48" s="25"/>
      <c r="K48" s="25"/>
      <c r="L48" s="25"/>
      <c r="M48" s="25"/>
      <c r="N48" s="25"/>
      <c r="O48" s="26"/>
      <c r="P48" s="26"/>
      <c r="Q48" s="26"/>
      <c r="R48" s="26"/>
      <c r="S48" s="26"/>
      <c r="T48" s="22"/>
      <c r="U48" s="37"/>
    </row>
    <row r="49" spans="1:21" s="129" customFormat="1" x14ac:dyDescent="0.25">
      <c r="A49" s="165" t="s">
        <v>1359</v>
      </c>
      <c r="B49" s="440" t="s">
        <v>1339</v>
      </c>
      <c r="C49" s="387"/>
      <c r="D49" s="387"/>
      <c r="E49" s="387"/>
      <c r="F49" s="387"/>
      <c r="G49" s="387"/>
      <c r="H49" s="387"/>
      <c r="I49" s="387"/>
      <c r="J49" s="387"/>
      <c r="K49" s="387"/>
      <c r="L49" s="387"/>
      <c r="M49" s="387"/>
      <c r="N49" s="387"/>
      <c r="O49" s="387"/>
      <c r="P49" s="387"/>
      <c r="Q49" s="388"/>
      <c r="R49" s="34" t="s">
        <v>1107</v>
      </c>
      <c r="S49" s="34"/>
      <c r="T49" s="9">
        <f>SUM(T22:T48)</f>
        <v>0</v>
      </c>
      <c r="U49" s="150"/>
    </row>
    <row r="50" spans="1:21" s="32" customFormat="1" ht="12.75" customHeight="1" x14ac:dyDescent="0.2">
      <c r="A50" s="159"/>
      <c r="B50" s="31"/>
      <c r="C50" s="25"/>
      <c r="D50" s="25"/>
      <c r="E50" s="25"/>
      <c r="F50" s="25"/>
      <c r="G50" s="25"/>
      <c r="H50" s="25"/>
      <c r="I50" s="25"/>
      <c r="J50" s="25"/>
      <c r="K50" s="25"/>
      <c r="L50" s="25"/>
      <c r="M50" s="25"/>
      <c r="N50" s="25"/>
      <c r="O50" s="58"/>
      <c r="P50" s="26"/>
      <c r="Q50" s="26"/>
      <c r="R50" s="26"/>
      <c r="S50" s="26"/>
      <c r="T50" s="35"/>
      <c r="U50" s="37"/>
    </row>
    <row r="51" spans="1:21" s="42" customFormat="1" x14ac:dyDescent="0.25">
      <c r="A51" s="161" t="s">
        <v>1361</v>
      </c>
      <c r="B51" s="441" t="s">
        <v>1362</v>
      </c>
      <c r="C51" s="387"/>
      <c r="D51" s="387"/>
      <c r="E51" s="387"/>
      <c r="F51" s="387"/>
      <c r="G51" s="387"/>
      <c r="H51" s="387"/>
      <c r="I51" s="387"/>
      <c r="J51" s="387"/>
      <c r="K51" s="387"/>
      <c r="L51" s="387"/>
      <c r="M51" s="387"/>
      <c r="N51" s="387"/>
      <c r="O51" s="387"/>
      <c r="P51" s="387"/>
      <c r="Q51" s="387"/>
      <c r="R51" s="387"/>
      <c r="S51" s="43"/>
      <c r="T51" s="33"/>
      <c r="U51" s="47"/>
    </row>
    <row r="52" spans="1:21" s="42" customFormat="1" x14ac:dyDescent="0.25">
      <c r="A52" s="157"/>
      <c r="B52" s="44"/>
      <c r="C52" s="44"/>
      <c r="D52" s="44"/>
      <c r="E52" s="44"/>
      <c r="F52" s="44"/>
      <c r="G52" s="44"/>
      <c r="H52" s="44"/>
      <c r="I52" s="44"/>
      <c r="J52" s="44"/>
      <c r="K52" s="44"/>
      <c r="L52" s="44"/>
      <c r="M52" s="44"/>
      <c r="N52" s="44"/>
      <c r="O52" s="118"/>
      <c r="P52" s="44"/>
      <c r="Q52" s="44"/>
      <c r="R52" s="44"/>
      <c r="S52" s="44"/>
      <c r="T52" s="44"/>
      <c r="U52" s="47"/>
    </row>
    <row r="53" spans="1:21" s="42" customFormat="1" x14ac:dyDescent="0.25">
      <c r="A53" s="166" t="s">
        <v>1345</v>
      </c>
      <c r="B53" s="147" t="s">
        <v>1346</v>
      </c>
      <c r="C53" s="28"/>
      <c r="D53" s="28"/>
      <c r="E53" s="28"/>
      <c r="F53" s="28"/>
      <c r="G53" s="28"/>
      <c r="H53" s="28"/>
      <c r="I53" s="28"/>
      <c r="J53" s="28"/>
      <c r="K53" s="28"/>
      <c r="L53" s="28"/>
      <c r="M53" s="28"/>
      <c r="N53" s="28"/>
      <c r="O53" s="60"/>
      <c r="P53" s="29"/>
      <c r="Q53" s="29"/>
      <c r="R53" s="29"/>
      <c r="S53" s="29"/>
      <c r="T53" s="23"/>
      <c r="U53" s="152"/>
    </row>
    <row r="54" spans="1:21" s="42" customFormat="1" x14ac:dyDescent="0.25">
      <c r="A54" s="167"/>
      <c r="B54" s="24" t="s">
        <v>1347</v>
      </c>
      <c r="C54" s="31"/>
      <c r="D54" s="31"/>
      <c r="E54" s="31"/>
      <c r="F54" s="31"/>
      <c r="G54" s="31"/>
      <c r="H54" s="31"/>
      <c r="I54" s="31"/>
      <c r="J54" s="31"/>
      <c r="K54" s="31"/>
      <c r="L54" s="31"/>
      <c r="M54" s="31"/>
      <c r="N54" s="31"/>
      <c r="O54" s="58"/>
      <c r="P54" s="26"/>
      <c r="Q54" s="26"/>
      <c r="R54" s="26"/>
      <c r="S54" s="26"/>
      <c r="T54" s="38"/>
      <c r="U54" s="152"/>
    </row>
    <row r="55" spans="1:21" s="42" customFormat="1" ht="54.75" customHeight="1" x14ac:dyDescent="0.25">
      <c r="A55" s="167"/>
      <c r="B55" s="24" t="s">
        <v>1348</v>
      </c>
      <c r="C55" s="31"/>
      <c r="D55" s="31"/>
      <c r="E55" s="31"/>
      <c r="F55" s="31"/>
      <c r="G55" s="31"/>
      <c r="H55" s="31"/>
      <c r="I55" s="31"/>
      <c r="J55" s="31"/>
      <c r="K55" s="31"/>
      <c r="L55" s="31"/>
      <c r="M55" s="31"/>
      <c r="N55" s="31"/>
      <c r="O55" s="58"/>
      <c r="P55" s="26"/>
      <c r="Q55" s="26"/>
      <c r="R55" s="26"/>
      <c r="S55" s="26"/>
      <c r="T55" s="38"/>
      <c r="U55" s="152"/>
    </row>
    <row r="56" spans="1:21" s="42" customFormat="1" ht="25.5" customHeight="1" x14ac:dyDescent="0.25">
      <c r="A56" s="167"/>
      <c r="B56" s="141" t="s">
        <v>1349</v>
      </c>
      <c r="C56" s="31"/>
      <c r="D56" s="31"/>
      <c r="E56" s="31"/>
      <c r="F56" s="31"/>
      <c r="G56" s="31"/>
      <c r="H56" s="31"/>
      <c r="I56" s="31"/>
      <c r="J56" s="31"/>
      <c r="K56" s="31"/>
      <c r="L56" s="31"/>
      <c r="M56" s="31"/>
      <c r="N56" s="31"/>
      <c r="O56" s="58"/>
      <c r="P56" s="26"/>
      <c r="Q56" s="26"/>
      <c r="R56" s="26"/>
      <c r="S56" s="26"/>
      <c r="T56" s="38"/>
      <c r="U56" s="152"/>
    </row>
    <row r="57" spans="1:21" s="42" customFormat="1" ht="38.25" customHeight="1" x14ac:dyDescent="0.25">
      <c r="A57" s="167"/>
      <c r="B57" s="141" t="s">
        <v>1350</v>
      </c>
      <c r="C57" s="31"/>
      <c r="D57" s="31"/>
      <c r="E57" s="31"/>
      <c r="F57" s="31"/>
      <c r="G57" s="31"/>
      <c r="H57" s="31"/>
      <c r="I57" s="31"/>
      <c r="J57" s="31"/>
      <c r="K57" s="31"/>
      <c r="L57" s="31"/>
      <c r="M57" s="31"/>
      <c r="N57" s="31"/>
      <c r="O57" s="58"/>
      <c r="P57" s="26"/>
      <c r="Q57" s="26"/>
      <c r="R57" s="26"/>
      <c r="S57" s="26"/>
      <c r="T57" s="38"/>
      <c r="U57" s="152"/>
    </row>
    <row r="58" spans="1:21" s="42" customFormat="1" x14ac:dyDescent="0.25">
      <c r="A58" s="167"/>
      <c r="B58" s="17" t="s">
        <v>1351</v>
      </c>
      <c r="C58" s="31"/>
      <c r="D58" s="31"/>
      <c r="E58" s="31"/>
      <c r="F58" s="31"/>
      <c r="G58" s="31"/>
      <c r="H58" s="31"/>
      <c r="I58" s="31"/>
      <c r="J58" s="31"/>
      <c r="K58" s="31"/>
      <c r="L58" s="31"/>
      <c r="M58" s="31"/>
      <c r="N58" s="31"/>
      <c r="O58" s="58"/>
      <c r="P58" s="26"/>
      <c r="Q58" s="26"/>
      <c r="R58" s="26"/>
      <c r="S58" s="26"/>
      <c r="T58" s="38"/>
      <c r="U58" s="152"/>
    </row>
    <row r="59" spans="1:21" s="42" customFormat="1" ht="15.75" customHeight="1" thickBot="1" x14ac:dyDescent="0.3">
      <c r="A59" s="167"/>
      <c r="B59" s="141" t="s">
        <v>1352</v>
      </c>
      <c r="C59" s="31"/>
      <c r="D59" s="31"/>
      <c r="E59" s="31"/>
      <c r="F59" s="31"/>
      <c r="G59" s="31"/>
      <c r="H59" s="31"/>
      <c r="I59" s="31"/>
      <c r="J59" s="31"/>
      <c r="K59" s="31"/>
      <c r="L59" s="31"/>
      <c r="M59" s="31"/>
      <c r="N59" s="31"/>
      <c r="O59" s="58"/>
      <c r="P59" s="26"/>
      <c r="Q59" s="26"/>
      <c r="R59" s="26"/>
      <c r="S59" s="26"/>
      <c r="T59" s="38"/>
      <c r="U59" s="152"/>
    </row>
    <row r="60" spans="1:21" s="42" customFormat="1" ht="15.75" customHeight="1" thickBot="1" x14ac:dyDescent="0.3">
      <c r="A60" s="166" t="s">
        <v>1353</v>
      </c>
      <c r="B60" s="137" t="s">
        <v>1354</v>
      </c>
      <c r="C60" s="135" t="s">
        <v>1001</v>
      </c>
      <c r="D60" s="55">
        <f>D$4*1</f>
        <v>1</v>
      </c>
      <c r="E60" s="55">
        <f>E$4*1</f>
        <v>1</v>
      </c>
      <c r="F60" s="36">
        <f>F$4*1</f>
        <v>1</v>
      </c>
      <c r="G60" s="36">
        <f>G$4*1</f>
        <v>1</v>
      </c>
      <c r="H60" s="36">
        <f>H$4*0</f>
        <v>0</v>
      </c>
      <c r="I60" s="36">
        <f>I$4*1</f>
        <v>1</v>
      </c>
      <c r="J60" s="36">
        <f>J$4*0</f>
        <v>0</v>
      </c>
      <c r="K60" s="36">
        <f>K$4*1</f>
        <v>2</v>
      </c>
      <c r="L60" s="36">
        <f>L$4*0</f>
        <v>0</v>
      </c>
      <c r="M60" s="36">
        <f>M$4*0</f>
        <v>0</v>
      </c>
      <c r="N60" s="56">
        <f>N$4*0</f>
        <v>0</v>
      </c>
      <c r="O60" s="62">
        <f>SUM(D60:N60)</f>
        <v>7</v>
      </c>
      <c r="P60" s="26">
        <v>0</v>
      </c>
      <c r="Q60" s="26">
        <v>0</v>
      </c>
      <c r="R60" s="26">
        <f>P60+Q60</f>
        <v>0</v>
      </c>
      <c r="S60" s="26"/>
      <c r="T60" s="22">
        <f>R60*O60</f>
        <v>0</v>
      </c>
      <c r="U60" s="47"/>
    </row>
    <row r="61" spans="1:21" s="42" customFormat="1" ht="15.75" customHeight="1" thickBot="1" x14ac:dyDescent="0.3">
      <c r="A61" s="166" t="s">
        <v>1355</v>
      </c>
      <c r="B61" s="137" t="s">
        <v>1356</v>
      </c>
      <c r="C61" s="135" t="s">
        <v>1001</v>
      </c>
      <c r="D61" s="55">
        <f t="shared" ref="D61:G62" si="3">D$4*0</f>
        <v>0</v>
      </c>
      <c r="E61" s="55">
        <f t="shared" si="3"/>
        <v>0</v>
      </c>
      <c r="F61" s="36">
        <f t="shared" si="3"/>
        <v>0</v>
      </c>
      <c r="G61" s="36">
        <f t="shared" si="3"/>
        <v>0</v>
      </c>
      <c r="H61" s="36">
        <f>H$4*0</f>
        <v>0</v>
      </c>
      <c r="I61" s="36">
        <f>I$4*0</f>
        <v>0</v>
      </c>
      <c r="J61" s="36">
        <f>J$4*0</f>
        <v>0</v>
      </c>
      <c r="K61" s="36">
        <f>K$4*0</f>
        <v>0</v>
      </c>
      <c r="L61" s="36">
        <f>L$4*1</f>
        <v>1</v>
      </c>
      <c r="M61" s="36">
        <f>M$4*0</f>
        <v>0</v>
      </c>
      <c r="N61" s="56">
        <f>N$4*0</f>
        <v>0</v>
      </c>
      <c r="O61" s="62">
        <f>SUM(D61:N61)</f>
        <v>1</v>
      </c>
      <c r="P61" s="26">
        <v>0</v>
      </c>
      <c r="Q61" s="26">
        <v>0</v>
      </c>
      <c r="R61" s="26">
        <f>P61+Q61</f>
        <v>0</v>
      </c>
      <c r="S61" s="26"/>
      <c r="T61" s="22">
        <f>R61*O61</f>
        <v>0</v>
      </c>
      <c r="U61" s="47"/>
    </row>
    <row r="62" spans="1:21" s="42" customFormat="1" ht="15.75" customHeight="1" thickBot="1" x14ac:dyDescent="0.3">
      <c r="A62" s="166" t="s">
        <v>1357</v>
      </c>
      <c r="B62" s="137" t="s">
        <v>1358</v>
      </c>
      <c r="C62" s="135" t="s">
        <v>1001</v>
      </c>
      <c r="D62" s="55">
        <f t="shared" si="3"/>
        <v>0</v>
      </c>
      <c r="E62" s="55">
        <f t="shared" si="3"/>
        <v>0</v>
      </c>
      <c r="F62" s="36">
        <f t="shared" si="3"/>
        <v>0</v>
      </c>
      <c r="G62" s="36">
        <f t="shared" si="3"/>
        <v>0</v>
      </c>
      <c r="H62" s="36">
        <f>H$4*2</f>
        <v>8</v>
      </c>
      <c r="I62" s="36">
        <f>I$4*0</f>
        <v>0</v>
      </c>
      <c r="J62" s="36">
        <f>J$4*0</f>
        <v>0</v>
      </c>
      <c r="K62" s="36">
        <f>K$4*0</f>
        <v>0</v>
      </c>
      <c r="L62" s="36">
        <f>L$4*0</f>
        <v>0</v>
      </c>
      <c r="M62" s="36">
        <f>M$4*0</f>
        <v>0</v>
      </c>
      <c r="N62" s="56">
        <f>N$4*0</f>
        <v>0</v>
      </c>
      <c r="O62" s="62">
        <f>SUM(D62:N62)</f>
        <v>8</v>
      </c>
      <c r="P62" s="26">
        <v>0</v>
      </c>
      <c r="Q62" s="26">
        <v>0</v>
      </c>
      <c r="R62" s="26">
        <f>P62+Q62</f>
        <v>0</v>
      </c>
      <c r="S62" s="26"/>
      <c r="T62" s="22">
        <f>R62*O62</f>
        <v>0</v>
      </c>
      <c r="U62" s="47"/>
    </row>
    <row r="63" spans="1:21" s="32" customFormat="1" ht="12.75" customHeight="1" x14ac:dyDescent="0.2">
      <c r="A63" s="159"/>
      <c r="B63" s="31"/>
      <c r="C63" s="25"/>
      <c r="D63" s="25"/>
      <c r="E63" s="25"/>
      <c r="F63" s="25"/>
      <c r="G63" s="25"/>
      <c r="H63" s="25"/>
      <c r="I63" s="25"/>
      <c r="J63" s="25"/>
      <c r="K63" s="25"/>
      <c r="L63" s="25"/>
      <c r="M63" s="25"/>
      <c r="N63" s="25"/>
      <c r="O63" s="58"/>
      <c r="P63" s="26"/>
      <c r="Q63" s="26"/>
      <c r="R63" s="26"/>
      <c r="S63" s="26"/>
      <c r="T63" s="22"/>
      <c r="U63" s="37"/>
    </row>
    <row r="64" spans="1:21" s="129" customFormat="1" x14ac:dyDescent="0.25">
      <c r="A64" s="165" t="s">
        <v>1363</v>
      </c>
      <c r="B64" s="440" t="s">
        <v>1362</v>
      </c>
      <c r="C64" s="387"/>
      <c r="D64" s="387"/>
      <c r="E64" s="387"/>
      <c r="F64" s="387"/>
      <c r="G64" s="387"/>
      <c r="H64" s="387"/>
      <c r="I64" s="387"/>
      <c r="J64" s="387"/>
      <c r="K64" s="387"/>
      <c r="L64" s="387"/>
      <c r="M64" s="387"/>
      <c r="N64" s="387"/>
      <c r="O64" s="387"/>
      <c r="P64" s="387"/>
      <c r="Q64" s="388"/>
      <c r="R64" s="34" t="s">
        <v>1107</v>
      </c>
      <c r="S64" s="34"/>
      <c r="T64" s="9">
        <f>SUM(T52:T63)</f>
        <v>0</v>
      </c>
      <c r="U64" s="150"/>
    </row>
    <row r="65" spans="1:21" s="32" customFormat="1" ht="12.75" customHeight="1" x14ac:dyDescent="0.2">
      <c r="A65" s="159"/>
      <c r="B65" s="31"/>
      <c r="C65" s="25"/>
      <c r="D65" s="25"/>
      <c r="E65" s="25"/>
      <c r="F65" s="25"/>
      <c r="G65" s="25"/>
      <c r="H65" s="25"/>
      <c r="I65" s="25"/>
      <c r="J65" s="25"/>
      <c r="K65" s="25"/>
      <c r="L65" s="25"/>
      <c r="M65" s="25"/>
      <c r="N65" s="25"/>
      <c r="O65" s="58"/>
      <c r="P65" s="26"/>
      <c r="Q65" s="26"/>
      <c r="R65" s="26"/>
      <c r="S65" s="26"/>
      <c r="T65" s="22"/>
      <c r="U65" s="37"/>
    </row>
    <row r="66" spans="1:21" s="129" customFormat="1" x14ac:dyDescent="0.25">
      <c r="A66" s="165" t="s">
        <v>1359</v>
      </c>
      <c r="B66" s="440" t="s">
        <v>1339</v>
      </c>
      <c r="C66" s="387"/>
      <c r="D66" s="387"/>
      <c r="E66" s="387"/>
      <c r="F66" s="387"/>
      <c r="G66" s="387"/>
      <c r="H66" s="387"/>
      <c r="I66" s="387"/>
      <c r="J66" s="387"/>
      <c r="K66" s="387"/>
      <c r="L66" s="387"/>
      <c r="M66" s="387"/>
      <c r="N66" s="387"/>
      <c r="O66" s="387"/>
      <c r="P66" s="387"/>
      <c r="Q66" s="388"/>
      <c r="R66" s="34" t="s">
        <v>1107</v>
      </c>
      <c r="S66" s="34"/>
      <c r="T66" s="9">
        <f>SUM(T65:T65)</f>
        <v>0</v>
      </c>
      <c r="U66" s="150"/>
    </row>
    <row r="68" spans="1:21" s="132" customFormat="1" ht="15.75" customHeight="1" x14ac:dyDescent="0.25">
      <c r="A68" s="160" t="s">
        <v>1359</v>
      </c>
      <c r="B68" s="130" t="s">
        <v>1382</v>
      </c>
      <c r="C68" s="49"/>
      <c r="D68" s="49"/>
      <c r="E68" s="49"/>
      <c r="F68" s="49"/>
      <c r="G68" s="49"/>
      <c r="H68" s="49"/>
      <c r="I68" s="49"/>
      <c r="J68" s="49"/>
      <c r="K68" s="49"/>
      <c r="L68" s="49"/>
      <c r="M68" s="49"/>
      <c r="N68" s="49"/>
      <c r="O68" s="131"/>
      <c r="P68" s="49"/>
      <c r="Q68" s="49"/>
      <c r="R68" s="435" t="s">
        <v>946</v>
      </c>
      <c r="S68" s="388"/>
      <c r="T68" s="50">
        <f>T66*5</f>
        <v>0</v>
      </c>
      <c r="U68" s="151"/>
    </row>
    <row r="69" spans="1:21" ht="15.75" customHeight="1" thickBot="1" x14ac:dyDescent="0.3"/>
    <row r="70" spans="1:21" s="42" customFormat="1" ht="50.1" customHeight="1" thickBot="1" x14ac:dyDescent="0.3">
      <c r="A70" s="119" t="s">
        <v>912</v>
      </c>
      <c r="B70" s="119" t="s">
        <v>913</v>
      </c>
      <c r="C70" s="120" t="s">
        <v>914</v>
      </c>
      <c r="D70" s="430"/>
      <c r="E70" s="431"/>
      <c r="F70" s="431"/>
      <c r="G70" s="431"/>
      <c r="H70" s="431"/>
      <c r="I70" s="431"/>
      <c r="J70" s="431"/>
      <c r="K70" s="121" t="s">
        <v>915</v>
      </c>
      <c r="L70" s="122" t="s">
        <v>916</v>
      </c>
      <c r="M70" s="121" t="s">
        <v>917</v>
      </c>
      <c r="N70" s="121" t="s">
        <v>918</v>
      </c>
      <c r="O70" s="121"/>
      <c r="P70" s="119" t="s">
        <v>919</v>
      </c>
      <c r="Q70" s="47"/>
    </row>
    <row r="71" spans="1:21" s="42" customFormat="1" ht="50.1" customHeight="1" thickBot="1" x14ac:dyDescent="0.3">
      <c r="A71" s="123"/>
      <c r="B71" s="123"/>
      <c r="C71" s="124"/>
      <c r="D71" s="432" t="s">
        <v>948</v>
      </c>
      <c r="E71" s="431"/>
      <c r="F71" s="431"/>
      <c r="G71" s="431"/>
      <c r="H71" s="431"/>
      <c r="I71" s="431"/>
      <c r="J71" s="433"/>
      <c r="K71" s="125"/>
      <c r="L71" s="124"/>
      <c r="M71" s="124"/>
      <c r="N71" s="124"/>
      <c r="O71" s="124"/>
      <c r="P71" s="123"/>
      <c r="Q71" s="47"/>
    </row>
    <row r="72" spans="1:21" s="42" customFormat="1" ht="62.25" customHeight="1" x14ac:dyDescent="0.25">
      <c r="A72" s="123"/>
      <c r="B72" s="123"/>
      <c r="C72" s="124"/>
      <c r="D72" s="173" t="s">
        <v>949</v>
      </c>
      <c r="E72" s="46" t="s">
        <v>950</v>
      </c>
      <c r="F72" s="46" t="s">
        <v>951</v>
      </c>
      <c r="G72" s="46" t="s">
        <v>952</v>
      </c>
      <c r="H72" s="46" t="s">
        <v>953</v>
      </c>
      <c r="I72" s="154" t="s">
        <v>930</v>
      </c>
      <c r="J72" s="126" t="s">
        <v>931</v>
      </c>
      <c r="K72" s="125"/>
      <c r="L72" s="124"/>
      <c r="M72" s="124"/>
      <c r="N72" s="124"/>
      <c r="O72" s="124"/>
      <c r="P72" s="123"/>
      <c r="Q72" s="47"/>
    </row>
    <row r="74" spans="1:21" s="32" customFormat="1" ht="12.75" customHeight="1" x14ac:dyDescent="0.2">
      <c r="A74" s="159"/>
      <c r="B74" s="31"/>
      <c r="C74" s="25"/>
      <c r="D74" s="174"/>
      <c r="E74" s="25"/>
      <c r="F74" s="25"/>
      <c r="G74" s="25"/>
      <c r="H74" s="25"/>
      <c r="I74" s="25"/>
      <c r="J74" s="25"/>
      <c r="K74" s="58"/>
      <c r="L74" s="26"/>
      <c r="M74" s="26"/>
      <c r="N74" s="26"/>
      <c r="O74" s="26"/>
      <c r="P74" s="35"/>
      <c r="Q74" s="37"/>
    </row>
    <row r="75" spans="1:21" s="117" customFormat="1" ht="15.75" customHeight="1" x14ac:dyDescent="0.25">
      <c r="A75" s="158" t="s">
        <v>1335</v>
      </c>
      <c r="B75" s="39" t="s">
        <v>1336</v>
      </c>
      <c r="C75" s="40"/>
      <c r="D75" s="175"/>
      <c r="E75" s="40"/>
      <c r="F75" s="40"/>
      <c r="G75" s="40"/>
      <c r="H75" s="40"/>
      <c r="I75" s="40"/>
      <c r="J75" s="40"/>
      <c r="K75" s="59"/>
      <c r="L75" s="40"/>
      <c r="M75" s="40"/>
      <c r="N75" s="40"/>
      <c r="O75" s="40"/>
      <c r="P75" s="41"/>
      <c r="Q75" s="149"/>
    </row>
    <row r="76" spans="1:21" s="42" customFormat="1" x14ac:dyDescent="0.25">
      <c r="A76" s="157"/>
      <c r="B76" s="44"/>
      <c r="C76" s="44"/>
      <c r="D76" s="172"/>
      <c r="E76" s="44"/>
      <c r="F76" s="44"/>
      <c r="G76" s="44"/>
      <c r="H76" s="44"/>
      <c r="I76" s="44"/>
      <c r="J76" s="44"/>
      <c r="K76" s="118"/>
      <c r="L76" s="44"/>
      <c r="M76" s="44"/>
      <c r="N76" s="44"/>
      <c r="O76" s="44"/>
      <c r="P76" s="44"/>
      <c r="Q76" s="47"/>
    </row>
    <row r="77" spans="1:21" s="42" customFormat="1" ht="120" customHeight="1" x14ac:dyDescent="0.25">
      <c r="A77" s="157"/>
      <c r="B77" s="143" t="s">
        <v>1337</v>
      </c>
      <c r="C77" s="44"/>
      <c r="D77" s="172"/>
      <c r="E77" s="44"/>
      <c r="F77" s="44"/>
      <c r="G77" s="44"/>
      <c r="H77" s="44"/>
      <c r="I77" s="44"/>
      <c r="J77" s="44"/>
      <c r="K77" s="118"/>
      <c r="L77" s="44"/>
      <c r="M77" s="44"/>
      <c r="N77" s="44"/>
      <c r="O77" s="44"/>
      <c r="P77" s="44"/>
      <c r="Q77" s="47"/>
    </row>
    <row r="78" spans="1:21" s="32" customFormat="1" ht="12.75" customHeight="1" x14ac:dyDescent="0.2">
      <c r="A78" s="159"/>
      <c r="B78" s="31"/>
      <c r="C78" s="25"/>
      <c r="D78" s="174"/>
      <c r="E78" s="25"/>
      <c r="F78" s="25"/>
      <c r="G78" s="25"/>
      <c r="H78" s="25"/>
      <c r="I78" s="25"/>
      <c r="J78" s="25"/>
      <c r="K78" s="58"/>
      <c r="L78" s="26"/>
      <c r="M78" s="26"/>
      <c r="N78" s="26"/>
      <c r="O78" s="26"/>
      <c r="P78" s="35"/>
      <c r="Q78" s="37"/>
    </row>
    <row r="79" spans="1:21" s="32" customFormat="1" ht="12.75" customHeight="1" x14ac:dyDescent="0.2">
      <c r="A79" s="159"/>
      <c r="B79" s="31"/>
      <c r="C79" s="25"/>
      <c r="D79" s="174"/>
      <c r="E79" s="25"/>
      <c r="F79" s="25"/>
      <c r="G79" s="25"/>
      <c r="H79" s="25"/>
      <c r="I79" s="25"/>
      <c r="J79" s="25"/>
      <c r="K79" s="58"/>
      <c r="L79" s="26"/>
      <c r="M79" s="26"/>
      <c r="N79" s="26"/>
      <c r="O79" s="26"/>
      <c r="P79" s="35"/>
      <c r="Q79" s="37"/>
    </row>
    <row r="80" spans="1:21" s="42" customFormat="1" x14ac:dyDescent="0.25">
      <c r="A80" s="161" t="s">
        <v>1338</v>
      </c>
      <c r="B80" s="441" t="s">
        <v>1339</v>
      </c>
      <c r="C80" s="387"/>
      <c r="D80" s="387"/>
      <c r="E80" s="387"/>
      <c r="F80" s="387"/>
      <c r="G80" s="387"/>
      <c r="H80" s="387"/>
      <c r="I80" s="387"/>
      <c r="J80" s="387"/>
      <c r="K80" s="387"/>
      <c r="L80" s="387"/>
      <c r="M80" s="387"/>
      <c r="N80" s="387"/>
      <c r="O80" s="43"/>
      <c r="P80" s="33"/>
      <c r="Q80" s="47"/>
    </row>
    <row r="81" spans="1:17" s="42" customFormat="1" x14ac:dyDescent="0.25">
      <c r="A81" s="157"/>
      <c r="B81" s="44"/>
      <c r="C81" s="44"/>
      <c r="D81" s="172"/>
      <c r="E81" s="44"/>
      <c r="F81" s="44"/>
      <c r="G81" s="44"/>
      <c r="H81" s="44"/>
      <c r="I81" s="44"/>
      <c r="J81" s="44"/>
      <c r="K81" s="118"/>
      <c r="L81" s="44"/>
      <c r="M81" s="44"/>
      <c r="N81" s="44"/>
      <c r="O81" s="44"/>
      <c r="P81" s="44"/>
      <c r="Q81" s="47"/>
    </row>
    <row r="82" spans="1:17" s="42" customFormat="1" x14ac:dyDescent="0.25">
      <c r="A82" s="166" t="s">
        <v>1365</v>
      </c>
      <c r="B82" s="27" t="s">
        <v>1366</v>
      </c>
      <c r="C82" s="28"/>
      <c r="D82" s="181"/>
      <c r="E82" s="28"/>
      <c r="F82" s="28"/>
      <c r="G82" s="28"/>
      <c r="H82" s="28"/>
      <c r="I82" s="28"/>
      <c r="J82" s="28"/>
      <c r="K82" s="60"/>
      <c r="L82" s="29"/>
      <c r="M82" s="29"/>
      <c r="N82" s="29"/>
      <c r="O82" s="29"/>
      <c r="P82" s="23"/>
      <c r="Q82" s="152"/>
    </row>
    <row r="83" spans="1:17" s="42" customFormat="1" x14ac:dyDescent="0.25">
      <c r="A83" s="167"/>
      <c r="B83" s="30" t="s">
        <v>1367</v>
      </c>
      <c r="C83" s="31"/>
      <c r="D83" s="182"/>
      <c r="E83" s="31"/>
      <c r="F83" s="31"/>
      <c r="G83" s="31"/>
      <c r="H83" s="31"/>
      <c r="I83" s="31"/>
      <c r="J83" s="31"/>
      <c r="K83" s="58"/>
      <c r="L83" s="26"/>
      <c r="M83" s="26"/>
      <c r="N83" s="26"/>
      <c r="O83" s="26"/>
      <c r="P83" s="38"/>
      <c r="Q83" s="152"/>
    </row>
    <row r="84" spans="1:17" s="42" customFormat="1" x14ac:dyDescent="0.25">
      <c r="A84" s="167"/>
      <c r="B84" s="30" t="s">
        <v>1368</v>
      </c>
      <c r="C84" s="31"/>
      <c r="D84" s="182"/>
      <c r="E84" s="31"/>
      <c r="F84" s="31"/>
      <c r="G84" s="31"/>
      <c r="H84" s="31"/>
      <c r="I84" s="31"/>
      <c r="J84" s="31"/>
      <c r="K84" s="58"/>
      <c r="L84" s="26"/>
      <c r="M84" s="26"/>
      <c r="N84" s="26"/>
      <c r="O84" s="26"/>
      <c r="P84" s="38"/>
      <c r="Q84" s="152"/>
    </row>
    <row r="85" spans="1:17" s="42" customFormat="1" ht="15.75" customHeight="1" thickBot="1" x14ac:dyDescent="0.3">
      <c r="A85" s="167"/>
      <c r="B85" s="30" t="s">
        <v>1369</v>
      </c>
      <c r="C85" s="31"/>
      <c r="D85" s="182"/>
      <c r="E85" s="31"/>
      <c r="F85" s="31"/>
      <c r="G85" s="31"/>
      <c r="H85" s="31"/>
      <c r="I85" s="31"/>
      <c r="J85" s="31"/>
      <c r="K85" s="58"/>
      <c r="L85" s="26"/>
      <c r="M85" s="26"/>
      <c r="N85" s="26"/>
      <c r="O85" s="26"/>
      <c r="P85" s="38"/>
      <c r="Q85" s="152"/>
    </row>
    <row r="86" spans="1:17" s="42" customFormat="1" ht="15.75" customHeight="1" thickBot="1" x14ac:dyDescent="0.3">
      <c r="A86" s="166" t="s">
        <v>1383</v>
      </c>
      <c r="B86" s="137" t="s">
        <v>1384</v>
      </c>
      <c r="C86" s="135" t="s">
        <v>1001</v>
      </c>
      <c r="D86" s="177">
        <v>0</v>
      </c>
      <c r="E86" s="36">
        <v>0</v>
      </c>
      <c r="F86" s="36">
        <v>0</v>
      </c>
      <c r="G86" s="36">
        <v>0</v>
      </c>
      <c r="H86" s="36">
        <v>0</v>
      </c>
      <c r="I86" s="36">
        <v>0</v>
      </c>
      <c r="J86" s="56">
        <v>1</v>
      </c>
      <c r="K86" s="62">
        <f>SUM(D86:J86)</f>
        <v>1</v>
      </c>
      <c r="L86" s="26">
        <v>0</v>
      </c>
      <c r="M86" s="26">
        <v>0</v>
      </c>
      <c r="N86" s="26">
        <f>L86+M86</f>
        <v>0</v>
      </c>
      <c r="O86" s="26"/>
      <c r="P86" s="22">
        <f>N86*K86</f>
        <v>0</v>
      </c>
      <c r="Q86" s="47"/>
    </row>
    <row r="87" spans="1:17" s="42" customFormat="1" x14ac:dyDescent="0.25">
      <c r="A87" s="157"/>
      <c r="B87" s="44"/>
      <c r="C87" s="44"/>
      <c r="D87" s="172"/>
      <c r="E87" s="44"/>
      <c r="F87" s="44"/>
      <c r="G87" s="44"/>
      <c r="H87" s="44"/>
      <c r="I87" s="44"/>
      <c r="J87" s="44"/>
      <c r="K87" s="118"/>
      <c r="L87" s="44"/>
      <c r="M87" s="44"/>
      <c r="N87" s="44"/>
      <c r="O87" s="44"/>
      <c r="P87" s="44"/>
      <c r="Q87" s="47"/>
    </row>
    <row r="88" spans="1:17" s="42" customFormat="1" x14ac:dyDescent="0.25">
      <c r="A88" s="166" t="s">
        <v>1340</v>
      </c>
      <c r="B88" s="27" t="s">
        <v>1341</v>
      </c>
      <c r="C88" s="28"/>
      <c r="D88" s="181"/>
      <c r="E88" s="28"/>
      <c r="F88" s="28"/>
      <c r="G88" s="28"/>
      <c r="H88" s="28"/>
      <c r="I88" s="28"/>
      <c r="J88" s="28"/>
      <c r="K88" s="60"/>
      <c r="L88" s="29"/>
      <c r="M88" s="29"/>
      <c r="N88" s="29"/>
      <c r="O88" s="29"/>
      <c r="P88" s="23"/>
      <c r="Q88" s="152"/>
    </row>
    <row r="89" spans="1:17" s="42" customFormat="1" ht="102" customHeight="1" x14ac:dyDescent="0.25">
      <c r="A89" s="167"/>
      <c r="B89" s="30" t="s">
        <v>1342</v>
      </c>
      <c r="C89" s="31"/>
      <c r="D89" s="182"/>
      <c r="E89" s="31"/>
      <c r="F89" s="31"/>
      <c r="G89" s="31"/>
      <c r="H89" s="31"/>
      <c r="I89" s="31"/>
      <c r="J89" s="31"/>
      <c r="K89" s="58"/>
      <c r="L89" s="26"/>
      <c r="M89" s="26"/>
      <c r="N89" s="26"/>
      <c r="O89" s="26"/>
      <c r="P89" s="38"/>
      <c r="Q89" s="152"/>
    </row>
    <row r="90" spans="1:17" s="42" customFormat="1" ht="25.5" customHeight="1" x14ac:dyDescent="0.25">
      <c r="A90" s="167"/>
      <c r="B90" s="30" t="s">
        <v>1343</v>
      </c>
      <c r="C90" s="31"/>
      <c r="D90" s="182"/>
      <c r="E90" s="31"/>
      <c r="F90" s="31"/>
      <c r="G90" s="31"/>
      <c r="H90" s="31"/>
      <c r="I90" s="31"/>
      <c r="J90" s="31"/>
      <c r="K90" s="58"/>
      <c r="L90" s="26"/>
      <c r="M90" s="26"/>
      <c r="N90" s="26"/>
      <c r="O90" s="26"/>
      <c r="P90" s="38"/>
      <c r="Q90" s="152"/>
    </row>
    <row r="91" spans="1:17" s="42" customFormat="1" ht="15.75" customHeight="1" thickBot="1" x14ac:dyDescent="0.3">
      <c r="A91" s="167"/>
      <c r="B91" s="30" t="s">
        <v>1344</v>
      </c>
      <c r="C91" s="31"/>
      <c r="D91" s="182"/>
      <c r="E91" s="31"/>
      <c r="F91" s="31"/>
      <c r="G91" s="31"/>
      <c r="H91" s="31"/>
      <c r="I91" s="31"/>
      <c r="J91" s="31"/>
      <c r="K91" s="58"/>
      <c r="L91" s="26"/>
      <c r="M91" s="26"/>
      <c r="N91" s="26"/>
      <c r="O91" s="26"/>
      <c r="P91" s="38"/>
      <c r="Q91" s="152"/>
    </row>
    <row r="92" spans="1:17" s="42" customFormat="1" ht="15.75" customHeight="1" thickBot="1" x14ac:dyDescent="0.3">
      <c r="A92" s="166"/>
      <c r="B92" s="137" t="s">
        <v>968</v>
      </c>
      <c r="C92" s="135" t="s">
        <v>969</v>
      </c>
      <c r="D92" s="177">
        <v>0</v>
      </c>
      <c r="E92" s="36">
        <v>0</v>
      </c>
      <c r="F92" s="36">
        <v>0</v>
      </c>
      <c r="G92" s="36">
        <v>0</v>
      </c>
      <c r="H92" s="36">
        <v>0</v>
      </c>
      <c r="I92" s="36">
        <v>0</v>
      </c>
      <c r="J92" s="56">
        <v>77.900000000000006</v>
      </c>
      <c r="K92" s="62">
        <f>SUM(D92:J92)</f>
        <v>77.900000000000006</v>
      </c>
      <c r="L92" s="26">
        <v>0</v>
      </c>
      <c r="M92" s="26">
        <v>0</v>
      </c>
      <c r="N92" s="26">
        <f>L92+M92</f>
        <v>0</v>
      </c>
      <c r="O92" s="26"/>
      <c r="P92" s="22">
        <f>N92*K92</f>
        <v>0</v>
      </c>
      <c r="Q92" s="47"/>
    </row>
    <row r="93" spans="1:17" s="42" customFormat="1" x14ac:dyDescent="0.25">
      <c r="A93" s="167"/>
      <c r="B93" s="30"/>
      <c r="C93" s="25"/>
      <c r="D93" s="178"/>
      <c r="E93" s="26"/>
      <c r="F93" s="26"/>
      <c r="G93" s="26"/>
      <c r="H93" s="26"/>
      <c r="I93" s="26"/>
      <c r="J93" s="26"/>
      <c r="K93" s="58"/>
      <c r="L93" s="26"/>
      <c r="M93" s="26"/>
      <c r="N93" s="26"/>
      <c r="O93" s="26"/>
      <c r="P93" s="22"/>
      <c r="Q93" s="47"/>
    </row>
    <row r="94" spans="1:17" s="42" customFormat="1" x14ac:dyDescent="0.25">
      <c r="A94" s="225" t="s">
        <v>1372</v>
      </c>
      <c r="B94" s="226" t="s">
        <v>1377</v>
      </c>
      <c r="C94" s="227"/>
      <c r="D94" s="296"/>
      <c r="E94" s="227"/>
      <c r="F94" s="227"/>
      <c r="G94" s="227"/>
      <c r="H94" s="227"/>
      <c r="I94" s="227"/>
      <c r="J94" s="227"/>
      <c r="K94" s="228"/>
      <c r="L94" s="229"/>
      <c r="M94" s="229"/>
      <c r="N94" s="229"/>
      <c r="O94" s="229"/>
      <c r="P94" s="230"/>
      <c r="Q94" s="47"/>
    </row>
    <row r="95" spans="1:17" s="42" customFormat="1" ht="39" customHeight="1" thickBot="1" x14ac:dyDescent="0.3">
      <c r="A95" s="201"/>
      <c r="B95" s="281" t="s">
        <v>1378</v>
      </c>
      <c r="C95" s="204"/>
      <c r="D95" s="338"/>
      <c r="E95" s="204"/>
      <c r="F95" s="204"/>
      <c r="G95" s="204"/>
      <c r="H95" s="204"/>
      <c r="I95" s="204"/>
      <c r="J95" s="204"/>
      <c r="K95" s="205"/>
      <c r="L95" s="206"/>
      <c r="M95" s="206"/>
      <c r="N95" s="206"/>
      <c r="O95" s="206"/>
      <c r="P95" s="207"/>
      <c r="Q95" s="47"/>
    </row>
    <row r="96" spans="1:17" s="42" customFormat="1" ht="15.75" customHeight="1" thickBot="1" x14ac:dyDescent="0.3">
      <c r="A96" s="225"/>
      <c r="B96" s="232" t="s">
        <v>968</v>
      </c>
      <c r="C96" s="233" t="s">
        <v>969</v>
      </c>
      <c r="D96" s="297">
        <v>7.2</v>
      </c>
      <c r="E96" s="235">
        <v>7.2</v>
      </c>
      <c r="F96" s="235">
        <v>0</v>
      </c>
      <c r="G96" s="235">
        <v>12.6</v>
      </c>
      <c r="H96" s="235">
        <v>10.8</v>
      </c>
      <c r="I96" s="235">
        <v>0</v>
      </c>
      <c r="J96" s="236">
        <v>77.900000000000006</v>
      </c>
      <c r="K96" s="237">
        <f>SUM(D96:J96)</f>
        <v>115.7</v>
      </c>
      <c r="L96" s="206">
        <v>0</v>
      </c>
      <c r="M96" s="206">
        <v>0</v>
      </c>
      <c r="N96" s="206">
        <f>L96+M96</f>
        <v>0</v>
      </c>
      <c r="O96" s="206"/>
      <c r="P96" s="238">
        <f>N96*K96</f>
        <v>0</v>
      </c>
      <c r="Q96" s="47"/>
    </row>
    <row r="97" spans="1:17" s="32" customFormat="1" ht="12.75" customHeight="1" x14ac:dyDescent="0.2">
      <c r="A97" s="159"/>
      <c r="B97" s="31"/>
      <c r="C97" s="25"/>
      <c r="D97" s="174"/>
      <c r="E97" s="25"/>
      <c r="F97" s="25"/>
      <c r="G97" s="25"/>
      <c r="H97" s="25"/>
      <c r="I97" s="25"/>
      <c r="J97" s="25"/>
      <c r="K97" s="58"/>
      <c r="L97" s="26"/>
      <c r="M97" s="26"/>
      <c r="N97" s="26"/>
      <c r="O97" s="26"/>
      <c r="P97" s="35"/>
      <c r="Q97" s="37"/>
    </row>
    <row r="98" spans="1:17" s="129" customFormat="1" x14ac:dyDescent="0.25">
      <c r="A98" s="165" t="s">
        <v>1359</v>
      </c>
      <c r="B98" s="440" t="s">
        <v>1339</v>
      </c>
      <c r="C98" s="387"/>
      <c r="D98" s="387"/>
      <c r="E98" s="387"/>
      <c r="F98" s="387"/>
      <c r="G98" s="387"/>
      <c r="H98" s="387"/>
      <c r="I98" s="387"/>
      <c r="J98" s="387"/>
      <c r="K98" s="387"/>
      <c r="L98" s="387"/>
      <c r="M98" s="388"/>
      <c r="N98" s="34" t="s">
        <v>1107</v>
      </c>
      <c r="O98" s="34"/>
      <c r="P98" s="9">
        <f>SUM(P81:P97)</f>
        <v>0</v>
      </c>
      <c r="Q98" s="150"/>
    </row>
    <row r="99" spans="1:17" s="32" customFormat="1" ht="12.75" customHeight="1" x14ac:dyDescent="0.2">
      <c r="A99" s="159"/>
      <c r="B99" s="31"/>
      <c r="C99" s="25"/>
      <c r="D99" s="174"/>
      <c r="E99" s="25"/>
      <c r="F99" s="25"/>
      <c r="G99" s="25"/>
      <c r="H99" s="25"/>
      <c r="I99" s="25"/>
      <c r="J99" s="25"/>
      <c r="K99" s="58"/>
      <c r="L99" s="26"/>
      <c r="M99" s="26"/>
      <c r="N99" s="26"/>
      <c r="O99" s="26"/>
      <c r="P99" s="35"/>
      <c r="Q99" s="37"/>
    </row>
    <row r="100" spans="1:17" s="42" customFormat="1" x14ac:dyDescent="0.25">
      <c r="A100" s="161" t="s">
        <v>1361</v>
      </c>
      <c r="B100" s="441" t="s">
        <v>1362</v>
      </c>
      <c r="C100" s="387"/>
      <c r="D100" s="387"/>
      <c r="E100" s="387"/>
      <c r="F100" s="387"/>
      <c r="G100" s="387"/>
      <c r="H100" s="387"/>
      <c r="I100" s="387"/>
      <c r="J100" s="387"/>
      <c r="K100" s="387"/>
      <c r="L100" s="387"/>
      <c r="M100" s="387"/>
      <c r="N100" s="387"/>
      <c r="O100" s="43"/>
      <c r="P100" s="33"/>
      <c r="Q100" s="47"/>
    </row>
    <row r="101" spans="1:17" s="42" customFormat="1" x14ac:dyDescent="0.25">
      <c r="A101" s="157"/>
      <c r="B101" s="44"/>
      <c r="C101" s="44"/>
      <c r="D101" s="172"/>
      <c r="E101" s="44"/>
      <c r="F101" s="44"/>
      <c r="G101" s="44"/>
      <c r="H101" s="44"/>
      <c r="I101" s="44"/>
      <c r="J101" s="44"/>
      <c r="K101" s="118"/>
      <c r="L101" s="44"/>
      <c r="M101" s="44"/>
      <c r="N101" s="44"/>
      <c r="O101" s="44"/>
      <c r="P101" s="44"/>
      <c r="Q101" s="47"/>
    </row>
    <row r="102" spans="1:17" s="42" customFormat="1" x14ac:dyDescent="0.25">
      <c r="A102" s="166" t="s">
        <v>1345</v>
      </c>
      <c r="B102" s="147" t="s">
        <v>1346</v>
      </c>
      <c r="C102" s="28"/>
      <c r="D102" s="181"/>
      <c r="E102" s="28"/>
      <c r="F102" s="28"/>
      <c r="G102" s="28"/>
      <c r="H102" s="28"/>
      <c r="I102" s="28"/>
      <c r="J102" s="28"/>
      <c r="K102" s="60"/>
      <c r="L102" s="29"/>
      <c r="M102" s="29"/>
      <c r="N102" s="29"/>
      <c r="O102" s="29"/>
      <c r="P102" s="23"/>
      <c r="Q102" s="152"/>
    </row>
    <row r="103" spans="1:17" s="42" customFormat="1" x14ac:dyDescent="0.25">
      <c r="A103" s="167"/>
      <c r="B103" s="24" t="s">
        <v>1347</v>
      </c>
      <c r="C103" s="31"/>
      <c r="D103" s="182"/>
      <c r="E103" s="31"/>
      <c r="F103" s="31"/>
      <c r="G103" s="31"/>
      <c r="H103" s="31"/>
      <c r="I103" s="31"/>
      <c r="J103" s="31"/>
      <c r="K103" s="58"/>
      <c r="L103" s="26"/>
      <c r="M103" s="26"/>
      <c r="N103" s="26"/>
      <c r="O103" s="26"/>
      <c r="P103" s="38"/>
      <c r="Q103" s="152"/>
    </row>
    <row r="104" spans="1:17" s="42" customFormat="1" ht="51" customHeight="1" x14ac:dyDescent="0.25">
      <c r="A104" s="167"/>
      <c r="B104" s="24" t="s">
        <v>1348</v>
      </c>
      <c r="C104" s="31"/>
      <c r="D104" s="182"/>
      <c r="E104" s="31"/>
      <c r="F104" s="31"/>
      <c r="G104" s="31"/>
      <c r="H104" s="31"/>
      <c r="I104" s="31"/>
      <c r="J104" s="31"/>
      <c r="K104" s="58"/>
      <c r="L104" s="26"/>
      <c r="M104" s="26"/>
      <c r="N104" s="26"/>
      <c r="O104" s="26"/>
      <c r="P104" s="38"/>
      <c r="Q104" s="152"/>
    </row>
    <row r="105" spans="1:17" s="42" customFormat="1" ht="25.5" customHeight="1" x14ac:dyDescent="0.25">
      <c r="A105" s="167"/>
      <c r="B105" s="141" t="s">
        <v>1349</v>
      </c>
      <c r="C105" s="31"/>
      <c r="D105" s="182"/>
      <c r="E105" s="31"/>
      <c r="F105" s="31"/>
      <c r="G105" s="31"/>
      <c r="H105" s="31"/>
      <c r="I105" s="31"/>
      <c r="J105" s="31"/>
      <c r="K105" s="58"/>
      <c r="L105" s="26"/>
      <c r="M105" s="26"/>
      <c r="N105" s="26"/>
      <c r="O105" s="26"/>
      <c r="P105" s="38"/>
      <c r="Q105" s="152"/>
    </row>
    <row r="106" spans="1:17" s="42" customFormat="1" ht="38.25" customHeight="1" x14ac:dyDescent="0.25">
      <c r="A106" s="167"/>
      <c r="B106" s="141" t="s">
        <v>1350</v>
      </c>
      <c r="C106" s="31"/>
      <c r="D106" s="182"/>
      <c r="E106" s="31"/>
      <c r="F106" s="31"/>
      <c r="G106" s="31"/>
      <c r="H106" s="31"/>
      <c r="I106" s="31"/>
      <c r="J106" s="31"/>
      <c r="K106" s="58"/>
      <c r="L106" s="26"/>
      <c r="M106" s="26"/>
      <c r="N106" s="26"/>
      <c r="O106" s="26"/>
      <c r="P106" s="38"/>
      <c r="Q106" s="152"/>
    </row>
    <row r="107" spans="1:17" s="42" customFormat="1" x14ac:dyDescent="0.25">
      <c r="A107" s="167"/>
      <c r="B107" s="17" t="s">
        <v>1351</v>
      </c>
      <c r="C107" s="31"/>
      <c r="D107" s="182"/>
      <c r="E107" s="31"/>
      <c r="F107" s="31"/>
      <c r="G107" s="31"/>
      <c r="H107" s="31"/>
      <c r="I107" s="31"/>
      <c r="J107" s="31"/>
      <c r="K107" s="58"/>
      <c r="L107" s="26"/>
      <c r="M107" s="26"/>
      <c r="N107" s="26"/>
      <c r="O107" s="26"/>
      <c r="P107" s="38"/>
      <c r="Q107" s="152"/>
    </row>
    <row r="108" spans="1:17" s="42" customFormat="1" ht="15.75" customHeight="1" thickBot="1" x14ac:dyDescent="0.3">
      <c r="A108" s="167"/>
      <c r="B108" s="141" t="s">
        <v>1352</v>
      </c>
      <c r="C108" s="31"/>
      <c r="D108" s="182"/>
      <c r="E108" s="31"/>
      <c r="F108" s="31"/>
      <c r="G108" s="31"/>
      <c r="H108" s="31"/>
      <c r="I108" s="31"/>
      <c r="J108" s="31"/>
      <c r="K108" s="58"/>
      <c r="L108" s="26"/>
      <c r="M108" s="26"/>
      <c r="N108" s="26"/>
      <c r="O108" s="26"/>
      <c r="P108" s="38"/>
      <c r="Q108" s="152"/>
    </row>
    <row r="109" spans="1:17" s="42" customFormat="1" ht="15.75" customHeight="1" thickBot="1" x14ac:dyDescent="0.3">
      <c r="A109" s="166" t="s">
        <v>1353</v>
      </c>
      <c r="B109" s="137" t="s">
        <v>1354</v>
      </c>
      <c r="C109" s="135" t="s">
        <v>1001</v>
      </c>
      <c r="D109" s="177">
        <v>2</v>
      </c>
      <c r="E109" s="36">
        <v>2</v>
      </c>
      <c r="F109" s="36">
        <v>4</v>
      </c>
      <c r="G109" s="36">
        <v>2</v>
      </c>
      <c r="H109" s="36">
        <v>2</v>
      </c>
      <c r="I109" s="36">
        <v>0</v>
      </c>
      <c r="J109" s="56">
        <v>0</v>
      </c>
      <c r="K109" s="62">
        <f>SUM(D109:J109)</f>
        <v>12</v>
      </c>
      <c r="L109" s="26">
        <v>0</v>
      </c>
      <c r="M109" s="26">
        <v>0</v>
      </c>
      <c r="N109" s="26">
        <f>L109+M109</f>
        <v>0</v>
      </c>
      <c r="O109" s="26"/>
      <c r="P109" s="22">
        <f>N109*K109</f>
        <v>0</v>
      </c>
      <c r="Q109" s="47"/>
    </row>
    <row r="110" spans="1:17" s="42" customFormat="1" ht="15.75" customHeight="1" thickBot="1" x14ac:dyDescent="0.3">
      <c r="A110" s="166" t="s">
        <v>1357</v>
      </c>
      <c r="B110" s="137" t="s">
        <v>1358</v>
      </c>
      <c r="C110" s="135" t="s">
        <v>1001</v>
      </c>
      <c r="D110" s="177">
        <v>0</v>
      </c>
      <c r="E110" s="36">
        <v>0</v>
      </c>
      <c r="F110" s="36">
        <v>4</v>
      </c>
      <c r="G110" s="36">
        <v>0</v>
      </c>
      <c r="H110" s="36">
        <v>2</v>
      </c>
      <c r="I110" s="36">
        <v>0</v>
      </c>
      <c r="J110" s="56">
        <v>0</v>
      </c>
      <c r="K110" s="62">
        <f>SUM(D110:J110)</f>
        <v>6</v>
      </c>
      <c r="L110" s="26">
        <v>0</v>
      </c>
      <c r="M110" s="26">
        <v>0</v>
      </c>
      <c r="N110" s="26">
        <f>L110+M110</f>
        <v>0</v>
      </c>
      <c r="O110" s="26"/>
      <c r="P110" s="22">
        <f>N110*K110</f>
        <v>0</v>
      </c>
      <c r="Q110" s="47"/>
    </row>
    <row r="111" spans="1:17" s="32" customFormat="1" ht="12.75" customHeight="1" x14ac:dyDescent="0.2">
      <c r="A111" s="159"/>
      <c r="B111" s="31"/>
      <c r="C111" s="25"/>
      <c r="D111" s="174"/>
      <c r="E111" s="25"/>
      <c r="F111" s="25"/>
      <c r="G111" s="25"/>
      <c r="H111" s="25"/>
      <c r="I111" s="25"/>
      <c r="J111" s="25"/>
      <c r="K111" s="58"/>
      <c r="L111" s="26"/>
      <c r="M111" s="26"/>
      <c r="N111" s="26"/>
      <c r="O111" s="26"/>
      <c r="P111" s="22"/>
      <c r="Q111" s="37"/>
    </row>
    <row r="112" spans="1:17" s="129" customFormat="1" x14ac:dyDescent="0.25">
      <c r="A112" s="165" t="s">
        <v>1363</v>
      </c>
      <c r="B112" s="440" t="s">
        <v>1362</v>
      </c>
      <c r="C112" s="387"/>
      <c r="D112" s="387"/>
      <c r="E112" s="387"/>
      <c r="F112" s="387"/>
      <c r="G112" s="387"/>
      <c r="H112" s="387"/>
      <c r="I112" s="387"/>
      <c r="J112" s="387"/>
      <c r="K112" s="387"/>
      <c r="L112" s="387"/>
      <c r="M112" s="388"/>
      <c r="N112" s="34" t="s">
        <v>1107</v>
      </c>
      <c r="O112" s="34"/>
      <c r="P112" s="9">
        <f>SUM(P101:P111)</f>
        <v>0</v>
      </c>
      <c r="Q112" s="150"/>
    </row>
    <row r="113" spans="1:21" s="32" customFormat="1" ht="12.75" customHeight="1" x14ac:dyDescent="0.2">
      <c r="A113" s="159"/>
      <c r="B113" s="31"/>
      <c r="C113" s="25"/>
      <c r="D113" s="174"/>
      <c r="E113" s="25"/>
      <c r="F113" s="25"/>
      <c r="G113" s="25"/>
      <c r="H113" s="25"/>
      <c r="I113" s="25"/>
      <c r="J113" s="25"/>
      <c r="K113" s="58"/>
      <c r="L113" s="26"/>
      <c r="M113" s="26"/>
      <c r="N113" s="26"/>
      <c r="O113" s="26"/>
      <c r="P113" s="35"/>
      <c r="Q113" s="37"/>
    </row>
    <row r="114" spans="1:21" s="42" customFormat="1" x14ac:dyDescent="0.25">
      <c r="A114" s="161" t="s">
        <v>1385</v>
      </c>
      <c r="B114" s="441" t="s">
        <v>1386</v>
      </c>
      <c r="C114" s="387"/>
      <c r="D114" s="387"/>
      <c r="E114" s="387"/>
      <c r="F114" s="387"/>
      <c r="G114" s="387"/>
      <c r="H114" s="387"/>
      <c r="I114" s="387"/>
      <c r="J114" s="387"/>
      <c r="K114" s="387"/>
      <c r="L114" s="387"/>
      <c r="M114" s="387"/>
      <c r="N114" s="387"/>
      <c r="O114" s="43"/>
      <c r="P114" s="33"/>
      <c r="Q114" s="47"/>
    </row>
    <row r="115" spans="1:21" s="32" customFormat="1" ht="12.75" customHeight="1" x14ac:dyDescent="0.2">
      <c r="A115" s="159"/>
      <c r="B115" s="31"/>
      <c r="C115" s="25"/>
      <c r="D115" s="174"/>
      <c r="E115" s="25"/>
      <c r="F115" s="25"/>
      <c r="G115" s="25"/>
      <c r="H115" s="25"/>
      <c r="I115" s="25"/>
      <c r="J115" s="25"/>
      <c r="K115" s="58"/>
      <c r="L115" s="26"/>
      <c r="M115" s="26"/>
      <c r="N115" s="26"/>
      <c r="O115" s="26"/>
      <c r="P115" s="35"/>
      <c r="Q115" s="37"/>
    </row>
    <row r="116" spans="1:21" s="42" customFormat="1" x14ac:dyDescent="0.25">
      <c r="A116" s="166" t="s">
        <v>1387</v>
      </c>
      <c r="B116" s="147" t="s">
        <v>1388</v>
      </c>
      <c r="C116" s="28"/>
      <c r="D116" s="181"/>
      <c r="E116" s="28"/>
      <c r="F116" s="28"/>
      <c r="G116" s="28"/>
      <c r="H116" s="28"/>
      <c r="I116" s="28"/>
      <c r="J116" s="28"/>
      <c r="K116" s="60"/>
      <c r="L116" s="29"/>
      <c r="M116" s="29"/>
      <c r="N116" s="29"/>
      <c r="O116" s="29"/>
      <c r="P116" s="23"/>
      <c r="Q116" s="152"/>
    </row>
    <row r="117" spans="1:21" s="32" customFormat="1" ht="102.75" customHeight="1" thickBot="1" x14ac:dyDescent="0.25">
      <c r="A117" s="159"/>
      <c r="B117" s="24" t="s">
        <v>1389</v>
      </c>
      <c r="C117" s="25"/>
      <c r="D117" s="174"/>
      <c r="E117" s="25"/>
      <c r="F117" s="25"/>
      <c r="G117" s="25"/>
      <c r="H117" s="25"/>
      <c r="I117" s="25"/>
      <c r="J117" s="25"/>
      <c r="K117" s="58"/>
      <c r="L117" s="26"/>
      <c r="M117" s="26"/>
      <c r="N117" s="26"/>
      <c r="O117" s="26"/>
      <c r="P117" s="35"/>
      <c r="Q117" s="37"/>
    </row>
    <row r="118" spans="1:21" s="42" customFormat="1" ht="15.75" customHeight="1" thickBot="1" x14ac:dyDescent="0.3">
      <c r="A118" s="166"/>
      <c r="B118" s="137" t="s">
        <v>1369</v>
      </c>
      <c r="C118" s="135" t="s">
        <v>1001</v>
      </c>
      <c r="D118" s="177">
        <f t="shared" ref="D118:I118" si="4">D$4*0</f>
        <v>0</v>
      </c>
      <c r="E118" s="36">
        <f t="shared" si="4"/>
        <v>0</v>
      </c>
      <c r="F118" s="36">
        <f t="shared" si="4"/>
        <v>0</v>
      </c>
      <c r="G118" s="36">
        <f t="shared" si="4"/>
        <v>0</v>
      </c>
      <c r="H118" s="36">
        <f t="shared" si="4"/>
        <v>0</v>
      </c>
      <c r="I118" s="36">
        <f t="shared" si="4"/>
        <v>0</v>
      </c>
      <c r="J118" s="56">
        <f>J$4*1</f>
        <v>1</v>
      </c>
      <c r="K118" s="62">
        <f>SUM(D118:J118)</f>
        <v>1</v>
      </c>
      <c r="L118" s="26">
        <v>0</v>
      </c>
      <c r="M118" s="26">
        <v>0</v>
      </c>
      <c r="N118" s="26">
        <f>L118+M118</f>
        <v>0</v>
      </c>
      <c r="O118" s="26"/>
      <c r="P118" s="22">
        <f>N118*K118</f>
        <v>0</v>
      </c>
      <c r="Q118" s="47"/>
    </row>
    <row r="119" spans="1:21" s="32" customFormat="1" ht="12.75" customHeight="1" x14ac:dyDescent="0.2">
      <c r="A119" s="159"/>
      <c r="B119" s="31"/>
      <c r="C119" s="25"/>
      <c r="D119" s="174"/>
      <c r="E119" s="25"/>
      <c r="F119" s="25"/>
      <c r="G119" s="25"/>
      <c r="H119" s="25"/>
      <c r="I119" s="25"/>
      <c r="J119" s="25"/>
      <c r="K119" s="58"/>
      <c r="L119" s="26"/>
      <c r="M119" s="26"/>
      <c r="N119" s="26"/>
      <c r="O119" s="26"/>
      <c r="P119" s="35"/>
      <c r="Q119" s="37"/>
    </row>
    <row r="120" spans="1:21" s="129" customFormat="1" x14ac:dyDescent="0.25">
      <c r="A120" s="165" t="s">
        <v>1390</v>
      </c>
      <c r="B120" s="440" t="s">
        <v>1386</v>
      </c>
      <c r="C120" s="387"/>
      <c r="D120" s="387"/>
      <c r="E120" s="387"/>
      <c r="F120" s="387"/>
      <c r="G120" s="387"/>
      <c r="H120" s="387"/>
      <c r="I120" s="387"/>
      <c r="J120" s="387"/>
      <c r="K120" s="387"/>
      <c r="L120" s="387"/>
      <c r="M120" s="388"/>
      <c r="N120" s="34" t="s">
        <v>1107</v>
      </c>
      <c r="O120" s="34"/>
      <c r="P120" s="9">
        <f>SUM(P115:P119)</f>
        <v>0</v>
      </c>
      <c r="Q120" s="150"/>
    </row>
    <row r="121" spans="1:21" s="32" customFormat="1" ht="12.75" customHeight="1" x14ac:dyDescent="0.2">
      <c r="A121" s="159"/>
      <c r="B121" s="31"/>
      <c r="C121" s="25"/>
      <c r="D121" s="174"/>
      <c r="E121" s="25"/>
      <c r="F121" s="25"/>
      <c r="G121" s="25"/>
      <c r="H121" s="25"/>
      <c r="I121" s="25"/>
      <c r="J121" s="25"/>
      <c r="K121" s="58"/>
      <c r="L121" s="26"/>
      <c r="M121" s="26"/>
      <c r="N121" s="26"/>
      <c r="O121" s="26"/>
      <c r="P121" s="35"/>
      <c r="Q121" s="37"/>
    </row>
    <row r="122" spans="1:21" s="32" customFormat="1" ht="12.75" customHeight="1" x14ac:dyDescent="0.2">
      <c r="A122" s="159"/>
      <c r="B122" s="31"/>
      <c r="C122" s="25"/>
      <c r="D122" s="174"/>
      <c r="E122" s="25"/>
      <c r="F122" s="25"/>
      <c r="G122" s="25"/>
      <c r="H122" s="25"/>
      <c r="I122" s="25"/>
      <c r="J122" s="25"/>
      <c r="K122" s="58"/>
      <c r="L122" s="26"/>
      <c r="M122" s="26"/>
      <c r="N122" s="26"/>
      <c r="O122" s="26"/>
      <c r="P122" s="35"/>
      <c r="Q122" s="37"/>
    </row>
    <row r="123" spans="1:21" s="132" customFormat="1" ht="15.75" customHeight="1" x14ac:dyDescent="0.25">
      <c r="A123" s="160" t="s">
        <v>1391</v>
      </c>
      <c r="B123" s="130" t="s">
        <v>1336</v>
      </c>
      <c r="C123" s="49"/>
      <c r="D123" s="180"/>
      <c r="E123" s="49"/>
      <c r="F123" s="49"/>
      <c r="G123" s="49"/>
      <c r="H123" s="49"/>
      <c r="I123" s="49"/>
      <c r="J123" s="49"/>
      <c r="K123" s="131"/>
      <c r="L123" s="49"/>
      <c r="M123" s="49"/>
      <c r="N123" s="435" t="s">
        <v>946</v>
      </c>
      <c r="O123" s="388"/>
      <c r="P123" s="50">
        <f>SUM(P120,P112,P98)</f>
        <v>0</v>
      </c>
      <c r="Q123" s="151"/>
    </row>
    <row r="125" spans="1:21" s="132" customFormat="1" ht="15.75" customHeight="1" x14ac:dyDescent="0.25">
      <c r="A125" s="160" t="s">
        <v>1391</v>
      </c>
      <c r="B125" s="130" t="s">
        <v>1392</v>
      </c>
      <c r="C125" s="49"/>
      <c r="D125" s="49"/>
      <c r="E125" s="49"/>
      <c r="F125" s="49"/>
      <c r="G125" s="49"/>
      <c r="H125" s="49"/>
      <c r="I125" s="49"/>
      <c r="J125" s="49"/>
      <c r="K125" s="49"/>
      <c r="L125" s="49"/>
      <c r="M125" s="49"/>
      <c r="N125" s="49"/>
      <c r="O125" s="131"/>
      <c r="P125" s="49"/>
      <c r="Q125" s="49"/>
      <c r="R125" s="435" t="s">
        <v>946</v>
      </c>
      <c r="S125" s="388"/>
      <c r="T125" s="50">
        <f>P123*6</f>
        <v>0</v>
      </c>
      <c r="U125" s="151"/>
    </row>
    <row r="127" spans="1:21" s="132" customFormat="1" ht="15.75" customHeight="1" x14ac:dyDescent="0.25">
      <c r="A127" s="160"/>
      <c r="B127" s="130" t="s">
        <v>963</v>
      </c>
      <c r="C127" s="49"/>
      <c r="D127" s="49"/>
      <c r="E127" s="49"/>
      <c r="F127" s="49"/>
      <c r="G127" s="49"/>
      <c r="H127" s="49"/>
      <c r="I127" s="49"/>
      <c r="J127" s="49"/>
      <c r="K127" s="49"/>
      <c r="L127" s="49"/>
      <c r="M127" s="49"/>
      <c r="N127" s="49"/>
      <c r="O127" s="131"/>
      <c r="P127" s="49"/>
      <c r="Q127" s="49"/>
      <c r="R127" s="435"/>
      <c r="S127" s="388"/>
      <c r="T127" s="50">
        <f>SUM(T125,T68)</f>
        <v>0</v>
      </c>
      <c r="U127" s="151"/>
    </row>
  </sheetData>
  <mergeCells count="21">
    <mergeCell ref="B2:R3"/>
    <mergeCell ref="R127:S127"/>
    <mergeCell ref="N123:O123"/>
    <mergeCell ref="R125:S125"/>
    <mergeCell ref="D8:N8"/>
    <mergeCell ref="D70:J70"/>
    <mergeCell ref="R68:S68"/>
    <mergeCell ref="B51:R51"/>
    <mergeCell ref="B5:T5"/>
    <mergeCell ref="B114:N114"/>
    <mergeCell ref="B112:M112"/>
    <mergeCell ref="B21:R21"/>
    <mergeCell ref="B100:N100"/>
    <mergeCell ref="B66:Q66"/>
    <mergeCell ref="D7:N7"/>
    <mergeCell ref="D71:J71"/>
    <mergeCell ref="B120:M120"/>
    <mergeCell ref="B98:M98"/>
    <mergeCell ref="B49:Q49"/>
    <mergeCell ref="B64:Q64"/>
    <mergeCell ref="B80:N80"/>
  </mergeCells>
  <conditionalFormatting sqref="P74">
    <cfRule type="cellIs" dxfId="38" priority="11" stopIfTrue="1" operator="greaterThan">
      <formula>0</formula>
    </cfRule>
  </conditionalFormatting>
  <conditionalFormatting sqref="P78:P79 P119:P123">
    <cfRule type="cellIs" dxfId="37" priority="3" stopIfTrue="1" operator="greaterThan">
      <formula>0</formula>
    </cfRule>
  </conditionalFormatting>
  <conditionalFormatting sqref="P97:P99">
    <cfRule type="cellIs" dxfId="36" priority="1" stopIfTrue="1" operator="greaterThan">
      <formula>0</formula>
    </cfRule>
  </conditionalFormatting>
  <conditionalFormatting sqref="P112:P113 P115 P117">
    <cfRule type="cellIs" dxfId="35" priority="2" stopIfTrue="1" operator="greaterThan">
      <formula>0</formula>
    </cfRule>
  </conditionalFormatting>
  <conditionalFormatting sqref="T11">
    <cfRule type="cellIs" dxfId="34" priority="14" stopIfTrue="1" operator="greaterThan">
      <formula>0</formula>
    </cfRule>
  </conditionalFormatting>
  <conditionalFormatting sqref="T14:T15">
    <cfRule type="cellIs" dxfId="33" priority="13" stopIfTrue="1" operator="greaterThan">
      <formula>0</formula>
    </cfRule>
  </conditionalFormatting>
  <conditionalFormatting sqref="T19:T20 T64">
    <cfRule type="cellIs" dxfId="32" priority="5" stopIfTrue="1" operator="greaterThan">
      <formula>0</formula>
    </cfRule>
  </conditionalFormatting>
  <conditionalFormatting sqref="T49:T50">
    <cfRule type="cellIs" dxfId="31" priority="4" stopIfTrue="1" operator="greaterThan">
      <formula>0</formula>
    </cfRule>
  </conditionalFormatting>
  <conditionalFormatting sqref="T66">
    <cfRule type="cellIs" dxfId="30" priority="12" stopIfTrue="1" operator="greaterThan">
      <formula>0</formula>
    </cfRule>
  </conditionalFormatting>
  <conditionalFormatting sqref="T68">
    <cfRule type="cellIs" dxfId="29" priority="8" stopIfTrue="1" operator="greaterThan">
      <formula>0</formula>
    </cfRule>
  </conditionalFormatting>
  <conditionalFormatting sqref="T125">
    <cfRule type="cellIs" dxfId="28" priority="7" stopIfTrue="1" operator="greaterThan">
      <formula>0</formula>
    </cfRule>
  </conditionalFormatting>
  <conditionalFormatting sqref="T127">
    <cfRule type="cellIs" dxfId="27" priority="6" stopIfTrue="1" operator="greaterThan">
      <formula>0</formula>
    </cfRule>
  </conditionalFormatting>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2" tint="-9.9978637043366805E-2"/>
  </sheetPr>
  <dimension ref="A1:S90"/>
  <sheetViews>
    <sheetView topLeftCell="A6" workbookViewId="0">
      <selection activeCell="M14" sqref="M14"/>
    </sheetView>
  </sheetViews>
  <sheetFormatPr defaultColWidth="9.140625" defaultRowHeight="15" x14ac:dyDescent="0.25"/>
  <cols>
    <col min="1" max="1" width="12.7109375" style="157" customWidth="1"/>
    <col min="2" max="2" width="50.7109375" style="42" customWidth="1"/>
    <col min="3" max="3" width="9.85546875" style="42" customWidth="1"/>
    <col min="4" max="4" width="12.42578125" style="179" customWidth="1"/>
    <col min="5" max="8" width="12.42578125" style="42" customWidth="1"/>
    <col min="9" max="9" width="12.42578125" style="179" customWidth="1"/>
    <col min="10" max="14" width="12.42578125" style="42" customWidth="1"/>
    <col min="15" max="15" width="11" style="128" customWidth="1"/>
    <col min="16" max="17" width="10.7109375" style="42" customWidth="1"/>
    <col min="18" max="18" width="15.7109375" style="42" customWidth="1"/>
    <col min="19" max="19" width="9.140625" style="152" customWidth="1"/>
    <col min="20" max="20" width="9.140625" style="42" customWidth="1"/>
    <col min="21" max="21" width="56.5703125" style="42" customWidth="1"/>
    <col min="22" max="22" width="9.140625" style="42" customWidth="1"/>
    <col min="23" max="16384" width="9.140625" style="42"/>
  </cols>
  <sheetData>
    <row r="1" spans="1:19" x14ac:dyDescent="0.25">
      <c r="B1" s="112" t="s">
        <v>906</v>
      </c>
      <c r="C1" s="44"/>
      <c r="D1" s="342"/>
      <c r="E1" s="53"/>
      <c r="F1" s="53"/>
      <c r="G1" s="53"/>
      <c r="H1" s="53"/>
      <c r="I1" s="342"/>
      <c r="J1" s="53"/>
      <c r="K1" s="53"/>
      <c r="L1" s="53"/>
      <c r="M1" s="53"/>
      <c r="N1" s="53"/>
      <c r="O1" s="113"/>
      <c r="P1" s="44"/>
      <c r="Q1" s="44"/>
      <c r="R1" s="44"/>
      <c r="S1" s="47"/>
    </row>
    <row r="2" spans="1:19" ht="15" customHeight="1" x14ac:dyDescent="0.25">
      <c r="B2" s="436" t="s">
        <v>907</v>
      </c>
      <c r="C2" s="437"/>
      <c r="D2" s="444"/>
      <c r="E2" s="437"/>
      <c r="F2" s="437"/>
      <c r="G2" s="437"/>
      <c r="H2" s="437"/>
      <c r="I2" s="444"/>
      <c r="J2" s="437"/>
      <c r="K2" s="437"/>
      <c r="L2" s="437"/>
      <c r="M2" s="437"/>
      <c r="N2" s="437"/>
      <c r="O2" s="445"/>
      <c r="P2" s="438"/>
      <c r="Q2" s="7" t="s">
        <v>25</v>
      </c>
      <c r="R2" s="133">
        <v>0</v>
      </c>
      <c r="S2" s="47"/>
    </row>
    <row r="3" spans="1:19" x14ac:dyDescent="0.25">
      <c r="B3" s="439"/>
      <c r="C3" s="393"/>
      <c r="D3" s="393"/>
      <c r="E3" s="393"/>
      <c r="F3" s="393"/>
      <c r="G3" s="393"/>
      <c r="H3" s="393"/>
      <c r="I3" s="393"/>
      <c r="J3" s="393"/>
      <c r="K3" s="393"/>
      <c r="L3" s="393"/>
      <c r="M3" s="393"/>
      <c r="N3" s="393"/>
      <c r="O3" s="393"/>
      <c r="P3" s="394"/>
      <c r="Q3" s="7" t="s">
        <v>27</v>
      </c>
      <c r="R3" s="134" t="s">
        <v>1393</v>
      </c>
      <c r="S3" s="47"/>
    </row>
    <row r="4" spans="1:19" ht="15.75" customHeight="1" thickBot="1" x14ac:dyDescent="0.3">
      <c r="B4" s="44"/>
      <c r="C4" s="44"/>
      <c r="D4" s="172"/>
      <c r="E4" s="44"/>
      <c r="F4" s="44"/>
      <c r="G4" s="44"/>
      <c r="H4" s="44"/>
      <c r="I4" s="172"/>
      <c r="J4" s="44"/>
      <c r="K4" s="44"/>
      <c r="L4" s="44"/>
      <c r="M4" s="44"/>
      <c r="N4" s="44"/>
      <c r="O4" s="118"/>
      <c r="P4" s="44"/>
      <c r="Q4" s="44"/>
      <c r="R4" s="44"/>
      <c r="S4" s="47"/>
    </row>
    <row r="5" spans="1:19" ht="50.1" customHeight="1" thickBot="1" x14ac:dyDescent="0.3">
      <c r="A5" s="119" t="s">
        <v>912</v>
      </c>
      <c r="B5" s="119" t="s">
        <v>913</v>
      </c>
      <c r="C5" s="120" t="s">
        <v>914</v>
      </c>
      <c r="D5" s="430"/>
      <c r="E5" s="431"/>
      <c r="F5" s="431"/>
      <c r="G5" s="431"/>
      <c r="H5" s="431"/>
      <c r="I5" s="430"/>
      <c r="J5" s="431"/>
      <c r="K5" s="431"/>
      <c r="L5" s="431"/>
      <c r="M5" s="431"/>
      <c r="N5" s="431"/>
      <c r="O5" s="121" t="s">
        <v>915</v>
      </c>
      <c r="P5" s="121" t="s">
        <v>918</v>
      </c>
      <c r="Q5" s="121"/>
      <c r="R5" s="119" t="s">
        <v>919</v>
      </c>
      <c r="S5" s="47"/>
    </row>
    <row r="6" spans="1:19" ht="50.1" customHeight="1" thickBot="1" x14ac:dyDescent="0.3">
      <c r="A6" s="123"/>
      <c r="B6" s="123"/>
      <c r="C6" s="124"/>
      <c r="D6" s="443" t="s">
        <v>920</v>
      </c>
      <c r="E6" s="431"/>
      <c r="F6" s="431"/>
      <c r="G6" s="431"/>
      <c r="H6" s="433"/>
      <c r="I6" s="446" t="s">
        <v>948</v>
      </c>
      <c r="J6" s="431"/>
      <c r="K6" s="431"/>
      <c r="L6" s="431"/>
      <c r="M6" s="431"/>
      <c r="N6" s="431"/>
      <c r="O6" s="125"/>
      <c r="P6" s="124"/>
      <c r="Q6" s="124"/>
      <c r="R6" s="123"/>
      <c r="S6" s="47"/>
    </row>
    <row r="7" spans="1:19" ht="62.25" customHeight="1" x14ac:dyDescent="0.25">
      <c r="A7" s="123"/>
      <c r="B7" s="123"/>
      <c r="C7" s="124"/>
      <c r="D7" s="173" t="s">
        <v>1394</v>
      </c>
      <c r="E7" s="127" t="s">
        <v>1395</v>
      </c>
      <c r="F7" s="46" t="s">
        <v>1396</v>
      </c>
      <c r="G7" s="46" t="s">
        <v>1397</v>
      </c>
      <c r="H7" s="46" t="s">
        <v>1398</v>
      </c>
      <c r="I7" s="173" t="s">
        <v>1399</v>
      </c>
      <c r="J7" s="127" t="s">
        <v>1400</v>
      </c>
      <c r="K7" s="46" t="s">
        <v>1401</v>
      </c>
      <c r="L7" s="46" t="s">
        <v>1402</v>
      </c>
      <c r="M7" s="46" t="s">
        <v>1403</v>
      </c>
      <c r="N7" s="46" t="s">
        <v>1404</v>
      </c>
      <c r="O7" s="125"/>
      <c r="P7" s="124"/>
      <c r="Q7" s="124"/>
      <c r="R7" s="123"/>
      <c r="S7" s="47"/>
    </row>
    <row r="8" spans="1:19" s="32" customFormat="1" ht="12.75" customHeight="1" x14ac:dyDescent="0.2">
      <c r="A8" s="159"/>
      <c r="B8" s="30"/>
      <c r="C8" s="25"/>
      <c r="D8" s="174"/>
      <c r="E8" s="25"/>
      <c r="F8" s="25"/>
      <c r="G8" s="25"/>
      <c r="H8" s="25"/>
      <c r="I8" s="174"/>
      <c r="J8" s="25"/>
      <c r="K8" s="25"/>
      <c r="L8" s="25"/>
      <c r="M8" s="25"/>
      <c r="N8" s="25"/>
      <c r="O8" s="58"/>
      <c r="P8" s="26"/>
      <c r="Q8" s="26"/>
      <c r="R8" s="22"/>
      <c r="S8" s="37"/>
    </row>
    <row r="9" spans="1:19" s="32" customFormat="1" ht="12.75" customHeight="1" x14ac:dyDescent="0.2">
      <c r="A9" s="159"/>
      <c r="B9" s="31"/>
      <c r="C9" s="25"/>
      <c r="D9" s="174"/>
      <c r="E9" s="25"/>
      <c r="F9" s="25"/>
      <c r="G9" s="25"/>
      <c r="H9" s="25"/>
      <c r="I9" s="174"/>
      <c r="J9" s="25"/>
      <c r="K9" s="25"/>
      <c r="L9" s="25"/>
      <c r="M9" s="25"/>
      <c r="N9" s="25"/>
      <c r="O9" s="58"/>
      <c r="P9" s="26"/>
      <c r="Q9" s="26"/>
      <c r="R9" s="35"/>
      <c r="S9" s="37"/>
    </row>
    <row r="10" spans="1:19" s="117" customFormat="1" ht="15.75" customHeight="1" x14ac:dyDescent="0.25">
      <c r="A10" s="160" t="s">
        <v>932</v>
      </c>
      <c r="B10" s="39" t="s">
        <v>1405</v>
      </c>
      <c r="C10" s="40"/>
      <c r="D10" s="175"/>
      <c r="E10" s="40"/>
      <c r="F10" s="40"/>
      <c r="G10" s="40"/>
      <c r="H10" s="40"/>
      <c r="I10" s="175"/>
      <c r="J10" s="40"/>
      <c r="K10" s="40"/>
      <c r="L10" s="40"/>
      <c r="M10" s="40"/>
      <c r="N10" s="40"/>
      <c r="O10" s="59"/>
      <c r="P10" s="40"/>
      <c r="Q10" s="40"/>
      <c r="R10" s="41"/>
      <c r="S10" s="149"/>
    </row>
    <row r="11" spans="1:19" s="117" customFormat="1" ht="51" customHeight="1" x14ac:dyDescent="0.25">
      <c r="A11" s="343"/>
      <c r="B11" s="344" t="s">
        <v>1406</v>
      </c>
      <c r="C11" s="345"/>
      <c r="D11" s="346"/>
      <c r="E11" s="345"/>
      <c r="F11" s="345"/>
      <c r="G11" s="345"/>
      <c r="H11" s="345"/>
      <c r="I11" s="346"/>
      <c r="J11" s="345"/>
      <c r="K11" s="345"/>
      <c r="L11" s="345"/>
      <c r="M11" s="345"/>
      <c r="N11" s="345"/>
      <c r="O11" s="347"/>
      <c r="P11" s="345"/>
      <c r="Q11" s="345"/>
      <c r="R11" s="345"/>
      <c r="S11" s="149"/>
    </row>
    <row r="12" spans="1:19" s="32" customFormat="1" ht="12.75" customHeight="1" x14ac:dyDescent="0.2">
      <c r="A12" s="159"/>
      <c r="B12" s="31"/>
      <c r="C12" s="25"/>
      <c r="D12" s="174"/>
      <c r="E12" s="25"/>
      <c r="F12" s="25"/>
      <c r="G12" s="25"/>
      <c r="H12" s="25"/>
      <c r="I12" s="174"/>
      <c r="J12" s="25"/>
      <c r="K12" s="25"/>
      <c r="L12" s="25"/>
      <c r="M12" s="25"/>
      <c r="N12" s="25"/>
      <c r="O12" s="58"/>
      <c r="P12" s="26"/>
      <c r="Q12" s="26"/>
      <c r="R12" s="35"/>
      <c r="S12" s="37"/>
    </row>
    <row r="13" spans="1:19" s="32" customFormat="1" ht="13.5" customHeight="1" thickBot="1" x14ac:dyDescent="0.25">
      <c r="A13" s="162" t="s">
        <v>1407</v>
      </c>
      <c r="B13" s="28" t="s">
        <v>1408</v>
      </c>
      <c r="C13" s="135"/>
      <c r="D13" s="176"/>
      <c r="E13" s="135"/>
      <c r="F13" s="135"/>
      <c r="G13" s="135"/>
      <c r="H13" s="348"/>
      <c r="I13" s="176"/>
      <c r="J13" s="135"/>
      <c r="K13" s="135"/>
      <c r="L13" s="135"/>
      <c r="M13" s="135"/>
      <c r="N13" s="348"/>
      <c r="O13" s="60"/>
      <c r="P13" s="29"/>
      <c r="Q13" s="29"/>
      <c r="R13" s="136"/>
      <c r="S13" s="37"/>
    </row>
    <row r="14" spans="1:19" s="32" customFormat="1" ht="262.5" customHeight="1" x14ac:dyDescent="0.2">
      <c r="A14" s="163"/>
      <c r="B14" s="349" t="s">
        <v>1409</v>
      </c>
      <c r="C14" s="350" t="s">
        <v>1410</v>
      </c>
      <c r="D14" s="178">
        <v>5</v>
      </c>
      <c r="E14" s="26">
        <v>0</v>
      </c>
      <c r="F14" s="26">
        <v>0</v>
      </c>
      <c r="G14" s="26">
        <v>0</v>
      </c>
      <c r="H14" s="351">
        <v>2</v>
      </c>
      <c r="I14" s="178">
        <v>0</v>
      </c>
      <c r="J14" s="26">
        <v>5</v>
      </c>
      <c r="K14" s="26">
        <v>6</v>
      </c>
      <c r="L14" s="26">
        <v>5</v>
      </c>
      <c r="M14" s="26">
        <v>2</v>
      </c>
      <c r="N14" s="351">
        <v>0</v>
      </c>
      <c r="O14" s="352">
        <f>SUM(D14:N14)</f>
        <v>25</v>
      </c>
      <c r="P14" s="26"/>
      <c r="Q14" s="26"/>
      <c r="R14" s="353">
        <f>P14*O14</f>
        <v>0</v>
      </c>
      <c r="S14" s="37"/>
    </row>
    <row r="15" spans="1:19" s="32" customFormat="1" ht="12.75" customHeight="1" x14ac:dyDescent="0.2">
      <c r="A15" s="163"/>
      <c r="B15" s="31"/>
      <c r="C15" s="25"/>
      <c r="D15" s="178"/>
      <c r="E15" s="26"/>
      <c r="F15" s="26"/>
      <c r="G15" s="26"/>
      <c r="H15" s="26"/>
      <c r="I15" s="178"/>
      <c r="J15" s="26"/>
      <c r="K15" s="26"/>
      <c r="L15" s="26"/>
      <c r="M15" s="26"/>
      <c r="N15" s="26"/>
      <c r="O15" s="58"/>
      <c r="P15" s="26"/>
      <c r="Q15" s="26"/>
      <c r="R15" s="22"/>
      <c r="S15" s="37"/>
    </row>
    <row r="16" spans="1:19" s="32" customFormat="1" ht="13.5" customHeight="1" thickBot="1" x14ac:dyDescent="0.25">
      <c r="A16" s="162" t="s">
        <v>1411</v>
      </c>
      <c r="B16" s="28" t="s">
        <v>1412</v>
      </c>
      <c r="C16" s="135"/>
      <c r="D16" s="176"/>
      <c r="E16" s="135"/>
      <c r="F16" s="135"/>
      <c r="G16" s="135"/>
      <c r="H16" s="135"/>
      <c r="I16" s="176"/>
      <c r="J16" s="135"/>
      <c r="K16" s="135"/>
      <c r="L16" s="135"/>
      <c r="M16" s="135"/>
      <c r="N16" s="135"/>
      <c r="O16" s="60"/>
      <c r="P16" s="29"/>
      <c r="Q16" s="29"/>
      <c r="R16" s="136"/>
      <c r="S16" s="37"/>
    </row>
    <row r="17" spans="1:19" s="32" customFormat="1" ht="78.75" customHeight="1" x14ac:dyDescent="0.2">
      <c r="A17" s="163"/>
      <c r="B17" s="349" t="s">
        <v>1413</v>
      </c>
      <c r="C17" s="350" t="s">
        <v>1410</v>
      </c>
      <c r="D17" s="178">
        <v>0</v>
      </c>
      <c r="E17" s="26">
        <v>2</v>
      </c>
      <c r="F17" s="26">
        <v>0</v>
      </c>
      <c r="G17" s="26">
        <v>0</v>
      </c>
      <c r="H17" s="351">
        <v>0</v>
      </c>
      <c r="I17" s="178">
        <v>0</v>
      </c>
      <c r="J17" s="26">
        <v>0</v>
      </c>
      <c r="K17" s="26">
        <v>0</v>
      </c>
      <c r="L17" s="26">
        <v>0</v>
      </c>
      <c r="M17" s="26">
        <v>0</v>
      </c>
      <c r="N17" s="351">
        <v>0</v>
      </c>
      <c r="O17" s="352">
        <f>SUM(D17:N17)</f>
        <v>2</v>
      </c>
      <c r="P17" s="26"/>
      <c r="Q17" s="26"/>
      <c r="R17" s="353">
        <f>P17*O17</f>
        <v>0</v>
      </c>
      <c r="S17" s="37"/>
    </row>
    <row r="18" spans="1:19" s="32" customFormat="1" ht="12.75" customHeight="1" x14ac:dyDescent="0.2">
      <c r="A18" s="163"/>
      <c r="B18" s="354"/>
      <c r="C18" s="25"/>
      <c r="D18" s="178"/>
      <c r="E18" s="26"/>
      <c r="F18" s="26"/>
      <c r="G18" s="26"/>
      <c r="H18" s="26"/>
      <c r="I18" s="178"/>
      <c r="J18" s="26"/>
      <c r="K18" s="26"/>
      <c r="L18" s="26"/>
      <c r="M18" s="26"/>
      <c r="N18" s="26"/>
      <c r="O18" s="58"/>
      <c r="P18" s="26"/>
      <c r="Q18" s="26"/>
      <c r="R18" s="22"/>
      <c r="S18" s="37"/>
    </row>
    <row r="19" spans="1:19" s="32" customFormat="1" ht="13.5" customHeight="1" thickBot="1" x14ac:dyDescent="0.25">
      <c r="A19" s="162" t="s">
        <v>1414</v>
      </c>
      <c r="B19" s="28" t="s">
        <v>1415</v>
      </c>
      <c r="C19" s="135"/>
      <c r="D19" s="176"/>
      <c r="E19" s="135"/>
      <c r="F19" s="135"/>
      <c r="G19" s="135"/>
      <c r="H19" s="135"/>
      <c r="I19" s="176"/>
      <c r="J19" s="135"/>
      <c r="K19" s="135"/>
      <c r="L19" s="135"/>
      <c r="M19" s="135"/>
      <c r="N19" s="135"/>
      <c r="O19" s="60"/>
      <c r="P19" s="29"/>
      <c r="Q19" s="29"/>
      <c r="R19" s="136"/>
      <c r="S19" s="37"/>
    </row>
    <row r="20" spans="1:19" s="32" customFormat="1" ht="198.75" customHeight="1" x14ac:dyDescent="0.2">
      <c r="A20" s="163"/>
      <c r="B20" s="349" t="s">
        <v>1416</v>
      </c>
      <c r="C20" s="350" t="s">
        <v>938</v>
      </c>
      <c r="D20" s="178">
        <v>27</v>
      </c>
      <c r="E20" s="26">
        <v>29</v>
      </c>
      <c r="F20" s="26">
        <v>33</v>
      </c>
      <c r="G20" s="26">
        <v>30</v>
      </c>
      <c r="H20" s="351">
        <v>38</v>
      </c>
      <c r="I20" s="178">
        <v>30</v>
      </c>
      <c r="J20" s="26">
        <v>30</v>
      </c>
      <c r="K20" s="26">
        <v>30</v>
      </c>
      <c r="L20" s="26">
        <v>30</v>
      </c>
      <c r="M20" s="26">
        <v>30</v>
      </c>
      <c r="N20" s="351">
        <v>30</v>
      </c>
      <c r="O20" s="352">
        <f>SUM(D20:N20)</f>
        <v>337</v>
      </c>
      <c r="P20" s="26"/>
      <c r="Q20" s="26"/>
      <c r="R20" s="353">
        <f>P20*O20</f>
        <v>0</v>
      </c>
      <c r="S20" s="37"/>
    </row>
    <row r="21" spans="1:19" s="32" customFormat="1" ht="12.75" customHeight="1" x14ac:dyDescent="0.2">
      <c r="A21" s="163"/>
      <c r="B21" s="354"/>
      <c r="C21" s="25"/>
      <c r="D21" s="178"/>
      <c r="E21" s="26"/>
      <c r="F21" s="26"/>
      <c r="G21" s="26"/>
      <c r="H21" s="26"/>
      <c r="I21" s="178"/>
      <c r="J21" s="26"/>
      <c r="K21" s="26"/>
      <c r="L21" s="26"/>
      <c r="M21" s="26"/>
      <c r="N21" s="26"/>
      <c r="O21" s="58"/>
      <c r="P21" s="26"/>
      <c r="Q21" s="26"/>
      <c r="R21" s="22"/>
      <c r="S21" s="37"/>
    </row>
    <row r="22" spans="1:19" s="32" customFormat="1" ht="13.5" customHeight="1" thickBot="1" x14ac:dyDescent="0.25">
      <c r="A22" s="162" t="s">
        <v>1417</v>
      </c>
      <c r="B22" s="28" t="s">
        <v>1418</v>
      </c>
      <c r="C22" s="135"/>
      <c r="D22" s="176"/>
      <c r="E22" s="135"/>
      <c r="F22" s="135"/>
      <c r="G22" s="135"/>
      <c r="H22" s="135"/>
      <c r="I22" s="176"/>
      <c r="J22" s="135"/>
      <c r="K22" s="135"/>
      <c r="L22" s="135"/>
      <c r="M22" s="135"/>
      <c r="N22" s="135"/>
      <c r="O22" s="60"/>
      <c r="P22" s="29"/>
      <c r="Q22" s="29"/>
      <c r="R22" s="136"/>
      <c r="S22" s="37"/>
    </row>
    <row r="23" spans="1:19" s="32" customFormat="1" ht="114.75" customHeight="1" x14ac:dyDescent="0.2">
      <c r="A23" s="163"/>
      <c r="B23" s="354" t="s">
        <v>1419</v>
      </c>
      <c r="C23" s="350" t="s">
        <v>1410</v>
      </c>
      <c r="D23" s="178">
        <v>10</v>
      </c>
      <c r="E23" s="26">
        <v>10</v>
      </c>
      <c r="F23" s="26">
        <v>10</v>
      </c>
      <c r="G23" s="26">
        <v>10</v>
      </c>
      <c r="H23" s="26">
        <v>10</v>
      </c>
      <c r="I23" s="178">
        <v>8</v>
      </c>
      <c r="J23" s="26">
        <v>8</v>
      </c>
      <c r="K23" s="26">
        <v>8</v>
      </c>
      <c r="L23" s="26">
        <v>8</v>
      </c>
      <c r="M23" s="26">
        <v>8</v>
      </c>
      <c r="N23" s="351">
        <v>8</v>
      </c>
      <c r="O23" s="352">
        <f>SUM(D23:N23)</f>
        <v>98</v>
      </c>
      <c r="P23" s="26"/>
      <c r="Q23" s="26"/>
      <c r="R23" s="353">
        <f>P23*O23</f>
        <v>0</v>
      </c>
      <c r="S23" s="37"/>
    </row>
    <row r="24" spans="1:19" s="32" customFormat="1" ht="12.75" customHeight="1" x14ac:dyDescent="0.2">
      <c r="A24" s="163"/>
      <c r="B24" s="354"/>
      <c r="C24" s="25"/>
      <c r="D24" s="178"/>
      <c r="E24" s="26"/>
      <c r="F24" s="26"/>
      <c r="G24" s="26"/>
      <c r="H24" s="26"/>
      <c r="I24" s="178"/>
      <c r="J24" s="26"/>
      <c r="K24" s="26"/>
      <c r="L24" s="26"/>
      <c r="M24" s="26"/>
      <c r="N24" s="26"/>
      <c r="O24" s="58"/>
      <c r="P24" s="26"/>
      <c r="Q24" s="26"/>
      <c r="R24" s="22"/>
      <c r="S24" s="37"/>
    </row>
    <row r="25" spans="1:19" s="32" customFormat="1" ht="13.5" customHeight="1" thickBot="1" x14ac:dyDescent="0.25">
      <c r="A25" s="162" t="s">
        <v>1420</v>
      </c>
      <c r="B25" s="28" t="s">
        <v>1421</v>
      </c>
      <c r="C25" s="135"/>
      <c r="D25" s="176"/>
      <c r="E25" s="135"/>
      <c r="F25" s="135"/>
      <c r="G25" s="135"/>
      <c r="H25" s="135"/>
      <c r="I25" s="176"/>
      <c r="J25" s="135"/>
      <c r="K25" s="135"/>
      <c r="L25" s="135"/>
      <c r="M25" s="135"/>
      <c r="N25" s="135"/>
      <c r="O25" s="60"/>
      <c r="P25" s="29"/>
      <c r="Q25" s="29"/>
      <c r="R25" s="136"/>
      <c r="S25" s="37"/>
    </row>
    <row r="26" spans="1:19" s="32" customFormat="1" ht="192" customHeight="1" thickBot="1" x14ac:dyDescent="0.25">
      <c r="A26" s="163"/>
      <c r="B26" s="354" t="s">
        <v>1422</v>
      </c>
      <c r="C26" s="350"/>
      <c r="D26" s="178"/>
      <c r="E26" s="26"/>
      <c r="F26" s="26"/>
      <c r="G26" s="26"/>
      <c r="H26" s="351"/>
      <c r="I26" s="178"/>
      <c r="J26" s="26"/>
      <c r="K26" s="26"/>
      <c r="L26" s="26"/>
      <c r="M26" s="26"/>
      <c r="N26" s="351"/>
      <c r="O26" s="352"/>
      <c r="P26" s="26"/>
      <c r="Q26" s="26"/>
      <c r="R26" s="353"/>
      <c r="S26" s="37"/>
    </row>
    <row r="27" spans="1:19" s="32" customFormat="1" ht="13.5" customHeight="1" thickBot="1" x14ac:dyDescent="0.25">
      <c r="A27" s="163"/>
      <c r="B27" s="354" t="s">
        <v>1423</v>
      </c>
      <c r="C27" s="350" t="s">
        <v>938</v>
      </c>
      <c r="D27" s="178">
        <v>14</v>
      </c>
      <c r="E27" s="26">
        <v>14</v>
      </c>
      <c r="F27" s="26">
        <v>14</v>
      </c>
      <c r="G27" s="26">
        <v>14</v>
      </c>
      <c r="H27" s="351">
        <v>14</v>
      </c>
      <c r="I27" s="178">
        <v>14</v>
      </c>
      <c r="J27" s="26">
        <v>14</v>
      </c>
      <c r="K27" s="26">
        <v>14</v>
      </c>
      <c r="L27" s="26">
        <v>14</v>
      </c>
      <c r="M27" s="26">
        <v>14</v>
      </c>
      <c r="N27" s="351">
        <v>14</v>
      </c>
      <c r="O27" s="352">
        <f>SUM(D27:N27)</f>
        <v>154</v>
      </c>
      <c r="P27" s="26"/>
      <c r="Q27" s="26"/>
      <c r="R27" s="353">
        <f>P27*O27</f>
        <v>0</v>
      </c>
      <c r="S27" s="37"/>
    </row>
    <row r="28" spans="1:19" s="32" customFormat="1" ht="12.75" customHeight="1" x14ac:dyDescent="0.2">
      <c r="A28" s="163"/>
      <c r="B28" s="354" t="s">
        <v>1424</v>
      </c>
      <c r="C28" s="25" t="s">
        <v>1001</v>
      </c>
      <c r="D28" s="178">
        <v>16</v>
      </c>
      <c r="E28" s="26">
        <v>16</v>
      </c>
      <c r="F28" s="26">
        <v>16</v>
      </c>
      <c r="G28" s="26">
        <v>16</v>
      </c>
      <c r="H28" s="351">
        <v>16</v>
      </c>
      <c r="I28" s="178">
        <v>18</v>
      </c>
      <c r="J28" s="26">
        <v>18</v>
      </c>
      <c r="K28" s="26">
        <v>18</v>
      </c>
      <c r="L28" s="26">
        <v>18</v>
      </c>
      <c r="M28" s="26">
        <v>18</v>
      </c>
      <c r="N28" s="351">
        <v>18</v>
      </c>
      <c r="O28" s="352">
        <f>SUM(D28:N28)</f>
        <v>188</v>
      </c>
      <c r="P28" s="26"/>
      <c r="Q28" s="26"/>
      <c r="R28" s="353">
        <f>P28*O28</f>
        <v>0</v>
      </c>
      <c r="S28" s="37"/>
    </row>
    <row r="29" spans="1:19" s="32" customFormat="1" ht="12.75" customHeight="1" x14ac:dyDescent="0.2">
      <c r="A29" s="163"/>
      <c r="B29" s="354"/>
      <c r="C29" s="25"/>
      <c r="D29" s="178"/>
      <c r="E29" s="26"/>
      <c r="F29" s="26"/>
      <c r="G29" s="26"/>
      <c r="H29" s="26"/>
      <c r="I29" s="178"/>
      <c r="J29" s="26"/>
      <c r="K29" s="26"/>
      <c r="L29" s="26"/>
      <c r="M29" s="26"/>
      <c r="N29" s="26"/>
      <c r="O29" s="58"/>
      <c r="P29" s="26"/>
      <c r="Q29" s="26"/>
      <c r="R29" s="22"/>
      <c r="S29" s="37"/>
    </row>
    <row r="30" spans="1:19" s="32" customFormat="1" ht="13.5" customHeight="1" thickBot="1" x14ac:dyDescent="0.25">
      <c r="A30" s="162" t="s">
        <v>1425</v>
      </c>
      <c r="B30" s="28" t="s">
        <v>1426</v>
      </c>
      <c r="C30" s="135"/>
      <c r="D30" s="176"/>
      <c r="E30" s="135"/>
      <c r="F30" s="135"/>
      <c r="G30" s="135"/>
      <c r="H30" s="135"/>
      <c r="I30" s="176"/>
      <c r="J30" s="135"/>
      <c r="K30" s="135"/>
      <c r="L30" s="135"/>
      <c r="M30" s="135"/>
      <c r="N30" s="135"/>
      <c r="O30" s="60"/>
      <c r="P30" s="29"/>
      <c r="Q30" s="29"/>
      <c r="R30" s="136"/>
      <c r="S30" s="37"/>
    </row>
    <row r="31" spans="1:19" s="32" customFormat="1" ht="102" customHeight="1" x14ac:dyDescent="0.2">
      <c r="A31" s="163"/>
      <c r="B31" s="354" t="s">
        <v>1427</v>
      </c>
      <c r="C31" s="350" t="s">
        <v>969</v>
      </c>
      <c r="D31" s="178">
        <v>29</v>
      </c>
      <c r="E31" s="26">
        <v>29</v>
      </c>
      <c r="F31" s="26">
        <v>29</v>
      </c>
      <c r="G31" s="26">
        <v>29</v>
      </c>
      <c r="H31" s="351">
        <v>29</v>
      </c>
      <c r="I31" s="178">
        <v>34</v>
      </c>
      <c r="J31" s="26">
        <v>34</v>
      </c>
      <c r="K31" s="26">
        <v>34</v>
      </c>
      <c r="L31" s="26">
        <v>34</v>
      </c>
      <c r="M31" s="26">
        <v>34</v>
      </c>
      <c r="N31" s="351">
        <v>34</v>
      </c>
      <c r="O31" s="352">
        <f>SUM(D31:N31)</f>
        <v>349</v>
      </c>
      <c r="P31" s="26"/>
      <c r="Q31" s="26"/>
      <c r="R31" s="353">
        <f>P31*O31</f>
        <v>0</v>
      </c>
      <c r="S31" s="37"/>
    </row>
    <row r="32" spans="1:19" s="32" customFormat="1" ht="12.75" customHeight="1" x14ac:dyDescent="0.2">
      <c r="A32" s="163"/>
      <c r="B32" s="354"/>
      <c r="C32" s="25"/>
      <c r="D32" s="178"/>
      <c r="E32" s="26"/>
      <c r="F32" s="26"/>
      <c r="G32" s="26"/>
      <c r="H32" s="26"/>
      <c r="I32" s="178"/>
      <c r="J32" s="26"/>
      <c r="K32" s="26"/>
      <c r="L32" s="26"/>
      <c r="M32" s="26"/>
      <c r="N32" s="26"/>
      <c r="O32" s="58"/>
      <c r="P32" s="26"/>
      <c r="Q32" s="26"/>
      <c r="R32" s="22"/>
      <c r="S32" s="37"/>
    </row>
    <row r="33" spans="1:19" s="32" customFormat="1" ht="13.5" customHeight="1" thickBot="1" x14ac:dyDescent="0.25">
      <c r="A33" s="162" t="s">
        <v>1428</v>
      </c>
      <c r="B33" s="28" t="s">
        <v>1429</v>
      </c>
      <c r="C33" s="135"/>
      <c r="D33" s="176"/>
      <c r="E33" s="135"/>
      <c r="F33" s="135"/>
      <c r="G33" s="135"/>
      <c r="H33" s="135"/>
      <c r="I33" s="176"/>
      <c r="J33" s="135"/>
      <c r="K33" s="135"/>
      <c r="L33" s="135"/>
      <c r="M33" s="135"/>
      <c r="N33" s="135"/>
      <c r="O33" s="60"/>
      <c r="P33" s="29"/>
      <c r="Q33" s="29"/>
      <c r="R33" s="136"/>
      <c r="S33" s="37"/>
    </row>
    <row r="34" spans="1:19" s="32" customFormat="1" ht="102" customHeight="1" x14ac:dyDescent="0.2">
      <c r="A34" s="163"/>
      <c r="B34" s="354" t="s">
        <v>1430</v>
      </c>
      <c r="C34" s="350" t="s">
        <v>969</v>
      </c>
      <c r="D34" s="178">
        <v>12</v>
      </c>
      <c r="E34" s="26">
        <v>12</v>
      </c>
      <c r="F34" s="26">
        <v>12</v>
      </c>
      <c r="G34" s="26">
        <v>12</v>
      </c>
      <c r="H34" s="351">
        <v>12</v>
      </c>
      <c r="I34" s="178">
        <v>12</v>
      </c>
      <c r="J34" s="26">
        <v>12</v>
      </c>
      <c r="K34" s="26">
        <v>12</v>
      </c>
      <c r="L34" s="26">
        <v>12</v>
      </c>
      <c r="M34" s="26">
        <v>12</v>
      </c>
      <c r="N34" s="351">
        <v>12</v>
      </c>
      <c r="O34" s="352">
        <f>SUM(D34:N34)</f>
        <v>132</v>
      </c>
      <c r="P34" s="26"/>
      <c r="Q34" s="26"/>
      <c r="R34" s="353">
        <f>P34*O34</f>
        <v>0</v>
      </c>
      <c r="S34" s="37"/>
    </row>
    <row r="35" spans="1:19" s="32" customFormat="1" ht="12.75" customHeight="1" x14ac:dyDescent="0.2">
      <c r="A35" s="163"/>
      <c r="B35" s="31"/>
      <c r="C35" s="25"/>
      <c r="D35" s="178"/>
      <c r="E35" s="26"/>
      <c r="F35" s="26"/>
      <c r="G35" s="26"/>
      <c r="H35" s="26"/>
      <c r="I35" s="178"/>
      <c r="J35" s="26"/>
      <c r="K35" s="26"/>
      <c r="L35" s="26"/>
      <c r="M35" s="26"/>
      <c r="N35" s="26"/>
      <c r="O35" s="58"/>
      <c r="P35" s="26"/>
      <c r="Q35" s="26"/>
      <c r="R35" s="22"/>
      <c r="S35" s="37"/>
    </row>
    <row r="36" spans="1:19" s="32" customFormat="1" ht="13.5" customHeight="1" thickBot="1" x14ac:dyDescent="0.25">
      <c r="A36" s="162" t="s">
        <v>1431</v>
      </c>
      <c r="B36" s="28" t="s">
        <v>1432</v>
      </c>
      <c r="C36" s="135"/>
      <c r="D36" s="176"/>
      <c r="E36" s="135"/>
      <c r="F36" s="135"/>
      <c r="G36" s="135"/>
      <c r="H36" s="135"/>
      <c r="I36" s="176"/>
      <c r="J36" s="135"/>
      <c r="K36" s="135"/>
      <c r="L36" s="135"/>
      <c r="M36" s="135"/>
      <c r="N36" s="135"/>
      <c r="O36" s="60"/>
      <c r="P36" s="29"/>
      <c r="Q36" s="29"/>
      <c r="R36" s="136"/>
      <c r="S36" s="37"/>
    </row>
    <row r="37" spans="1:19" s="32" customFormat="1" ht="294" customHeight="1" thickBot="1" x14ac:dyDescent="0.25">
      <c r="A37" s="163"/>
      <c r="B37" s="354" t="s">
        <v>1433</v>
      </c>
      <c r="D37" s="178"/>
      <c r="H37" s="26"/>
      <c r="I37" s="178"/>
      <c r="N37" s="26"/>
      <c r="O37" s="352"/>
      <c r="S37" s="37"/>
    </row>
    <row r="38" spans="1:19" s="32" customFormat="1" ht="13.5" customHeight="1" thickBot="1" x14ac:dyDescent="0.25">
      <c r="A38" s="163"/>
      <c r="B38" s="354" t="s">
        <v>920</v>
      </c>
      <c r="C38" s="25" t="s">
        <v>1410</v>
      </c>
      <c r="D38" s="178">
        <v>1</v>
      </c>
      <c r="E38" s="26">
        <v>1</v>
      </c>
      <c r="F38" s="26">
        <v>1</v>
      </c>
      <c r="G38" s="26">
        <v>1</v>
      </c>
      <c r="H38" s="26">
        <v>1</v>
      </c>
      <c r="I38" s="178">
        <v>0</v>
      </c>
      <c r="J38" s="26">
        <v>0</v>
      </c>
      <c r="K38" s="26">
        <v>0</v>
      </c>
      <c r="L38" s="26">
        <v>0</v>
      </c>
      <c r="M38" s="26">
        <v>0</v>
      </c>
      <c r="N38" s="26">
        <v>0</v>
      </c>
      <c r="O38" s="352">
        <f>SUM(D38:N38)</f>
        <v>5</v>
      </c>
      <c r="P38" s="26"/>
      <c r="Q38" s="26"/>
      <c r="R38" s="353">
        <f>P38*O38</f>
        <v>0</v>
      </c>
      <c r="S38" s="37"/>
    </row>
    <row r="39" spans="1:19" s="32" customFormat="1" ht="12.75" customHeight="1" x14ac:dyDescent="0.2">
      <c r="A39" s="163"/>
      <c r="B39" s="354" t="s">
        <v>1434</v>
      </c>
      <c r="C39" s="25"/>
      <c r="D39" s="178"/>
      <c r="E39" s="26"/>
      <c r="F39" s="26"/>
      <c r="G39" s="26"/>
      <c r="H39" s="26"/>
      <c r="I39" s="178"/>
      <c r="J39" s="26"/>
      <c r="K39" s="26"/>
      <c r="L39" s="26"/>
      <c r="M39" s="26"/>
      <c r="N39" s="26"/>
      <c r="O39" s="352"/>
      <c r="P39" s="26"/>
      <c r="Q39" s="26"/>
      <c r="R39" s="353"/>
      <c r="S39" s="37"/>
    </row>
    <row r="40" spans="1:19" s="32" customFormat="1" ht="12.75" customHeight="1" x14ac:dyDescent="0.2">
      <c r="A40" s="163"/>
      <c r="B40" s="354" t="s">
        <v>1435</v>
      </c>
      <c r="C40" s="25"/>
      <c r="D40" s="178"/>
      <c r="E40" s="26"/>
      <c r="F40" s="26"/>
      <c r="G40" s="26"/>
      <c r="H40" s="26"/>
      <c r="I40" s="178"/>
      <c r="J40" s="26"/>
      <c r="K40" s="26"/>
      <c r="L40" s="26"/>
      <c r="M40" s="26"/>
      <c r="N40" s="26"/>
      <c r="O40" s="58"/>
      <c r="P40" s="26"/>
      <c r="Q40" s="26"/>
      <c r="R40" s="353"/>
      <c r="S40" s="37"/>
    </row>
    <row r="41" spans="1:19" s="32" customFormat="1" ht="12.75" customHeight="1" x14ac:dyDescent="0.2">
      <c r="A41" s="163"/>
      <c r="B41" s="354" t="s">
        <v>1436</v>
      </c>
      <c r="C41" s="25"/>
      <c r="D41" s="178"/>
      <c r="E41" s="26"/>
      <c r="F41" s="26"/>
      <c r="G41" s="26"/>
      <c r="H41" s="26"/>
      <c r="I41" s="178"/>
      <c r="J41" s="26"/>
      <c r="K41" s="26"/>
      <c r="L41" s="26"/>
      <c r="M41" s="26"/>
      <c r="N41" s="26"/>
      <c r="O41" s="58"/>
      <c r="P41" s="26"/>
      <c r="Q41" s="26"/>
      <c r="R41" s="353"/>
      <c r="S41" s="37"/>
    </row>
    <row r="42" spans="1:19" s="32" customFormat="1" ht="12.75" customHeight="1" x14ac:dyDescent="0.2">
      <c r="A42" s="163"/>
      <c r="B42" s="354" t="s">
        <v>1437</v>
      </c>
      <c r="C42" s="25"/>
      <c r="D42" s="178"/>
      <c r="E42" s="26"/>
      <c r="F42" s="26"/>
      <c r="G42" s="26"/>
      <c r="H42" s="26"/>
      <c r="I42" s="178"/>
      <c r="J42" s="26"/>
      <c r="K42" s="26"/>
      <c r="L42" s="26"/>
      <c r="M42" s="26"/>
      <c r="N42" s="26"/>
      <c r="O42" s="58"/>
      <c r="P42" s="26"/>
      <c r="Q42" s="26"/>
      <c r="R42" s="353"/>
      <c r="S42" s="37"/>
    </row>
    <row r="43" spans="1:19" s="32" customFormat="1" ht="12.75" customHeight="1" x14ac:dyDescent="0.2">
      <c r="A43" s="163"/>
      <c r="B43" s="354" t="s">
        <v>1438</v>
      </c>
      <c r="C43" s="25"/>
      <c r="D43" s="178"/>
      <c r="E43" s="26"/>
      <c r="F43" s="26"/>
      <c r="G43" s="26"/>
      <c r="H43" s="26"/>
      <c r="I43" s="178"/>
      <c r="J43" s="26"/>
      <c r="K43" s="26"/>
      <c r="L43" s="26"/>
      <c r="M43" s="26"/>
      <c r="N43" s="26"/>
      <c r="O43" s="58"/>
      <c r="P43" s="26"/>
      <c r="Q43" s="26"/>
      <c r="R43" s="353"/>
      <c r="S43" s="37"/>
    </row>
    <row r="44" spans="1:19" s="32" customFormat="1" ht="12.75" customHeight="1" x14ac:dyDescent="0.2">
      <c r="A44" s="163"/>
      <c r="B44" s="354" t="s">
        <v>1439</v>
      </c>
      <c r="C44" s="25"/>
      <c r="D44" s="178"/>
      <c r="E44" s="26"/>
      <c r="F44" s="26"/>
      <c r="G44" s="26"/>
      <c r="H44" s="26"/>
      <c r="I44" s="178"/>
      <c r="J44" s="26"/>
      <c r="K44" s="26"/>
      <c r="L44" s="26"/>
      <c r="M44" s="26"/>
      <c r="N44" s="26"/>
      <c r="O44" s="58"/>
      <c r="P44" s="26"/>
      <c r="Q44" s="26"/>
      <c r="R44" s="353"/>
      <c r="S44" s="37"/>
    </row>
    <row r="45" spans="1:19" s="32" customFormat="1" ht="12.75" customHeight="1" x14ac:dyDescent="0.2">
      <c r="A45" s="163"/>
      <c r="B45" s="354" t="s">
        <v>1440</v>
      </c>
      <c r="C45" s="25"/>
      <c r="D45" s="178"/>
      <c r="E45" s="26"/>
      <c r="F45" s="26"/>
      <c r="G45" s="26"/>
      <c r="H45" s="26"/>
      <c r="I45" s="178"/>
      <c r="J45" s="26"/>
      <c r="K45" s="26"/>
      <c r="L45" s="26"/>
      <c r="M45" s="26"/>
      <c r="N45" s="26"/>
      <c r="O45" s="58"/>
      <c r="P45" s="26"/>
      <c r="Q45" s="26"/>
      <c r="R45" s="353"/>
      <c r="S45" s="37"/>
    </row>
    <row r="46" spans="1:19" s="32" customFormat="1" ht="12.75" customHeight="1" x14ac:dyDescent="0.2">
      <c r="A46" s="163"/>
      <c r="B46" s="354" t="s">
        <v>1441</v>
      </c>
      <c r="C46" s="25"/>
      <c r="D46" s="178"/>
      <c r="E46" s="26"/>
      <c r="F46" s="26"/>
      <c r="G46" s="26"/>
      <c r="H46" s="26"/>
      <c r="I46" s="178"/>
      <c r="J46" s="26"/>
      <c r="K46" s="26"/>
      <c r="L46" s="26"/>
      <c r="M46" s="26"/>
      <c r="N46" s="26"/>
      <c r="O46" s="58"/>
      <c r="P46" s="26"/>
      <c r="Q46" s="26"/>
      <c r="R46" s="353"/>
      <c r="S46" s="37"/>
    </row>
    <row r="47" spans="1:19" s="32" customFormat="1" ht="13.5" customHeight="1" thickBot="1" x14ac:dyDescent="0.25">
      <c r="A47" s="163"/>
      <c r="B47" s="354" t="s">
        <v>1442</v>
      </c>
      <c r="C47" s="25"/>
      <c r="D47" s="178"/>
      <c r="E47" s="26"/>
      <c r="F47" s="26"/>
      <c r="G47" s="26"/>
      <c r="H47" s="26"/>
      <c r="I47" s="178"/>
      <c r="J47" s="26"/>
      <c r="K47" s="26"/>
      <c r="L47" s="26"/>
      <c r="M47" s="26"/>
      <c r="N47" s="26"/>
      <c r="O47" s="355"/>
      <c r="P47" s="26"/>
      <c r="Q47" s="26"/>
      <c r="R47" s="353"/>
      <c r="S47" s="37"/>
    </row>
    <row r="48" spans="1:19" s="32" customFormat="1" ht="12.75" customHeight="1" x14ac:dyDescent="0.2">
      <c r="A48" s="163"/>
      <c r="B48" s="354" t="s">
        <v>948</v>
      </c>
      <c r="C48" s="25" t="s">
        <v>1410</v>
      </c>
      <c r="D48" s="178">
        <v>0</v>
      </c>
      <c r="E48" s="26">
        <v>0</v>
      </c>
      <c r="F48" s="26">
        <v>0</v>
      </c>
      <c r="G48" s="26">
        <v>0</v>
      </c>
      <c r="H48" s="26">
        <v>0</v>
      </c>
      <c r="I48" s="178">
        <v>1</v>
      </c>
      <c r="J48" s="26">
        <v>1</v>
      </c>
      <c r="K48" s="26">
        <v>1</v>
      </c>
      <c r="L48" s="26">
        <v>1</v>
      </c>
      <c r="M48" s="26">
        <v>1</v>
      </c>
      <c r="N48" s="26">
        <v>1</v>
      </c>
      <c r="O48" s="58">
        <f>SUM(D48:N48)</f>
        <v>6</v>
      </c>
      <c r="P48" s="26"/>
      <c r="Q48" s="26"/>
      <c r="R48" s="353">
        <f>P48*O48</f>
        <v>0</v>
      </c>
      <c r="S48" s="37"/>
    </row>
    <row r="49" spans="1:19" s="32" customFormat="1" ht="12.75" customHeight="1" x14ac:dyDescent="0.2">
      <c r="A49" s="163"/>
      <c r="B49" s="354" t="s">
        <v>1443</v>
      </c>
      <c r="C49" s="25"/>
      <c r="D49" s="178"/>
      <c r="E49" s="26"/>
      <c r="F49" s="26"/>
      <c r="G49" s="26"/>
      <c r="H49" s="26"/>
      <c r="I49" s="178"/>
      <c r="J49" s="26"/>
      <c r="K49" s="26"/>
      <c r="L49" s="26"/>
      <c r="M49" s="26"/>
      <c r="N49" s="26"/>
      <c r="O49" s="58"/>
      <c r="P49" s="26"/>
      <c r="Q49" s="26"/>
      <c r="R49" s="22"/>
      <c r="S49" s="37"/>
    </row>
    <row r="50" spans="1:19" s="32" customFormat="1" ht="12.75" customHeight="1" x14ac:dyDescent="0.2">
      <c r="A50" s="163"/>
      <c r="B50" s="354" t="s">
        <v>1435</v>
      </c>
      <c r="C50" s="25"/>
      <c r="D50" s="178"/>
      <c r="E50" s="26"/>
      <c r="F50" s="26"/>
      <c r="G50" s="26"/>
      <c r="H50" s="26"/>
      <c r="I50" s="178"/>
      <c r="J50" s="26"/>
      <c r="K50" s="26"/>
      <c r="L50" s="26"/>
      <c r="M50" s="26"/>
      <c r="N50" s="26"/>
      <c r="O50" s="58"/>
      <c r="P50" s="26"/>
      <c r="Q50" s="26"/>
      <c r="R50" s="22"/>
      <c r="S50" s="37"/>
    </row>
    <row r="51" spans="1:19" s="32" customFormat="1" ht="12.75" customHeight="1" x14ac:dyDescent="0.2">
      <c r="A51" s="163"/>
      <c r="B51" s="354" t="s">
        <v>1444</v>
      </c>
      <c r="C51" s="25"/>
      <c r="D51" s="178"/>
      <c r="E51" s="26"/>
      <c r="F51" s="26"/>
      <c r="G51" s="26"/>
      <c r="H51" s="26"/>
      <c r="I51" s="178"/>
      <c r="J51" s="26"/>
      <c r="K51" s="26"/>
      <c r="L51" s="26"/>
      <c r="M51" s="26"/>
      <c r="N51" s="26"/>
      <c r="O51" s="58"/>
      <c r="P51" s="26"/>
      <c r="Q51" s="26"/>
      <c r="R51" s="22"/>
      <c r="S51" s="37"/>
    </row>
    <row r="52" spans="1:19" s="32" customFormat="1" ht="12.75" customHeight="1" x14ac:dyDescent="0.2">
      <c r="A52" s="163"/>
      <c r="B52" s="354" t="s">
        <v>1439</v>
      </c>
      <c r="C52" s="25"/>
      <c r="D52" s="178"/>
      <c r="E52" s="26"/>
      <c r="F52" s="26"/>
      <c r="G52" s="26"/>
      <c r="H52" s="26"/>
      <c r="I52" s="178"/>
      <c r="J52" s="26"/>
      <c r="K52" s="26"/>
      <c r="L52" s="26"/>
      <c r="M52" s="26"/>
      <c r="N52" s="26"/>
      <c r="O52" s="58"/>
      <c r="P52" s="26"/>
      <c r="Q52" s="26"/>
      <c r="R52" s="22"/>
      <c r="S52" s="37"/>
    </row>
    <row r="53" spans="1:19" s="32" customFormat="1" ht="12.75" customHeight="1" x14ac:dyDescent="0.2">
      <c r="A53" s="163"/>
      <c r="B53" s="354" t="s">
        <v>1445</v>
      </c>
      <c r="C53" s="25"/>
      <c r="D53" s="178"/>
      <c r="E53" s="26"/>
      <c r="F53" s="26"/>
      <c r="G53" s="26"/>
      <c r="H53" s="26"/>
      <c r="I53" s="178"/>
      <c r="J53" s="26"/>
      <c r="K53" s="26"/>
      <c r="L53" s="26"/>
      <c r="M53" s="26"/>
      <c r="N53" s="26"/>
      <c r="O53" s="58"/>
      <c r="P53" s="26"/>
      <c r="Q53" s="26"/>
      <c r="R53" s="22"/>
      <c r="S53" s="37"/>
    </row>
    <row r="54" spans="1:19" s="32" customFormat="1" ht="12.75" customHeight="1" x14ac:dyDescent="0.2">
      <c r="A54" s="163"/>
      <c r="B54" s="354" t="s">
        <v>1446</v>
      </c>
      <c r="C54" s="25"/>
      <c r="D54" s="178"/>
      <c r="E54" s="26"/>
      <c r="F54" s="26"/>
      <c r="G54" s="26"/>
      <c r="H54" s="26"/>
      <c r="I54" s="178"/>
      <c r="J54" s="26"/>
      <c r="K54" s="26"/>
      <c r="L54" s="26"/>
      <c r="M54" s="26"/>
      <c r="N54" s="26"/>
      <c r="O54" s="58"/>
      <c r="P54" s="26"/>
      <c r="Q54" s="26"/>
      <c r="R54" s="22"/>
      <c r="S54" s="37"/>
    </row>
    <row r="55" spans="1:19" s="32" customFormat="1" ht="12.75" customHeight="1" x14ac:dyDescent="0.2">
      <c r="A55" s="163"/>
      <c r="B55" s="31"/>
      <c r="C55" s="25"/>
      <c r="D55" s="178"/>
      <c r="E55" s="26"/>
      <c r="F55" s="26"/>
      <c r="G55" s="26"/>
      <c r="H55" s="26"/>
      <c r="I55" s="178"/>
      <c r="J55" s="26"/>
      <c r="K55" s="26"/>
      <c r="L55" s="26"/>
      <c r="M55" s="26"/>
      <c r="N55" s="26"/>
      <c r="O55" s="58"/>
      <c r="P55" s="26"/>
      <c r="Q55" s="26"/>
      <c r="R55" s="22"/>
      <c r="S55" s="37"/>
    </row>
    <row r="56" spans="1:19" s="32" customFormat="1" ht="13.5" customHeight="1" thickBot="1" x14ac:dyDescent="0.25">
      <c r="A56" s="162" t="s">
        <v>1447</v>
      </c>
      <c r="B56" s="28" t="s">
        <v>1448</v>
      </c>
      <c r="C56" s="135"/>
      <c r="D56" s="176"/>
      <c r="E56" s="135"/>
      <c r="F56" s="135"/>
      <c r="G56" s="135"/>
      <c r="H56" s="135"/>
      <c r="I56" s="176"/>
      <c r="J56" s="135"/>
      <c r="K56" s="135"/>
      <c r="L56" s="135"/>
      <c r="M56" s="135"/>
      <c r="N56" s="135"/>
      <c r="O56" s="60"/>
      <c r="P56" s="29"/>
      <c r="Q56" s="29"/>
      <c r="R56" s="136"/>
      <c r="S56" s="37"/>
    </row>
    <row r="57" spans="1:19" s="32" customFormat="1" ht="282.75" customHeight="1" thickBot="1" x14ac:dyDescent="0.25">
      <c r="A57" s="163"/>
      <c r="B57" s="354" t="s">
        <v>1449</v>
      </c>
      <c r="D57" s="178"/>
      <c r="H57" s="26"/>
      <c r="I57" s="178"/>
      <c r="N57" s="26"/>
      <c r="O57" s="352"/>
      <c r="S57" s="37"/>
    </row>
    <row r="58" spans="1:19" s="32" customFormat="1" ht="13.5" customHeight="1" thickBot="1" x14ac:dyDescent="0.25">
      <c r="A58" s="163"/>
      <c r="B58" s="354" t="s">
        <v>920</v>
      </c>
      <c r="C58" s="25" t="s">
        <v>1410</v>
      </c>
      <c r="D58" s="178">
        <v>1</v>
      </c>
      <c r="E58" s="26">
        <v>1</v>
      </c>
      <c r="F58" s="26">
        <v>1</v>
      </c>
      <c r="G58" s="26">
        <v>1</v>
      </c>
      <c r="H58" s="26">
        <v>1</v>
      </c>
      <c r="I58" s="178">
        <v>0</v>
      </c>
      <c r="J58" s="26">
        <v>0</v>
      </c>
      <c r="K58" s="26">
        <v>0</v>
      </c>
      <c r="L58" s="26">
        <v>0</v>
      </c>
      <c r="M58" s="26">
        <v>0</v>
      </c>
      <c r="N58" s="26">
        <v>0</v>
      </c>
      <c r="O58" s="352">
        <f>SUM(D58:N58)</f>
        <v>5</v>
      </c>
      <c r="P58" s="26"/>
      <c r="Q58" s="26"/>
      <c r="R58" s="353">
        <f>P58*O58</f>
        <v>0</v>
      </c>
      <c r="S58" s="37"/>
    </row>
    <row r="59" spans="1:19" s="32" customFormat="1" ht="12.75" customHeight="1" x14ac:dyDescent="0.2">
      <c r="A59" s="163"/>
      <c r="B59" s="354" t="s">
        <v>948</v>
      </c>
      <c r="C59" s="25" t="s">
        <v>1410</v>
      </c>
      <c r="D59" s="178">
        <v>0</v>
      </c>
      <c r="E59" s="26">
        <v>0</v>
      </c>
      <c r="F59" s="26">
        <v>0</v>
      </c>
      <c r="G59" s="26">
        <v>0</v>
      </c>
      <c r="H59" s="26">
        <v>0</v>
      </c>
      <c r="I59" s="178">
        <v>1</v>
      </c>
      <c r="J59" s="26">
        <v>1</v>
      </c>
      <c r="K59" s="26">
        <v>1</v>
      </c>
      <c r="L59" s="26">
        <v>1</v>
      </c>
      <c r="M59" s="26">
        <v>1</v>
      </c>
      <c r="N59" s="26">
        <v>1</v>
      </c>
      <c r="O59" s="352">
        <f>SUM(D59:N59)</f>
        <v>6</v>
      </c>
      <c r="P59" s="26"/>
      <c r="Q59" s="26"/>
      <c r="R59" s="353">
        <f>P59*O59</f>
        <v>0</v>
      </c>
      <c r="S59" s="37"/>
    </row>
    <row r="60" spans="1:19" s="32" customFormat="1" ht="12.75" customHeight="1" x14ac:dyDescent="0.2">
      <c r="A60" s="163"/>
      <c r="B60" s="31"/>
      <c r="C60" s="25"/>
      <c r="D60" s="178"/>
      <c r="E60" s="26"/>
      <c r="F60" s="26"/>
      <c r="G60" s="26"/>
      <c r="H60" s="26"/>
      <c r="I60" s="178"/>
      <c r="J60" s="26"/>
      <c r="K60" s="26"/>
      <c r="L60" s="26"/>
      <c r="M60" s="26"/>
      <c r="N60" s="26"/>
      <c r="O60" s="58"/>
      <c r="P60" s="26"/>
      <c r="Q60" s="26"/>
      <c r="R60" s="22"/>
      <c r="S60" s="37"/>
    </row>
    <row r="61" spans="1:19" s="32" customFormat="1" ht="12.75" customHeight="1" x14ac:dyDescent="0.2">
      <c r="A61" s="162" t="s">
        <v>1450</v>
      </c>
      <c r="B61" s="28" t="s">
        <v>1451</v>
      </c>
      <c r="C61" s="135"/>
      <c r="D61" s="176"/>
      <c r="E61" s="135"/>
      <c r="F61" s="135"/>
      <c r="G61" s="135"/>
      <c r="H61" s="135"/>
      <c r="I61" s="176"/>
      <c r="J61" s="135"/>
      <c r="K61" s="135"/>
      <c r="L61" s="135"/>
      <c r="M61" s="135"/>
      <c r="N61" s="135"/>
      <c r="O61" s="60"/>
      <c r="P61" s="29"/>
      <c r="Q61" s="29"/>
      <c r="R61" s="136"/>
      <c r="S61" s="37"/>
    </row>
    <row r="62" spans="1:19" s="32" customFormat="1" ht="115.5" customHeight="1" thickBot="1" x14ac:dyDescent="0.25">
      <c r="A62" s="163"/>
      <c r="B62" s="48" t="s">
        <v>1452</v>
      </c>
      <c r="C62" s="25"/>
      <c r="D62" s="174"/>
      <c r="E62" s="25"/>
      <c r="F62" s="25"/>
      <c r="G62" s="25"/>
      <c r="H62" s="25"/>
      <c r="I62" s="174"/>
      <c r="J62" s="25"/>
      <c r="K62" s="25"/>
      <c r="L62" s="25"/>
      <c r="M62" s="25"/>
      <c r="N62" s="25"/>
      <c r="O62" s="58"/>
      <c r="P62" s="26"/>
      <c r="Q62" s="26"/>
      <c r="R62" s="35"/>
      <c r="S62" s="37"/>
    </row>
    <row r="63" spans="1:19" s="32" customFormat="1" ht="13.5" customHeight="1" thickBot="1" x14ac:dyDescent="0.25">
      <c r="A63" s="163"/>
      <c r="B63" s="354" t="s">
        <v>920</v>
      </c>
      <c r="C63" s="25" t="s">
        <v>1410</v>
      </c>
      <c r="D63" s="178">
        <v>1</v>
      </c>
      <c r="E63" s="26">
        <v>1</v>
      </c>
      <c r="F63" s="26">
        <v>1</v>
      </c>
      <c r="G63" s="26">
        <v>1</v>
      </c>
      <c r="H63" s="26">
        <v>1</v>
      </c>
      <c r="I63" s="178">
        <v>0</v>
      </c>
      <c r="J63" s="26">
        <v>0</v>
      </c>
      <c r="K63" s="26">
        <v>0</v>
      </c>
      <c r="L63" s="26">
        <v>0</v>
      </c>
      <c r="M63" s="26">
        <v>0</v>
      </c>
      <c r="N63" s="26">
        <v>0</v>
      </c>
      <c r="O63" s="352">
        <f>SUM(D63:N63)</f>
        <v>5</v>
      </c>
      <c r="P63" s="26"/>
      <c r="Q63" s="26"/>
      <c r="R63" s="353">
        <f>P63*O63</f>
        <v>0</v>
      </c>
      <c r="S63" s="37"/>
    </row>
    <row r="64" spans="1:19" s="32" customFormat="1" ht="12.75" customHeight="1" x14ac:dyDescent="0.2">
      <c r="A64" s="163"/>
      <c r="B64" s="354" t="s">
        <v>948</v>
      </c>
      <c r="C64" s="25" t="s">
        <v>1410</v>
      </c>
      <c r="D64" s="178">
        <v>0</v>
      </c>
      <c r="E64" s="26">
        <v>0</v>
      </c>
      <c r="F64" s="26">
        <v>0</v>
      </c>
      <c r="G64" s="26">
        <v>0</v>
      </c>
      <c r="H64" s="26">
        <v>0</v>
      </c>
      <c r="I64" s="178">
        <v>0</v>
      </c>
      <c r="J64" s="26">
        <v>0</v>
      </c>
      <c r="K64" s="26">
        <v>0</v>
      </c>
      <c r="L64" s="26">
        <v>0</v>
      </c>
      <c r="M64" s="26">
        <v>0</v>
      </c>
      <c r="N64" s="26">
        <v>0</v>
      </c>
      <c r="O64" s="352">
        <f>SUM(D64:N64)</f>
        <v>0</v>
      </c>
      <c r="P64" s="26"/>
      <c r="Q64" s="26"/>
      <c r="R64" s="353">
        <f>P64*O64</f>
        <v>0</v>
      </c>
      <c r="S64" s="37"/>
    </row>
    <row r="65" spans="1:19" s="32" customFormat="1" ht="12.75" customHeight="1" x14ac:dyDescent="0.2">
      <c r="A65" s="163"/>
      <c r="B65" s="31"/>
      <c r="C65" s="25"/>
      <c r="D65" s="178"/>
      <c r="E65" s="26"/>
      <c r="F65" s="26"/>
      <c r="G65" s="26"/>
      <c r="H65" s="26"/>
      <c r="I65" s="178"/>
      <c r="J65" s="26"/>
      <c r="K65" s="26"/>
      <c r="L65" s="26"/>
      <c r="M65" s="26"/>
      <c r="N65" s="26"/>
      <c r="O65" s="58"/>
      <c r="P65" s="26"/>
      <c r="Q65" s="26"/>
      <c r="R65" s="22"/>
      <c r="S65" s="37"/>
    </row>
    <row r="66" spans="1:19" s="32" customFormat="1" ht="12.75" customHeight="1" x14ac:dyDescent="0.2">
      <c r="A66" s="162" t="s">
        <v>1453</v>
      </c>
      <c r="B66" s="28" t="s">
        <v>1454</v>
      </c>
      <c r="C66" s="135"/>
      <c r="D66" s="176"/>
      <c r="E66" s="135"/>
      <c r="F66" s="135"/>
      <c r="G66" s="135"/>
      <c r="H66" s="135"/>
      <c r="I66" s="176"/>
      <c r="J66" s="135"/>
      <c r="K66" s="135"/>
      <c r="L66" s="135"/>
      <c r="M66" s="135"/>
      <c r="N66" s="135"/>
      <c r="O66" s="60"/>
      <c r="P66" s="29"/>
      <c r="Q66" s="29"/>
      <c r="R66" s="136"/>
      <c r="S66" s="37"/>
    </row>
    <row r="67" spans="1:19" s="32" customFormat="1" ht="180" customHeight="1" thickBot="1" x14ac:dyDescent="0.25">
      <c r="A67" s="163"/>
      <c r="B67" s="48" t="s">
        <v>1455</v>
      </c>
      <c r="C67" s="25"/>
      <c r="D67" s="174"/>
      <c r="E67" s="25"/>
      <c r="F67" s="25"/>
      <c r="G67" s="25"/>
      <c r="H67" s="25"/>
      <c r="I67" s="174"/>
      <c r="J67" s="25"/>
      <c r="K67" s="25"/>
      <c r="L67" s="25"/>
      <c r="M67" s="25"/>
      <c r="N67" s="25"/>
      <c r="O67" s="58"/>
      <c r="P67" s="26"/>
      <c r="Q67" s="26"/>
      <c r="R67" s="35"/>
      <c r="S67" s="37"/>
    </row>
    <row r="68" spans="1:19" s="32" customFormat="1" ht="12.75" customHeight="1" x14ac:dyDescent="0.2">
      <c r="A68" s="163"/>
      <c r="B68" s="354" t="s">
        <v>1456</v>
      </c>
      <c r="C68" s="25" t="s">
        <v>1001</v>
      </c>
      <c r="D68" s="178">
        <v>4</v>
      </c>
      <c r="E68" s="26">
        <v>4</v>
      </c>
      <c r="F68" s="26">
        <v>2</v>
      </c>
      <c r="G68" s="26">
        <v>2</v>
      </c>
      <c r="H68" s="26">
        <v>6</v>
      </c>
      <c r="I68" s="178">
        <v>0</v>
      </c>
      <c r="J68" s="26">
        <v>4</v>
      </c>
      <c r="K68" s="26">
        <v>2</v>
      </c>
      <c r="L68" s="26">
        <v>0</v>
      </c>
      <c r="M68" s="26">
        <v>2</v>
      </c>
      <c r="N68" s="26">
        <v>0</v>
      </c>
      <c r="O68" s="352">
        <f>SUM(D68:N68)</f>
        <v>26</v>
      </c>
      <c r="P68" s="26"/>
      <c r="Q68" s="26"/>
      <c r="R68" s="353">
        <f>P68*O68</f>
        <v>0</v>
      </c>
      <c r="S68" s="37"/>
    </row>
    <row r="69" spans="1:19" s="32" customFormat="1" ht="12.75" customHeight="1" x14ac:dyDescent="0.2">
      <c r="A69" s="163"/>
      <c r="B69" s="31"/>
      <c r="C69" s="25"/>
      <c r="D69" s="178"/>
      <c r="E69" s="26"/>
      <c r="F69" s="26"/>
      <c r="G69" s="26"/>
      <c r="H69" s="26"/>
      <c r="I69" s="178"/>
      <c r="J69" s="26"/>
      <c r="K69" s="26"/>
      <c r="L69" s="26"/>
      <c r="M69" s="26"/>
      <c r="N69" s="26"/>
      <c r="O69" s="58"/>
      <c r="P69" s="26"/>
      <c r="Q69" s="26"/>
      <c r="R69" s="22"/>
      <c r="S69" s="37"/>
    </row>
    <row r="70" spans="1:19" s="32" customFormat="1" ht="12.75" customHeight="1" x14ac:dyDescent="0.2">
      <c r="A70" s="162" t="s">
        <v>1457</v>
      </c>
      <c r="B70" s="28" t="s">
        <v>1458</v>
      </c>
      <c r="C70" s="135"/>
      <c r="D70" s="176"/>
      <c r="E70" s="135"/>
      <c r="F70" s="135"/>
      <c r="G70" s="135"/>
      <c r="H70" s="135"/>
      <c r="I70" s="176"/>
      <c r="J70" s="135"/>
      <c r="K70" s="135"/>
      <c r="L70" s="135"/>
      <c r="M70" s="135"/>
      <c r="N70" s="135"/>
      <c r="O70" s="60"/>
      <c r="P70" s="29"/>
      <c r="Q70" s="29"/>
      <c r="R70" s="136"/>
      <c r="S70" s="37"/>
    </row>
    <row r="71" spans="1:19" s="32" customFormat="1" ht="164.25" customHeight="1" thickBot="1" x14ac:dyDescent="0.25">
      <c r="A71" s="163"/>
      <c r="B71" s="30" t="s">
        <v>1459</v>
      </c>
      <c r="C71" s="25"/>
      <c r="D71" s="174"/>
      <c r="E71" s="25"/>
      <c r="F71" s="25"/>
      <c r="G71" s="25"/>
      <c r="H71" s="25"/>
      <c r="I71" s="174"/>
      <c r="J71" s="25"/>
      <c r="K71" s="25"/>
      <c r="L71" s="25"/>
      <c r="M71" s="25"/>
      <c r="N71" s="25"/>
      <c r="O71" s="58"/>
      <c r="P71" s="26"/>
      <c r="Q71" s="26"/>
      <c r="R71" s="35"/>
      <c r="S71" s="37"/>
    </row>
    <row r="72" spans="1:19" s="32" customFormat="1" ht="12.75" customHeight="1" x14ac:dyDescent="0.2">
      <c r="A72" s="163"/>
      <c r="B72" s="354" t="s">
        <v>1456</v>
      </c>
      <c r="C72" s="25" t="s">
        <v>1001</v>
      </c>
      <c r="D72" s="178">
        <v>1</v>
      </c>
      <c r="E72" s="26">
        <v>1</v>
      </c>
      <c r="F72" s="26">
        <v>0</v>
      </c>
      <c r="G72" s="26">
        <v>0</v>
      </c>
      <c r="H72" s="26">
        <v>0</v>
      </c>
      <c r="I72" s="178">
        <v>1</v>
      </c>
      <c r="J72" s="26">
        <v>1</v>
      </c>
      <c r="K72" s="26">
        <v>0</v>
      </c>
      <c r="L72" s="26">
        <v>1</v>
      </c>
      <c r="M72" s="26">
        <v>1</v>
      </c>
      <c r="N72" s="26">
        <v>1</v>
      </c>
      <c r="O72" s="352">
        <f>SUM(D72:N72)</f>
        <v>7</v>
      </c>
      <c r="P72" s="26"/>
      <c r="Q72" s="26"/>
      <c r="R72" s="353">
        <f>P72*O72</f>
        <v>0</v>
      </c>
      <c r="S72" s="37"/>
    </row>
    <row r="73" spans="1:19" s="32" customFormat="1" ht="12.75" customHeight="1" x14ac:dyDescent="0.2">
      <c r="A73" s="163"/>
      <c r="B73" s="31"/>
      <c r="C73" s="25"/>
      <c r="D73" s="178"/>
      <c r="E73" s="26"/>
      <c r="F73" s="26"/>
      <c r="G73" s="26"/>
      <c r="H73" s="26"/>
      <c r="I73" s="178"/>
      <c r="J73" s="26"/>
      <c r="K73" s="26"/>
      <c r="L73" s="26"/>
      <c r="M73" s="26"/>
      <c r="N73" s="26"/>
      <c r="O73" s="58"/>
      <c r="P73" s="26"/>
      <c r="Q73" s="26"/>
      <c r="R73" s="22"/>
      <c r="S73" s="37"/>
    </row>
    <row r="74" spans="1:19" s="32" customFormat="1" ht="12.75" customHeight="1" x14ac:dyDescent="0.2">
      <c r="A74" s="162" t="s">
        <v>1460</v>
      </c>
      <c r="B74" s="28" t="s">
        <v>1461</v>
      </c>
      <c r="C74" s="135"/>
      <c r="D74" s="176"/>
      <c r="E74" s="135"/>
      <c r="F74" s="135"/>
      <c r="G74" s="135"/>
      <c r="H74" s="135"/>
      <c r="I74" s="176"/>
      <c r="J74" s="135"/>
      <c r="K74" s="135"/>
      <c r="L74" s="135"/>
      <c r="M74" s="135"/>
      <c r="N74" s="135"/>
      <c r="O74" s="60"/>
      <c r="P74" s="29"/>
      <c r="Q74" s="29"/>
      <c r="R74" s="136"/>
      <c r="S74" s="37"/>
    </row>
    <row r="75" spans="1:19" s="32" customFormat="1" ht="165.75" customHeight="1" thickBot="1" x14ac:dyDescent="0.25">
      <c r="A75" s="163"/>
      <c r="B75" s="30" t="s">
        <v>1462</v>
      </c>
      <c r="C75" s="25"/>
      <c r="D75" s="174"/>
      <c r="E75" s="25"/>
      <c r="F75" s="25"/>
      <c r="G75" s="25"/>
      <c r="H75" s="25"/>
      <c r="I75" s="174"/>
      <c r="J75" s="25"/>
      <c r="K75" s="25"/>
      <c r="L75" s="25"/>
      <c r="M75" s="25"/>
      <c r="N75" s="25"/>
      <c r="O75" s="58"/>
      <c r="P75" s="26"/>
      <c r="Q75" s="26"/>
      <c r="R75" s="35"/>
      <c r="S75" s="37"/>
    </row>
    <row r="76" spans="1:19" s="32" customFormat="1" ht="12.75" customHeight="1" x14ac:dyDescent="0.2">
      <c r="A76" s="163"/>
      <c r="B76" s="354" t="s">
        <v>1456</v>
      </c>
      <c r="C76" s="25" t="s">
        <v>1001</v>
      </c>
      <c r="D76" s="178">
        <v>0</v>
      </c>
      <c r="E76" s="26">
        <v>0</v>
      </c>
      <c r="F76" s="26">
        <v>0</v>
      </c>
      <c r="G76" s="26">
        <v>0</v>
      </c>
      <c r="H76" s="26">
        <v>1</v>
      </c>
      <c r="I76" s="178">
        <v>0</v>
      </c>
      <c r="J76" s="26">
        <v>0</v>
      </c>
      <c r="K76" s="26">
        <v>0</v>
      </c>
      <c r="L76" s="26">
        <v>0</v>
      </c>
      <c r="M76" s="26">
        <v>0</v>
      </c>
      <c r="N76" s="26">
        <v>0</v>
      </c>
      <c r="O76" s="352">
        <f>SUM(D76:N76)</f>
        <v>1</v>
      </c>
      <c r="P76" s="26"/>
      <c r="Q76" s="26"/>
      <c r="R76" s="353">
        <f>P76*O76</f>
        <v>0</v>
      </c>
      <c r="S76" s="37"/>
    </row>
    <row r="77" spans="1:19" s="32" customFormat="1" ht="12.75" customHeight="1" x14ac:dyDescent="0.2">
      <c r="A77" s="159"/>
      <c r="B77" s="31"/>
      <c r="C77" s="25"/>
      <c r="D77" s="174"/>
      <c r="E77" s="25"/>
      <c r="F77" s="25"/>
      <c r="G77" s="25"/>
      <c r="H77" s="25"/>
      <c r="I77" s="174"/>
      <c r="J77" s="25"/>
      <c r="K77" s="25"/>
      <c r="L77" s="25"/>
      <c r="M77" s="25"/>
      <c r="N77" s="25"/>
      <c r="O77" s="58"/>
      <c r="P77" s="26"/>
      <c r="Q77" s="26"/>
      <c r="R77" s="35"/>
      <c r="S77" s="37"/>
    </row>
    <row r="78" spans="1:19" s="32" customFormat="1" ht="13.5" customHeight="1" thickBot="1" x14ac:dyDescent="0.25">
      <c r="A78" s="162" t="s">
        <v>1463</v>
      </c>
      <c r="B78" s="28" t="s">
        <v>1464</v>
      </c>
      <c r="C78" s="135"/>
      <c r="D78" s="176"/>
      <c r="E78" s="135"/>
      <c r="F78" s="135"/>
      <c r="G78" s="135"/>
      <c r="H78" s="348"/>
      <c r="I78" s="176"/>
      <c r="J78" s="135"/>
      <c r="K78" s="135"/>
      <c r="L78" s="135"/>
      <c r="M78" s="135"/>
      <c r="N78" s="348"/>
      <c r="O78" s="60"/>
      <c r="P78" s="29"/>
      <c r="Q78" s="29"/>
      <c r="R78" s="136"/>
      <c r="S78" s="37"/>
    </row>
    <row r="79" spans="1:19" s="32" customFormat="1" ht="280.5" customHeight="1" x14ac:dyDescent="0.2">
      <c r="A79" s="163"/>
      <c r="B79" s="356" t="s">
        <v>1465</v>
      </c>
      <c r="C79" s="350" t="s">
        <v>1410</v>
      </c>
      <c r="D79" s="178">
        <v>0</v>
      </c>
      <c r="E79" s="26">
        <v>0</v>
      </c>
      <c r="F79" s="26">
        <v>0</v>
      </c>
      <c r="G79" s="26">
        <v>0</v>
      </c>
      <c r="H79" s="351">
        <v>0</v>
      </c>
      <c r="I79" s="178">
        <v>1</v>
      </c>
      <c r="J79" s="26">
        <v>0</v>
      </c>
      <c r="K79" s="26">
        <v>0</v>
      </c>
      <c r="L79" s="26">
        <v>1</v>
      </c>
      <c r="M79" s="26">
        <v>0</v>
      </c>
      <c r="N79" s="351">
        <v>0</v>
      </c>
      <c r="O79" s="352">
        <f>SUM(D79:N79)</f>
        <v>2</v>
      </c>
      <c r="P79" s="26"/>
      <c r="Q79" s="26"/>
      <c r="R79" s="353">
        <f>P79*O79</f>
        <v>0</v>
      </c>
      <c r="S79" s="37"/>
    </row>
    <row r="80" spans="1:19" s="32" customFormat="1" ht="12.75" customHeight="1" x14ac:dyDescent="0.2">
      <c r="A80" s="163"/>
      <c r="B80" s="356"/>
      <c r="C80" s="25"/>
      <c r="D80" s="178"/>
      <c r="E80" s="26"/>
      <c r="F80" s="26"/>
      <c r="G80" s="26"/>
      <c r="H80" s="26"/>
      <c r="I80" s="178"/>
      <c r="J80" s="26"/>
      <c r="K80" s="26"/>
      <c r="L80" s="26"/>
      <c r="M80" s="26"/>
      <c r="N80" s="26"/>
      <c r="O80" s="58"/>
      <c r="P80" s="26"/>
      <c r="Q80" s="26"/>
      <c r="R80" s="22"/>
      <c r="S80" s="37"/>
    </row>
    <row r="81" spans="1:19" s="32" customFormat="1" ht="13.5" customHeight="1" thickBot="1" x14ac:dyDescent="0.25">
      <c r="A81" s="162" t="s">
        <v>1466</v>
      </c>
      <c r="B81" s="28" t="s">
        <v>1467</v>
      </c>
      <c r="C81" s="135"/>
      <c r="D81" s="176"/>
      <c r="E81" s="135"/>
      <c r="F81" s="135"/>
      <c r="G81" s="135"/>
      <c r="H81" s="348"/>
      <c r="I81" s="176"/>
      <c r="J81" s="135"/>
      <c r="K81" s="135"/>
      <c r="L81" s="135"/>
      <c r="M81" s="135"/>
      <c r="N81" s="348"/>
      <c r="O81" s="60"/>
      <c r="P81" s="29"/>
      <c r="Q81" s="29"/>
      <c r="R81" s="136"/>
      <c r="S81" s="37"/>
    </row>
    <row r="82" spans="1:19" s="32" customFormat="1" ht="114.75" customHeight="1" x14ac:dyDescent="0.2">
      <c r="A82" s="163"/>
      <c r="B82" s="356" t="s">
        <v>1468</v>
      </c>
      <c r="C82" s="350" t="s">
        <v>969</v>
      </c>
      <c r="D82" s="178">
        <v>40</v>
      </c>
      <c r="E82" s="26">
        <v>40</v>
      </c>
      <c r="F82" s="26">
        <v>40</v>
      </c>
      <c r="G82" s="26">
        <v>40</v>
      </c>
      <c r="H82" s="351">
        <v>40</v>
      </c>
      <c r="I82" s="178">
        <v>44</v>
      </c>
      <c r="J82" s="26">
        <v>44</v>
      </c>
      <c r="K82" s="26">
        <v>44</v>
      </c>
      <c r="L82" s="26">
        <v>44</v>
      </c>
      <c r="M82" s="26">
        <v>44</v>
      </c>
      <c r="N82" s="351">
        <v>44</v>
      </c>
      <c r="O82" s="352">
        <f>SUM(D82:N82)</f>
        <v>464</v>
      </c>
      <c r="P82" s="26"/>
      <c r="Q82" s="26"/>
      <c r="R82" s="353">
        <f>P82*O82</f>
        <v>0</v>
      </c>
      <c r="S82" s="37"/>
    </row>
    <row r="83" spans="1:19" s="32" customFormat="1" ht="12.75" customHeight="1" x14ac:dyDescent="0.2">
      <c r="A83" s="159"/>
      <c r="B83" s="31"/>
      <c r="C83" s="25"/>
      <c r="D83" s="174"/>
      <c r="E83" s="25"/>
      <c r="F83" s="25"/>
      <c r="G83" s="25"/>
      <c r="H83" s="25"/>
      <c r="I83" s="174"/>
      <c r="J83" s="25"/>
      <c r="K83" s="25"/>
      <c r="L83" s="25"/>
      <c r="M83" s="25"/>
      <c r="N83" s="25"/>
      <c r="O83" s="58"/>
      <c r="P83" s="26"/>
      <c r="Q83" s="26"/>
      <c r="R83" s="22"/>
      <c r="S83" s="37"/>
    </row>
    <row r="84" spans="1:19" s="129" customFormat="1" x14ac:dyDescent="0.25">
      <c r="A84" s="165" t="s">
        <v>1469</v>
      </c>
      <c r="B84" s="442" t="s">
        <v>1405</v>
      </c>
      <c r="C84" s="387"/>
      <c r="D84" s="387"/>
      <c r="E84" s="387"/>
      <c r="F84" s="387"/>
      <c r="G84" s="387"/>
      <c r="H84" s="387"/>
      <c r="I84" s="387"/>
      <c r="J84" s="387"/>
      <c r="K84" s="387"/>
      <c r="L84" s="387"/>
      <c r="M84" s="387"/>
      <c r="N84" s="387"/>
      <c r="O84" s="387"/>
      <c r="P84" s="34" t="s">
        <v>1107</v>
      </c>
      <c r="Q84" s="34"/>
      <c r="R84" s="9">
        <f>SUM(R13:R83)</f>
        <v>0</v>
      </c>
      <c r="S84" s="150"/>
    </row>
    <row r="85" spans="1:19" s="129" customFormat="1" x14ac:dyDescent="0.25">
      <c r="A85" s="157"/>
      <c r="B85" s="357"/>
      <c r="C85" s="357"/>
      <c r="D85" s="9">
        <f>SUM(D38*P38+D34*P34+D31*P31+D20*P20+D17*P17+D14*P14+D23*P23+D27*P27+D28*P28+D48*P48+D58*P58+D59*P59+D63*P63+D64*P64+D68*P68+D72*P72+D76*P76+D79*P79+D82*P82)</f>
        <v>0</v>
      </c>
      <c r="E85" s="9">
        <f>SUM(E38*P38+E34*P34+E31*P31+E20*P20+E17*P17+E14*P14+E23*P23+E27*P27+E28*P28+E48*P48+E58*P58+E59*P59+E63*P63+E64*P64+E68*P68+E72*P72+E76*P76+E79*P79+E82*P82)</f>
        <v>0</v>
      </c>
      <c r="F85" s="9">
        <f>SUM(F38*P38+F34*P34+F31*P31+F20*P20+F17*P17+F14*P14+F23*P23+F27*P27+F28*P28+F48*P48+F58*P58+F59*P59+F63*P63+F64*P64+F68*P68+F72*P72+F76*P76+F79*P79+F82*P82)</f>
        <v>0</v>
      </c>
      <c r="G85" s="9">
        <f>SUM(G38*P38+G34*P34+G31*P31+G20*P20+G17*P17+G14*P14+G23*P23+G27*P27+G28*P28+G48*P48+G58*P58+G59*P59+G63*P63+G64*P64+G68*P68+G72*P72+G76*P76+G79*P79+G82*P82)</f>
        <v>0</v>
      </c>
      <c r="H85" s="9">
        <f>SUM(H38*P38+H34*P34+H31*P31+H20*P20+H17*P17+H14*P14+H23*P23+H27*P27+H28*P28+H48*P48+H58*P58+H59*P59+H63*P63+H64*P64+H68*P68+H72*P72+H76*P76+H79*P79+H82*P82)</f>
        <v>0</v>
      </c>
      <c r="I85" s="9">
        <f>SUM(I48*P48+I34*P34+I31*P31+I20*P20+I17*P17+I14*P14+I23*P23+I27*P27+I28*P28+I38*P38+I58*P58+I59*P59+I63*P63+I64*P64+I68*P68+I72*P72+I76*P76+I79*P79+I82*P82)</f>
        <v>0</v>
      </c>
      <c r="J85" s="9">
        <f>SUM(J48*P48+J34*P34+J31*P31+J20*P20+J17*P17+J14*P14+J23*P23+J27*P27+J28*P28+J38*P38+J58*P58+J59*P59+J63*P63+J64*P64+J68*P68+J72*P72+J76*P76+J79*P79+J82*P82)</f>
        <v>0</v>
      </c>
      <c r="K85" s="9">
        <f>SUM(K48*P48+K34*P34+K31*P31+K20*P20+K17*P17+K14*P14+K23*P23+K27*P27+K28*P28+K38*P38+K58*P58+K59*P59+K63*P63+K64*P64+K68*P68+K72*P72+K76*P76+K79*P79+K82*P82)</f>
        <v>0</v>
      </c>
      <c r="L85" s="9">
        <f>SUM(L48*P48+L34*P34+L31*P31+L20*P20+L17*P17+L14*P14+L23*P23+L27*P27+L28*P28+L38*P38+L58*P58+L59*P59+L63*P63+L64*P64+L68*P68+L72*P72+L76*P76+L79*P79+L82*P82)</f>
        <v>0</v>
      </c>
      <c r="M85" s="9">
        <f>SUM(M48*P48+M34*P34+M31*P31+M20*P20+M17*P17+M14*P14+M23*P23+M27*P27+M28*P28+M38*P38+M58*P58+M59*P59+M63*P63+M64*P64+M68*P68+M72*P72+M76*P76+M79*P79+M82*P82)</f>
        <v>0</v>
      </c>
      <c r="N85" s="9">
        <f>SUM(N48*P48+N34*P34+N31*P31+N20*P20+N17*P17+N14*P14+N23*P23+N27*P27+N28*P28+N38*P38+N58*P58+N59*P59+N63*P63+N64*P64+N68*P68+N72*P72+N76*P76+N79*P79+N82*P82)</f>
        <v>0</v>
      </c>
      <c r="O85" s="357"/>
      <c r="P85" s="358"/>
      <c r="Q85" s="358"/>
      <c r="R85" s="359"/>
      <c r="S85" s="150"/>
    </row>
    <row r="86" spans="1:19" s="129" customFormat="1" x14ac:dyDescent="0.25">
      <c r="A86" s="165"/>
      <c r="B86" s="442" t="s">
        <v>1470</v>
      </c>
      <c r="C86" s="387"/>
      <c r="D86" s="387"/>
      <c r="E86" s="387"/>
      <c r="F86" s="387"/>
      <c r="G86" s="387"/>
      <c r="H86" s="387"/>
      <c r="I86" s="387"/>
      <c r="J86" s="387"/>
      <c r="K86" s="387"/>
      <c r="L86" s="387"/>
      <c r="M86" s="387"/>
      <c r="N86" s="387"/>
      <c r="O86" s="387"/>
      <c r="P86" s="34" t="s">
        <v>1107</v>
      </c>
      <c r="Q86" s="34"/>
      <c r="R86" s="9">
        <f>R84*0.1</f>
        <v>0</v>
      </c>
      <c r="S86" s="150"/>
    </row>
    <row r="87" spans="1:19" x14ac:dyDescent="0.25">
      <c r="B87" s="32"/>
      <c r="C87" s="32"/>
      <c r="D87" s="360"/>
      <c r="E87" s="32"/>
      <c r="F87" s="32"/>
      <c r="G87" s="32"/>
      <c r="H87" s="32"/>
      <c r="I87" s="360"/>
      <c r="J87" s="32"/>
      <c r="K87" s="32"/>
      <c r="L87" s="32"/>
      <c r="M87" s="32"/>
      <c r="N87" s="32"/>
      <c r="O87" s="361"/>
      <c r="P87" s="32"/>
      <c r="Q87" s="32"/>
      <c r="R87" s="32"/>
    </row>
    <row r="88" spans="1:19" s="129" customFormat="1" x14ac:dyDescent="0.25">
      <c r="A88" s="165" t="s">
        <v>1469</v>
      </c>
      <c r="B88" s="442" t="s">
        <v>1471</v>
      </c>
      <c r="C88" s="387"/>
      <c r="D88" s="387"/>
      <c r="E88" s="387"/>
      <c r="F88" s="387"/>
      <c r="G88" s="387"/>
      <c r="H88" s="387"/>
      <c r="I88" s="387"/>
      <c r="J88" s="387"/>
      <c r="K88" s="387"/>
      <c r="L88" s="387"/>
      <c r="M88" s="387"/>
      <c r="N88" s="387"/>
      <c r="O88" s="387"/>
      <c r="P88" s="34" t="s">
        <v>1107</v>
      </c>
      <c r="Q88" s="34"/>
      <c r="R88" s="362">
        <f>R84+R86</f>
        <v>0</v>
      </c>
      <c r="S88" s="150"/>
    </row>
    <row r="89" spans="1:19" x14ac:dyDescent="0.25">
      <c r="B89" s="32"/>
      <c r="C89" s="32"/>
      <c r="D89" s="360"/>
      <c r="E89" s="32"/>
      <c r="F89" s="32"/>
      <c r="G89" s="32"/>
      <c r="H89" s="32"/>
      <c r="I89" s="360"/>
      <c r="J89" s="32"/>
      <c r="K89" s="32"/>
      <c r="L89" s="32"/>
      <c r="M89" s="32"/>
      <c r="N89" s="32"/>
      <c r="O89" s="363"/>
      <c r="P89" s="32"/>
      <c r="Q89" s="32"/>
      <c r="R89" s="32"/>
    </row>
    <row r="90" spans="1:19" x14ac:dyDescent="0.25">
      <c r="B90" s="32"/>
      <c r="C90" s="32"/>
      <c r="D90" s="360"/>
      <c r="E90" s="32"/>
      <c r="F90" s="32"/>
      <c r="G90" s="32"/>
      <c r="H90" s="32"/>
      <c r="I90" s="360"/>
      <c r="J90" s="32"/>
      <c r="K90" s="32"/>
      <c r="L90" s="32"/>
      <c r="M90" s="32"/>
      <c r="N90" s="32"/>
      <c r="O90" s="361"/>
      <c r="P90" s="32"/>
      <c r="Q90" s="32"/>
      <c r="R90" s="32"/>
    </row>
  </sheetData>
  <mergeCells count="8">
    <mergeCell ref="B88:O88"/>
    <mergeCell ref="D6:H6"/>
    <mergeCell ref="B2:P3"/>
    <mergeCell ref="I5:N5"/>
    <mergeCell ref="B86:O86"/>
    <mergeCell ref="D5:H5"/>
    <mergeCell ref="I6:N6"/>
    <mergeCell ref="B84:O84"/>
  </mergeCells>
  <conditionalFormatting sqref="D85:N85">
    <cfRule type="cellIs" dxfId="26" priority="11" stopIfTrue="1" operator="greaterThan">
      <formula>0</formula>
    </cfRule>
  </conditionalFormatting>
  <conditionalFormatting sqref="R9">
    <cfRule type="cellIs" dxfId="25" priority="19" stopIfTrue="1" operator="greaterThan">
      <formula>0</formula>
    </cfRule>
  </conditionalFormatting>
  <conditionalFormatting sqref="R12:R13">
    <cfRule type="cellIs" dxfId="24" priority="17" stopIfTrue="1" operator="greaterThan">
      <formula>0</formula>
    </cfRule>
  </conditionalFormatting>
  <conditionalFormatting sqref="R16">
    <cfRule type="cellIs" dxfId="23" priority="16" stopIfTrue="1" operator="greaterThan">
      <formula>0</formula>
    </cfRule>
  </conditionalFormatting>
  <conditionalFormatting sqref="R19">
    <cfRule type="cellIs" dxfId="22" priority="15" stopIfTrue="1" operator="greaterThan">
      <formula>0</formula>
    </cfRule>
  </conditionalFormatting>
  <conditionalFormatting sqref="R22">
    <cfRule type="cellIs" dxfId="21" priority="4" stopIfTrue="1" operator="greaterThan">
      <formula>0</formula>
    </cfRule>
  </conditionalFormatting>
  <conditionalFormatting sqref="R25">
    <cfRule type="cellIs" dxfId="20" priority="3" stopIfTrue="1" operator="greaterThan">
      <formula>0</formula>
    </cfRule>
  </conditionalFormatting>
  <conditionalFormatting sqref="R30">
    <cfRule type="cellIs" dxfId="19" priority="14" stopIfTrue="1" operator="greaterThan">
      <formula>0</formula>
    </cfRule>
  </conditionalFormatting>
  <conditionalFormatting sqref="R33">
    <cfRule type="cellIs" dxfId="18" priority="13" stopIfTrue="1" operator="greaterThan">
      <formula>0</formula>
    </cfRule>
  </conditionalFormatting>
  <conditionalFormatting sqref="R36">
    <cfRule type="cellIs" dxfId="17" priority="12" stopIfTrue="1" operator="greaterThan">
      <formula>0</formula>
    </cfRule>
  </conditionalFormatting>
  <conditionalFormatting sqref="R56">
    <cfRule type="cellIs" dxfId="16" priority="10" stopIfTrue="1" operator="greaterThan">
      <formula>0</formula>
    </cfRule>
  </conditionalFormatting>
  <conditionalFormatting sqref="R61:R62">
    <cfRule type="cellIs" dxfId="15" priority="9" stopIfTrue="1" operator="greaterThan">
      <formula>0</formula>
    </cfRule>
  </conditionalFormatting>
  <conditionalFormatting sqref="R66:R67">
    <cfRule type="cellIs" dxfId="14" priority="8" stopIfTrue="1" operator="greaterThan">
      <formula>0</formula>
    </cfRule>
  </conditionalFormatting>
  <conditionalFormatting sqref="R70:R71">
    <cfRule type="cellIs" dxfId="13" priority="7" stopIfTrue="1" operator="greaterThan">
      <formula>0</formula>
    </cfRule>
  </conditionalFormatting>
  <conditionalFormatting sqref="R74:R75">
    <cfRule type="cellIs" dxfId="12" priority="6" stopIfTrue="1" operator="greaterThan">
      <formula>0</formula>
    </cfRule>
  </conditionalFormatting>
  <conditionalFormatting sqref="R77:R78">
    <cfRule type="cellIs" dxfId="11" priority="5" stopIfTrue="1" operator="greaterThan">
      <formula>0</formula>
    </cfRule>
  </conditionalFormatting>
  <conditionalFormatting sqref="R81">
    <cfRule type="cellIs" dxfId="10" priority="2" stopIfTrue="1" operator="greaterThan">
      <formula>0</formula>
    </cfRule>
  </conditionalFormatting>
  <conditionalFormatting sqref="R84:R86">
    <cfRule type="cellIs" dxfId="9" priority="18" stopIfTrue="1" operator="greaterThan">
      <formula>0</formula>
    </cfRule>
  </conditionalFormatting>
  <conditionalFormatting sqref="R88">
    <cfRule type="cellIs" dxfId="8" priority="1" stopIfTrue="1" operator="greaterThan">
      <formula>0</formula>
    </cfRule>
  </conditionalFormatting>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2" tint="-9.9978637043366805E-2"/>
  </sheetPr>
  <dimension ref="A1:XFD90"/>
  <sheetViews>
    <sheetView topLeftCell="A16" zoomScale="70" zoomScaleNormal="70" workbookViewId="0">
      <selection activeCell="W32" sqref="W32"/>
    </sheetView>
  </sheetViews>
  <sheetFormatPr defaultRowHeight="15" x14ac:dyDescent="0.25"/>
  <cols>
    <col min="2" max="2" width="57.85546875" customWidth="1"/>
  </cols>
  <sheetData>
    <row r="1" spans="1:21" s="42" customFormat="1" x14ac:dyDescent="0.25">
      <c r="A1" s="157"/>
      <c r="B1" s="112" t="s">
        <v>906</v>
      </c>
      <c r="C1" s="44"/>
      <c r="D1" s="53"/>
      <c r="E1" s="53"/>
      <c r="F1" s="53"/>
      <c r="G1" s="53"/>
      <c r="H1" s="53"/>
      <c r="I1" s="53"/>
      <c r="J1" s="53"/>
      <c r="K1" s="53"/>
      <c r="L1" s="53"/>
      <c r="M1" s="53"/>
      <c r="N1" s="53"/>
      <c r="O1" s="113"/>
      <c r="P1" s="44"/>
      <c r="Q1" s="44"/>
      <c r="R1" s="44"/>
      <c r="S1" s="44"/>
      <c r="T1" s="44"/>
      <c r="U1" s="47"/>
    </row>
    <row r="2" spans="1:21" s="42" customFormat="1" ht="15" customHeight="1" x14ac:dyDescent="0.25">
      <c r="A2" s="157"/>
      <c r="B2" s="436" t="s">
        <v>907</v>
      </c>
      <c r="C2" s="437"/>
      <c r="D2" s="437"/>
      <c r="E2" s="437"/>
      <c r="F2" s="437"/>
      <c r="G2" s="437"/>
      <c r="H2" s="437"/>
      <c r="I2" s="437"/>
      <c r="J2" s="437"/>
      <c r="K2" s="437"/>
      <c r="L2" s="437"/>
      <c r="M2" s="437"/>
      <c r="N2" s="437"/>
      <c r="O2" s="437"/>
      <c r="P2" s="437"/>
      <c r="Q2" s="437"/>
      <c r="R2" s="438"/>
      <c r="S2" s="7" t="s">
        <v>25</v>
      </c>
      <c r="T2" s="133">
        <v>0</v>
      </c>
      <c r="U2" s="47"/>
    </row>
    <row r="3" spans="1:21" s="42" customFormat="1" x14ac:dyDescent="0.25">
      <c r="A3" s="157"/>
      <c r="B3" s="439"/>
      <c r="C3" s="393"/>
      <c r="D3" s="393"/>
      <c r="E3" s="393"/>
      <c r="F3" s="393"/>
      <c r="G3" s="393"/>
      <c r="H3" s="393"/>
      <c r="I3" s="393"/>
      <c r="J3" s="393"/>
      <c r="K3" s="393"/>
      <c r="L3" s="393"/>
      <c r="M3" s="393"/>
      <c r="N3" s="393"/>
      <c r="O3" s="393"/>
      <c r="P3" s="393"/>
      <c r="Q3" s="393"/>
      <c r="R3" s="394"/>
      <c r="S3" s="7" t="s">
        <v>27</v>
      </c>
      <c r="T3" s="134" t="s">
        <v>22</v>
      </c>
      <c r="U3" s="47"/>
    </row>
    <row r="4" spans="1:21" s="42" customFormat="1" x14ac:dyDescent="0.25">
      <c r="A4" s="157"/>
      <c r="B4" s="114" t="s">
        <v>908</v>
      </c>
      <c r="C4" s="114" t="s">
        <v>909</v>
      </c>
      <c r="D4" s="115">
        <f>1*N4</f>
        <v>1</v>
      </c>
      <c r="E4" s="115">
        <f>1*N4</f>
        <v>1</v>
      </c>
      <c r="F4" s="115">
        <f>1*N4</f>
        <v>1</v>
      </c>
      <c r="G4" s="115">
        <f>1*N4</f>
        <v>1</v>
      </c>
      <c r="H4" s="115">
        <f>4*$N4</f>
        <v>4</v>
      </c>
      <c r="I4" s="115">
        <f>1*N4</f>
        <v>1</v>
      </c>
      <c r="J4" s="115">
        <f>1*N4</f>
        <v>1</v>
      </c>
      <c r="K4" s="115">
        <f>2*$N4</f>
        <v>2</v>
      </c>
      <c r="L4" s="115">
        <f>1*N4</f>
        <v>1</v>
      </c>
      <c r="M4" s="45">
        <v>1</v>
      </c>
      <c r="N4" s="57">
        <v>1</v>
      </c>
      <c r="O4" s="116">
        <v>13</v>
      </c>
      <c r="P4" s="114"/>
      <c r="Q4" s="114"/>
      <c r="R4" s="114"/>
      <c r="S4" s="44"/>
      <c r="T4" s="44"/>
      <c r="U4" s="47"/>
    </row>
    <row r="5" spans="1:21" s="117" customFormat="1" ht="15.75" customHeight="1" x14ac:dyDescent="0.25">
      <c r="A5" s="158" t="s">
        <v>910</v>
      </c>
      <c r="B5" s="434" t="s">
        <v>911</v>
      </c>
      <c r="C5" s="387"/>
      <c r="D5" s="387"/>
      <c r="E5" s="387"/>
      <c r="F5" s="387"/>
      <c r="G5" s="387"/>
      <c r="H5" s="387"/>
      <c r="I5" s="387"/>
      <c r="J5" s="387"/>
      <c r="K5" s="387"/>
      <c r="L5" s="387"/>
      <c r="M5" s="387"/>
      <c r="N5" s="387"/>
      <c r="O5" s="387"/>
      <c r="P5" s="387"/>
      <c r="Q5" s="387"/>
      <c r="R5" s="387"/>
      <c r="S5" s="387"/>
      <c r="T5" s="388"/>
      <c r="U5" s="149"/>
    </row>
    <row r="6" spans="1:21" s="42" customFormat="1" ht="15.75" customHeight="1" thickBot="1" x14ac:dyDescent="0.3">
      <c r="A6" s="157"/>
      <c r="B6" s="44"/>
      <c r="C6" s="44"/>
      <c r="D6" s="44"/>
      <c r="E6" s="44"/>
      <c r="F6" s="44"/>
      <c r="G6" s="44"/>
      <c r="H6" s="44"/>
      <c r="I6" s="44"/>
      <c r="J6" s="44"/>
      <c r="K6" s="44"/>
      <c r="L6" s="44"/>
      <c r="M6" s="44"/>
      <c r="N6" s="44"/>
      <c r="O6" s="118"/>
      <c r="P6" s="44"/>
      <c r="Q6" s="44"/>
      <c r="R6" s="44"/>
      <c r="S6" s="44"/>
      <c r="T6" s="44"/>
      <c r="U6" s="47"/>
    </row>
    <row r="7" spans="1:21" s="42" customFormat="1" ht="50.1" customHeight="1" thickBot="1" x14ac:dyDescent="0.3">
      <c r="A7" s="119" t="s">
        <v>912</v>
      </c>
      <c r="B7" s="119" t="s">
        <v>913</v>
      </c>
      <c r="C7" s="120" t="s">
        <v>914</v>
      </c>
      <c r="D7" s="430"/>
      <c r="E7" s="431"/>
      <c r="F7" s="431"/>
      <c r="G7" s="431"/>
      <c r="H7" s="431"/>
      <c r="I7" s="431"/>
      <c r="J7" s="431"/>
      <c r="K7" s="431"/>
      <c r="L7" s="431"/>
      <c r="M7" s="431"/>
      <c r="N7" s="431"/>
      <c r="O7" s="121" t="s">
        <v>915</v>
      </c>
      <c r="P7" s="122" t="s">
        <v>916</v>
      </c>
      <c r="Q7" s="121" t="s">
        <v>917</v>
      </c>
      <c r="R7" s="121" t="s">
        <v>918</v>
      </c>
      <c r="S7" s="121"/>
      <c r="T7" s="119" t="s">
        <v>919</v>
      </c>
      <c r="U7" s="47"/>
    </row>
    <row r="8" spans="1:21" s="42" customFormat="1" ht="50.1" customHeight="1" thickBot="1" x14ac:dyDescent="0.3">
      <c r="A8" s="123"/>
      <c r="B8" s="123"/>
      <c r="C8" s="124"/>
      <c r="D8" s="432" t="s">
        <v>920</v>
      </c>
      <c r="E8" s="431"/>
      <c r="F8" s="431"/>
      <c r="G8" s="431"/>
      <c r="H8" s="431"/>
      <c r="I8" s="431"/>
      <c r="J8" s="431"/>
      <c r="K8" s="431"/>
      <c r="L8" s="431"/>
      <c r="M8" s="431"/>
      <c r="N8" s="433"/>
      <c r="O8" s="125"/>
      <c r="P8" s="124"/>
      <c r="Q8" s="124"/>
      <c r="R8" s="124"/>
      <c r="S8" s="124"/>
      <c r="T8" s="123"/>
      <c r="U8" s="47"/>
    </row>
    <row r="9" spans="1:21" s="42" customFormat="1" ht="62.25" customHeight="1" x14ac:dyDescent="0.25">
      <c r="A9" s="123"/>
      <c r="B9" s="123"/>
      <c r="C9" s="124"/>
      <c r="D9" s="127" t="s">
        <v>921</v>
      </c>
      <c r="E9" s="127" t="s">
        <v>922</v>
      </c>
      <c r="F9" s="46" t="s">
        <v>923</v>
      </c>
      <c r="G9" s="46" t="s">
        <v>924</v>
      </c>
      <c r="H9" s="46" t="s">
        <v>925</v>
      </c>
      <c r="I9" s="46" t="s">
        <v>926</v>
      </c>
      <c r="J9" s="46" t="s">
        <v>927</v>
      </c>
      <c r="K9" s="46" t="s">
        <v>928</v>
      </c>
      <c r="L9" s="46" t="s">
        <v>929</v>
      </c>
      <c r="M9" s="154" t="s">
        <v>930</v>
      </c>
      <c r="N9" s="126" t="s">
        <v>931</v>
      </c>
      <c r="O9" s="125"/>
      <c r="P9" s="124"/>
      <c r="Q9" s="124"/>
      <c r="R9" s="124"/>
      <c r="S9" s="124"/>
      <c r="T9" s="123"/>
      <c r="U9" s="47"/>
    </row>
    <row r="10" spans="1:21" s="32" customFormat="1" ht="12.75" customHeight="1" x14ac:dyDescent="0.2">
      <c r="A10" s="159"/>
      <c r="B10" s="30"/>
      <c r="C10" s="25"/>
      <c r="D10" s="25"/>
      <c r="E10" s="25"/>
      <c r="F10" s="25"/>
      <c r="G10" s="25"/>
      <c r="H10" s="25"/>
      <c r="I10" s="25"/>
      <c r="J10" s="25"/>
      <c r="K10" s="25"/>
      <c r="L10" s="25"/>
      <c r="M10" s="25"/>
      <c r="N10" s="25"/>
      <c r="O10" s="58"/>
      <c r="P10" s="26"/>
      <c r="Q10" s="26"/>
      <c r="R10" s="26"/>
      <c r="S10" s="26"/>
      <c r="T10" s="22"/>
      <c r="U10" s="37"/>
    </row>
    <row r="11" spans="1:21" s="32" customFormat="1" ht="12.75" customHeight="1" x14ac:dyDescent="0.2">
      <c r="A11" s="159"/>
      <c r="B11" s="31"/>
      <c r="C11" s="25"/>
      <c r="D11" s="25"/>
      <c r="E11" s="25"/>
      <c r="F11" s="25"/>
      <c r="G11" s="25"/>
      <c r="H11" s="25"/>
      <c r="I11" s="25"/>
      <c r="J11" s="25"/>
      <c r="K11" s="25"/>
      <c r="L11" s="25"/>
      <c r="M11" s="25"/>
      <c r="N11" s="25"/>
      <c r="O11" s="58"/>
      <c r="P11" s="26"/>
      <c r="Q11" s="26"/>
      <c r="R11" s="26"/>
      <c r="S11" s="26"/>
      <c r="T11" s="35"/>
      <c r="U11" s="37"/>
    </row>
    <row r="12" spans="1:21" s="117" customFormat="1" ht="15.75" customHeight="1" x14ac:dyDescent="0.25">
      <c r="A12" s="160" t="s">
        <v>932</v>
      </c>
      <c r="B12" s="39" t="s">
        <v>933</v>
      </c>
      <c r="C12" s="40"/>
      <c r="D12" s="40"/>
      <c r="E12" s="40"/>
      <c r="F12" s="40"/>
      <c r="G12" s="40"/>
      <c r="H12" s="40"/>
      <c r="I12" s="40"/>
      <c r="J12" s="40"/>
      <c r="K12" s="40"/>
      <c r="L12" s="40"/>
      <c r="M12" s="40"/>
      <c r="N12" s="40"/>
      <c r="O12" s="59"/>
      <c r="P12" s="40"/>
      <c r="Q12" s="40"/>
      <c r="R12" s="40"/>
      <c r="S12" s="40"/>
      <c r="T12" s="41"/>
      <c r="U12" s="149"/>
    </row>
    <row r="14" spans="1:21" s="42" customFormat="1" x14ac:dyDescent="0.25">
      <c r="A14" s="161" t="s">
        <v>1472</v>
      </c>
      <c r="B14" s="441" t="s">
        <v>1473</v>
      </c>
      <c r="C14" s="387"/>
      <c r="D14" s="387"/>
      <c r="E14" s="387"/>
      <c r="F14" s="387"/>
      <c r="G14" s="387"/>
      <c r="H14" s="387"/>
      <c r="I14" s="387"/>
      <c r="J14" s="387"/>
      <c r="K14" s="387"/>
      <c r="L14" s="387"/>
      <c r="M14" s="387"/>
      <c r="N14" s="387"/>
      <c r="O14" s="387"/>
      <c r="P14" s="387"/>
      <c r="Q14" s="387"/>
      <c r="R14" s="387"/>
      <c r="S14" s="43"/>
      <c r="T14" s="33"/>
      <c r="U14" s="47"/>
    </row>
    <row r="15" spans="1:21" s="32" customFormat="1" ht="12.75" customHeight="1" x14ac:dyDescent="0.2">
      <c r="A15" s="159"/>
      <c r="B15" s="31"/>
      <c r="C15" s="25"/>
      <c r="D15" s="25"/>
      <c r="E15" s="25"/>
      <c r="F15" s="25"/>
      <c r="G15" s="25"/>
      <c r="H15" s="25"/>
      <c r="I15" s="25"/>
      <c r="J15" s="25"/>
      <c r="K15" s="25"/>
      <c r="L15" s="25"/>
      <c r="M15" s="25"/>
      <c r="N15" s="25"/>
      <c r="O15" s="58"/>
      <c r="P15" s="26"/>
      <c r="Q15" s="26"/>
      <c r="R15" s="26"/>
      <c r="S15" s="26"/>
      <c r="T15" s="35"/>
      <c r="U15" s="37"/>
    </row>
    <row r="16" spans="1:21" s="32" customFormat="1" ht="38.25" customHeight="1" x14ac:dyDescent="0.2">
      <c r="A16" s="166" t="s">
        <v>1474</v>
      </c>
      <c r="B16" s="27" t="s">
        <v>1475</v>
      </c>
      <c r="C16" s="28"/>
      <c r="D16" s="28"/>
      <c r="E16" s="28"/>
      <c r="F16" s="28"/>
      <c r="G16" s="28"/>
      <c r="H16" s="28"/>
      <c r="I16" s="28"/>
      <c r="J16" s="28"/>
      <c r="K16" s="28"/>
      <c r="L16" s="28"/>
      <c r="M16" s="28"/>
      <c r="N16" s="28"/>
      <c r="O16" s="60"/>
      <c r="P16" s="29"/>
      <c r="Q16" s="29"/>
      <c r="R16" s="29"/>
      <c r="S16" s="29"/>
      <c r="T16" s="23"/>
      <c r="U16" s="37"/>
    </row>
    <row r="17" spans="1:21" s="32" customFormat="1" ht="89.25" customHeight="1" x14ac:dyDescent="0.2">
      <c r="A17" s="159"/>
      <c r="B17" s="266" t="s">
        <v>1476</v>
      </c>
      <c r="C17" s="25"/>
      <c r="D17" s="25"/>
      <c r="E17" s="25"/>
      <c r="F17" s="25"/>
      <c r="G17" s="25"/>
      <c r="H17" s="25"/>
      <c r="I17" s="25"/>
      <c r="J17" s="25"/>
      <c r="K17" s="25"/>
      <c r="L17" s="25"/>
      <c r="M17" s="25"/>
      <c r="N17" s="25"/>
      <c r="O17" s="58"/>
      <c r="P17" s="26"/>
      <c r="Q17" s="26"/>
      <c r="R17" s="26"/>
      <c r="S17" s="26"/>
      <c r="T17" s="35"/>
      <c r="U17" s="37"/>
    </row>
    <row r="18" spans="1:21" s="32" customFormat="1" ht="12.75" customHeight="1" x14ac:dyDescent="0.2">
      <c r="A18" s="159"/>
      <c r="B18" s="30" t="s">
        <v>1477</v>
      </c>
      <c r="C18" s="25"/>
      <c r="D18" s="25"/>
      <c r="E18" s="25"/>
      <c r="F18" s="25"/>
      <c r="G18" s="25"/>
      <c r="H18" s="25"/>
      <c r="I18" s="25"/>
      <c r="J18" s="25"/>
      <c r="K18" s="25"/>
      <c r="L18" s="25"/>
      <c r="M18" s="25"/>
      <c r="N18" s="25"/>
      <c r="O18" s="58"/>
      <c r="P18" s="26"/>
      <c r="Q18" s="26"/>
      <c r="R18" s="26"/>
      <c r="S18" s="26"/>
      <c r="T18" s="35"/>
      <c r="U18" s="37"/>
    </row>
    <row r="19" spans="1:21" s="32" customFormat="1" ht="39" customHeight="1" thickBot="1" x14ac:dyDescent="0.25">
      <c r="A19" s="159"/>
      <c r="B19" s="30" t="s">
        <v>1478</v>
      </c>
      <c r="C19" s="25"/>
      <c r="D19" s="25"/>
      <c r="E19" s="25"/>
      <c r="F19" s="25"/>
      <c r="G19" s="25"/>
      <c r="H19" s="25"/>
      <c r="I19" s="25"/>
      <c r="J19" s="25"/>
      <c r="K19" s="25"/>
      <c r="L19" s="25"/>
      <c r="M19" s="25"/>
      <c r="N19" s="25"/>
      <c r="O19" s="58"/>
      <c r="P19" s="26"/>
      <c r="Q19" s="26"/>
      <c r="R19" s="26"/>
      <c r="S19" s="26"/>
      <c r="T19" s="35"/>
      <c r="U19" s="37"/>
    </row>
    <row r="20" spans="1:21" s="268" customFormat="1" ht="27.75" customHeight="1" thickBot="1" x14ac:dyDescent="0.25">
      <c r="A20" s="209"/>
      <c r="B20" s="210" t="s">
        <v>1479</v>
      </c>
      <c r="C20" s="211" t="s">
        <v>938</v>
      </c>
      <c r="D20" s="212">
        <f t="shared" ref="D20:M20" si="0">D$4*0</f>
        <v>0</v>
      </c>
      <c r="E20" s="212">
        <f t="shared" si="0"/>
        <v>0</v>
      </c>
      <c r="F20" s="213">
        <f t="shared" si="0"/>
        <v>0</v>
      </c>
      <c r="G20" s="213">
        <f t="shared" si="0"/>
        <v>0</v>
      </c>
      <c r="H20" s="213">
        <f t="shared" si="0"/>
        <v>0</v>
      </c>
      <c r="I20" s="213">
        <f t="shared" si="0"/>
        <v>0</v>
      </c>
      <c r="J20" s="213">
        <f t="shared" si="0"/>
        <v>0</v>
      </c>
      <c r="K20" s="213">
        <f t="shared" si="0"/>
        <v>0</v>
      </c>
      <c r="L20" s="213">
        <f t="shared" si="0"/>
        <v>0</v>
      </c>
      <c r="M20" s="213">
        <f t="shared" si="0"/>
        <v>0</v>
      </c>
      <c r="N20" s="214">
        <f>N$4*348*0.2</f>
        <v>69.600000000000009</v>
      </c>
      <c r="O20" s="215">
        <f>SUM(D20:N20)</f>
        <v>69.600000000000009</v>
      </c>
      <c r="P20" s="216">
        <v>0</v>
      </c>
      <c r="Q20" s="216">
        <v>0</v>
      </c>
      <c r="R20" s="216">
        <f>P20+Q20</f>
        <v>0</v>
      </c>
      <c r="S20" s="216"/>
      <c r="T20" s="217">
        <f>R20*O20</f>
        <v>0</v>
      </c>
      <c r="U20" s="267"/>
    </row>
    <row r="21" spans="1:21" s="270" customFormat="1" ht="12.75" customHeight="1" x14ac:dyDescent="0.2">
      <c r="A21" s="159"/>
      <c r="B21" s="30"/>
      <c r="C21" s="25"/>
      <c r="D21" s="25"/>
      <c r="E21" s="25"/>
      <c r="F21" s="25"/>
      <c r="G21" s="25"/>
      <c r="H21" s="25"/>
      <c r="I21" s="25"/>
      <c r="J21" s="25"/>
      <c r="K21" s="25"/>
      <c r="L21" s="25"/>
      <c r="M21" s="25"/>
      <c r="N21" s="25"/>
      <c r="O21" s="58"/>
      <c r="P21" s="26"/>
      <c r="Q21" s="26"/>
      <c r="R21" s="26"/>
      <c r="S21" s="26"/>
      <c r="T21" s="35"/>
      <c r="U21" s="269"/>
    </row>
    <row r="22" spans="1:21" s="270" customFormat="1" ht="14.25" customHeight="1" x14ac:dyDescent="0.2">
      <c r="A22" s="166" t="s">
        <v>1480</v>
      </c>
      <c r="B22" s="27" t="s">
        <v>1481</v>
      </c>
      <c r="C22" s="28"/>
      <c r="D22" s="28"/>
      <c r="E22" s="28"/>
      <c r="F22" s="28"/>
      <c r="G22" s="28"/>
      <c r="H22" s="28"/>
      <c r="I22" s="28"/>
      <c r="J22" s="28"/>
      <c r="K22" s="28"/>
      <c r="L22" s="28"/>
      <c r="M22" s="28"/>
      <c r="N22" s="28"/>
      <c r="O22" s="60"/>
      <c r="P22" s="29"/>
      <c r="Q22" s="29"/>
      <c r="R22" s="29"/>
      <c r="S22" s="29"/>
      <c r="T22" s="23"/>
      <c r="U22" s="269"/>
    </row>
    <row r="23" spans="1:21" s="277" customFormat="1" ht="76.5" customHeight="1" x14ac:dyDescent="0.2">
      <c r="A23" s="271"/>
      <c r="B23" s="266" t="s">
        <v>1482</v>
      </c>
      <c r="C23" s="272"/>
      <c r="D23" s="272"/>
      <c r="E23" s="272"/>
      <c r="F23" s="272"/>
      <c r="G23" s="272"/>
      <c r="H23" s="272"/>
      <c r="I23" s="272"/>
      <c r="J23" s="272"/>
      <c r="K23" s="272"/>
      <c r="L23" s="272"/>
      <c r="M23" s="272"/>
      <c r="N23" s="272"/>
      <c r="O23" s="273"/>
      <c r="P23" s="274"/>
      <c r="Q23" s="274"/>
      <c r="R23" s="274"/>
      <c r="S23" s="274"/>
      <c r="T23" s="275"/>
      <c r="U23" s="276"/>
    </row>
    <row r="24" spans="1:21" s="270" customFormat="1" ht="13.5" customHeight="1" thickBot="1" x14ac:dyDescent="0.25">
      <c r="A24" s="159"/>
      <c r="B24" s="30" t="s">
        <v>1477</v>
      </c>
      <c r="C24" s="25"/>
      <c r="D24" s="25"/>
      <c r="E24" s="25"/>
      <c r="F24" s="25"/>
      <c r="G24" s="25"/>
      <c r="H24" s="25"/>
      <c r="I24" s="25"/>
      <c r="J24" s="25"/>
      <c r="K24" s="25"/>
      <c r="L24" s="25"/>
      <c r="M24" s="25"/>
      <c r="N24" s="25"/>
      <c r="O24" s="58"/>
      <c r="P24" s="26"/>
      <c r="Q24" s="26"/>
      <c r="R24" s="26"/>
      <c r="S24" s="26"/>
      <c r="T24" s="35"/>
      <c r="U24" s="269"/>
    </row>
    <row r="25" spans="1:21" s="279" customFormat="1" ht="26.25" customHeight="1" thickBot="1" x14ac:dyDescent="0.25">
      <c r="A25" s="209"/>
      <c r="B25" s="210" t="s">
        <v>1483</v>
      </c>
      <c r="C25" s="211" t="s">
        <v>938</v>
      </c>
      <c r="D25" s="212">
        <f t="shared" ref="D25:M26" si="1">D$4*0</f>
        <v>0</v>
      </c>
      <c r="E25" s="212">
        <f t="shared" si="1"/>
        <v>0</v>
      </c>
      <c r="F25" s="213">
        <f t="shared" si="1"/>
        <v>0</v>
      </c>
      <c r="G25" s="213">
        <f t="shared" si="1"/>
        <v>0</v>
      </c>
      <c r="H25" s="213">
        <f t="shared" si="1"/>
        <v>0</v>
      </c>
      <c r="I25" s="213">
        <f t="shared" si="1"/>
        <v>0</v>
      </c>
      <c r="J25" s="213">
        <f t="shared" si="1"/>
        <v>0</v>
      </c>
      <c r="K25" s="213">
        <f t="shared" si="1"/>
        <v>0</v>
      </c>
      <c r="L25" s="213">
        <f t="shared" si="1"/>
        <v>0</v>
      </c>
      <c r="M25" s="213">
        <f t="shared" si="1"/>
        <v>0</v>
      </c>
      <c r="N25" s="214">
        <f>N$4*348*0.3</f>
        <v>104.39999999999999</v>
      </c>
      <c r="O25" s="215">
        <f>SUM(D25:N25)</f>
        <v>104.39999999999999</v>
      </c>
      <c r="P25" s="216">
        <v>0</v>
      </c>
      <c r="Q25" s="216">
        <v>0</v>
      </c>
      <c r="R25" s="216">
        <f>P25+Q25</f>
        <v>0</v>
      </c>
      <c r="S25" s="216"/>
      <c r="T25" s="217">
        <f>R25*O25</f>
        <v>0</v>
      </c>
      <c r="U25" s="278"/>
    </row>
    <row r="26" spans="1:21" s="279" customFormat="1" thickBot="1" x14ac:dyDescent="0.25">
      <c r="A26" s="209"/>
      <c r="B26" s="210" t="s">
        <v>968</v>
      </c>
      <c r="C26" s="211" t="s">
        <v>969</v>
      </c>
      <c r="D26" s="212">
        <f t="shared" si="1"/>
        <v>0</v>
      </c>
      <c r="E26" s="212">
        <f t="shared" si="1"/>
        <v>0</v>
      </c>
      <c r="F26" s="213">
        <f t="shared" si="1"/>
        <v>0</v>
      </c>
      <c r="G26" s="213">
        <f t="shared" si="1"/>
        <v>0</v>
      </c>
      <c r="H26" s="213">
        <f t="shared" si="1"/>
        <v>0</v>
      </c>
      <c r="I26" s="213">
        <f t="shared" si="1"/>
        <v>0</v>
      </c>
      <c r="J26" s="213">
        <f t="shared" si="1"/>
        <v>0</v>
      </c>
      <c r="K26" s="213">
        <f t="shared" si="1"/>
        <v>0</v>
      </c>
      <c r="L26" s="213">
        <f t="shared" si="1"/>
        <v>0</v>
      </c>
      <c r="M26" s="213">
        <f t="shared" si="1"/>
        <v>0</v>
      </c>
      <c r="N26" s="214">
        <v>40</v>
      </c>
      <c r="O26" s="215">
        <f>SUM(D26:N26)</f>
        <v>40</v>
      </c>
      <c r="P26" s="216">
        <v>0</v>
      </c>
      <c r="Q26" s="216">
        <v>0</v>
      </c>
      <c r="R26" s="216">
        <f>P26+Q26</f>
        <v>0</v>
      </c>
      <c r="S26" s="216"/>
      <c r="T26" s="217">
        <f>R26*O26</f>
        <v>0</v>
      </c>
      <c r="U26" s="278"/>
    </row>
    <row r="27" spans="1:21" s="32" customFormat="1" ht="12.75" customHeight="1" x14ac:dyDescent="0.2">
      <c r="A27" s="159"/>
      <c r="B27" s="30"/>
      <c r="C27" s="25"/>
      <c r="D27" s="25"/>
      <c r="E27" s="25"/>
      <c r="F27" s="25"/>
      <c r="G27" s="25"/>
      <c r="H27" s="25"/>
      <c r="I27" s="25"/>
      <c r="J27" s="25"/>
      <c r="K27" s="25"/>
      <c r="L27" s="25"/>
      <c r="M27" s="25"/>
      <c r="N27" s="25"/>
      <c r="O27" s="58"/>
      <c r="P27" s="26"/>
      <c r="Q27" s="26"/>
      <c r="R27" s="26"/>
      <c r="S27" s="26"/>
      <c r="T27" s="35"/>
      <c r="U27" s="37"/>
    </row>
    <row r="28" spans="1:21" s="32" customFormat="1" ht="25.5" customHeight="1" x14ac:dyDescent="0.2">
      <c r="A28" s="166" t="s">
        <v>1484</v>
      </c>
      <c r="B28" s="27" t="s">
        <v>1485</v>
      </c>
      <c r="C28" s="28"/>
      <c r="D28" s="28"/>
      <c r="E28" s="28"/>
      <c r="F28" s="28"/>
      <c r="G28" s="28"/>
      <c r="H28" s="28"/>
      <c r="I28" s="28"/>
      <c r="J28" s="28"/>
      <c r="K28" s="28"/>
      <c r="L28" s="28"/>
      <c r="M28" s="28"/>
      <c r="N28" s="28"/>
      <c r="O28" s="60"/>
      <c r="P28" s="29"/>
      <c r="Q28" s="29"/>
      <c r="R28" s="29"/>
      <c r="S28" s="29"/>
      <c r="T28" s="23"/>
      <c r="U28" s="37"/>
    </row>
    <row r="29" spans="1:21" s="32" customFormat="1" ht="39" customHeight="1" thickBot="1" x14ac:dyDescent="0.25">
      <c r="A29" s="159"/>
      <c r="B29" s="24" t="s">
        <v>1486</v>
      </c>
      <c r="C29" s="25"/>
      <c r="D29" s="25"/>
      <c r="E29" s="25"/>
      <c r="F29" s="25"/>
      <c r="G29" s="25"/>
      <c r="H29" s="25"/>
      <c r="I29" s="25"/>
      <c r="J29" s="25"/>
      <c r="K29" s="25"/>
      <c r="L29" s="25"/>
      <c r="M29" s="25"/>
      <c r="N29" s="25"/>
      <c r="O29" s="58"/>
      <c r="P29" s="26"/>
      <c r="Q29" s="26"/>
      <c r="R29" s="26"/>
      <c r="S29" s="26"/>
      <c r="T29" s="35"/>
      <c r="U29" s="37"/>
    </row>
    <row r="30" spans="1:21" s="32" customFormat="1" thickBot="1" x14ac:dyDescent="0.25">
      <c r="A30" s="166"/>
      <c r="B30" s="137" t="s">
        <v>1487</v>
      </c>
      <c r="C30" s="135" t="s">
        <v>938</v>
      </c>
      <c r="D30" s="55">
        <f t="shared" ref="D30:M30" si="2">D$4*0</f>
        <v>0</v>
      </c>
      <c r="E30" s="55">
        <f t="shared" si="2"/>
        <v>0</v>
      </c>
      <c r="F30" s="36">
        <f t="shared" si="2"/>
        <v>0</v>
      </c>
      <c r="G30" s="36">
        <f t="shared" si="2"/>
        <v>0</v>
      </c>
      <c r="H30" s="36">
        <f t="shared" si="2"/>
        <v>0</v>
      </c>
      <c r="I30" s="36">
        <f t="shared" si="2"/>
        <v>0</v>
      </c>
      <c r="J30" s="36">
        <f t="shared" si="2"/>
        <v>0</v>
      </c>
      <c r="K30" s="36">
        <f t="shared" si="2"/>
        <v>0</v>
      </c>
      <c r="L30" s="36">
        <f t="shared" si="2"/>
        <v>0</v>
      </c>
      <c r="M30" s="36">
        <f t="shared" si="2"/>
        <v>0</v>
      </c>
      <c r="N30" s="56">
        <f>N$4*244</f>
        <v>244</v>
      </c>
      <c r="O30" s="62">
        <f>SUM(D30:N30)</f>
        <v>244</v>
      </c>
      <c r="P30" s="26">
        <v>0</v>
      </c>
      <c r="Q30" s="26">
        <v>0</v>
      </c>
      <c r="R30" s="26">
        <f>P30+Q30</f>
        <v>0</v>
      </c>
      <c r="S30" s="26"/>
      <c r="T30" s="22">
        <f>R30*O30</f>
        <v>0</v>
      </c>
      <c r="U30" s="37"/>
    </row>
    <row r="31" spans="1:21" s="32" customFormat="1" ht="12.75" customHeight="1" x14ac:dyDescent="0.2">
      <c r="A31" s="159"/>
      <c r="B31" s="24"/>
      <c r="C31" s="25"/>
      <c r="D31" s="25"/>
      <c r="E31" s="25"/>
      <c r="F31" s="25"/>
      <c r="G31" s="25"/>
      <c r="H31" s="25"/>
      <c r="I31" s="25"/>
      <c r="J31" s="25"/>
      <c r="K31" s="25"/>
      <c r="L31" s="25"/>
      <c r="M31" s="25"/>
      <c r="N31" s="25"/>
      <c r="O31" s="58"/>
      <c r="P31" s="26"/>
      <c r="Q31" s="26"/>
      <c r="R31" s="26"/>
      <c r="S31" s="26"/>
      <c r="T31" s="35"/>
      <c r="U31" s="37"/>
    </row>
    <row r="32" spans="1:21" s="32" customFormat="1" ht="27" customHeight="1" x14ac:dyDescent="0.2">
      <c r="A32" s="166" t="s">
        <v>1488</v>
      </c>
      <c r="B32" s="27" t="s">
        <v>1489</v>
      </c>
      <c r="C32" s="28"/>
      <c r="D32" s="28"/>
      <c r="E32" s="28"/>
      <c r="F32" s="28"/>
      <c r="G32" s="28"/>
      <c r="H32" s="28"/>
      <c r="I32" s="28"/>
      <c r="J32" s="28"/>
      <c r="K32" s="28"/>
      <c r="L32" s="28"/>
      <c r="M32" s="28"/>
      <c r="N32" s="28"/>
      <c r="O32" s="60"/>
      <c r="P32" s="29"/>
      <c r="Q32" s="29"/>
      <c r="R32" s="29"/>
      <c r="S32" s="29"/>
      <c r="T32" s="23"/>
      <c r="U32" s="37"/>
    </row>
    <row r="33" spans="1:21" s="32" customFormat="1" ht="39" customHeight="1" thickBot="1" x14ac:dyDescent="0.25">
      <c r="A33" s="159"/>
      <c r="B33" s="24" t="s">
        <v>1490</v>
      </c>
      <c r="C33" s="25"/>
      <c r="D33" s="25"/>
      <c r="E33" s="25"/>
      <c r="F33" s="25"/>
      <c r="G33" s="25"/>
      <c r="H33" s="25"/>
      <c r="I33" s="25"/>
      <c r="J33" s="25"/>
      <c r="K33" s="25"/>
      <c r="L33" s="25"/>
      <c r="M33" s="25"/>
      <c r="N33" s="25"/>
      <c r="O33" s="58"/>
      <c r="P33" s="26"/>
      <c r="Q33" s="26"/>
      <c r="R33" s="26"/>
      <c r="S33" s="26"/>
      <c r="T33" s="35"/>
      <c r="U33" s="37"/>
    </row>
    <row r="34" spans="1:21" s="32" customFormat="1" ht="14.25" customHeight="1" x14ac:dyDescent="0.2">
      <c r="A34" s="166"/>
      <c r="B34" s="137" t="s">
        <v>1487</v>
      </c>
      <c r="C34" s="135" t="s">
        <v>938</v>
      </c>
      <c r="D34" s="55">
        <f t="shared" ref="D34:M34" si="3">D$4*0</f>
        <v>0</v>
      </c>
      <c r="E34" s="55">
        <f t="shared" si="3"/>
        <v>0</v>
      </c>
      <c r="F34" s="36">
        <f t="shared" si="3"/>
        <v>0</v>
      </c>
      <c r="G34" s="36">
        <f t="shared" si="3"/>
        <v>0</v>
      </c>
      <c r="H34" s="36">
        <f t="shared" si="3"/>
        <v>0</v>
      </c>
      <c r="I34" s="36">
        <f t="shared" si="3"/>
        <v>0</v>
      </c>
      <c r="J34" s="36">
        <f t="shared" si="3"/>
        <v>0</v>
      </c>
      <c r="K34" s="36">
        <f t="shared" si="3"/>
        <v>0</v>
      </c>
      <c r="L34" s="36">
        <f t="shared" si="3"/>
        <v>0</v>
      </c>
      <c r="M34" s="36">
        <f t="shared" si="3"/>
        <v>0</v>
      </c>
      <c r="N34" s="56">
        <f>N$4*348</f>
        <v>348</v>
      </c>
      <c r="O34" s="62">
        <f>SUM(D34:N34)</f>
        <v>348</v>
      </c>
      <c r="P34" s="26">
        <v>0</v>
      </c>
      <c r="Q34" s="26">
        <v>0</v>
      </c>
      <c r="R34" s="26">
        <f>P34+Q34</f>
        <v>0</v>
      </c>
      <c r="S34" s="26"/>
      <c r="T34" s="22">
        <f>R34*O34</f>
        <v>0</v>
      </c>
      <c r="U34" s="37"/>
    </row>
    <row r="35" spans="1:21" s="32" customFormat="1" ht="14.25" customHeight="1" x14ac:dyDescent="0.2">
      <c r="A35" s="167"/>
      <c r="B35" s="30"/>
      <c r="C35" s="25"/>
      <c r="D35" s="26"/>
      <c r="E35" s="26"/>
      <c r="F35" s="26"/>
      <c r="G35" s="26"/>
      <c r="H35" s="26"/>
      <c r="I35" s="26"/>
      <c r="J35" s="26"/>
      <c r="K35" s="26"/>
      <c r="L35" s="26"/>
      <c r="M35" s="26"/>
      <c r="N35" s="26"/>
      <c r="O35" s="58"/>
      <c r="P35" s="26"/>
      <c r="Q35" s="26"/>
      <c r="R35" s="26"/>
      <c r="S35" s="26"/>
      <c r="T35" s="22"/>
      <c r="U35" s="37"/>
    </row>
    <row r="36" spans="1:21" s="32" customFormat="1" ht="18.75" customHeight="1" x14ac:dyDescent="0.2">
      <c r="A36" s="225" t="s">
        <v>1491</v>
      </c>
      <c r="B36" s="226" t="s">
        <v>1492</v>
      </c>
      <c r="C36" s="227"/>
      <c r="D36" s="227"/>
      <c r="E36" s="227"/>
      <c r="F36" s="227"/>
      <c r="G36" s="227"/>
      <c r="H36" s="227"/>
      <c r="I36" s="227"/>
      <c r="J36" s="227"/>
      <c r="K36" s="227"/>
      <c r="L36" s="227"/>
      <c r="M36" s="227"/>
      <c r="N36" s="227"/>
      <c r="O36" s="228"/>
      <c r="P36" s="229"/>
      <c r="Q36" s="229"/>
      <c r="R36" s="229"/>
      <c r="S36" s="229"/>
      <c r="T36" s="230"/>
      <c r="U36" s="37"/>
    </row>
    <row r="37" spans="1:21" s="32" customFormat="1" ht="77.25" customHeight="1" thickBot="1" x14ac:dyDescent="0.25">
      <c r="A37" s="280"/>
      <c r="B37" s="231" t="s">
        <v>1493</v>
      </c>
      <c r="C37" s="203"/>
      <c r="D37" s="203"/>
      <c r="E37" s="203"/>
      <c r="F37" s="203"/>
      <c r="G37" s="203"/>
      <c r="H37" s="203"/>
      <c r="I37" s="203"/>
      <c r="J37" s="203"/>
      <c r="K37" s="203"/>
      <c r="L37" s="203"/>
      <c r="M37" s="203"/>
      <c r="N37" s="203"/>
      <c r="O37" s="205"/>
      <c r="P37" s="206"/>
      <c r="Q37" s="206"/>
      <c r="R37" s="206"/>
      <c r="S37" s="206"/>
      <c r="T37" s="238"/>
      <c r="U37" s="37"/>
    </row>
    <row r="38" spans="1:21" s="32" customFormat="1" thickBot="1" x14ac:dyDescent="0.25">
      <c r="A38" s="225"/>
      <c r="B38" s="232" t="s">
        <v>1487</v>
      </c>
      <c r="C38" s="233" t="s">
        <v>938</v>
      </c>
      <c r="D38" s="234">
        <f t="shared" ref="D38:M38" si="4">D$4*0</f>
        <v>0</v>
      </c>
      <c r="E38" s="234">
        <f t="shared" si="4"/>
        <v>0</v>
      </c>
      <c r="F38" s="235">
        <f t="shared" si="4"/>
        <v>0</v>
      </c>
      <c r="G38" s="235">
        <f t="shared" si="4"/>
        <v>0</v>
      </c>
      <c r="H38" s="235">
        <f t="shared" si="4"/>
        <v>0</v>
      </c>
      <c r="I38" s="235">
        <f t="shared" si="4"/>
        <v>0</v>
      </c>
      <c r="J38" s="235">
        <f t="shared" si="4"/>
        <v>0</v>
      </c>
      <c r="K38" s="235">
        <f t="shared" si="4"/>
        <v>0</v>
      </c>
      <c r="L38" s="235">
        <f t="shared" si="4"/>
        <v>0</v>
      </c>
      <c r="M38" s="235">
        <f t="shared" si="4"/>
        <v>0</v>
      </c>
      <c r="N38" s="236">
        <f>N$4*45</f>
        <v>45</v>
      </c>
      <c r="O38" s="237">
        <f>SUM(D38:N38)</f>
        <v>45</v>
      </c>
      <c r="P38" s="206">
        <v>0</v>
      </c>
      <c r="Q38" s="206">
        <v>0</v>
      </c>
      <c r="R38" s="206">
        <f>P38+Q38</f>
        <v>0</v>
      </c>
      <c r="S38" s="206"/>
      <c r="T38" s="238">
        <f>R38*O38</f>
        <v>0</v>
      </c>
      <c r="U38" s="37"/>
    </row>
    <row r="39" spans="1:21" s="32" customFormat="1" ht="14.25" customHeight="1" x14ac:dyDescent="0.2">
      <c r="A39" s="167"/>
      <c r="B39" s="30"/>
      <c r="C39" s="25"/>
      <c r="D39" s="26"/>
      <c r="E39" s="26"/>
      <c r="F39" s="26"/>
      <c r="G39" s="26"/>
      <c r="H39" s="26"/>
      <c r="I39" s="26"/>
      <c r="J39" s="26"/>
      <c r="K39" s="26"/>
      <c r="L39" s="26"/>
      <c r="M39" s="26"/>
      <c r="N39" s="26"/>
      <c r="O39" s="58"/>
      <c r="P39" s="26"/>
      <c r="Q39" s="26"/>
      <c r="R39" s="26"/>
      <c r="S39" s="26"/>
      <c r="T39" s="22"/>
      <c r="U39" s="37"/>
    </row>
    <row r="40" spans="1:21" s="32" customFormat="1" ht="14.25" customHeight="1" x14ac:dyDescent="0.2">
      <c r="A40" s="225" t="s">
        <v>1494</v>
      </c>
      <c r="B40" s="226" t="s">
        <v>1495</v>
      </c>
      <c r="C40" s="227"/>
      <c r="D40" s="227"/>
      <c r="E40" s="227"/>
      <c r="F40" s="227"/>
      <c r="G40" s="227"/>
      <c r="H40" s="227"/>
      <c r="I40" s="227"/>
      <c r="J40" s="227"/>
      <c r="K40" s="227"/>
      <c r="L40" s="227"/>
      <c r="M40" s="227"/>
      <c r="N40" s="227"/>
      <c r="O40" s="228"/>
      <c r="P40" s="229"/>
      <c r="Q40" s="229"/>
      <c r="R40" s="229"/>
      <c r="S40" s="229"/>
      <c r="T40" s="230"/>
      <c r="U40" s="37"/>
    </row>
    <row r="41" spans="1:21" s="32" customFormat="1" ht="64.5" customHeight="1" thickBot="1" x14ac:dyDescent="0.25">
      <c r="A41" s="280"/>
      <c r="B41" s="281" t="s">
        <v>1496</v>
      </c>
      <c r="C41" s="203"/>
      <c r="D41" s="203"/>
      <c r="E41" s="203"/>
      <c r="F41" s="203"/>
      <c r="G41" s="203"/>
      <c r="H41" s="203"/>
      <c r="I41" s="203"/>
      <c r="J41" s="203"/>
      <c r="K41" s="203"/>
      <c r="L41" s="203"/>
      <c r="M41" s="203"/>
      <c r="N41" s="203"/>
      <c r="O41" s="205"/>
      <c r="P41" s="206"/>
      <c r="Q41" s="206"/>
      <c r="R41" s="206"/>
      <c r="S41" s="206"/>
      <c r="T41" s="238"/>
      <c r="U41" s="37"/>
    </row>
    <row r="42" spans="1:21" s="32" customFormat="1" thickBot="1" x14ac:dyDescent="0.25">
      <c r="A42" s="225"/>
      <c r="B42" s="232" t="s">
        <v>1369</v>
      </c>
      <c r="C42" s="233" t="s">
        <v>1001</v>
      </c>
      <c r="D42" s="234">
        <f t="shared" ref="D42:M42" si="5">D$4*0</f>
        <v>0</v>
      </c>
      <c r="E42" s="234">
        <f t="shared" si="5"/>
        <v>0</v>
      </c>
      <c r="F42" s="235">
        <f t="shared" si="5"/>
        <v>0</v>
      </c>
      <c r="G42" s="235">
        <f t="shared" si="5"/>
        <v>0</v>
      </c>
      <c r="H42" s="235">
        <f t="shared" si="5"/>
        <v>0</v>
      </c>
      <c r="I42" s="235">
        <f t="shared" si="5"/>
        <v>0</v>
      </c>
      <c r="J42" s="235">
        <f t="shared" si="5"/>
        <v>0</v>
      </c>
      <c r="K42" s="235">
        <f t="shared" si="5"/>
        <v>0</v>
      </c>
      <c r="L42" s="235">
        <f t="shared" si="5"/>
        <v>0</v>
      </c>
      <c r="M42" s="235">
        <f t="shared" si="5"/>
        <v>0</v>
      </c>
      <c r="N42" s="236">
        <v>46</v>
      </c>
      <c r="O42" s="237">
        <f>SUM(D42:N42)</f>
        <v>46</v>
      </c>
      <c r="P42" s="206">
        <v>0</v>
      </c>
      <c r="Q42" s="206">
        <v>0</v>
      </c>
      <c r="R42" s="206">
        <f>P42+Q42</f>
        <v>0</v>
      </c>
      <c r="S42" s="206"/>
      <c r="T42" s="238">
        <f>R42*O42</f>
        <v>0</v>
      </c>
      <c r="U42" s="37"/>
    </row>
    <row r="43" spans="1:21" s="32" customFormat="1" ht="12.75" customHeight="1" x14ac:dyDescent="0.2">
      <c r="A43" s="159"/>
      <c r="B43" s="31"/>
      <c r="C43" s="25"/>
      <c r="D43" s="25"/>
      <c r="E43" s="25"/>
      <c r="F43" s="25"/>
      <c r="G43" s="25"/>
      <c r="H43" s="25"/>
      <c r="I43" s="25"/>
      <c r="J43" s="25"/>
      <c r="K43" s="25"/>
      <c r="L43" s="25"/>
      <c r="M43" s="25"/>
      <c r="N43" s="25"/>
      <c r="O43" s="58"/>
      <c r="P43" s="26"/>
      <c r="Q43" s="26"/>
      <c r="R43" s="26"/>
      <c r="S43" s="26"/>
      <c r="T43" s="35"/>
      <c r="U43" s="37"/>
    </row>
    <row r="44" spans="1:21" s="129" customFormat="1" x14ac:dyDescent="0.25">
      <c r="A44" s="165" t="s">
        <v>1497</v>
      </c>
      <c r="B44" s="440" t="s">
        <v>1473</v>
      </c>
      <c r="C44" s="387"/>
      <c r="D44" s="387"/>
      <c r="E44" s="387"/>
      <c r="F44" s="387"/>
      <c r="G44" s="387"/>
      <c r="H44" s="387"/>
      <c r="I44" s="387"/>
      <c r="J44" s="387"/>
      <c r="K44" s="387"/>
      <c r="L44" s="387"/>
      <c r="M44" s="387"/>
      <c r="N44" s="387"/>
      <c r="O44" s="387"/>
      <c r="P44" s="387"/>
      <c r="Q44" s="388"/>
      <c r="R44" s="34" t="s">
        <v>1107</v>
      </c>
      <c r="S44" s="34"/>
      <c r="T44" s="9">
        <f>SUM(T15:T43)</f>
        <v>0</v>
      </c>
      <c r="U44" s="150"/>
    </row>
    <row r="45" spans="1:21" s="32" customFormat="1" ht="12.75" customHeight="1" x14ac:dyDescent="0.2">
      <c r="A45" s="159"/>
      <c r="B45" s="31"/>
      <c r="C45" s="25"/>
      <c r="D45" s="25"/>
      <c r="E45" s="25"/>
      <c r="F45" s="25"/>
      <c r="G45" s="25"/>
      <c r="H45" s="25"/>
      <c r="I45" s="25"/>
      <c r="J45" s="25"/>
      <c r="K45" s="25"/>
      <c r="L45" s="25"/>
      <c r="M45" s="25"/>
      <c r="N45" s="25"/>
      <c r="O45" s="58"/>
      <c r="P45" s="26"/>
      <c r="Q45" s="26"/>
      <c r="R45" s="26"/>
      <c r="S45" s="26"/>
      <c r="T45" s="35"/>
      <c r="U45" s="37"/>
    </row>
    <row r="46" spans="1:21" s="32" customFormat="1" ht="12.75" customHeight="1" x14ac:dyDescent="0.2">
      <c r="A46" s="159"/>
      <c r="B46" s="31"/>
      <c r="C46" s="25"/>
      <c r="D46" s="25"/>
      <c r="E46" s="25"/>
      <c r="F46" s="25"/>
      <c r="G46" s="25"/>
      <c r="H46" s="25"/>
      <c r="I46" s="25"/>
      <c r="J46" s="25"/>
      <c r="K46" s="25"/>
      <c r="L46" s="25"/>
      <c r="M46" s="25"/>
      <c r="N46" s="25"/>
      <c r="O46" s="58"/>
      <c r="P46" s="26"/>
      <c r="Q46" s="26"/>
      <c r="R46" s="26"/>
      <c r="S46" s="26"/>
      <c r="T46" s="35"/>
      <c r="U46" s="37"/>
    </row>
    <row r="47" spans="1:21" s="129" customFormat="1" x14ac:dyDescent="0.25">
      <c r="A47" s="165"/>
      <c r="B47" s="186"/>
      <c r="C47" s="186"/>
      <c r="D47" s="186"/>
      <c r="E47" s="186"/>
      <c r="F47" s="186"/>
      <c r="G47" s="186"/>
      <c r="H47" s="186"/>
      <c r="I47" s="186"/>
      <c r="J47" s="186"/>
      <c r="K47" s="186"/>
      <c r="L47" s="186"/>
      <c r="M47" s="186"/>
      <c r="N47" s="186"/>
      <c r="O47" s="186"/>
      <c r="P47" s="186"/>
      <c r="Q47" s="186"/>
      <c r="R47" s="34"/>
      <c r="S47" s="34"/>
      <c r="T47" s="9"/>
      <c r="U47" s="150"/>
    </row>
    <row r="48" spans="1:21" s="132" customFormat="1" ht="15.75" customHeight="1" x14ac:dyDescent="0.25">
      <c r="A48" s="160" t="s">
        <v>1497</v>
      </c>
      <c r="B48" s="130" t="s">
        <v>1498</v>
      </c>
      <c r="C48" s="49"/>
      <c r="D48" s="49"/>
      <c r="E48" s="49"/>
      <c r="F48" s="49"/>
      <c r="G48" s="49"/>
      <c r="H48" s="49"/>
      <c r="I48" s="49"/>
      <c r="J48" s="49"/>
      <c r="K48" s="49"/>
      <c r="L48" s="49"/>
      <c r="M48" s="49"/>
      <c r="N48" s="49"/>
      <c r="O48" s="131"/>
      <c r="P48" s="49"/>
      <c r="Q48" s="49"/>
      <c r="R48" s="435" t="s">
        <v>946</v>
      </c>
      <c r="S48" s="388"/>
      <c r="T48" s="50">
        <f>T44*5</f>
        <v>0</v>
      </c>
      <c r="U48" s="151"/>
    </row>
    <row r="49" spans="1:17" ht="15.75" customHeight="1" thickBot="1" x14ac:dyDescent="0.3"/>
    <row r="50" spans="1:17" s="42" customFormat="1" ht="50.1" customHeight="1" thickBot="1" x14ac:dyDescent="0.3">
      <c r="A50" s="119" t="s">
        <v>912</v>
      </c>
      <c r="B50" s="119" t="s">
        <v>913</v>
      </c>
      <c r="C50" s="120" t="s">
        <v>914</v>
      </c>
      <c r="D50" s="430"/>
      <c r="E50" s="431"/>
      <c r="F50" s="431"/>
      <c r="G50" s="431"/>
      <c r="H50" s="431"/>
      <c r="I50" s="431"/>
      <c r="J50" s="431"/>
      <c r="K50" s="121" t="s">
        <v>915</v>
      </c>
      <c r="L50" s="122" t="s">
        <v>916</v>
      </c>
      <c r="M50" s="121" t="s">
        <v>917</v>
      </c>
      <c r="N50" s="121" t="s">
        <v>918</v>
      </c>
      <c r="O50" s="121"/>
      <c r="P50" s="119" t="s">
        <v>919</v>
      </c>
      <c r="Q50" s="47"/>
    </row>
    <row r="51" spans="1:17" s="42" customFormat="1" ht="50.1" customHeight="1" thickBot="1" x14ac:dyDescent="0.3">
      <c r="A51" s="123"/>
      <c r="B51" s="123"/>
      <c r="C51" s="124"/>
      <c r="D51" s="432" t="s">
        <v>948</v>
      </c>
      <c r="E51" s="431"/>
      <c r="F51" s="431"/>
      <c r="G51" s="431"/>
      <c r="H51" s="431"/>
      <c r="I51" s="431"/>
      <c r="J51" s="433"/>
      <c r="K51" s="125"/>
      <c r="L51" s="124"/>
      <c r="M51" s="124"/>
      <c r="N51" s="124"/>
      <c r="O51" s="124"/>
      <c r="P51" s="123"/>
      <c r="Q51" s="47"/>
    </row>
    <row r="52" spans="1:17" s="42" customFormat="1" ht="62.25" customHeight="1" x14ac:dyDescent="0.25">
      <c r="A52" s="123"/>
      <c r="B52" s="123"/>
      <c r="C52" s="124"/>
      <c r="D52" s="173" t="s">
        <v>949</v>
      </c>
      <c r="E52" s="46" t="s">
        <v>950</v>
      </c>
      <c r="F52" s="46" t="s">
        <v>951</v>
      </c>
      <c r="G52" s="46" t="s">
        <v>952</v>
      </c>
      <c r="H52" s="46" t="s">
        <v>953</v>
      </c>
      <c r="I52" s="154" t="s">
        <v>930</v>
      </c>
      <c r="J52" s="126" t="s">
        <v>931</v>
      </c>
      <c r="K52" s="125"/>
      <c r="L52" s="124"/>
      <c r="M52" s="124"/>
      <c r="N52" s="124"/>
      <c r="O52" s="124"/>
      <c r="P52" s="123"/>
      <c r="Q52" s="47"/>
    </row>
    <row r="54" spans="1:17" s="117" customFormat="1" ht="15.75" customHeight="1" x14ac:dyDescent="0.25">
      <c r="A54" s="158" t="s">
        <v>1472</v>
      </c>
      <c r="B54" s="441" t="s">
        <v>1473</v>
      </c>
      <c r="C54" s="387"/>
      <c r="D54" s="387"/>
      <c r="E54" s="387"/>
      <c r="F54" s="387"/>
      <c r="G54" s="387"/>
      <c r="H54" s="387"/>
      <c r="I54" s="387"/>
      <c r="J54" s="387"/>
      <c r="K54" s="387"/>
      <c r="L54" s="387"/>
      <c r="M54" s="387"/>
      <c r="N54" s="387"/>
      <c r="O54" s="441"/>
      <c r="P54" s="387"/>
      <c r="Q54" s="149"/>
    </row>
    <row r="55" spans="1:17" s="32" customFormat="1" ht="12.75" customHeight="1" x14ac:dyDescent="0.2">
      <c r="A55" s="159"/>
      <c r="B55" s="30"/>
      <c r="C55" s="25"/>
      <c r="D55" s="174"/>
      <c r="E55" s="25"/>
      <c r="F55" s="25"/>
      <c r="G55" s="25"/>
      <c r="H55" s="25"/>
      <c r="I55" s="25"/>
      <c r="J55" s="25"/>
      <c r="K55" s="58"/>
      <c r="L55" s="26"/>
      <c r="M55" s="26"/>
      <c r="N55" s="26"/>
      <c r="O55" s="26"/>
      <c r="P55" s="22"/>
      <c r="Q55" s="37"/>
    </row>
    <row r="56" spans="1:17" s="42" customFormat="1" ht="38.25" customHeight="1" x14ac:dyDescent="0.25">
      <c r="A56" s="166" t="s">
        <v>1474</v>
      </c>
      <c r="B56" s="27" t="s">
        <v>1499</v>
      </c>
      <c r="C56" s="28"/>
      <c r="D56" s="181"/>
      <c r="E56" s="28"/>
      <c r="F56" s="28"/>
      <c r="G56" s="28"/>
      <c r="H56" s="28"/>
      <c r="I56" s="28"/>
      <c r="J56" s="28"/>
      <c r="K56" s="60"/>
      <c r="L56" s="29"/>
      <c r="M56" s="29"/>
      <c r="N56" s="29"/>
      <c r="O56" s="29"/>
      <c r="P56" s="23"/>
      <c r="Q56" s="152"/>
    </row>
    <row r="57" spans="1:17" s="32" customFormat="1" ht="89.25" customHeight="1" x14ac:dyDescent="0.2">
      <c r="A57" s="159"/>
      <c r="B57" s="266" t="s">
        <v>1476</v>
      </c>
      <c r="C57" s="25"/>
      <c r="D57" s="174"/>
      <c r="E57" s="25"/>
      <c r="F57" s="25"/>
      <c r="G57" s="25"/>
      <c r="H57" s="25"/>
      <c r="I57" s="25"/>
      <c r="J57" s="25"/>
      <c r="K57" s="58"/>
      <c r="L57" s="26"/>
      <c r="M57" s="26"/>
      <c r="N57" s="26"/>
      <c r="O57" s="26"/>
      <c r="P57" s="22"/>
      <c r="Q57" s="37"/>
    </row>
    <row r="58" spans="1:17" s="32" customFormat="1" ht="12.75" customHeight="1" x14ac:dyDescent="0.2">
      <c r="A58" s="159"/>
      <c r="B58" s="30" t="s">
        <v>1477</v>
      </c>
      <c r="C58" s="25"/>
      <c r="D58" s="174"/>
      <c r="E58" s="25"/>
      <c r="F58" s="25"/>
      <c r="G58" s="25"/>
      <c r="H58" s="25"/>
      <c r="I58" s="25"/>
      <c r="J58" s="25"/>
      <c r="K58" s="58"/>
      <c r="L58" s="26"/>
      <c r="M58" s="26"/>
      <c r="N58" s="26"/>
      <c r="O58" s="26"/>
      <c r="P58" s="22"/>
      <c r="Q58" s="37"/>
    </row>
    <row r="59" spans="1:17" s="32" customFormat="1" ht="39" customHeight="1" thickBot="1" x14ac:dyDescent="0.25">
      <c r="A59" s="159"/>
      <c r="B59" s="30" t="s">
        <v>1478</v>
      </c>
      <c r="C59" s="25"/>
      <c r="D59" s="174"/>
      <c r="E59" s="25"/>
      <c r="F59" s="25"/>
      <c r="G59" s="25"/>
      <c r="H59" s="25"/>
      <c r="I59" s="25"/>
      <c r="J59" s="25"/>
      <c r="K59" s="58"/>
      <c r="L59" s="26"/>
      <c r="M59" s="26"/>
      <c r="N59" s="26"/>
      <c r="O59" s="26"/>
      <c r="P59" s="22"/>
      <c r="Q59" s="37"/>
    </row>
    <row r="60" spans="1:17" s="268" customFormat="1" ht="27.75" customHeight="1" thickBot="1" x14ac:dyDescent="0.25">
      <c r="A60" s="209"/>
      <c r="B60" s="210" t="s">
        <v>1479</v>
      </c>
      <c r="C60" s="211" t="s">
        <v>938</v>
      </c>
      <c r="D60" s="330">
        <v>0</v>
      </c>
      <c r="E60" s="213">
        <v>0</v>
      </c>
      <c r="F60" s="213">
        <v>0</v>
      </c>
      <c r="G60" s="213">
        <v>0</v>
      </c>
      <c r="H60" s="213">
        <v>0</v>
      </c>
      <c r="I60" s="213">
        <v>0</v>
      </c>
      <c r="J60" s="214">
        <v>73.2</v>
      </c>
      <c r="K60" s="215">
        <f>SUM(D60:J60)</f>
        <v>73.2</v>
      </c>
      <c r="L60" s="216">
        <v>0</v>
      </c>
      <c r="M60" s="216">
        <v>0</v>
      </c>
      <c r="N60" s="216">
        <f>L60+M60</f>
        <v>0</v>
      </c>
      <c r="O60" s="216"/>
      <c r="P60" s="217">
        <f>N60*K60</f>
        <v>0</v>
      </c>
      <c r="Q60" s="267"/>
    </row>
    <row r="61" spans="1:17" s="32" customFormat="1" ht="12.75" customHeight="1" x14ac:dyDescent="0.2">
      <c r="A61" s="159"/>
      <c r="B61" s="30"/>
      <c r="C61" s="25"/>
      <c r="D61" s="174"/>
      <c r="E61" s="25"/>
      <c r="F61" s="25"/>
      <c r="G61" s="25"/>
      <c r="H61" s="25"/>
      <c r="I61" s="25"/>
      <c r="J61" s="25"/>
      <c r="K61" s="58"/>
      <c r="L61" s="26"/>
      <c r="M61" s="26"/>
      <c r="N61" s="26"/>
      <c r="O61" s="26"/>
      <c r="P61" s="22"/>
      <c r="Q61" s="37"/>
    </row>
    <row r="62" spans="1:17" s="332" customFormat="1" x14ac:dyDescent="0.25">
      <c r="A62" s="166" t="s">
        <v>1480</v>
      </c>
      <c r="B62" s="27" t="s">
        <v>1481</v>
      </c>
      <c r="C62" s="28"/>
      <c r="D62" s="181"/>
      <c r="E62" s="28"/>
      <c r="F62" s="28"/>
      <c r="G62" s="28"/>
      <c r="H62" s="28"/>
      <c r="I62" s="28"/>
      <c r="J62" s="28"/>
      <c r="K62" s="60"/>
      <c r="L62" s="29"/>
      <c r="M62" s="29"/>
      <c r="N62" s="29"/>
      <c r="O62" s="29"/>
      <c r="P62" s="23"/>
      <c r="Q62" s="331"/>
    </row>
    <row r="63" spans="1:17" s="270" customFormat="1" ht="76.5" customHeight="1" x14ac:dyDescent="0.2">
      <c r="A63" s="159"/>
      <c r="B63" s="202" t="s">
        <v>1482</v>
      </c>
      <c r="C63" s="25"/>
      <c r="D63" s="174"/>
      <c r="E63" s="25"/>
      <c r="F63" s="25"/>
      <c r="G63" s="25"/>
      <c r="H63" s="25"/>
      <c r="I63" s="25"/>
      <c r="J63" s="25"/>
      <c r="K63" s="58"/>
      <c r="L63" s="26"/>
      <c r="M63" s="26"/>
      <c r="N63" s="26"/>
      <c r="O63" s="26"/>
      <c r="P63" s="22"/>
      <c r="Q63" s="269"/>
    </row>
    <row r="64" spans="1:17" s="270" customFormat="1" ht="13.5" customHeight="1" thickBot="1" x14ac:dyDescent="0.25">
      <c r="A64" s="333"/>
      <c r="B64" s="30" t="s">
        <v>1477</v>
      </c>
      <c r="C64" s="25"/>
      <c r="D64" s="174"/>
      <c r="E64" s="25"/>
      <c r="F64" s="25"/>
      <c r="G64" s="25"/>
      <c r="H64" s="25"/>
      <c r="I64" s="25"/>
      <c r="J64" s="25"/>
      <c r="K64" s="58"/>
      <c r="L64" s="26"/>
      <c r="M64" s="26"/>
      <c r="N64" s="26"/>
      <c r="O64" s="26"/>
      <c r="P64" s="22"/>
      <c r="Q64" s="269"/>
    </row>
    <row r="65" spans="1:16384" s="335" customFormat="1" ht="25.5" customHeight="1" x14ac:dyDescent="0.2">
      <c r="A65" s="187"/>
      <c r="B65" s="188" t="s">
        <v>1483</v>
      </c>
      <c r="C65" s="189" t="s">
        <v>938</v>
      </c>
      <c r="D65" s="293">
        <v>0</v>
      </c>
      <c r="E65" s="191">
        <v>0</v>
      </c>
      <c r="F65" s="191">
        <v>0</v>
      </c>
      <c r="G65" s="191">
        <v>0</v>
      </c>
      <c r="H65" s="191">
        <v>0</v>
      </c>
      <c r="I65" s="191">
        <v>0</v>
      </c>
      <c r="J65" s="192">
        <v>109.8</v>
      </c>
      <c r="K65" s="193">
        <f>SUM(D65:J65)</f>
        <v>109.8</v>
      </c>
      <c r="L65" s="194">
        <v>0</v>
      </c>
      <c r="M65" s="194">
        <v>0</v>
      </c>
      <c r="N65" s="194">
        <f>L65+M65</f>
        <v>0</v>
      </c>
      <c r="O65" s="194"/>
      <c r="P65" s="195">
        <f>N65*K65</f>
        <v>0</v>
      </c>
      <c r="Q65" s="334"/>
    </row>
    <row r="66" spans="1:16384" s="335" customFormat="1" thickBot="1" x14ac:dyDescent="0.25">
      <c r="A66" s="187"/>
      <c r="B66" s="188" t="s">
        <v>968</v>
      </c>
      <c r="C66" s="189" t="s">
        <v>969</v>
      </c>
      <c r="D66" s="293">
        <v>0</v>
      </c>
      <c r="E66" s="191">
        <v>0</v>
      </c>
      <c r="F66" s="191">
        <v>0</v>
      </c>
      <c r="G66" s="191">
        <v>0</v>
      </c>
      <c r="H66" s="191">
        <v>0</v>
      </c>
      <c r="I66" s="191">
        <v>0</v>
      </c>
      <c r="J66" s="192">
        <v>44</v>
      </c>
      <c r="K66" s="193">
        <f>SUM(D66:J66)</f>
        <v>44</v>
      </c>
      <c r="L66" s="194">
        <v>0</v>
      </c>
      <c r="M66" s="194">
        <v>0</v>
      </c>
      <c r="N66" s="194">
        <f>L66+M66</f>
        <v>0</v>
      </c>
      <c r="O66" s="194"/>
      <c r="P66" s="195">
        <f>N66*K66</f>
        <v>0</v>
      </c>
      <c r="Q66" s="334"/>
    </row>
    <row r="67" spans="1:16384" s="32" customFormat="1" ht="12.75" customHeight="1" x14ac:dyDescent="0.2">
      <c r="A67" s="159"/>
      <c r="B67" s="30"/>
      <c r="C67" s="25"/>
      <c r="D67" s="174"/>
      <c r="E67" s="25"/>
      <c r="F67" s="25"/>
      <c r="G67" s="25"/>
      <c r="H67" s="25"/>
      <c r="I67" s="25"/>
      <c r="J67" s="25"/>
      <c r="K67" s="58"/>
      <c r="L67" s="26"/>
      <c r="M67" s="26"/>
      <c r="N67" s="26"/>
      <c r="O67" s="26"/>
      <c r="P67" s="22"/>
      <c r="Q67" s="37"/>
    </row>
    <row r="68" spans="1:16384" s="32" customFormat="1" ht="25.5" customHeight="1" x14ac:dyDescent="0.2">
      <c r="A68" s="166" t="s">
        <v>1484</v>
      </c>
      <c r="B68" s="27" t="s">
        <v>1485</v>
      </c>
      <c r="C68" s="28"/>
      <c r="D68" s="181"/>
      <c r="E68" s="28"/>
      <c r="F68" s="28"/>
      <c r="G68" s="28"/>
      <c r="H68" s="28"/>
      <c r="I68" s="28"/>
      <c r="J68" s="28"/>
      <c r="K68" s="60"/>
      <c r="L68" s="29"/>
      <c r="M68" s="29"/>
      <c r="N68" s="29"/>
      <c r="O68" s="29"/>
      <c r="P68" s="23"/>
      <c r="Q68" s="37"/>
    </row>
    <row r="69" spans="1:16384" s="32" customFormat="1" ht="39" customHeight="1" thickBot="1" x14ac:dyDescent="0.25">
      <c r="A69" s="159"/>
      <c r="B69" s="24" t="s">
        <v>1486</v>
      </c>
      <c r="C69" s="25"/>
      <c r="D69" s="174"/>
      <c r="E69" s="25"/>
      <c r="F69" s="25"/>
      <c r="G69" s="25"/>
      <c r="H69" s="25"/>
      <c r="I69" s="25"/>
      <c r="J69" s="25"/>
      <c r="K69" s="58"/>
      <c r="L69" s="26"/>
      <c r="M69" s="26"/>
      <c r="N69" s="26"/>
      <c r="O69" s="26"/>
      <c r="P69" s="22"/>
      <c r="Q69" s="37"/>
    </row>
    <row r="70" spans="1:16384" s="32" customFormat="1" ht="15.75" customHeight="1" thickBot="1" x14ac:dyDescent="0.25">
      <c r="A70" s="166"/>
      <c r="B70" s="137" t="s">
        <v>1487</v>
      </c>
      <c r="C70" s="135" t="s">
        <v>938</v>
      </c>
      <c r="D70" s="177">
        <v>0</v>
      </c>
      <c r="E70" s="36">
        <v>0</v>
      </c>
      <c r="F70" s="36">
        <v>0</v>
      </c>
      <c r="G70" s="36">
        <v>0</v>
      </c>
      <c r="H70" s="36">
        <v>0</v>
      </c>
      <c r="I70" s="36">
        <v>0</v>
      </c>
      <c r="J70" s="56">
        <v>260</v>
      </c>
      <c r="K70" s="62">
        <f>SUM(D70:J70)</f>
        <v>260</v>
      </c>
      <c r="L70" s="26">
        <v>0</v>
      </c>
      <c r="M70" s="26">
        <v>0</v>
      </c>
      <c r="N70" s="26">
        <f>L70+M70</f>
        <v>0</v>
      </c>
      <c r="O70" s="26"/>
      <c r="P70" s="22">
        <f>N70*K70</f>
        <v>0</v>
      </c>
      <c r="Q70" s="37"/>
    </row>
    <row r="71" spans="1:16384" s="32" customFormat="1" ht="12.75" customHeight="1" x14ac:dyDescent="0.2">
      <c r="A71" s="159"/>
      <c r="B71" s="24"/>
      <c r="C71" s="25"/>
      <c r="D71" s="174"/>
      <c r="E71" s="25"/>
      <c r="F71" s="25"/>
      <c r="G71" s="25"/>
      <c r="H71" s="25"/>
      <c r="I71" s="25"/>
      <c r="J71" s="25"/>
      <c r="K71" s="58"/>
      <c r="L71" s="26"/>
      <c r="M71" s="26"/>
      <c r="N71" s="26"/>
      <c r="O71" s="26"/>
      <c r="P71" s="22"/>
      <c r="Q71" s="37"/>
    </row>
    <row r="72" spans="1:16384" s="32" customFormat="1" ht="14.25" customHeight="1" x14ac:dyDescent="0.2">
      <c r="A72" s="166" t="s">
        <v>1488</v>
      </c>
      <c r="B72" s="27" t="s">
        <v>1489</v>
      </c>
      <c r="C72" s="28"/>
      <c r="D72" s="181"/>
      <c r="E72" s="28"/>
      <c r="F72" s="28"/>
      <c r="G72" s="28"/>
      <c r="H72" s="28"/>
      <c r="I72" s="28"/>
      <c r="J72" s="28"/>
      <c r="K72" s="60"/>
      <c r="L72" s="29"/>
      <c r="M72" s="29"/>
      <c r="N72" s="29"/>
      <c r="O72" s="29"/>
      <c r="P72" s="23"/>
      <c r="Q72" s="37"/>
    </row>
    <row r="73" spans="1:16384" s="32" customFormat="1" ht="39" customHeight="1" thickBot="1" x14ac:dyDescent="0.25">
      <c r="A73" s="159"/>
      <c r="B73" s="24" t="s">
        <v>1490</v>
      </c>
      <c r="C73" s="25"/>
      <c r="D73" s="174"/>
      <c r="E73" s="25"/>
      <c r="F73" s="25"/>
      <c r="G73" s="25"/>
      <c r="H73" s="25"/>
      <c r="I73" s="25"/>
      <c r="J73" s="25"/>
      <c r="K73" s="58"/>
      <c r="L73" s="26"/>
      <c r="M73" s="26"/>
      <c r="N73" s="26"/>
      <c r="O73" s="26"/>
      <c r="P73" s="22"/>
      <c r="Q73" s="37"/>
    </row>
    <row r="74" spans="1:16384" s="32" customFormat="1" ht="15.75" customHeight="1" thickBot="1" x14ac:dyDescent="0.25">
      <c r="A74" s="166"/>
      <c r="B74" s="137" t="s">
        <v>1487</v>
      </c>
      <c r="C74" s="135" t="s">
        <v>938</v>
      </c>
      <c r="D74" s="177">
        <v>0</v>
      </c>
      <c r="E74" s="36">
        <v>0</v>
      </c>
      <c r="F74" s="36">
        <v>0</v>
      </c>
      <c r="G74" s="36">
        <v>0</v>
      </c>
      <c r="H74" s="36">
        <v>0</v>
      </c>
      <c r="I74" s="36">
        <v>0</v>
      </c>
      <c r="J74" s="56">
        <v>366</v>
      </c>
      <c r="K74" s="62">
        <f>SUM(D74:J74)</f>
        <v>366</v>
      </c>
      <c r="L74" s="26">
        <v>0</v>
      </c>
      <c r="M74" s="26">
        <v>0</v>
      </c>
      <c r="N74" s="26">
        <f>L74+M74</f>
        <v>0</v>
      </c>
      <c r="O74" s="26"/>
      <c r="P74" s="22">
        <f>N74*K74</f>
        <v>0</v>
      </c>
      <c r="Q74" s="37"/>
    </row>
    <row r="75" spans="1:16384" s="32" customFormat="1" ht="15.75" customHeight="1" x14ac:dyDescent="0.2">
      <c r="A75" s="167"/>
      <c r="B75" s="30"/>
      <c r="C75" s="25"/>
      <c r="D75" s="178"/>
      <c r="E75" s="26"/>
      <c r="F75" s="26"/>
      <c r="G75" s="26"/>
      <c r="H75" s="26"/>
      <c r="I75" s="26"/>
      <c r="J75" s="26"/>
      <c r="K75" s="58"/>
      <c r="L75" s="26"/>
      <c r="M75" s="26"/>
      <c r="N75" s="26"/>
      <c r="O75" s="26"/>
      <c r="P75" s="22"/>
      <c r="Q75" s="37"/>
    </row>
    <row r="76" spans="1:16384" s="32" customFormat="1" ht="15.75" customHeight="1" x14ac:dyDescent="0.2">
      <c r="A76" s="225" t="s">
        <v>1491</v>
      </c>
      <c r="B76" s="226" t="s">
        <v>1492</v>
      </c>
      <c r="C76" s="28"/>
      <c r="D76" s="181"/>
      <c r="E76" s="28"/>
      <c r="F76" s="28"/>
      <c r="G76" s="28"/>
      <c r="H76" s="28"/>
      <c r="I76" s="28"/>
      <c r="J76" s="28"/>
      <c r="K76" s="60"/>
      <c r="L76" s="29"/>
      <c r="M76" s="29"/>
      <c r="N76" s="29"/>
      <c r="O76" s="29"/>
      <c r="P76" s="23"/>
      <c r="Q76" s="167"/>
      <c r="R76" s="30"/>
      <c r="S76" s="25"/>
      <c r="T76" s="178"/>
      <c r="U76" s="26"/>
      <c r="V76" s="26"/>
      <c r="W76" s="26"/>
      <c r="X76" s="26"/>
      <c r="Y76" s="26"/>
      <c r="Z76" s="26"/>
      <c r="AA76" s="58"/>
      <c r="AB76" s="26"/>
      <c r="AC76" s="26"/>
      <c r="AD76" s="26"/>
      <c r="AE76" s="26"/>
      <c r="AF76" s="22"/>
      <c r="AG76" s="167"/>
      <c r="AH76" s="30"/>
      <c r="AI76" s="25"/>
      <c r="AJ76" s="178"/>
      <c r="AK76" s="26"/>
      <c r="AL76" s="26"/>
      <c r="AM76" s="26"/>
      <c r="AN76" s="26"/>
      <c r="AO76" s="26"/>
      <c r="AP76" s="26"/>
      <c r="AQ76" s="58"/>
      <c r="AR76" s="26"/>
      <c r="AS76" s="26"/>
      <c r="AT76" s="26"/>
      <c r="AU76" s="26"/>
      <c r="AV76" s="22"/>
      <c r="AW76" s="167"/>
      <c r="AX76" s="30"/>
      <c r="AY76" s="25"/>
      <c r="AZ76" s="178"/>
      <c r="BA76" s="26"/>
      <c r="BB76" s="26"/>
      <c r="BC76" s="26"/>
      <c r="BD76" s="26"/>
      <c r="BE76" s="26"/>
      <c r="BF76" s="26"/>
      <c r="BG76" s="58"/>
      <c r="BH76" s="26"/>
      <c r="BI76" s="26"/>
      <c r="BJ76" s="26"/>
      <c r="BK76" s="26"/>
      <c r="BL76" s="22"/>
      <c r="BM76" s="167"/>
      <c r="BN76" s="30"/>
      <c r="BO76" s="25"/>
      <c r="BP76" s="178"/>
      <c r="BQ76" s="26"/>
      <c r="BR76" s="26"/>
      <c r="BS76" s="26"/>
      <c r="BT76" s="26"/>
      <c r="BU76" s="26"/>
      <c r="BV76" s="26"/>
      <c r="BW76" s="58"/>
      <c r="BX76" s="26"/>
      <c r="BY76" s="26"/>
      <c r="BZ76" s="26"/>
      <c r="CA76" s="26"/>
      <c r="CB76" s="22"/>
      <c r="CC76" s="167"/>
      <c r="CD76" s="30"/>
      <c r="CE76" s="25"/>
      <c r="CF76" s="178"/>
      <c r="CG76" s="26"/>
      <c r="CH76" s="26"/>
      <c r="CI76" s="26"/>
      <c r="CJ76" s="26"/>
      <c r="CK76" s="26"/>
      <c r="CL76" s="26"/>
      <c r="CM76" s="58"/>
      <c r="CN76" s="26"/>
      <c r="CO76" s="26"/>
      <c r="CP76" s="26"/>
      <c r="CQ76" s="26"/>
      <c r="CR76" s="22"/>
      <c r="CS76" s="167"/>
      <c r="CT76" s="30"/>
      <c r="CU76" s="25"/>
      <c r="CV76" s="178"/>
      <c r="CW76" s="26"/>
      <c r="CX76" s="26"/>
      <c r="CY76" s="26"/>
      <c r="CZ76" s="26"/>
      <c r="DA76" s="26"/>
      <c r="DB76" s="26"/>
      <c r="DC76" s="58"/>
      <c r="DD76" s="26"/>
      <c r="DE76" s="26"/>
      <c r="DF76" s="26"/>
      <c r="DG76" s="26"/>
      <c r="DH76" s="22"/>
      <c r="DI76" s="167"/>
      <c r="DJ76" s="30"/>
      <c r="DK76" s="25"/>
      <c r="DL76" s="178"/>
      <c r="DM76" s="26"/>
      <c r="DN76" s="26"/>
      <c r="DO76" s="26"/>
      <c r="DP76" s="26"/>
      <c r="DQ76" s="26"/>
      <c r="DR76" s="26"/>
      <c r="DS76" s="58"/>
      <c r="DT76" s="26"/>
      <c r="DU76" s="26"/>
      <c r="DV76" s="26"/>
      <c r="DW76" s="26"/>
      <c r="DX76" s="22"/>
      <c r="DY76" s="167"/>
      <c r="DZ76" s="30"/>
      <c r="EA76" s="25"/>
      <c r="EB76" s="178"/>
      <c r="EC76" s="26"/>
      <c r="ED76" s="26"/>
      <c r="EE76" s="26"/>
      <c r="EF76" s="26"/>
      <c r="EG76" s="26"/>
      <c r="EH76" s="26"/>
      <c r="EI76" s="58"/>
      <c r="EJ76" s="26"/>
      <c r="EK76" s="26"/>
      <c r="EL76" s="26"/>
      <c r="EM76" s="26"/>
      <c r="EN76" s="22"/>
      <c r="EO76" s="167"/>
      <c r="EP76" s="30"/>
      <c r="EQ76" s="25"/>
      <c r="ER76" s="178"/>
      <c r="ES76" s="26"/>
      <c r="ET76" s="26"/>
      <c r="EU76" s="26"/>
      <c r="EV76" s="26"/>
      <c r="EW76" s="26"/>
      <c r="EX76" s="26"/>
      <c r="EY76" s="58"/>
      <c r="EZ76" s="26"/>
      <c r="FA76" s="26"/>
      <c r="FB76" s="26"/>
      <c r="FC76" s="26"/>
      <c r="FD76" s="22"/>
      <c r="FE76" s="167"/>
      <c r="FF76" s="30"/>
      <c r="FG76" s="25"/>
      <c r="FH76" s="178"/>
      <c r="FI76" s="26"/>
      <c r="FJ76" s="26"/>
      <c r="FK76" s="26"/>
      <c r="FL76" s="26"/>
      <c r="FM76" s="26"/>
      <c r="FN76" s="26"/>
      <c r="FO76" s="58"/>
      <c r="FP76" s="26"/>
      <c r="FQ76" s="26"/>
      <c r="FR76" s="26"/>
      <c r="FS76" s="26"/>
      <c r="FT76" s="22"/>
      <c r="FU76" s="167"/>
      <c r="FV76" s="30"/>
      <c r="FW76" s="25"/>
      <c r="FX76" s="178"/>
      <c r="FY76" s="26"/>
      <c r="FZ76" s="26"/>
      <c r="GA76" s="26"/>
      <c r="GB76" s="26"/>
      <c r="GC76" s="26"/>
      <c r="GD76" s="26"/>
      <c r="GE76" s="58"/>
      <c r="GF76" s="26"/>
      <c r="GG76" s="26"/>
      <c r="GH76" s="26"/>
      <c r="GI76" s="26"/>
      <c r="GJ76" s="22"/>
      <c r="GK76" s="167"/>
      <c r="GL76" s="30"/>
      <c r="GM76" s="25"/>
      <c r="GN76" s="178"/>
      <c r="GO76" s="26"/>
      <c r="GP76" s="26"/>
      <c r="GQ76" s="26"/>
      <c r="GR76" s="26"/>
      <c r="GS76" s="26"/>
      <c r="GT76" s="26"/>
      <c r="GU76" s="58"/>
      <c r="GV76" s="26"/>
      <c r="GW76" s="26"/>
      <c r="GX76" s="26"/>
      <c r="GY76" s="26"/>
      <c r="GZ76" s="22"/>
      <c r="HA76" s="167"/>
      <c r="HB76" s="30"/>
      <c r="HC76" s="25"/>
      <c r="HD76" s="178"/>
      <c r="HE76" s="26"/>
      <c r="HF76" s="26"/>
      <c r="HG76" s="26"/>
      <c r="HH76" s="26"/>
      <c r="HI76" s="26"/>
      <c r="HJ76" s="26"/>
      <c r="HK76" s="58"/>
      <c r="HL76" s="26"/>
      <c r="HM76" s="26"/>
      <c r="HN76" s="26"/>
      <c r="HO76" s="26"/>
      <c r="HP76" s="22"/>
      <c r="HQ76" s="167"/>
      <c r="HR76" s="30"/>
      <c r="HS76" s="25"/>
      <c r="HT76" s="178"/>
      <c r="HU76" s="26"/>
      <c r="HV76" s="26"/>
      <c r="HW76" s="26"/>
      <c r="HX76" s="26"/>
      <c r="HY76" s="26"/>
      <c r="HZ76" s="26"/>
      <c r="IA76" s="58"/>
      <c r="IB76" s="26"/>
      <c r="IC76" s="26"/>
      <c r="ID76" s="26"/>
      <c r="IE76" s="26"/>
      <c r="IF76" s="22"/>
      <c r="IG76" s="167"/>
      <c r="IH76" s="30"/>
      <c r="II76" s="25"/>
      <c r="IJ76" s="178"/>
      <c r="IK76" s="26"/>
      <c r="IL76" s="26"/>
      <c r="IM76" s="26"/>
      <c r="IN76" s="26"/>
      <c r="IO76" s="26"/>
      <c r="IP76" s="26"/>
      <c r="IQ76" s="58"/>
      <c r="IR76" s="26"/>
      <c r="IS76" s="26"/>
      <c r="IT76" s="26"/>
      <c r="IU76" s="26"/>
      <c r="IV76" s="22"/>
      <c r="IW76" s="167"/>
      <c r="IX76" s="30"/>
      <c r="IY76" s="25"/>
      <c r="IZ76" s="178"/>
      <c r="JA76" s="26"/>
      <c r="JB76" s="26"/>
      <c r="JC76" s="26"/>
      <c r="JD76" s="26"/>
      <c r="JE76" s="26"/>
      <c r="JF76" s="26"/>
      <c r="JG76" s="58"/>
      <c r="JH76" s="26"/>
      <c r="JI76" s="26"/>
      <c r="JJ76" s="26"/>
      <c r="JK76" s="26"/>
      <c r="JL76" s="22"/>
      <c r="JM76" s="167"/>
      <c r="JN76" s="30"/>
      <c r="JO76" s="25"/>
      <c r="JP76" s="178"/>
      <c r="JQ76" s="26"/>
      <c r="JR76" s="26"/>
      <c r="JS76" s="26"/>
      <c r="JT76" s="26"/>
      <c r="JU76" s="26"/>
      <c r="JV76" s="26"/>
      <c r="JW76" s="58"/>
      <c r="JX76" s="26"/>
      <c r="JY76" s="26"/>
      <c r="JZ76" s="26"/>
      <c r="KA76" s="26"/>
      <c r="KB76" s="22"/>
      <c r="KC76" s="167"/>
      <c r="KD76" s="30"/>
      <c r="KE76" s="25"/>
      <c r="KF76" s="178"/>
      <c r="KG76" s="26"/>
      <c r="KH76" s="26"/>
      <c r="KI76" s="26"/>
      <c r="KJ76" s="26"/>
      <c r="KK76" s="26"/>
      <c r="KL76" s="26"/>
      <c r="KM76" s="58"/>
      <c r="KN76" s="26"/>
      <c r="KO76" s="26"/>
      <c r="KP76" s="26"/>
      <c r="KQ76" s="26"/>
      <c r="KR76" s="22"/>
      <c r="KS76" s="167"/>
      <c r="KT76" s="30"/>
      <c r="KU76" s="25"/>
      <c r="KV76" s="178"/>
      <c r="KW76" s="26"/>
      <c r="KX76" s="26"/>
      <c r="KY76" s="26"/>
      <c r="KZ76" s="26"/>
      <c r="LA76" s="26"/>
      <c r="LB76" s="26"/>
      <c r="LC76" s="58"/>
      <c r="LD76" s="26"/>
      <c r="LE76" s="26"/>
      <c r="LF76" s="26"/>
      <c r="LG76" s="26"/>
      <c r="LH76" s="22"/>
      <c r="LI76" s="167"/>
      <c r="LJ76" s="30"/>
      <c r="LK76" s="25"/>
      <c r="LL76" s="178"/>
      <c r="LM76" s="26"/>
      <c r="LN76" s="26"/>
      <c r="LO76" s="26"/>
      <c r="LP76" s="26"/>
      <c r="LQ76" s="26"/>
      <c r="LR76" s="26"/>
      <c r="LS76" s="58"/>
      <c r="LT76" s="26"/>
      <c r="LU76" s="26"/>
      <c r="LV76" s="26"/>
      <c r="LW76" s="26"/>
      <c r="LX76" s="22"/>
      <c r="LY76" s="167"/>
      <c r="LZ76" s="30"/>
      <c r="MA76" s="25"/>
      <c r="MB76" s="178"/>
      <c r="MC76" s="26"/>
      <c r="MD76" s="26"/>
      <c r="ME76" s="26"/>
      <c r="MF76" s="26"/>
      <c r="MG76" s="26"/>
      <c r="MH76" s="26"/>
      <c r="MI76" s="58"/>
      <c r="MJ76" s="26"/>
      <c r="MK76" s="26"/>
      <c r="ML76" s="26"/>
      <c r="MM76" s="26"/>
      <c r="MN76" s="22"/>
      <c r="MO76" s="167"/>
      <c r="MP76" s="30"/>
      <c r="MQ76" s="25"/>
      <c r="MR76" s="178"/>
      <c r="MS76" s="26"/>
      <c r="MT76" s="26"/>
      <c r="MU76" s="26"/>
      <c r="MV76" s="26"/>
      <c r="MW76" s="26"/>
      <c r="MX76" s="26"/>
      <c r="MY76" s="58"/>
      <c r="MZ76" s="26"/>
      <c r="NA76" s="26"/>
      <c r="NB76" s="26"/>
      <c r="NC76" s="26"/>
      <c r="ND76" s="22"/>
      <c r="NE76" s="167"/>
      <c r="NF76" s="30"/>
      <c r="NG76" s="25"/>
      <c r="NH76" s="178"/>
      <c r="NI76" s="26"/>
      <c r="NJ76" s="26"/>
      <c r="NK76" s="26"/>
      <c r="NL76" s="26"/>
      <c r="NM76" s="26"/>
      <c r="NN76" s="26"/>
      <c r="NO76" s="58"/>
      <c r="NP76" s="26"/>
      <c r="NQ76" s="26"/>
      <c r="NR76" s="26"/>
      <c r="NS76" s="26"/>
      <c r="NT76" s="22"/>
      <c r="NU76" s="167"/>
      <c r="NV76" s="30"/>
      <c r="NW76" s="25"/>
      <c r="NX76" s="178"/>
      <c r="NY76" s="26"/>
      <c r="NZ76" s="26"/>
      <c r="OA76" s="26"/>
      <c r="OB76" s="26"/>
      <c r="OC76" s="26"/>
      <c r="OD76" s="26"/>
      <c r="OE76" s="58"/>
      <c r="OF76" s="26"/>
      <c r="OG76" s="26"/>
      <c r="OH76" s="26"/>
      <c r="OI76" s="26"/>
      <c r="OJ76" s="22"/>
      <c r="OK76" s="167"/>
      <c r="OL76" s="30"/>
      <c r="OM76" s="25"/>
      <c r="ON76" s="178"/>
      <c r="OO76" s="26"/>
      <c r="OP76" s="26"/>
      <c r="OQ76" s="26"/>
      <c r="OR76" s="26"/>
      <c r="OS76" s="26"/>
      <c r="OT76" s="26"/>
      <c r="OU76" s="58"/>
      <c r="OV76" s="26"/>
      <c r="OW76" s="26"/>
      <c r="OX76" s="26"/>
      <c r="OY76" s="26"/>
      <c r="OZ76" s="22"/>
      <c r="PA76" s="167"/>
      <c r="PB76" s="30"/>
      <c r="PC76" s="25"/>
      <c r="PD76" s="178"/>
      <c r="PE76" s="26"/>
      <c r="PF76" s="26"/>
      <c r="PG76" s="26"/>
      <c r="PH76" s="26"/>
      <c r="PI76" s="26"/>
      <c r="PJ76" s="26"/>
      <c r="PK76" s="58"/>
      <c r="PL76" s="26"/>
      <c r="PM76" s="26"/>
      <c r="PN76" s="26"/>
      <c r="PO76" s="26"/>
      <c r="PP76" s="22"/>
      <c r="PQ76" s="167"/>
      <c r="PR76" s="30"/>
      <c r="PS76" s="25"/>
      <c r="PT76" s="178"/>
      <c r="PU76" s="26"/>
      <c r="PV76" s="26"/>
      <c r="PW76" s="26"/>
      <c r="PX76" s="26"/>
      <c r="PY76" s="26"/>
      <c r="PZ76" s="26"/>
      <c r="QA76" s="58"/>
      <c r="QB76" s="26"/>
      <c r="QC76" s="26"/>
      <c r="QD76" s="26"/>
      <c r="QE76" s="26"/>
      <c r="QF76" s="22"/>
      <c r="QG76" s="167"/>
      <c r="QH76" s="30"/>
      <c r="QI76" s="25"/>
      <c r="QJ76" s="178"/>
      <c r="QK76" s="26"/>
      <c r="QL76" s="26"/>
      <c r="QM76" s="26"/>
      <c r="QN76" s="26"/>
      <c r="QO76" s="26"/>
      <c r="QP76" s="26"/>
      <c r="QQ76" s="58"/>
      <c r="QR76" s="26"/>
      <c r="QS76" s="26"/>
      <c r="QT76" s="26"/>
      <c r="QU76" s="26"/>
      <c r="QV76" s="22"/>
      <c r="QW76" s="167"/>
      <c r="QX76" s="30"/>
      <c r="QY76" s="25"/>
      <c r="QZ76" s="178"/>
      <c r="RA76" s="26"/>
      <c r="RB76" s="26"/>
      <c r="RC76" s="26"/>
      <c r="RD76" s="26"/>
      <c r="RE76" s="26"/>
      <c r="RF76" s="26"/>
      <c r="RG76" s="58"/>
      <c r="RH76" s="26"/>
      <c r="RI76" s="26"/>
      <c r="RJ76" s="26"/>
      <c r="RK76" s="26"/>
      <c r="RL76" s="22"/>
      <c r="RM76" s="167"/>
      <c r="RN76" s="30"/>
      <c r="RO76" s="25"/>
      <c r="RP76" s="178"/>
      <c r="RQ76" s="26"/>
      <c r="RR76" s="26"/>
      <c r="RS76" s="26"/>
      <c r="RT76" s="26"/>
      <c r="RU76" s="26"/>
      <c r="RV76" s="26"/>
      <c r="RW76" s="58"/>
      <c r="RX76" s="26"/>
      <c r="RY76" s="26"/>
      <c r="RZ76" s="26"/>
      <c r="SA76" s="26"/>
      <c r="SB76" s="22"/>
      <c r="SC76" s="167"/>
      <c r="SD76" s="30"/>
      <c r="SE76" s="25"/>
      <c r="SF76" s="178"/>
      <c r="SG76" s="26"/>
      <c r="SH76" s="26"/>
      <c r="SI76" s="26"/>
      <c r="SJ76" s="26"/>
      <c r="SK76" s="26"/>
      <c r="SL76" s="26"/>
      <c r="SM76" s="58"/>
      <c r="SN76" s="26"/>
      <c r="SO76" s="26"/>
      <c r="SP76" s="26"/>
      <c r="SQ76" s="26"/>
      <c r="SR76" s="22"/>
      <c r="SS76" s="167"/>
      <c r="ST76" s="30"/>
      <c r="SU76" s="25"/>
      <c r="SV76" s="178"/>
      <c r="SW76" s="26"/>
      <c r="SX76" s="26"/>
      <c r="SY76" s="26"/>
      <c r="SZ76" s="26"/>
      <c r="TA76" s="26"/>
      <c r="TB76" s="26"/>
      <c r="TC76" s="58"/>
      <c r="TD76" s="26"/>
      <c r="TE76" s="26"/>
      <c r="TF76" s="26"/>
      <c r="TG76" s="26"/>
      <c r="TH76" s="22"/>
      <c r="TI76" s="167"/>
      <c r="TJ76" s="30"/>
      <c r="TK76" s="25"/>
      <c r="TL76" s="178"/>
      <c r="TM76" s="26"/>
      <c r="TN76" s="26"/>
      <c r="TO76" s="26"/>
      <c r="TP76" s="26"/>
      <c r="TQ76" s="26"/>
      <c r="TR76" s="26"/>
      <c r="TS76" s="58"/>
      <c r="TT76" s="26"/>
      <c r="TU76" s="26"/>
      <c r="TV76" s="26"/>
      <c r="TW76" s="26"/>
      <c r="TX76" s="22"/>
      <c r="TY76" s="167"/>
      <c r="TZ76" s="30"/>
      <c r="UA76" s="25"/>
      <c r="UB76" s="178"/>
      <c r="UC76" s="26"/>
      <c r="UD76" s="26"/>
      <c r="UE76" s="26"/>
      <c r="UF76" s="26"/>
      <c r="UG76" s="26"/>
      <c r="UH76" s="26"/>
      <c r="UI76" s="58"/>
      <c r="UJ76" s="26"/>
      <c r="UK76" s="26"/>
      <c r="UL76" s="26"/>
      <c r="UM76" s="26"/>
      <c r="UN76" s="22"/>
      <c r="UO76" s="167"/>
      <c r="UP76" s="30"/>
      <c r="UQ76" s="25"/>
      <c r="UR76" s="178"/>
      <c r="US76" s="26"/>
      <c r="UT76" s="26"/>
      <c r="UU76" s="26"/>
      <c r="UV76" s="26"/>
      <c r="UW76" s="26"/>
      <c r="UX76" s="26"/>
      <c r="UY76" s="58"/>
      <c r="UZ76" s="26"/>
      <c r="VA76" s="26"/>
      <c r="VB76" s="26"/>
      <c r="VC76" s="26"/>
      <c r="VD76" s="22"/>
      <c r="VE76" s="167"/>
      <c r="VF76" s="30"/>
      <c r="VG76" s="25"/>
      <c r="VH76" s="178"/>
      <c r="VI76" s="26"/>
      <c r="VJ76" s="26"/>
      <c r="VK76" s="26"/>
      <c r="VL76" s="26"/>
      <c r="VM76" s="26"/>
      <c r="VN76" s="26"/>
      <c r="VO76" s="58"/>
      <c r="VP76" s="26"/>
      <c r="VQ76" s="26"/>
      <c r="VR76" s="26"/>
      <c r="VS76" s="26"/>
      <c r="VT76" s="22"/>
      <c r="VU76" s="167"/>
      <c r="VV76" s="30"/>
      <c r="VW76" s="25"/>
      <c r="VX76" s="178"/>
      <c r="VY76" s="26"/>
      <c r="VZ76" s="26"/>
      <c r="WA76" s="26"/>
      <c r="WB76" s="26"/>
      <c r="WC76" s="26"/>
      <c r="WD76" s="26"/>
      <c r="WE76" s="58"/>
      <c r="WF76" s="26"/>
      <c r="WG76" s="26"/>
      <c r="WH76" s="26"/>
      <c r="WI76" s="26"/>
      <c r="WJ76" s="22"/>
      <c r="WK76" s="167"/>
      <c r="WL76" s="30"/>
      <c r="WM76" s="25"/>
      <c r="WN76" s="178"/>
      <c r="WO76" s="26"/>
      <c r="WP76" s="26"/>
      <c r="WQ76" s="26"/>
      <c r="WR76" s="26"/>
      <c r="WS76" s="26"/>
      <c r="WT76" s="26"/>
      <c r="WU76" s="58"/>
      <c r="WV76" s="26"/>
      <c r="WW76" s="26"/>
      <c r="WX76" s="26"/>
      <c r="WY76" s="26"/>
      <c r="WZ76" s="22"/>
      <c r="XA76" s="167"/>
      <c r="XB76" s="30"/>
      <c r="XC76" s="25"/>
      <c r="XD76" s="178"/>
      <c r="XE76" s="26"/>
      <c r="XF76" s="26"/>
      <c r="XG76" s="26"/>
      <c r="XH76" s="26"/>
      <c r="XI76" s="26"/>
      <c r="XJ76" s="26"/>
      <c r="XK76" s="58"/>
      <c r="XL76" s="26"/>
      <c r="XM76" s="26"/>
      <c r="XN76" s="26"/>
      <c r="XO76" s="26"/>
      <c r="XP76" s="22"/>
      <c r="XQ76" s="167"/>
      <c r="XR76" s="30"/>
      <c r="XS76" s="25"/>
      <c r="XT76" s="178"/>
      <c r="XU76" s="26"/>
      <c r="XV76" s="26"/>
      <c r="XW76" s="26"/>
      <c r="XX76" s="26"/>
      <c r="XY76" s="26"/>
      <c r="XZ76" s="26"/>
      <c r="YA76" s="58"/>
      <c r="YB76" s="26"/>
      <c r="YC76" s="26"/>
      <c r="YD76" s="26"/>
      <c r="YE76" s="26"/>
      <c r="YF76" s="22"/>
      <c r="YG76" s="167"/>
      <c r="YH76" s="30"/>
      <c r="YI76" s="25"/>
      <c r="YJ76" s="178"/>
      <c r="YK76" s="26"/>
      <c r="YL76" s="26"/>
      <c r="YM76" s="26"/>
      <c r="YN76" s="26"/>
      <c r="YO76" s="26"/>
      <c r="YP76" s="26"/>
      <c r="YQ76" s="58"/>
      <c r="YR76" s="26"/>
      <c r="YS76" s="26"/>
      <c r="YT76" s="26"/>
      <c r="YU76" s="26"/>
      <c r="YV76" s="22"/>
      <c r="YW76" s="167"/>
      <c r="YX76" s="30"/>
      <c r="YY76" s="25"/>
      <c r="YZ76" s="178"/>
      <c r="ZA76" s="26"/>
      <c r="ZB76" s="26"/>
      <c r="ZC76" s="26"/>
      <c r="ZD76" s="26"/>
      <c r="ZE76" s="26"/>
      <c r="ZF76" s="26"/>
      <c r="ZG76" s="58"/>
      <c r="ZH76" s="26"/>
      <c r="ZI76" s="26"/>
      <c r="ZJ76" s="26"/>
      <c r="ZK76" s="26"/>
      <c r="ZL76" s="22"/>
      <c r="ZM76" s="167"/>
      <c r="ZN76" s="30"/>
      <c r="ZO76" s="25"/>
      <c r="ZP76" s="178"/>
      <c r="ZQ76" s="26"/>
      <c r="ZR76" s="26"/>
      <c r="ZS76" s="26"/>
      <c r="ZT76" s="26"/>
      <c r="ZU76" s="26"/>
      <c r="ZV76" s="26"/>
      <c r="ZW76" s="58"/>
      <c r="ZX76" s="26"/>
      <c r="ZY76" s="26"/>
      <c r="ZZ76" s="26"/>
      <c r="AAA76" s="26"/>
      <c r="AAB76" s="22"/>
      <c r="AAC76" s="167"/>
      <c r="AAD76" s="30"/>
      <c r="AAE76" s="25"/>
      <c r="AAF76" s="178"/>
      <c r="AAG76" s="26"/>
      <c r="AAH76" s="26"/>
      <c r="AAI76" s="26"/>
      <c r="AAJ76" s="26"/>
      <c r="AAK76" s="26"/>
      <c r="AAL76" s="26"/>
      <c r="AAM76" s="58"/>
      <c r="AAN76" s="26"/>
      <c r="AAO76" s="26"/>
      <c r="AAP76" s="26"/>
      <c r="AAQ76" s="26"/>
      <c r="AAR76" s="22"/>
      <c r="AAS76" s="167"/>
      <c r="AAT76" s="30"/>
      <c r="AAU76" s="25"/>
      <c r="AAV76" s="178"/>
      <c r="AAW76" s="26"/>
      <c r="AAX76" s="26"/>
      <c r="AAY76" s="26"/>
      <c r="AAZ76" s="26"/>
      <c r="ABA76" s="26"/>
      <c r="ABB76" s="26"/>
      <c r="ABC76" s="58"/>
      <c r="ABD76" s="26"/>
      <c r="ABE76" s="26"/>
      <c r="ABF76" s="26"/>
      <c r="ABG76" s="26"/>
      <c r="ABH76" s="22"/>
      <c r="ABI76" s="167"/>
      <c r="ABJ76" s="30"/>
      <c r="ABK76" s="25"/>
      <c r="ABL76" s="178"/>
      <c r="ABM76" s="26"/>
      <c r="ABN76" s="26"/>
      <c r="ABO76" s="26"/>
      <c r="ABP76" s="26"/>
      <c r="ABQ76" s="26"/>
      <c r="ABR76" s="26"/>
      <c r="ABS76" s="58"/>
      <c r="ABT76" s="26"/>
      <c r="ABU76" s="26"/>
      <c r="ABV76" s="26"/>
      <c r="ABW76" s="26"/>
      <c r="ABX76" s="22"/>
      <c r="ABY76" s="167"/>
      <c r="ABZ76" s="30"/>
      <c r="ACA76" s="25"/>
      <c r="ACB76" s="178"/>
      <c r="ACC76" s="26"/>
      <c r="ACD76" s="26"/>
      <c r="ACE76" s="26"/>
      <c r="ACF76" s="26"/>
      <c r="ACG76" s="26"/>
      <c r="ACH76" s="26"/>
      <c r="ACI76" s="58"/>
      <c r="ACJ76" s="26"/>
      <c r="ACK76" s="26"/>
      <c r="ACL76" s="26"/>
      <c r="ACM76" s="26"/>
      <c r="ACN76" s="22"/>
      <c r="ACO76" s="167"/>
      <c r="ACP76" s="30"/>
      <c r="ACQ76" s="25"/>
      <c r="ACR76" s="178"/>
      <c r="ACS76" s="26"/>
      <c r="ACT76" s="26"/>
      <c r="ACU76" s="26"/>
      <c r="ACV76" s="26"/>
      <c r="ACW76" s="26"/>
      <c r="ACX76" s="26"/>
      <c r="ACY76" s="58"/>
      <c r="ACZ76" s="26"/>
      <c r="ADA76" s="26"/>
      <c r="ADB76" s="26"/>
      <c r="ADC76" s="26"/>
      <c r="ADD76" s="22"/>
      <c r="ADE76" s="167"/>
      <c r="ADF76" s="30"/>
      <c r="ADG76" s="25"/>
      <c r="ADH76" s="178"/>
      <c r="ADI76" s="26"/>
      <c r="ADJ76" s="26"/>
      <c r="ADK76" s="26"/>
      <c r="ADL76" s="26"/>
      <c r="ADM76" s="26"/>
      <c r="ADN76" s="26"/>
      <c r="ADO76" s="58"/>
      <c r="ADP76" s="26"/>
      <c r="ADQ76" s="26"/>
      <c r="ADR76" s="26"/>
      <c r="ADS76" s="26"/>
      <c r="ADT76" s="22"/>
      <c r="ADU76" s="167"/>
      <c r="ADV76" s="30"/>
      <c r="ADW76" s="25"/>
      <c r="ADX76" s="178"/>
      <c r="ADY76" s="26"/>
      <c r="ADZ76" s="26"/>
      <c r="AEA76" s="26"/>
      <c r="AEB76" s="26"/>
      <c r="AEC76" s="26"/>
      <c r="AED76" s="26"/>
      <c r="AEE76" s="58"/>
      <c r="AEF76" s="26"/>
      <c r="AEG76" s="26"/>
      <c r="AEH76" s="26"/>
      <c r="AEI76" s="26"/>
      <c r="AEJ76" s="22"/>
      <c r="AEK76" s="167"/>
      <c r="AEL76" s="30"/>
      <c r="AEM76" s="25"/>
      <c r="AEN76" s="178"/>
      <c r="AEO76" s="26"/>
      <c r="AEP76" s="26"/>
      <c r="AEQ76" s="26"/>
      <c r="AER76" s="26"/>
      <c r="AES76" s="26"/>
      <c r="AET76" s="26"/>
      <c r="AEU76" s="58"/>
      <c r="AEV76" s="26"/>
      <c r="AEW76" s="26"/>
      <c r="AEX76" s="26"/>
      <c r="AEY76" s="26"/>
      <c r="AEZ76" s="22"/>
      <c r="AFA76" s="167"/>
      <c r="AFB76" s="30"/>
      <c r="AFC76" s="25"/>
      <c r="AFD76" s="178"/>
      <c r="AFE76" s="26"/>
      <c r="AFF76" s="26"/>
      <c r="AFG76" s="26"/>
      <c r="AFH76" s="26"/>
      <c r="AFI76" s="26"/>
      <c r="AFJ76" s="26"/>
      <c r="AFK76" s="58"/>
      <c r="AFL76" s="26"/>
      <c r="AFM76" s="26"/>
      <c r="AFN76" s="26"/>
      <c r="AFO76" s="26"/>
      <c r="AFP76" s="22"/>
      <c r="AFQ76" s="167"/>
      <c r="AFR76" s="30"/>
      <c r="AFS76" s="25"/>
      <c r="AFT76" s="178"/>
      <c r="AFU76" s="26"/>
      <c r="AFV76" s="26"/>
      <c r="AFW76" s="26"/>
      <c r="AFX76" s="26"/>
      <c r="AFY76" s="26"/>
      <c r="AFZ76" s="26"/>
      <c r="AGA76" s="58"/>
      <c r="AGB76" s="26"/>
      <c r="AGC76" s="26"/>
      <c r="AGD76" s="26"/>
      <c r="AGE76" s="26"/>
      <c r="AGF76" s="22"/>
      <c r="AGG76" s="167"/>
      <c r="AGH76" s="30"/>
      <c r="AGI76" s="25"/>
      <c r="AGJ76" s="178"/>
      <c r="AGK76" s="26"/>
      <c r="AGL76" s="26"/>
      <c r="AGM76" s="26"/>
      <c r="AGN76" s="26"/>
      <c r="AGO76" s="26"/>
      <c r="AGP76" s="26"/>
      <c r="AGQ76" s="58"/>
      <c r="AGR76" s="26"/>
      <c r="AGS76" s="26"/>
      <c r="AGT76" s="26"/>
      <c r="AGU76" s="26"/>
      <c r="AGV76" s="22"/>
      <c r="AGW76" s="167"/>
      <c r="AGX76" s="30"/>
      <c r="AGY76" s="25"/>
      <c r="AGZ76" s="178"/>
      <c r="AHA76" s="26"/>
      <c r="AHB76" s="26"/>
      <c r="AHC76" s="26"/>
      <c r="AHD76" s="26"/>
      <c r="AHE76" s="26"/>
      <c r="AHF76" s="26"/>
      <c r="AHG76" s="58"/>
      <c r="AHH76" s="26"/>
      <c r="AHI76" s="26"/>
      <c r="AHJ76" s="26"/>
      <c r="AHK76" s="26"/>
      <c r="AHL76" s="22"/>
      <c r="AHM76" s="167"/>
      <c r="AHN76" s="30"/>
      <c r="AHO76" s="25"/>
      <c r="AHP76" s="178"/>
      <c r="AHQ76" s="26"/>
      <c r="AHR76" s="26"/>
      <c r="AHS76" s="26"/>
      <c r="AHT76" s="26"/>
      <c r="AHU76" s="26"/>
      <c r="AHV76" s="26"/>
      <c r="AHW76" s="58"/>
      <c r="AHX76" s="26"/>
      <c r="AHY76" s="26"/>
      <c r="AHZ76" s="26"/>
      <c r="AIA76" s="26"/>
      <c r="AIB76" s="22"/>
      <c r="AIC76" s="167"/>
      <c r="AID76" s="30"/>
      <c r="AIE76" s="25"/>
      <c r="AIF76" s="178"/>
      <c r="AIG76" s="26"/>
      <c r="AIH76" s="26"/>
      <c r="AII76" s="26"/>
      <c r="AIJ76" s="26"/>
      <c r="AIK76" s="26"/>
      <c r="AIL76" s="26"/>
      <c r="AIM76" s="58"/>
      <c r="AIN76" s="26"/>
      <c r="AIO76" s="26"/>
      <c r="AIP76" s="26"/>
      <c r="AIQ76" s="26"/>
      <c r="AIR76" s="22"/>
      <c r="AIS76" s="167"/>
      <c r="AIT76" s="30"/>
      <c r="AIU76" s="25"/>
      <c r="AIV76" s="178"/>
      <c r="AIW76" s="26"/>
      <c r="AIX76" s="26"/>
      <c r="AIY76" s="26"/>
      <c r="AIZ76" s="26"/>
      <c r="AJA76" s="26"/>
      <c r="AJB76" s="26"/>
      <c r="AJC76" s="58"/>
      <c r="AJD76" s="26"/>
      <c r="AJE76" s="26"/>
      <c r="AJF76" s="26"/>
      <c r="AJG76" s="26"/>
      <c r="AJH76" s="22"/>
      <c r="AJI76" s="167"/>
      <c r="AJJ76" s="30"/>
      <c r="AJK76" s="25"/>
      <c r="AJL76" s="178"/>
      <c r="AJM76" s="26"/>
      <c r="AJN76" s="26"/>
      <c r="AJO76" s="26"/>
      <c r="AJP76" s="26"/>
      <c r="AJQ76" s="26"/>
      <c r="AJR76" s="26"/>
      <c r="AJS76" s="58"/>
      <c r="AJT76" s="26"/>
      <c r="AJU76" s="26"/>
      <c r="AJV76" s="26"/>
      <c r="AJW76" s="26"/>
      <c r="AJX76" s="22"/>
      <c r="AJY76" s="167"/>
      <c r="AJZ76" s="30"/>
      <c r="AKA76" s="25"/>
      <c r="AKB76" s="178"/>
      <c r="AKC76" s="26"/>
      <c r="AKD76" s="26"/>
      <c r="AKE76" s="26"/>
      <c r="AKF76" s="26"/>
      <c r="AKG76" s="26"/>
      <c r="AKH76" s="26"/>
      <c r="AKI76" s="58"/>
      <c r="AKJ76" s="26"/>
      <c r="AKK76" s="26"/>
      <c r="AKL76" s="26"/>
      <c r="AKM76" s="26"/>
      <c r="AKN76" s="22"/>
      <c r="AKO76" s="167"/>
      <c r="AKP76" s="30"/>
      <c r="AKQ76" s="25"/>
      <c r="AKR76" s="178"/>
      <c r="AKS76" s="26"/>
      <c r="AKT76" s="26"/>
      <c r="AKU76" s="26"/>
      <c r="AKV76" s="26"/>
      <c r="AKW76" s="26"/>
      <c r="AKX76" s="26"/>
      <c r="AKY76" s="58"/>
      <c r="AKZ76" s="26"/>
      <c r="ALA76" s="26"/>
      <c r="ALB76" s="26"/>
      <c r="ALC76" s="26"/>
      <c r="ALD76" s="22"/>
      <c r="ALE76" s="167"/>
      <c r="ALF76" s="30"/>
      <c r="ALG76" s="25"/>
      <c r="ALH76" s="178"/>
      <c r="ALI76" s="26"/>
      <c r="ALJ76" s="26"/>
      <c r="ALK76" s="26"/>
      <c r="ALL76" s="26"/>
      <c r="ALM76" s="26"/>
      <c r="ALN76" s="26"/>
      <c r="ALO76" s="58"/>
      <c r="ALP76" s="26"/>
      <c r="ALQ76" s="26"/>
      <c r="ALR76" s="26"/>
      <c r="ALS76" s="26"/>
      <c r="ALT76" s="22"/>
      <c r="ALU76" s="167"/>
      <c r="ALV76" s="30"/>
      <c r="ALW76" s="25"/>
      <c r="ALX76" s="178"/>
      <c r="ALY76" s="26"/>
      <c r="ALZ76" s="26"/>
      <c r="AMA76" s="26"/>
      <c r="AMB76" s="26"/>
      <c r="AMC76" s="26"/>
      <c r="AMD76" s="26"/>
      <c r="AME76" s="58"/>
      <c r="AMF76" s="26"/>
      <c r="AMG76" s="26"/>
      <c r="AMH76" s="26"/>
      <c r="AMI76" s="26"/>
      <c r="AMJ76" s="22"/>
      <c r="AMK76" s="167"/>
      <c r="AML76" s="30"/>
      <c r="AMM76" s="25"/>
      <c r="AMN76" s="178"/>
      <c r="AMO76" s="26"/>
      <c r="AMP76" s="26"/>
      <c r="AMQ76" s="26"/>
      <c r="AMR76" s="26"/>
      <c r="AMS76" s="26"/>
      <c r="AMT76" s="26"/>
      <c r="AMU76" s="58"/>
      <c r="AMV76" s="26"/>
      <c r="AMW76" s="26"/>
      <c r="AMX76" s="26"/>
      <c r="AMY76" s="26"/>
      <c r="AMZ76" s="22"/>
      <c r="ANA76" s="167"/>
      <c r="ANB76" s="30"/>
      <c r="ANC76" s="25"/>
      <c r="AND76" s="178"/>
      <c r="ANE76" s="26"/>
      <c r="ANF76" s="26"/>
      <c r="ANG76" s="26"/>
      <c r="ANH76" s="26"/>
      <c r="ANI76" s="26"/>
      <c r="ANJ76" s="26"/>
      <c r="ANK76" s="58"/>
      <c r="ANL76" s="26"/>
      <c r="ANM76" s="26"/>
      <c r="ANN76" s="26"/>
      <c r="ANO76" s="26"/>
      <c r="ANP76" s="22"/>
      <c r="ANQ76" s="167"/>
      <c r="ANR76" s="30"/>
      <c r="ANS76" s="25"/>
      <c r="ANT76" s="178"/>
      <c r="ANU76" s="26"/>
      <c r="ANV76" s="26"/>
      <c r="ANW76" s="26"/>
      <c r="ANX76" s="26"/>
      <c r="ANY76" s="26"/>
      <c r="ANZ76" s="26"/>
      <c r="AOA76" s="58"/>
      <c r="AOB76" s="26"/>
      <c r="AOC76" s="26"/>
      <c r="AOD76" s="26"/>
      <c r="AOE76" s="26"/>
      <c r="AOF76" s="22"/>
      <c r="AOG76" s="167"/>
      <c r="AOH76" s="30"/>
      <c r="AOI76" s="25"/>
      <c r="AOJ76" s="178"/>
      <c r="AOK76" s="26"/>
      <c r="AOL76" s="26"/>
      <c r="AOM76" s="26"/>
      <c r="AON76" s="26"/>
      <c r="AOO76" s="26"/>
      <c r="AOP76" s="26"/>
      <c r="AOQ76" s="58"/>
      <c r="AOR76" s="26"/>
      <c r="AOS76" s="26"/>
      <c r="AOT76" s="26"/>
      <c r="AOU76" s="26"/>
      <c r="AOV76" s="22"/>
      <c r="AOW76" s="167"/>
      <c r="AOX76" s="30"/>
      <c r="AOY76" s="25"/>
      <c r="AOZ76" s="178"/>
      <c r="APA76" s="26"/>
      <c r="APB76" s="26"/>
      <c r="APC76" s="26"/>
      <c r="APD76" s="26"/>
      <c r="APE76" s="26"/>
      <c r="APF76" s="26"/>
      <c r="APG76" s="58"/>
      <c r="APH76" s="26"/>
      <c r="API76" s="26"/>
      <c r="APJ76" s="26"/>
      <c r="APK76" s="26"/>
      <c r="APL76" s="22"/>
      <c r="APM76" s="167"/>
      <c r="APN76" s="30"/>
      <c r="APO76" s="25"/>
      <c r="APP76" s="178"/>
      <c r="APQ76" s="26"/>
      <c r="APR76" s="26"/>
      <c r="APS76" s="26"/>
      <c r="APT76" s="26"/>
      <c r="APU76" s="26"/>
      <c r="APV76" s="26"/>
      <c r="APW76" s="58"/>
      <c r="APX76" s="26"/>
      <c r="APY76" s="26"/>
      <c r="APZ76" s="26"/>
      <c r="AQA76" s="26"/>
      <c r="AQB76" s="22"/>
      <c r="AQC76" s="167"/>
      <c r="AQD76" s="30"/>
      <c r="AQE76" s="25"/>
      <c r="AQF76" s="178"/>
      <c r="AQG76" s="26"/>
      <c r="AQH76" s="26"/>
      <c r="AQI76" s="26"/>
      <c r="AQJ76" s="26"/>
      <c r="AQK76" s="26"/>
      <c r="AQL76" s="26"/>
      <c r="AQM76" s="58"/>
      <c r="AQN76" s="26"/>
      <c r="AQO76" s="26"/>
      <c r="AQP76" s="26"/>
      <c r="AQQ76" s="26"/>
      <c r="AQR76" s="22"/>
      <c r="AQS76" s="167"/>
      <c r="AQT76" s="30"/>
      <c r="AQU76" s="25"/>
      <c r="AQV76" s="178"/>
      <c r="AQW76" s="26"/>
      <c r="AQX76" s="26"/>
      <c r="AQY76" s="26"/>
      <c r="AQZ76" s="26"/>
      <c r="ARA76" s="26"/>
      <c r="ARB76" s="26"/>
      <c r="ARC76" s="58"/>
      <c r="ARD76" s="26"/>
      <c r="ARE76" s="26"/>
      <c r="ARF76" s="26"/>
      <c r="ARG76" s="26"/>
      <c r="ARH76" s="22"/>
      <c r="ARI76" s="167"/>
      <c r="ARJ76" s="30"/>
      <c r="ARK76" s="25"/>
      <c r="ARL76" s="178"/>
      <c r="ARM76" s="26"/>
      <c r="ARN76" s="26"/>
      <c r="ARO76" s="26"/>
      <c r="ARP76" s="26"/>
      <c r="ARQ76" s="26"/>
      <c r="ARR76" s="26"/>
      <c r="ARS76" s="58"/>
      <c r="ART76" s="26"/>
      <c r="ARU76" s="26"/>
      <c r="ARV76" s="26"/>
      <c r="ARW76" s="26"/>
      <c r="ARX76" s="22"/>
      <c r="ARY76" s="167"/>
      <c r="ARZ76" s="30"/>
      <c r="ASA76" s="25"/>
      <c r="ASB76" s="178"/>
      <c r="ASC76" s="26"/>
      <c r="ASD76" s="26"/>
      <c r="ASE76" s="26"/>
      <c r="ASF76" s="26"/>
      <c r="ASG76" s="26"/>
      <c r="ASH76" s="26"/>
      <c r="ASI76" s="58"/>
      <c r="ASJ76" s="26"/>
      <c r="ASK76" s="26"/>
      <c r="ASL76" s="26"/>
      <c r="ASM76" s="26"/>
      <c r="ASN76" s="22"/>
      <c r="ASO76" s="167"/>
      <c r="ASP76" s="30"/>
      <c r="ASQ76" s="25"/>
      <c r="ASR76" s="178"/>
      <c r="ASS76" s="26"/>
      <c r="AST76" s="26"/>
      <c r="ASU76" s="26"/>
      <c r="ASV76" s="26"/>
      <c r="ASW76" s="26"/>
      <c r="ASX76" s="26"/>
      <c r="ASY76" s="58"/>
      <c r="ASZ76" s="26"/>
      <c r="ATA76" s="26"/>
      <c r="ATB76" s="26"/>
      <c r="ATC76" s="26"/>
      <c r="ATD76" s="22"/>
      <c r="ATE76" s="167"/>
      <c r="ATF76" s="30"/>
      <c r="ATG76" s="25"/>
      <c r="ATH76" s="178"/>
      <c r="ATI76" s="26"/>
      <c r="ATJ76" s="26"/>
      <c r="ATK76" s="26"/>
      <c r="ATL76" s="26"/>
      <c r="ATM76" s="26"/>
      <c r="ATN76" s="26"/>
      <c r="ATO76" s="58"/>
      <c r="ATP76" s="26"/>
      <c r="ATQ76" s="26"/>
      <c r="ATR76" s="26"/>
      <c r="ATS76" s="26"/>
      <c r="ATT76" s="22"/>
      <c r="ATU76" s="167"/>
      <c r="ATV76" s="30"/>
      <c r="ATW76" s="25"/>
      <c r="ATX76" s="178"/>
      <c r="ATY76" s="26"/>
      <c r="ATZ76" s="26"/>
      <c r="AUA76" s="26"/>
      <c r="AUB76" s="26"/>
      <c r="AUC76" s="26"/>
      <c r="AUD76" s="26"/>
      <c r="AUE76" s="58"/>
      <c r="AUF76" s="26"/>
      <c r="AUG76" s="26"/>
      <c r="AUH76" s="26"/>
      <c r="AUI76" s="26"/>
      <c r="AUJ76" s="22"/>
      <c r="AUK76" s="167"/>
      <c r="AUL76" s="30"/>
      <c r="AUM76" s="25"/>
      <c r="AUN76" s="178"/>
      <c r="AUO76" s="26"/>
      <c r="AUP76" s="26"/>
      <c r="AUQ76" s="26"/>
      <c r="AUR76" s="26"/>
      <c r="AUS76" s="26"/>
      <c r="AUT76" s="26"/>
      <c r="AUU76" s="58"/>
      <c r="AUV76" s="26"/>
      <c r="AUW76" s="26"/>
      <c r="AUX76" s="26"/>
      <c r="AUY76" s="26"/>
      <c r="AUZ76" s="22"/>
      <c r="AVA76" s="167"/>
      <c r="AVB76" s="30"/>
      <c r="AVC76" s="25"/>
      <c r="AVD76" s="178"/>
      <c r="AVE76" s="26"/>
      <c r="AVF76" s="26"/>
      <c r="AVG76" s="26"/>
      <c r="AVH76" s="26"/>
      <c r="AVI76" s="26"/>
      <c r="AVJ76" s="26"/>
      <c r="AVK76" s="58"/>
      <c r="AVL76" s="26"/>
      <c r="AVM76" s="26"/>
      <c r="AVN76" s="26"/>
      <c r="AVO76" s="26"/>
      <c r="AVP76" s="22"/>
      <c r="AVQ76" s="167"/>
      <c r="AVR76" s="30"/>
      <c r="AVS76" s="25"/>
      <c r="AVT76" s="178"/>
      <c r="AVU76" s="26"/>
      <c r="AVV76" s="26"/>
      <c r="AVW76" s="26"/>
      <c r="AVX76" s="26"/>
      <c r="AVY76" s="26"/>
      <c r="AVZ76" s="26"/>
      <c r="AWA76" s="58"/>
      <c r="AWB76" s="26"/>
      <c r="AWC76" s="26"/>
      <c r="AWD76" s="26"/>
      <c r="AWE76" s="26"/>
      <c r="AWF76" s="22"/>
      <c r="AWG76" s="167"/>
      <c r="AWH76" s="30"/>
      <c r="AWI76" s="25"/>
      <c r="AWJ76" s="178"/>
      <c r="AWK76" s="26"/>
      <c r="AWL76" s="26"/>
      <c r="AWM76" s="26"/>
      <c r="AWN76" s="26"/>
      <c r="AWO76" s="26"/>
      <c r="AWP76" s="26"/>
      <c r="AWQ76" s="58"/>
      <c r="AWR76" s="26"/>
      <c r="AWS76" s="26"/>
      <c r="AWT76" s="26"/>
      <c r="AWU76" s="26"/>
      <c r="AWV76" s="22"/>
      <c r="AWW76" s="167"/>
      <c r="AWX76" s="30"/>
      <c r="AWY76" s="25"/>
      <c r="AWZ76" s="178"/>
      <c r="AXA76" s="26"/>
      <c r="AXB76" s="26"/>
      <c r="AXC76" s="26"/>
      <c r="AXD76" s="26"/>
      <c r="AXE76" s="26"/>
      <c r="AXF76" s="26"/>
      <c r="AXG76" s="58"/>
      <c r="AXH76" s="26"/>
      <c r="AXI76" s="26"/>
      <c r="AXJ76" s="26"/>
      <c r="AXK76" s="26"/>
      <c r="AXL76" s="22"/>
      <c r="AXM76" s="167"/>
      <c r="AXN76" s="30"/>
      <c r="AXO76" s="25"/>
      <c r="AXP76" s="178"/>
      <c r="AXQ76" s="26"/>
      <c r="AXR76" s="26"/>
      <c r="AXS76" s="26"/>
      <c r="AXT76" s="26"/>
      <c r="AXU76" s="26"/>
      <c r="AXV76" s="26"/>
      <c r="AXW76" s="58"/>
      <c r="AXX76" s="26"/>
      <c r="AXY76" s="26"/>
      <c r="AXZ76" s="26"/>
      <c r="AYA76" s="26"/>
      <c r="AYB76" s="22"/>
      <c r="AYC76" s="167"/>
      <c r="AYD76" s="30"/>
      <c r="AYE76" s="25"/>
      <c r="AYF76" s="178"/>
      <c r="AYG76" s="26"/>
      <c r="AYH76" s="26"/>
      <c r="AYI76" s="26"/>
      <c r="AYJ76" s="26"/>
      <c r="AYK76" s="26"/>
      <c r="AYL76" s="26"/>
      <c r="AYM76" s="58"/>
      <c r="AYN76" s="26"/>
      <c r="AYO76" s="26"/>
      <c r="AYP76" s="26"/>
      <c r="AYQ76" s="26"/>
      <c r="AYR76" s="22"/>
      <c r="AYS76" s="167"/>
      <c r="AYT76" s="30"/>
      <c r="AYU76" s="25"/>
      <c r="AYV76" s="178"/>
      <c r="AYW76" s="26"/>
      <c r="AYX76" s="26"/>
      <c r="AYY76" s="26"/>
      <c r="AYZ76" s="26"/>
      <c r="AZA76" s="26"/>
      <c r="AZB76" s="26"/>
      <c r="AZC76" s="58"/>
      <c r="AZD76" s="26"/>
      <c r="AZE76" s="26"/>
      <c r="AZF76" s="26"/>
      <c r="AZG76" s="26"/>
      <c r="AZH76" s="22"/>
      <c r="AZI76" s="167"/>
      <c r="AZJ76" s="30"/>
      <c r="AZK76" s="25"/>
      <c r="AZL76" s="178"/>
      <c r="AZM76" s="26"/>
      <c r="AZN76" s="26"/>
      <c r="AZO76" s="26"/>
      <c r="AZP76" s="26"/>
      <c r="AZQ76" s="26"/>
      <c r="AZR76" s="26"/>
      <c r="AZS76" s="58"/>
      <c r="AZT76" s="26"/>
      <c r="AZU76" s="26"/>
      <c r="AZV76" s="26"/>
      <c r="AZW76" s="26"/>
      <c r="AZX76" s="22"/>
      <c r="AZY76" s="167"/>
      <c r="AZZ76" s="30"/>
      <c r="BAA76" s="25"/>
      <c r="BAB76" s="178"/>
      <c r="BAC76" s="26"/>
      <c r="BAD76" s="26"/>
      <c r="BAE76" s="26"/>
      <c r="BAF76" s="26"/>
      <c r="BAG76" s="26"/>
      <c r="BAH76" s="26"/>
      <c r="BAI76" s="58"/>
      <c r="BAJ76" s="26"/>
      <c r="BAK76" s="26"/>
      <c r="BAL76" s="26"/>
      <c r="BAM76" s="26"/>
      <c r="BAN76" s="22"/>
      <c r="BAO76" s="167"/>
      <c r="BAP76" s="30"/>
      <c r="BAQ76" s="25"/>
      <c r="BAR76" s="178"/>
      <c r="BAS76" s="26"/>
      <c r="BAT76" s="26"/>
      <c r="BAU76" s="26"/>
      <c r="BAV76" s="26"/>
      <c r="BAW76" s="26"/>
      <c r="BAX76" s="26"/>
      <c r="BAY76" s="58"/>
      <c r="BAZ76" s="26"/>
      <c r="BBA76" s="26"/>
      <c r="BBB76" s="26"/>
      <c r="BBC76" s="26"/>
      <c r="BBD76" s="22"/>
      <c r="BBE76" s="167"/>
      <c r="BBF76" s="30"/>
      <c r="BBG76" s="25"/>
      <c r="BBH76" s="178"/>
      <c r="BBI76" s="26"/>
      <c r="BBJ76" s="26"/>
      <c r="BBK76" s="26"/>
      <c r="BBL76" s="26"/>
      <c r="BBM76" s="26"/>
      <c r="BBN76" s="26"/>
      <c r="BBO76" s="58"/>
      <c r="BBP76" s="26"/>
      <c r="BBQ76" s="26"/>
      <c r="BBR76" s="26"/>
      <c r="BBS76" s="26"/>
      <c r="BBT76" s="22"/>
      <c r="BBU76" s="167"/>
      <c r="BBV76" s="30"/>
      <c r="BBW76" s="25"/>
      <c r="BBX76" s="178"/>
      <c r="BBY76" s="26"/>
      <c r="BBZ76" s="26"/>
      <c r="BCA76" s="26"/>
      <c r="BCB76" s="26"/>
      <c r="BCC76" s="26"/>
      <c r="BCD76" s="26"/>
      <c r="BCE76" s="58"/>
      <c r="BCF76" s="26"/>
      <c r="BCG76" s="26"/>
      <c r="BCH76" s="26"/>
      <c r="BCI76" s="26"/>
      <c r="BCJ76" s="22"/>
      <c r="BCK76" s="167"/>
      <c r="BCL76" s="30"/>
      <c r="BCM76" s="25"/>
      <c r="BCN76" s="178"/>
      <c r="BCO76" s="26"/>
      <c r="BCP76" s="26"/>
      <c r="BCQ76" s="26"/>
      <c r="BCR76" s="26"/>
      <c r="BCS76" s="26"/>
      <c r="BCT76" s="26"/>
      <c r="BCU76" s="58"/>
      <c r="BCV76" s="26"/>
      <c r="BCW76" s="26"/>
      <c r="BCX76" s="26"/>
      <c r="BCY76" s="26"/>
      <c r="BCZ76" s="22"/>
      <c r="BDA76" s="167"/>
      <c r="BDB76" s="30"/>
      <c r="BDC76" s="25"/>
      <c r="BDD76" s="178"/>
      <c r="BDE76" s="26"/>
      <c r="BDF76" s="26"/>
      <c r="BDG76" s="26"/>
      <c r="BDH76" s="26"/>
      <c r="BDI76" s="26"/>
      <c r="BDJ76" s="26"/>
      <c r="BDK76" s="58"/>
      <c r="BDL76" s="26"/>
      <c r="BDM76" s="26"/>
      <c r="BDN76" s="26"/>
      <c r="BDO76" s="26"/>
      <c r="BDP76" s="22"/>
      <c r="BDQ76" s="167"/>
      <c r="BDR76" s="30"/>
      <c r="BDS76" s="25"/>
      <c r="BDT76" s="178"/>
      <c r="BDU76" s="26"/>
      <c r="BDV76" s="26"/>
      <c r="BDW76" s="26"/>
      <c r="BDX76" s="26"/>
      <c r="BDY76" s="26"/>
      <c r="BDZ76" s="26"/>
      <c r="BEA76" s="58"/>
      <c r="BEB76" s="26"/>
      <c r="BEC76" s="26"/>
      <c r="BED76" s="26"/>
      <c r="BEE76" s="26"/>
      <c r="BEF76" s="22"/>
      <c r="BEG76" s="167"/>
      <c r="BEH76" s="30"/>
      <c r="BEI76" s="25"/>
      <c r="BEJ76" s="178"/>
      <c r="BEK76" s="26"/>
      <c r="BEL76" s="26"/>
      <c r="BEM76" s="26"/>
      <c r="BEN76" s="26"/>
      <c r="BEO76" s="26"/>
      <c r="BEP76" s="26"/>
      <c r="BEQ76" s="58"/>
      <c r="BER76" s="26"/>
      <c r="BES76" s="26"/>
      <c r="BET76" s="26"/>
      <c r="BEU76" s="26"/>
      <c r="BEV76" s="22"/>
      <c r="BEW76" s="167"/>
      <c r="BEX76" s="30"/>
      <c r="BEY76" s="25"/>
      <c r="BEZ76" s="178"/>
      <c r="BFA76" s="26"/>
      <c r="BFB76" s="26"/>
      <c r="BFC76" s="26"/>
      <c r="BFD76" s="26"/>
      <c r="BFE76" s="26"/>
      <c r="BFF76" s="26"/>
      <c r="BFG76" s="58"/>
      <c r="BFH76" s="26"/>
      <c r="BFI76" s="26"/>
      <c r="BFJ76" s="26"/>
      <c r="BFK76" s="26"/>
      <c r="BFL76" s="22"/>
      <c r="BFM76" s="167"/>
      <c r="BFN76" s="30"/>
      <c r="BFO76" s="25"/>
      <c r="BFP76" s="178"/>
      <c r="BFQ76" s="26"/>
      <c r="BFR76" s="26"/>
      <c r="BFS76" s="26"/>
      <c r="BFT76" s="26"/>
      <c r="BFU76" s="26"/>
      <c r="BFV76" s="26"/>
      <c r="BFW76" s="58"/>
      <c r="BFX76" s="26"/>
      <c r="BFY76" s="26"/>
      <c r="BFZ76" s="26"/>
      <c r="BGA76" s="26"/>
      <c r="BGB76" s="22"/>
      <c r="BGC76" s="167"/>
      <c r="BGD76" s="30"/>
      <c r="BGE76" s="25"/>
      <c r="BGF76" s="178"/>
      <c r="BGG76" s="26"/>
      <c r="BGH76" s="26"/>
      <c r="BGI76" s="26"/>
      <c r="BGJ76" s="26"/>
      <c r="BGK76" s="26"/>
      <c r="BGL76" s="26"/>
      <c r="BGM76" s="58"/>
      <c r="BGN76" s="26"/>
      <c r="BGO76" s="26"/>
      <c r="BGP76" s="26"/>
      <c r="BGQ76" s="26"/>
      <c r="BGR76" s="22"/>
      <c r="BGS76" s="167"/>
      <c r="BGT76" s="30"/>
      <c r="BGU76" s="25"/>
      <c r="BGV76" s="178"/>
      <c r="BGW76" s="26"/>
      <c r="BGX76" s="26"/>
      <c r="BGY76" s="26"/>
      <c r="BGZ76" s="26"/>
      <c r="BHA76" s="26"/>
      <c r="BHB76" s="26"/>
      <c r="BHC76" s="58"/>
      <c r="BHD76" s="26"/>
      <c r="BHE76" s="26"/>
      <c r="BHF76" s="26"/>
      <c r="BHG76" s="26"/>
      <c r="BHH76" s="22"/>
      <c r="BHI76" s="167"/>
      <c r="BHJ76" s="30"/>
      <c r="BHK76" s="25"/>
      <c r="BHL76" s="178"/>
      <c r="BHM76" s="26"/>
      <c r="BHN76" s="26"/>
      <c r="BHO76" s="26"/>
      <c r="BHP76" s="26"/>
      <c r="BHQ76" s="26"/>
      <c r="BHR76" s="26"/>
      <c r="BHS76" s="58"/>
      <c r="BHT76" s="26"/>
      <c r="BHU76" s="26"/>
      <c r="BHV76" s="26"/>
      <c r="BHW76" s="26"/>
      <c r="BHX76" s="22"/>
      <c r="BHY76" s="167"/>
      <c r="BHZ76" s="30"/>
      <c r="BIA76" s="25"/>
      <c r="BIB76" s="178"/>
      <c r="BIC76" s="26"/>
      <c r="BID76" s="26"/>
      <c r="BIE76" s="26"/>
      <c r="BIF76" s="26"/>
      <c r="BIG76" s="26"/>
      <c r="BIH76" s="26"/>
      <c r="BII76" s="58"/>
      <c r="BIJ76" s="26"/>
      <c r="BIK76" s="26"/>
      <c r="BIL76" s="26"/>
      <c r="BIM76" s="26"/>
      <c r="BIN76" s="22"/>
      <c r="BIO76" s="167"/>
      <c r="BIP76" s="30"/>
      <c r="BIQ76" s="25"/>
      <c r="BIR76" s="178"/>
      <c r="BIS76" s="26"/>
      <c r="BIT76" s="26"/>
      <c r="BIU76" s="26"/>
      <c r="BIV76" s="26"/>
      <c r="BIW76" s="26"/>
      <c r="BIX76" s="26"/>
      <c r="BIY76" s="58"/>
      <c r="BIZ76" s="26"/>
      <c r="BJA76" s="26"/>
      <c r="BJB76" s="26"/>
      <c r="BJC76" s="26"/>
      <c r="BJD76" s="22"/>
      <c r="BJE76" s="167"/>
      <c r="BJF76" s="30"/>
      <c r="BJG76" s="25"/>
      <c r="BJH76" s="178"/>
      <c r="BJI76" s="26"/>
      <c r="BJJ76" s="26"/>
      <c r="BJK76" s="26"/>
      <c r="BJL76" s="26"/>
      <c r="BJM76" s="26"/>
      <c r="BJN76" s="26"/>
      <c r="BJO76" s="58"/>
      <c r="BJP76" s="26"/>
      <c r="BJQ76" s="26"/>
      <c r="BJR76" s="26"/>
      <c r="BJS76" s="26"/>
      <c r="BJT76" s="22"/>
      <c r="BJU76" s="167"/>
      <c r="BJV76" s="30"/>
      <c r="BJW76" s="25"/>
      <c r="BJX76" s="178"/>
      <c r="BJY76" s="26"/>
      <c r="BJZ76" s="26"/>
      <c r="BKA76" s="26"/>
      <c r="BKB76" s="26"/>
      <c r="BKC76" s="26"/>
      <c r="BKD76" s="26"/>
      <c r="BKE76" s="58"/>
      <c r="BKF76" s="26"/>
      <c r="BKG76" s="26"/>
      <c r="BKH76" s="26"/>
      <c r="BKI76" s="26"/>
      <c r="BKJ76" s="22"/>
      <c r="BKK76" s="167"/>
      <c r="BKL76" s="30"/>
      <c r="BKM76" s="25"/>
      <c r="BKN76" s="178"/>
      <c r="BKO76" s="26"/>
      <c r="BKP76" s="26"/>
      <c r="BKQ76" s="26"/>
      <c r="BKR76" s="26"/>
      <c r="BKS76" s="26"/>
      <c r="BKT76" s="26"/>
      <c r="BKU76" s="58"/>
      <c r="BKV76" s="26"/>
      <c r="BKW76" s="26"/>
      <c r="BKX76" s="26"/>
      <c r="BKY76" s="26"/>
      <c r="BKZ76" s="22"/>
      <c r="BLA76" s="167"/>
      <c r="BLB76" s="30"/>
      <c r="BLC76" s="25"/>
      <c r="BLD76" s="178"/>
      <c r="BLE76" s="26"/>
      <c r="BLF76" s="26"/>
      <c r="BLG76" s="26"/>
      <c r="BLH76" s="26"/>
      <c r="BLI76" s="26"/>
      <c r="BLJ76" s="26"/>
      <c r="BLK76" s="58"/>
      <c r="BLL76" s="26"/>
      <c r="BLM76" s="26"/>
      <c r="BLN76" s="26"/>
      <c r="BLO76" s="26"/>
      <c r="BLP76" s="22"/>
      <c r="BLQ76" s="167"/>
      <c r="BLR76" s="30"/>
      <c r="BLS76" s="25"/>
      <c r="BLT76" s="178"/>
      <c r="BLU76" s="26"/>
      <c r="BLV76" s="26"/>
      <c r="BLW76" s="26"/>
      <c r="BLX76" s="26"/>
      <c r="BLY76" s="26"/>
      <c r="BLZ76" s="26"/>
      <c r="BMA76" s="58"/>
      <c r="BMB76" s="26"/>
      <c r="BMC76" s="26"/>
      <c r="BMD76" s="26"/>
      <c r="BME76" s="26"/>
      <c r="BMF76" s="22"/>
      <c r="BMG76" s="167"/>
      <c r="BMH76" s="30"/>
      <c r="BMI76" s="25"/>
      <c r="BMJ76" s="178"/>
      <c r="BMK76" s="26"/>
      <c r="BML76" s="26"/>
      <c r="BMM76" s="26"/>
      <c r="BMN76" s="26"/>
      <c r="BMO76" s="26"/>
      <c r="BMP76" s="26"/>
      <c r="BMQ76" s="58"/>
      <c r="BMR76" s="26"/>
      <c r="BMS76" s="26"/>
      <c r="BMT76" s="26"/>
      <c r="BMU76" s="26"/>
      <c r="BMV76" s="22"/>
      <c r="BMW76" s="167"/>
      <c r="BMX76" s="30"/>
      <c r="BMY76" s="25"/>
      <c r="BMZ76" s="178"/>
      <c r="BNA76" s="26"/>
      <c r="BNB76" s="26"/>
      <c r="BNC76" s="26"/>
      <c r="BND76" s="26"/>
      <c r="BNE76" s="26"/>
      <c r="BNF76" s="26"/>
      <c r="BNG76" s="58"/>
      <c r="BNH76" s="26"/>
      <c r="BNI76" s="26"/>
      <c r="BNJ76" s="26"/>
      <c r="BNK76" s="26"/>
      <c r="BNL76" s="22"/>
      <c r="BNM76" s="167"/>
      <c r="BNN76" s="30"/>
      <c r="BNO76" s="25"/>
      <c r="BNP76" s="178"/>
      <c r="BNQ76" s="26"/>
      <c r="BNR76" s="26"/>
      <c r="BNS76" s="26"/>
      <c r="BNT76" s="26"/>
      <c r="BNU76" s="26"/>
      <c r="BNV76" s="26"/>
      <c r="BNW76" s="58"/>
      <c r="BNX76" s="26"/>
      <c r="BNY76" s="26"/>
      <c r="BNZ76" s="26"/>
      <c r="BOA76" s="26"/>
      <c r="BOB76" s="22"/>
      <c r="BOC76" s="167"/>
      <c r="BOD76" s="30"/>
      <c r="BOE76" s="25"/>
      <c r="BOF76" s="178"/>
      <c r="BOG76" s="26"/>
      <c r="BOH76" s="26"/>
      <c r="BOI76" s="26"/>
      <c r="BOJ76" s="26"/>
      <c r="BOK76" s="26"/>
      <c r="BOL76" s="26"/>
      <c r="BOM76" s="58"/>
      <c r="BON76" s="26"/>
      <c r="BOO76" s="26"/>
      <c r="BOP76" s="26"/>
      <c r="BOQ76" s="26"/>
      <c r="BOR76" s="22"/>
      <c r="BOS76" s="167"/>
      <c r="BOT76" s="30"/>
      <c r="BOU76" s="25"/>
      <c r="BOV76" s="178"/>
      <c r="BOW76" s="26"/>
      <c r="BOX76" s="26"/>
      <c r="BOY76" s="26"/>
      <c r="BOZ76" s="26"/>
      <c r="BPA76" s="26"/>
      <c r="BPB76" s="26"/>
      <c r="BPC76" s="58"/>
      <c r="BPD76" s="26"/>
      <c r="BPE76" s="26"/>
      <c r="BPF76" s="26"/>
      <c r="BPG76" s="26"/>
      <c r="BPH76" s="22"/>
      <c r="BPI76" s="167"/>
      <c r="BPJ76" s="30"/>
      <c r="BPK76" s="25"/>
      <c r="BPL76" s="178"/>
      <c r="BPM76" s="26"/>
      <c r="BPN76" s="26"/>
      <c r="BPO76" s="26"/>
      <c r="BPP76" s="26"/>
      <c r="BPQ76" s="26"/>
      <c r="BPR76" s="26"/>
      <c r="BPS76" s="58"/>
      <c r="BPT76" s="26"/>
      <c r="BPU76" s="26"/>
      <c r="BPV76" s="26"/>
      <c r="BPW76" s="26"/>
      <c r="BPX76" s="22"/>
      <c r="BPY76" s="167"/>
      <c r="BPZ76" s="30"/>
      <c r="BQA76" s="25"/>
      <c r="BQB76" s="178"/>
      <c r="BQC76" s="26"/>
      <c r="BQD76" s="26"/>
      <c r="BQE76" s="26"/>
      <c r="BQF76" s="26"/>
      <c r="BQG76" s="26"/>
      <c r="BQH76" s="26"/>
      <c r="BQI76" s="58"/>
      <c r="BQJ76" s="26"/>
      <c r="BQK76" s="26"/>
      <c r="BQL76" s="26"/>
      <c r="BQM76" s="26"/>
      <c r="BQN76" s="22"/>
      <c r="BQO76" s="167"/>
      <c r="BQP76" s="30"/>
      <c r="BQQ76" s="25"/>
      <c r="BQR76" s="178"/>
      <c r="BQS76" s="26"/>
      <c r="BQT76" s="26"/>
      <c r="BQU76" s="26"/>
      <c r="BQV76" s="26"/>
      <c r="BQW76" s="26"/>
      <c r="BQX76" s="26"/>
      <c r="BQY76" s="58"/>
      <c r="BQZ76" s="26"/>
      <c r="BRA76" s="26"/>
      <c r="BRB76" s="26"/>
      <c r="BRC76" s="26"/>
      <c r="BRD76" s="22"/>
      <c r="BRE76" s="167"/>
      <c r="BRF76" s="30"/>
      <c r="BRG76" s="25"/>
      <c r="BRH76" s="178"/>
      <c r="BRI76" s="26"/>
      <c r="BRJ76" s="26"/>
      <c r="BRK76" s="26"/>
      <c r="BRL76" s="26"/>
      <c r="BRM76" s="26"/>
      <c r="BRN76" s="26"/>
      <c r="BRO76" s="58"/>
      <c r="BRP76" s="26"/>
      <c r="BRQ76" s="26"/>
      <c r="BRR76" s="26"/>
      <c r="BRS76" s="26"/>
      <c r="BRT76" s="22"/>
      <c r="BRU76" s="167"/>
      <c r="BRV76" s="30"/>
      <c r="BRW76" s="25"/>
      <c r="BRX76" s="178"/>
      <c r="BRY76" s="26"/>
      <c r="BRZ76" s="26"/>
      <c r="BSA76" s="26"/>
      <c r="BSB76" s="26"/>
      <c r="BSC76" s="26"/>
      <c r="BSD76" s="26"/>
      <c r="BSE76" s="58"/>
      <c r="BSF76" s="26"/>
      <c r="BSG76" s="26"/>
      <c r="BSH76" s="26"/>
      <c r="BSI76" s="26"/>
      <c r="BSJ76" s="22"/>
      <c r="BSK76" s="167"/>
      <c r="BSL76" s="30"/>
      <c r="BSM76" s="25"/>
      <c r="BSN76" s="178"/>
      <c r="BSO76" s="26"/>
      <c r="BSP76" s="26"/>
      <c r="BSQ76" s="26"/>
      <c r="BSR76" s="26"/>
      <c r="BSS76" s="26"/>
      <c r="BST76" s="26"/>
      <c r="BSU76" s="58"/>
      <c r="BSV76" s="26"/>
      <c r="BSW76" s="26"/>
      <c r="BSX76" s="26"/>
      <c r="BSY76" s="26"/>
      <c r="BSZ76" s="22"/>
      <c r="BTA76" s="167"/>
      <c r="BTB76" s="30"/>
      <c r="BTC76" s="25"/>
      <c r="BTD76" s="178"/>
      <c r="BTE76" s="26"/>
      <c r="BTF76" s="26"/>
      <c r="BTG76" s="26"/>
      <c r="BTH76" s="26"/>
      <c r="BTI76" s="26"/>
      <c r="BTJ76" s="26"/>
      <c r="BTK76" s="58"/>
      <c r="BTL76" s="26"/>
      <c r="BTM76" s="26"/>
      <c r="BTN76" s="26"/>
      <c r="BTO76" s="26"/>
      <c r="BTP76" s="22"/>
      <c r="BTQ76" s="167"/>
      <c r="BTR76" s="30"/>
      <c r="BTS76" s="25"/>
      <c r="BTT76" s="178"/>
      <c r="BTU76" s="26"/>
      <c r="BTV76" s="26"/>
      <c r="BTW76" s="26"/>
      <c r="BTX76" s="26"/>
      <c r="BTY76" s="26"/>
      <c r="BTZ76" s="26"/>
      <c r="BUA76" s="58"/>
      <c r="BUB76" s="26"/>
      <c r="BUC76" s="26"/>
      <c r="BUD76" s="26"/>
      <c r="BUE76" s="26"/>
      <c r="BUF76" s="22"/>
      <c r="BUG76" s="167"/>
      <c r="BUH76" s="30"/>
      <c r="BUI76" s="25"/>
      <c r="BUJ76" s="178"/>
      <c r="BUK76" s="26"/>
      <c r="BUL76" s="26"/>
      <c r="BUM76" s="26"/>
      <c r="BUN76" s="26"/>
      <c r="BUO76" s="26"/>
      <c r="BUP76" s="26"/>
      <c r="BUQ76" s="58"/>
      <c r="BUR76" s="26"/>
      <c r="BUS76" s="26"/>
      <c r="BUT76" s="26"/>
      <c r="BUU76" s="26"/>
      <c r="BUV76" s="22"/>
      <c r="BUW76" s="167"/>
      <c r="BUX76" s="30"/>
      <c r="BUY76" s="25"/>
      <c r="BUZ76" s="178"/>
      <c r="BVA76" s="26"/>
      <c r="BVB76" s="26"/>
      <c r="BVC76" s="26"/>
      <c r="BVD76" s="26"/>
      <c r="BVE76" s="26"/>
      <c r="BVF76" s="26"/>
      <c r="BVG76" s="58"/>
      <c r="BVH76" s="26"/>
      <c r="BVI76" s="26"/>
      <c r="BVJ76" s="26"/>
      <c r="BVK76" s="26"/>
      <c r="BVL76" s="22"/>
      <c r="BVM76" s="167"/>
      <c r="BVN76" s="30"/>
      <c r="BVO76" s="25"/>
      <c r="BVP76" s="178"/>
      <c r="BVQ76" s="26"/>
      <c r="BVR76" s="26"/>
      <c r="BVS76" s="26"/>
      <c r="BVT76" s="26"/>
      <c r="BVU76" s="26"/>
      <c r="BVV76" s="26"/>
      <c r="BVW76" s="58"/>
      <c r="BVX76" s="26"/>
      <c r="BVY76" s="26"/>
      <c r="BVZ76" s="26"/>
      <c r="BWA76" s="26"/>
      <c r="BWB76" s="22"/>
      <c r="BWC76" s="167"/>
      <c r="BWD76" s="30"/>
      <c r="BWE76" s="25"/>
      <c r="BWF76" s="178"/>
      <c r="BWG76" s="26"/>
      <c r="BWH76" s="26"/>
      <c r="BWI76" s="26"/>
      <c r="BWJ76" s="26"/>
      <c r="BWK76" s="26"/>
      <c r="BWL76" s="26"/>
      <c r="BWM76" s="58"/>
      <c r="BWN76" s="26"/>
      <c r="BWO76" s="26"/>
      <c r="BWP76" s="26"/>
      <c r="BWQ76" s="26"/>
      <c r="BWR76" s="22"/>
      <c r="BWS76" s="167"/>
      <c r="BWT76" s="30"/>
      <c r="BWU76" s="25"/>
      <c r="BWV76" s="178"/>
      <c r="BWW76" s="26"/>
      <c r="BWX76" s="26"/>
      <c r="BWY76" s="26"/>
      <c r="BWZ76" s="26"/>
      <c r="BXA76" s="26"/>
      <c r="BXB76" s="26"/>
      <c r="BXC76" s="58"/>
      <c r="BXD76" s="26"/>
      <c r="BXE76" s="26"/>
      <c r="BXF76" s="26"/>
      <c r="BXG76" s="26"/>
      <c r="BXH76" s="22"/>
      <c r="BXI76" s="167"/>
      <c r="BXJ76" s="30"/>
      <c r="BXK76" s="25"/>
      <c r="BXL76" s="178"/>
      <c r="BXM76" s="26"/>
      <c r="BXN76" s="26"/>
      <c r="BXO76" s="26"/>
      <c r="BXP76" s="26"/>
      <c r="BXQ76" s="26"/>
      <c r="BXR76" s="26"/>
      <c r="BXS76" s="58"/>
      <c r="BXT76" s="26"/>
      <c r="BXU76" s="26"/>
      <c r="BXV76" s="26"/>
      <c r="BXW76" s="26"/>
      <c r="BXX76" s="22"/>
      <c r="BXY76" s="167"/>
      <c r="BXZ76" s="30"/>
      <c r="BYA76" s="25"/>
      <c r="BYB76" s="178"/>
      <c r="BYC76" s="26"/>
      <c r="BYD76" s="26"/>
      <c r="BYE76" s="26"/>
      <c r="BYF76" s="26"/>
      <c r="BYG76" s="26"/>
      <c r="BYH76" s="26"/>
      <c r="BYI76" s="58"/>
      <c r="BYJ76" s="26"/>
      <c r="BYK76" s="26"/>
      <c r="BYL76" s="26"/>
      <c r="BYM76" s="26"/>
      <c r="BYN76" s="22"/>
      <c r="BYO76" s="167"/>
      <c r="BYP76" s="30"/>
      <c r="BYQ76" s="25"/>
      <c r="BYR76" s="178"/>
      <c r="BYS76" s="26"/>
      <c r="BYT76" s="26"/>
      <c r="BYU76" s="26"/>
      <c r="BYV76" s="26"/>
      <c r="BYW76" s="26"/>
      <c r="BYX76" s="26"/>
      <c r="BYY76" s="58"/>
      <c r="BYZ76" s="26"/>
      <c r="BZA76" s="26"/>
      <c r="BZB76" s="26"/>
      <c r="BZC76" s="26"/>
      <c r="BZD76" s="22"/>
      <c r="BZE76" s="167"/>
      <c r="BZF76" s="30"/>
      <c r="BZG76" s="25"/>
      <c r="BZH76" s="178"/>
      <c r="BZI76" s="26"/>
      <c r="BZJ76" s="26"/>
      <c r="BZK76" s="26"/>
      <c r="BZL76" s="26"/>
      <c r="BZM76" s="26"/>
      <c r="BZN76" s="26"/>
      <c r="BZO76" s="58"/>
      <c r="BZP76" s="26"/>
      <c r="BZQ76" s="26"/>
      <c r="BZR76" s="26"/>
      <c r="BZS76" s="26"/>
      <c r="BZT76" s="22"/>
      <c r="BZU76" s="167"/>
      <c r="BZV76" s="30"/>
      <c r="BZW76" s="25"/>
      <c r="BZX76" s="178"/>
      <c r="BZY76" s="26"/>
      <c r="BZZ76" s="26"/>
      <c r="CAA76" s="26"/>
      <c r="CAB76" s="26"/>
      <c r="CAC76" s="26"/>
      <c r="CAD76" s="26"/>
      <c r="CAE76" s="58"/>
      <c r="CAF76" s="26"/>
      <c r="CAG76" s="26"/>
      <c r="CAH76" s="26"/>
      <c r="CAI76" s="26"/>
      <c r="CAJ76" s="22"/>
      <c r="CAK76" s="167"/>
      <c r="CAL76" s="30"/>
      <c r="CAM76" s="25"/>
      <c r="CAN76" s="178"/>
      <c r="CAO76" s="26"/>
      <c r="CAP76" s="26"/>
      <c r="CAQ76" s="26"/>
      <c r="CAR76" s="26"/>
      <c r="CAS76" s="26"/>
      <c r="CAT76" s="26"/>
      <c r="CAU76" s="58"/>
      <c r="CAV76" s="26"/>
      <c r="CAW76" s="26"/>
      <c r="CAX76" s="26"/>
      <c r="CAY76" s="26"/>
      <c r="CAZ76" s="22"/>
      <c r="CBA76" s="167"/>
      <c r="CBB76" s="30"/>
      <c r="CBC76" s="25"/>
      <c r="CBD76" s="178"/>
      <c r="CBE76" s="26"/>
      <c r="CBF76" s="26"/>
      <c r="CBG76" s="26"/>
      <c r="CBH76" s="26"/>
      <c r="CBI76" s="26"/>
      <c r="CBJ76" s="26"/>
      <c r="CBK76" s="58"/>
      <c r="CBL76" s="26"/>
      <c r="CBM76" s="26"/>
      <c r="CBN76" s="26"/>
      <c r="CBO76" s="26"/>
      <c r="CBP76" s="22"/>
      <c r="CBQ76" s="167"/>
      <c r="CBR76" s="30"/>
      <c r="CBS76" s="25"/>
      <c r="CBT76" s="178"/>
      <c r="CBU76" s="26"/>
      <c r="CBV76" s="26"/>
      <c r="CBW76" s="26"/>
      <c r="CBX76" s="26"/>
      <c r="CBY76" s="26"/>
      <c r="CBZ76" s="26"/>
      <c r="CCA76" s="58"/>
      <c r="CCB76" s="26"/>
      <c r="CCC76" s="26"/>
      <c r="CCD76" s="26"/>
      <c r="CCE76" s="26"/>
      <c r="CCF76" s="22"/>
      <c r="CCG76" s="167"/>
      <c r="CCH76" s="30"/>
      <c r="CCI76" s="25"/>
      <c r="CCJ76" s="178"/>
      <c r="CCK76" s="26"/>
      <c r="CCL76" s="26"/>
      <c r="CCM76" s="26"/>
      <c r="CCN76" s="26"/>
      <c r="CCO76" s="26"/>
      <c r="CCP76" s="26"/>
      <c r="CCQ76" s="58"/>
      <c r="CCR76" s="26"/>
      <c r="CCS76" s="26"/>
      <c r="CCT76" s="26"/>
      <c r="CCU76" s="26"/>
      <c r="CCV76" s="22"/>
      <c r="CCW76" s="167"/>
      <c r="CCX76" s="30"/>
      <c r="CCY76" s="25"/>
      <c r="CCZ76" s="178"/>
      <c r="CDA76" s="26"/>
      <c r="CDB76" s="26"/>
      <c r="CDC76" s="26"/>
      <c r="CDD76" s="26"/>
      <c r="CDE76" s="26"/>
      <c r="CDF76" s="26"/>
      <c r="CDG76" s="58"/>
      <c r="CDH76" s="26"/>
      <c r="CDI76" s="26"/>
      <c r="CDJ76" s="26"/>
      <c r="CDK76" s="26"/>
      <c r="CDL76" s="22"/>
      <c r="CDM76" s="167"/>
      <c r="CDN76" s="30"/>
      <c r="CDO76" s="25"/>
      <c r="CDP76" s="178"/>
      <c r="CDQ76" s="26"/>
      <c r="CDR76" s="26"/>
      <c r="CDS76" s="26"/>
      <c r="CDT76" s="26"/>
      <c r="CDU76" s="26"/>
      <c r="CDV76" s="26"/>
      <c r="CDW76" s="58"/>
      <c r="CDX76" s="26"/>
      <c r="CDY76" s="26"/>
      <c r="CDZ76" s="26"/>
      <c r="CEA76" s="26"/>
      <c r="CEB76" s="22"/>
      <c r="CEC76" s="167"/>
      <c r="CED76" s="30"/>
      <c r="CEE76" s="25"/>
      <c r="CEF76" s="178"/>
      <c r="CEG76" s="26"/>
      <c r="CEH76" s="26"/>
      <c r="CEI76" s="26"/>
      <c r="CEJ76" s="26"/>
      <c r="CEK76" s="26"/>
      <c r="CEL76" s="26"/>
      <c r="CEM76" s="58"/>
      <c r="CEN76" s="26"/>
      <c r="CEO76" s="26"/>
      <c r="CEP76" s="26"/>
      <c r="CEQ76" s="26"/>
      <c r="CER76" s="22"/>
      <c r="CES76" s="167"/>
      <c r="CET76" s="30"/>
      <c r="CEU76" s="25"/>
      <c r="CEV76" s="178"/>
      <c r="CEW76" s="26"/>
      <c r="CEX76" s="26"/>
      <c r="CEY76" s="26"/>
      <c r="CEZ76" s="26"/>
      <c r="CFA76" s="26"/>
      <c r="CFB76" s="26"/>
      <c r="CFC76" s="58"/>
      <c r="CFD76" s="26"/>
      <c r="CFE76" s="26"/>
      <c r="CFF76" s="26"/>
      <c r="CFG76" s="26"/>
      <c r="CFH76" s="22"/>
      <c r="CFI76" s="167"/>
      <c r="CFJ76" s="30"/>
      <c r="CFK76" s="25"/>
      <c r="CFL76" s="178"/>
      <c r="CFM76" s="26"/>
      <c r="CFN76" s="26"/>
      <c r="CFO76" s="26"/>
      <c r="CFP76" s="26"/>
      <c r="CFQ76" s="26"/>
      <c r="CFR76" s="26"/>
      <c r="CFS76" s="58"/>
      <c r="CFT76" s="26"/>
      <c r="CFU76" s="26"/>
      <c r="CFV76" s="26"/>
      <c r="CFW76" s="26"/>
      <c r="CFX76" s="22"/>
      <c r="CFY76" s="167"/>
      <c r="CFZ76" s="30"/>
      <c r="CGA76" s="25"/>
      <c r="CGB76" s="178"/>
      <c r="CGC76" s="26"/>
      <c r="CGD76" s="26"/>
      <c r="CGE76" s="26"/>
      <c r="CGF76" s="26"/>
      <c r="CGG76" s="26"/>
      <c r="CGH76" s="26"/>
      <c r="CGI76" s="58"/>
      <c r="CGJ76" s="26"/>
      <c r="CGK76" s="26"/>
      <c r="CGL76" s="26"/>
      <c r="CGM76" s="26"/>
      <c r="CGN76" s="22"/>
      <c r="CGO76" s="167"/>
      <c r="CGP76" s="30"/>
      <c r="CGQ76" s="25"/>
      <c r="CGR76" s="178"/>
      <c r="CGS76" s="26"/>
      <c r="CGT76" s="26"/>
      <c r="CGU76" s="26"/>
      <c r="CGV76" s="26"/>
      <c r="CGW76" s="26"/>
      <c r="CGX76" s="26"/>
      <c r="CGY76" s="58"/>
      <c r="CGZ76" s="26"/>
      <c r="CHA76" s="26"/>
      <c r="CHB76" s="26"/>
      <c r="CHC76" s="26"/>
      <c r="CHD76" s="22"/>
      <c r="CHE76" s="167"/>
      <c r="CHF76" s="30"/>
      <c r="CHG76" s="25"/>
      <c r="CHH76" s="178"/>
      <c r="CHI76" s="26"/>
      <c r="CHJ76" s="26"/>
      <c r="CHK76" s="26"/>
      <c r="CHL76" s="26"/>
      <c r="CHM76" s="26"/>
      <c r="CHN76" s="26"/>
      <c r="CHO76" s="58"/>
      <c r="CHP76" s="26"/>
      <c r="CHQ76" s="26"/>
      <c r="CHR76" s="26"/>
      <c r="CHS76" s="26"/>
      <c r="CHT76" s="22"/>
      <c r="CHU76" s="167"/>
      <c r="CHV76" s="30"/>
      <c r="CHW76" s="25"/>
      <c r="CHX76" s="178"/>
      <c r="CHY76" s="26"/>
      <c r="CHZ76" s="26"/>
      <c r="CIA76" s="26"/>
      <c r="CIB76" s="26"/>
      <c r="CIC76" s="26"/>
      <c r="CID76" s="26"/>
      <c r="CIE76" s="58"/>
      <c r="CIF76" s="26"/>
      <c r="CIG76" s="26"/>
      <c r="CIH76" s="26"/>
      <c r="CII76" s="26"/>
      <c r="CIJ76" s="22"/>
      <c r="CIK76" s="167"/>
      <c r="CIL76" s="30"/>
      <c r="CIM76" s="25"/>
      <c r="CIN76" s="178"/>
      <c r="CIO76" s="26"/>
      <c r="CIP76" s="26"/>
      <c r="CIQ76" s="26"/>
      <c r="CIR76" s="26"/>
      <c r="CIS76" s="26"/>
      <c r="CIT76" s="26"/>
      <c r="CIU76" s="58"/>
      <c r="CIV76" s="26"/>
      <c r="CIW76" s="26"/>
      <c r="CIX76" s="26"/>
      <c r="CIY76" s="26"/>
      <c r="CIZ76" s="22"/>
      <c r="CJA76" s="167"/>
      <c r="CJB76" s="30"/>
      <c r="CJC76" s="25"/>
      <c r="CJD76" s="178"/>
      <c r="CJE76" s="26"/>
      <c r="CJF76" s="26"/>
      <c r="CJG76" s="26"/>
      <c r="CJH76" s="26"/>
      <c r="CJI76" s="26"/>
      <c r="CJJ76" s="26"/>
      <c r="CJK76" s="58"/>
      <c r="CJL76" s="26"/>
      <c r="CJM76" s="26"/>
      <c r="CJN76" s="26"/>
      <c r="CJO76" s="26"/>
      <c r="CJP76" s="22"/>
      <c r="CJQ76" s="167"/>
      <c r="CJR76" s="30"/>
      <c r="CJS76" s="25"/>
      <c r="CJT76" s="178"/>
      <c r="CJU76" s="26"/>
      <c r="CJV76" s="26"/>
      <c r="CJW76" s="26"/>
      <c r="CJX76" s="26"/>
      <c r="CJY76" s="26"/>
      <c r="CJZ76" s="26"/>
      <c r="CKA76" s="58"/>
      <c r="CKB76" s="26"/>
      <c r="CKC76" s="26"/>
      <c r="CKD76" s="26"/>
      <c r="CKE76" s="26"/>
      <c r="CKF76" s="22"/>
      <c r="CKG76" s="167"/>
      <c r="CKH76" s="30"/>
      <c r="CKI76" s="25"/>
      <c r="CKJ76" s="178"/>
      <c r="CKK76" s="26"/>
      <c r="CKL76" s="26"/>
      <c r="CKM76" s="26"/>
      <c r="CKN76" s="26"/>
      <c r="CKO76" s="26"/>
      <c r="CKP76" s="26"/>
      <c r="CKQ76" s="58"/>
      <c r="CKR76" s="26"/>
      <c r="CKS76" s="26"/>
      <c r="CKT76" s="26"/>
      <c r="CKU76" s="26"/>
      <c r="CKV76" s="22"/>
      <c r="CKW76" s="167"/>
      <c r="CKX76" s="30"/>
      <c r="CKY76" s="25"/>
      <c r="CKZ76" s="178"/>
      <c r="CLA76" s="26"/>
      <c r="CLB76" s="26"/>
      <c r="CLC76" s="26"/>
      <c r="CLD76" s="26"/>
      <c r="CLE76" s="26"/>
      <c r="CLF76" s="26"/>
      <c r="CLG76" s="58"/>
      <c r="CLH76" s="26"/>
      <c r="CLI76" s="26"/>
      <c r="CLJ76" s="26"/>
      <c r="CLK76" s="26"/>
      <c r="CLL76" s="22"/>
      <c r="CLM76" s="167"/>
      <c r="CLN76" s="30"/>
      <c r="CLO76" s="25"/>
      <c r="CLP76" s="178"/>
      <c r="CLQ76" s="26"/>
      <c r="CLR76" s="26"/>
      <c r="CLS76" s="26"/>
      <c r="CLT76" s="26"/>
      <c r="CLU76" s="26"/>
      <c r="CLV76" s="26"/>
      <c r="CLW76" s="58"/>
      <c r="CLX76" s="26"/>
      <c r="CLY76" s="26"/>
      <c r="CLZ76" s="26"/>
      <c r="CMA76" s="26"/>
      <c r="CMB76" s="22"/>
      <c r="CMC76" s="167"/>
      <c r="CMD76" s="30"/>
      <c r="CME76" s="25"/>
      <c r="CMF76" s="178"/>
      <c r="CMG76" s="26"/>
      <c r="CMH76" s="26"/>
      <c r="CMI76" s="26"/>
      <c r="CMJ76" s="26"/>
      <c r="CMK76" s="26"/>
      <c r="CML76" s="26"/>
      <c r="CMM76" s="58"/>
      <c r="CMN76" s="26"/>
      <c r="CMO76" s="26"/>
      <c r="CMP76" s="26"/>
      <c r="CMQ76" s="26"/>
      <c r="CMR76" s="22"/>
      <c r="CMS76" s="167"/>
      <c r="CMT76" s="30"/>
      <c r="CMU76" s="25"/>
      <c r="CMV76" s="178"/>
      <c r="CMW76" s="26"/>
      <c r="CMX76" s="26"/>
      <c r="CMY76" s="26"/>
      <c r="CMZ76" s="26"/>
      <c r="CNA76" s="26"/>
      <c r="CNB76" s="26"/>
      <c r="CNC76" s="58"/>
      <c r="CND76" s="26"/>
      <c r="CNE76" s="26"/>
      <c r="CNF76" s="26"/>
      <c r="CNG76" s="26"/>
      <c r="CNH76" s="22"/>
      <c r="CNI76" s="167"/>
      <c r="CNJ76" s="30"/>
      <c r="CNK76" s="25"/>
      <c r="CNL76" s="178"/>
      <c r="CNM76" s="26"/>
      <c r="CNN76" s="26"/>
      <c r="CNO76" s="26"/>
      <c r="CNP76" s="26"/>
      <c r="CNQ76" s="26"/>
      <c r="CNR76" s="26"/>
      <c r="CNS76" s="58"/>
      <c r="CNT76" s="26"/>
      <c r="CNU76" s="26"/>
      <c r="CNV76" s="26"/>
      <c r="CNW76" s="26"/>
      <c r="CNX76" s="22"/>
      <c r="CNY76" s="167"/>
      <c r="CNZ76" s="30"/>
      <c r="COA76" s="25"/>
      <c r="COB76" s="178"/>
      <c r="COC76" s="26"/>
      <c r="COD76" s="26"/>
      <c r="COE76" s="26"/>
      <c r="COF76" s="26"/>
      <c r="COG76" s="26"/>
      <c r="COH76" s="26"/>
      <c r="COI76" s="58"/>
      <c r="COJ76" s="26"/>
      <c r="COK76" s="26"/>
      <c r="COL76" s="26"/>
      <c r="COM76" s="26"/>
      <c r="CON76" s="22"/>
      <c r="COO76" s="167"/>
      <c r="COP76" s="30"/>
      <c r="COQ76" s="25"/>
      <c r="COR76" s="178"/>
      <c r="COS76" s="26"/>
      <c r="COT76" s="26"/>
      <c r="COU76" s="26"/>
      <c r="COV76" s="26"/>
      <c r="COW76" s="26"/>
      <c r="COX76" s="26"/>
      <c r="COY76" s="58"/>
      <c r="COZ76" s="26"/>
      <c r="CPA76" s="26"/>
      <c r="CPB76" s="26"/>
      <c r="CPC76" s="26"/>
      <c r="CPD76" s="22"/>
      <c r="CPE76" s="167"/>
      <c r="CPF76" s="30"/>
      <c r="CPG76" s="25"/>
      <c r="CPH76" s="178"/>
      <c r="CPI76" s="26"/>
      <c r="CPJ76" s="26"/>
      <c r="CPK76" s="26"/>
      <c r="CPL76" s="26"/>
      <c r="CPM76" s="26"/>
      <c r="CPN76" s="26"/>
      <c r="CPO76" s="58"/>
      <c r="CPP76" s="26"/>
      <c r="CPQ76" s="26"/>
      <c r="CPR76" s="26"/>
      <c r="CPS76" s="26"/>
      <c r="CPT76" s="22"/>
      <c r="CPU76" s="167"/>
      <c r="CPV76" s="30"/>
      <c r="CPW76" s="25"/>
      <c r="CPX76" s="178"/>
      <c r="CPY76" s="26"/>
      <c r="CPZ76" s="26"/>
      <c r="CQA76" s="26"/>
      <c r="CQB76" s="26"/>
      <c r="CQC76" s="26"/>
      <c r="CQD76" s="26"/>
      <c r="CQE76" s="58"/>
      <c r="CQF76" s="26"/>
      <c r="CQG76" s="26"/>
      <c r="CQH76" s="26"/>
      <c r="CQI76" s="26"/>
      <c r="CQJ76" s="22"/>
      <c r="CQK76" s="167"/>
      <c r="CQL76" s="30"/>
      <c r="CQM76" s="25"/>
      <c r="CQN76" s="178"/>
      <c r="CQO76" s="26"/>
      <c r="CQP76" s="26"/>
      <c r="CQQ76" s="26"/>
      <c r="CQR76" s="26"/>
      <c r="CQS76" s="26"/>
      <c r="CQT76" s="26"/>
      <c r="CQU76" s="58"/>
      <c r="CQV76" s="26"/>
      <c r="CQW76" s="26"/>
      <c r="CQX76" s="26"/>
      <c r="CQY76" s="26"/>
      <c r="CQZ76" s="22"/>
      <c r="CRA76" s="167"/>
      <c r="CRB76" s="30"/>
      <c r="CRC76" s="25"/>
      <c r="CRD76" s="178"/>
      <c r="CRE76" s="26"/>
      <c r="CRF76" s="26"/>
      <c r="CRG76" s="26"/>
      <c r="CRH76" s="26"/>
      <c r="CRI76" s="26"/>
      <c r="CRJ76" s="26"/>
      <c r="CRK76" s="58"/>
      <c r="CRL76" s="26"/>
      <c r="CRM76" s="26"/>
      <c r="CRN76" s="26"/>
      <c r="CRO76" s="26"/>
      <c r="CRP76" s="22"/>
      <c r="CRQ76" s="167"/>
      <c r="CRR76" s="30"/>
      <c r="CRS76" s="25"/>
      <c r="CRT76" s="178"/>
      <c r="CRU76" s="26"/>
      <c r="CRV76" s="26"/>
      <c r="CRW76" s="26"/>
      <c r="CRX76" s="26"/>
      <c r="CRY76" s="26"/>
      <c r="CRZ76" s="26"/>
      <c r="CSA76" s="58"/>
      <c r="CSB76" s="26"/>
      <c r="CSC76" s="26"/>
      <c r="CSD76" s="26"/>
      <c r="CSE76" s="26"/>
      <c r="CSF76" s="22"/>
      <c r="CSG76" s="167"/>
      <c r="CSH76" s="30"/>
      <c r="CSI76" s="25"/>
      <c r="CSJ76" s="178"/>
      <c r="CSK76" s="26"/>
      <c r="CSL76" s="26"/>
      <c r="CSM76" s="26"/>
      <c r="CSN76" s="26"/>
      <c r="CSO76" s="26"/>
      <c r="CSP76" s="26"/>
      <c r="CSQ76" s="58"/>
      <c r="CSR76" s="26"/>
      <c r="CSS76" s="26"/>
      <c r="CST76" s="26"/>
      <c r="CSU76" s="26"/>
      <c r="CSV76" s="22"/>
      <c r="CSW76" s="167"/>
      <c r="CSX76" s="30"/>
      <c r="CSY76" s="25"/>
      <c r="CSZ76" s="178"/>
      <c r="CTA76" s="26"/>
      <c r="CTB76" s="26"/>
      <c r="CTC76" s="26"/>
      <c r="CTD76" s="26"/>
      <c r="CTE76" s="26"/>
      <c r="CTF76" s="26"/>
      <c r="CTG76" s="58"/>
      <c r="CTH76" s="26"/>
      <c r="CTI76" s="26"/>
      <c r="CTJ76" s="26"/>
      <c r="CTK76" s="26"/>
      <c r="CTL76" s="22"/>
      <c r="CTM76" s="167"/>
      <c r="CTN76" s="30"/>
      <c r="CTO76" s="25"/>
      <c r="CTP76" s="178"/>
      <c r="CTQ76" s="26"/>
      <c r="CTR76" s="26"/>
      <c r="CTS76" s="26"/>
      <c r="CTT76" s="26"/>
      <c r="CTU76" s="26"/>
      <c r="CTV76" s="26"/>
      <c r="CTW76" s="58"/>
      <c r="CTX76" s="26"/>
      <c r="CTY76" s="26"/>
      <c r="CTZ76" s="26"/>
      <c r="CUA76" s="26"/>
      <c r="CUB76" s="22"/>
      <c r="CUC76" s="167"/>
      <c r="CUD76" s="30"/>
      <c r="CUE76" s="25"/>
      <c r="CUF76" s="178"/>
      <c r="CUG76" s="26"/>
      <c r="CUH76" s="26"/>
      <c r="CUI76" s="26"/>
      <c r="CUJ76" s="26"/>
      <c r="CUK76" s="26"/>
      <c r="CUL76" s="26"/>
      <c r="CUM76" s="58"/>
      <c r="CUN76" s="26"/>
      <c r="CUO76" s="26"/>
      <c r="CUP76" s="26"/>
      <c r="CUQ76" s="26"/>
      <c r="CUR76" s="22"/>
      <c r="CUS76" s="167"/>
      <c r="CUT76" s="30"/>
      <c r="CUU76" s="25"/>
      <c r="CUV76" s="178"/>
      <c r="CUW76" s="26"/>
      <c r="CUX76" s="26"/>
      <c r="CUY76" s="26"/>
      <c r="CUZ76" s="26"/>
      <c r="CVA76" s="26"/>
      <c r="CVB76" s="26"/>
      <c r="CVC76" s="58"/>
      <c r="CVD76" s="26"/>
      <c r="CVE76" s="26"/>
      <c r="CVF76" s="26"/>
      <c r="CVG76" s="26"/>
      <c r="CVH76" s="22"/>
      <c r="CVI76" s="167"/>
      <c r="CVJ76" s="30"/>
      <c r="CVK76" s="25"/>
      <c r="CVL76" s="178"/>
      <c r="CVM76" s="26"/>
      <c r="CVN76" s="26"/>
      <c r="CVO76" s="26"/>
      <c r="CVP76" s="26"/>
      <c r="CVQ76" s="26"/>
      <c r="CVR76" s="26"/>
      <c r="CVS76" s="58"/>
      <c r="CVT76" s="26"/>
      <c r="CVU76" s="26"/>
      <c r="CVV76" s="26"/>
      <c r="CVW76" s="26"/>
      <c r="CVX76" s="22"/>
      <c r="CVY76" s="167"/>
      <c r="CVZ76" s="30"/>
      <c r="CWA76" s="25"/>
      <c r="CWB76" s="178"/>
      <c r="CWC76" s="26"/>
      <c r="CWD76" s="26"/>
      <c r="CWE76" s="26"/>
      <c r="CWF76" s="26"/>
      <c r="CWG76" s="26"/>
      <c r="CWH76" s="26"/>
      <c r="CWI76" s="58"/>
      <c r="CWJ76" s="26"/>
      <c r="CWK76" s="26"/>
      <c r="CWL76" s="26"/>
      <c r="CWM76" s="26"/>
      <c r="CWN76" s="22"/>
      <c r="CWO76" s="167"/>
      <c r="CWP76" s="30"/>
      <c r="CWQ76" s="25"/>
      <c r="CWR76" s="178"/>
      <c r="CWS76" s="26"/>
      <c r="CWT76" s="26"/>
      <c r="CWU76" s="26"/>
      <c r="CWV76" s="26"/>
      <c r="CWW76" s="26"/>
      <c r="CWX76" s="26"/>
      <c r="CWY76" s="58"/>
      <c r="CWZ76" s="26"/>
      <c r="CXA76" s="26"/>
      <c r="CXB76" s="26"/>
      <c r="CXC76" s="26"/>
      <c r="CXD76" s="22"/>
      <c r="CXE76" s="167"/>
      <c r="CXF76" s="30"/>
      <c r="CXG76" s="25"/>
      <c r="CXH76" s="178"/>
      <c r="CXI76" s="26"/>
      <c r="CXJ76" s="26"/>
      <c r="CXK76" s="26"/>
      <c r="CXL76" s="26"/>
      <c r="CXM76" s="26"/>
      <c r="CXN76" s="26"/>
      <c r="CXO76" s="58"/>
      <c r="CXP76" s="26"/>
      <c r="CXQ76" s="26"/>
      <c r="CXR76" s="26"/>
      <c r="CXS76" s="26"/>
      <c r="CXT76" s="22"/>
      <c r="CXU76" s="167"/>
      <c r="CXV76" s="30"/>
      <c r="CXW76" s="25"/>
      <c r="CXX76" s="178"/>
      <c r="CXY76" s="26"/>
      <c r="CXZ76" s="26"/>
      <c r="CYA76" s="26"/>
      <c r="CYB76" s="26"/>
      <c r="CYC76" s="26"/>
      <c r="CYD76" s="26"/>
      <c r="CYE76" s="58"/>
      <c r="CYF76" s="26"/>
      <c r="CYG76" s="26"/>
      <c r="CYH76" s="26"/>
      <c r="CYI76" s="26"/>
      <c r="CYJ76" s="22"/>
      <c r="CYK76" s="167"/>
      <c r="CYL76" s="30"/>
      <c r="CYM76" s="25"/>
      <c r="CYN76" s="178"/>
      <c r="CYO76" s="26"/>
      <c r="CYP76" s="26"/>
      <c r="CYQ76" s="26"/>
      <c r="CYR76" s="26"/>
      <c r="CYS76" s="26"/>
      <c r="CYT76" s="26"/>
      <c r="CYU76" s="58"/>
      <c r="CYV76" s="26"/>
      <c r="CYW76" s="26"/>
      <c r="CYX76" s="26"/>
      <c r="CYY76" s="26"/>
      <c r="CYZ76" s="22"/>
      <c r="CZA76" s="167"/>
      <c r="CZB76" s="30"/>
      <c r="CZC76" s="25"/>
      <c r="CZD76" s="178"/>
      <c r="CZE76" s="26"/>
      <c r="CZF76" s="26"/>
      <c r="CZG76" s="26"/>
      <c r="CZH76" s="26"/>
      <c r="CZI76" s="26"/>
      <c r="CZJ76" s="26"/>
      <c r="CZK76" s="58"/>
      <c r="CZL76" s="26"/>
      <c r="CZM76" s="26"/>
      <c r="CZN76" s="26"/>
      <c r="CZO76" s="26"/>
      <c r="CZP76" s="22"/>
      <c r="CZQ76" s="167"/>
      <c r="CZR76" s="30"/>
      <c r="CZS76" s="25"/>
      <c r="CZT76" s="178"/>
      <c r="CZU76" s="26"/>
      <c r="CZV76" s="26"/>
      <c r="CZW76" s="26"/>
      <c r="CZX76" s="26"/>
      <c r="CZY76" s="26"/>
      <c r="CZZ76" s="26"/>
      <c r="DAA76" s="58"/>
      <c r="DAB76" s="26"/>
      <c r="DAC76" s="26"/>
      <c r="DAD76" s="26"/>
      <c r="DAE76" s="26"/>
      <c r="DAF76" s="22"/>
      <c r="DAG76" s="167"/>
      <c r="DAH76" s="30"/>
      <c r="DAI76" s="25"/>
      <c r="DAJ76" s="178"/>
      <c r="DAK76" s="26"/>
      <c r="DAL76" s="26"/>
      <c r="DAM76" s="26"/>
      <c r="DAN76" s="26"/>
      <c r="DAO76" s="26"/>
      <c r="DAP76" s="26"/>
      <c r="DAQ76" s="58"/>
      <c r="DAR76" s="26"/>
      <c r="DAS76" s="26"/>
      <c r="DAT76" s="26"/>
      <c r="DAU76" s="26"/>
      <c r="DAV76" s="22"/>
      <c r="DAW76" s="167"/>
      <c r="DAX76" s="30"/>
      <c r="DAY76" s="25"/>
      <c r="DAZ76" s="178"/>
      <c r="DBA76" s="26"/>
      <c r="DBB76" s="26"/>
      <c r="DBC76" s="26"/>
      <c r="DBD76" s="26"/>
      <c r="DBE76" s="26"/>
      <c r="DBF76" s="26"/>
      <c r="DBG76" s="58"/>
      <c r="DBH76" s="26"/>
      <c r="DBI76" s="26"/>
      <c r="DBJ76" s="26"/>
      <c r="DBK76" s="26"/>
      <c r="DBL76" s="22"/>
      <c r="DBM76" s="167"/>
      <c r="DBN76" s="30"/>
      <c r="DBO76" s="25"/>
      <c r="DBP76" s="178"/>
      <c r="DBQ76" s="26"/>
      <c r="DBR76" s="26"/>
      <c r="DBS76" s="26"/>
      <c r="DBT76" s="26"/>
      <c r="DBU76" s="26"/>
      <c r="DBV76" s="26"/>
      <c r="DBW76" s="58"/>
      <c r="DBX76" s="26"/>
      <c r="DBY76" s="26"/>
      <c r="DBZ76" s="26"/>
      <c r="DCA76" s="26"/>
      <c r="DCB76" s="22"/>
      <c r="DCC76" s="167"/>
      <c r="DCD76" s="30"/>
      <c r="DCE76" s="25"/>
      <c r="DCF76" s="178"/>
      <c r="DCG76" s="26"/>
      <c r="DCH76" s="26"/>
      <c r="DCI76" s="26"/>
      <c r="DCJ76" s="26"/>
      <c r="DCK76" s="26"/>
      <c r="DCL76" s="26"/>
      <c r="DCM76" s="58"/>
      <c r="DCN76" s="26"/>
      <c r="DCO76" s="26"/>
      <c r="DCP76" s="26"/>
      <c r="DCQ76" s="26"/>
      <c r="DCR76" s="22"/>
      <c r="DCS76" s="167"/>
      <c r="DCT76" s="30"/>
      <c r="DCU76" s="25"/>
      <c r="DCV76" s="178"/>
      <c r="DCW76" s="26"/>
      <c r="DCX76" s="26"/>
      <c r="DCY76" s="26"/>
      <c r="DCZ76" s="26"/>
      <c r="DDA76" s="26"/>
      <c r="DDB76" s="26"/>
      <c r="DDC76" s="58"/>
      <c r="DDD76" s="26"/>
      <c r="DDE76" s="26"/>
      <c r="DDF76" s="26"/>
      <c r="DDG76" s="26"/>
      <c r="DDH76" s="22"/>
      <c r="DDI76" s="167"/>
      <c r="DDJ76" s="30"/>
      <c r="DDK76" s="25"/>
      <c r="DDL76" s="178"/>
      <c r="DDM76" s="26"/>
      <c r="DDN76" s="26"/>
      <c r="DDO76" s="26"/>
      <c r="DDP76" s="26"/>
      <c r="DDQ76" s="26"/>
      <c r="DDR76" s="26"/>
      <c r="DDS76" s="58"/>
      <c r="DDT76" s="26"/>
      <c r="DDU76" s="26"/>
      <c r="DDV76" s="26"/>
      <c r="DDW76" s="26"/>
      <c r="DDX76" s="22"/>
      <c r="DDY76" s="167"/>
      <c r="DDZ76" s="30"/>
      <c r="DEA76" s="25"/>
      <c r="DEB76" s="178"/>
      <c r="DEC76" s="26"/>
      <c r="DED76" s="26"/>
      <c r="DEE76" s="26"/>
      <c r="DEF76" s="26"/>
      <c r="DEG76" s="26"/>
      <c r="DEH76" s="26"/>
      <c r="DEI76" s="58"/>
      <c r="DEJ76" s="26"/>
      <c r="DEK76" s="26"/>
      <c r="DEL76" s="26"/>
      <c r="DEM76" s="26"/>
      <c r="DEN76" s="22"/>
      <c r="DEO76" s="167"/>
      <c r="DEP76" s="30"/>
      <c r="DEQ76" s="25"/>
      <c r="DER76" s="178"/>
      <c r="DES76" s="26"/>
      <c r="DET76" s="26"/>
      <c r="DEU76" s="26"/>
      <c r="DEV76" s="26"/>
      <c r="DEW76" s="26"/>
      <c r="DEX76" s="26"/>
      <c r="DEY76" s="58"/>
      <c r="DEZ76" s="26"/>
      <c r="DFA76" s="26"/>
      <c r="DFB76" s="26"/>
      <c r="DFC76" s="26"/>
      <c r="DFD76" s="22"/>
      <c r="DFE76" s="167"/>
      <c r="DFF76" s="30"/>
      <c r="DFG76" s="25"/>
      <c r="DFH76" s="178"/>
      <c r="DFI76" s="26"/>
      <c r="DFJ76" s="26"/>
      <c r="DFK76" s="26"/>
      <c r="DFL76" s="26"/>
      <c r="DFM76" s="26"/>
      <c r="DFN76" s="26"/>
      <c r="DFO76" s="58"/>
      <c r="DFP76" s="26"/>
      <c r="DFQ76" s="26"/>
      <c r="DFR76" s="26"/>
      <c r="DFS76" s="26"/>
      <c r="DFT76" s="22"/>
      <c r="DFU76" s="167"/>
      <c r="DFV76" s="30"/>
      <c r="DFW76" s="25"/>
      <c r="DFX76" s="178"/>
      <c r="DFY76" s="26"/>
      <c r="DFZ76" s="26"/>
      <c r="DGA76" s="26"/>
      <c r="DGB76" s="26"/>
      <c r="DGC76" s="26"/>
      <c r="DGD76" s="26"/>
      <c r="DGE76" s="58"/>
      <c r="DGF76" s="26"/>
      <c r="DGG76" s="26"/>
      <c r="DGH76" s="26"/>
      <c r="DGI76" s="26"/>
      <c r="DGJ76" s="22"/>
      <c r="DGK76" s="167"/>
      <c r="DGL76" s="30"/>
      <c r="DGM76" s="25"/>
      <c r="DGN76" s="178"/>
      <c r="DGO76" s="26"/>
      <c r="DGP76" s="26"/>
      <c r="DGQ76" s="26"/>
      <c r="DGR76" s="26"/>
      <c r="DGS76" s="26"/>
      <c r="DGT76" s="26"/>
      <c r="DGU76" s="58"/>
      <c r="DGV76" s="26"/>
      <c r="DGW76" s="26"/>
      <c r="DGX76" s="26"/>
      <c r="DGY76" s="26"/>
      <c r="DGZ76" s="22"/>
      <c r="DHA76" s="167"/>
      <c r="DHB76" s="30"/>
      <c r="DHC76" s="25"/>
      <c r="DHD76" s="178"/>
      <c r="DHE76" s="26"/>
      <c r="DHF76" s="26"/>
      <c r="DHG76" s="26"/>
      <c r="DHH76" s="26"/>
      <c r="DHI76" s="26"/>
      <c r="DHJ76" s="26"/>
      <c r="DHK76" s="58"/>
      <c r="DHL76" s="26"/>
      <c r="DHM76" s="26"/>
      <c r="DHN76" s="26"/>
      <c r="DHO76" s="26"/>
      <c r="DHP76" s="22"/>
      <c r="DHQ76" s="167"/>
      <c r="DHR76" s="30"/>
      <c r="DHS76" s="25"/>
      <c r="DHT76" s="178"/>
      <c r="DHU76" s="26"/>
      <c r="DHV76" s="26"/>
      <c r="DHW76" s="26"/>
      <c r="DHX76" s="26"/>
      <c r="DHY76" s="26"/>
      <c r="DHZ76" s="26"/>
      <c r="DIA76" s="58"/>
      <c r="DIB76" s="26"/>
      <c r="DIC76" s="26"/>
      <c r="DID76" s="26"/>
      <c r="DIE76" s="26"/>
      <c r="DIF76" s="22"/>
      <c r="DIG76" s="167"/>
      <c r="DIH76" s="30"/>
      <c r="DII76" s="25"/>
      <c r="DIJ76" s="178"/>
      <c r="DIK76" s="26"/>
      <c r="DIL76" s="26"/>
      <c r="DIM76" s="26"/>
      <c r="DIN76" s="26"/>
      <c r="DIO76" s="26"/>
      <c r="DIP76" s="26"/>
      <c r="DIQ76" s="58"/>
      <c r="DIR76" s="26"/>
      <c r="DIS76" s="26"/>
      <c r="DIT76" s="26"/>
      <c r="DIU76" s="26"/>
      <c r="DIV76" s="22"/>
      <c r="DIW76" s="167"/>
      <c r="DIX76" s="30"/>
      <c r="DIY76" s="25"/>
      <c r="DIZ76" s="178"/>
      <c r="DJA76" s="26"/>
      <c r="DJB76" s="26"/>
      <c r="DJC76" s="26"/>
      <c r="DJD76" s="26"/>
      <c r="DJE76" s="26"/>
      <c r="DJF76" s="26"/>
      <c r="DJG76" s="58"/>
      <c r="DJH76" s="26"/>
      <c r="DJI76" s="26"/>
      <c r="DJJ76" s="26"/>
      <c r="DJK76" s="26"/>
      <c r="DJL76" s="22"/>
      <c r="DJM76" s="167"/>
      <c r="DJN76" s="30"/>
      <c r="DJO76" s="25"/>
      <c r="DJP76" s="178"/>
      <c r="DJQ76" s="26"/>
      <c r="DJR76" s="26"/>
      <c r="DJS76" s="26"/>
      <c r="DJT76" s="26"/>
      <c r="DJU76" s="26"/>
      <c r="DJV76" s="26"/>
      <c r="DJW76" s="58"/>
      <c r="DJX76" s="26"/>
      <c r="DJY76" s="26"/>
      <c r="DJZ76" s="26"/>
      <c r="DKA76" s="26"/>
      <c r="DKB76" s="22"/>
      <c r="DKC76" s="167"/>
      <c r="DKD76" s="30"/>
      <c r="DKE76" s="25"/>
      <c r="DKF76" s="178"/>
      <c r="DKG76" s="26"/>
      <c r="DKH76" s="26"/>
      <c r="DKI76" s="26"/>
      <c r="DKJ76" s="26"/>
      <c r="DKK76" s="26"/>
      <c r="DKL76" s="26"/>
      <c r="DKM76" s="58"/>
      <c r="DKN76" s="26"/>
      <c r="DKO76" s="26"/>
      <c r="DKP76" s="26"/>
      <c r="DKQ76" s="26"/>
      <c r="DKR76" s="22"/>
      <c r="DKS76" s="167"/>
      <c r="DKT76" s="30"/>
      <c r="DKU76" s="25"/>
      <c r="DKV76" s="178"/>
      <c r="DKW76" s="26"/>
      <c r="DKX76" s="26"/>
      <c r="DKY76" s="26"/>
      <c r="DKZ76" s="26"/>
      <c r="DLA76" s="26"/>
      <c r="DLB76" s="26"/>
      <c r="DLC76" s="58"/>
      <c r="DLD76" s="26"/>
      <c r="DLE76" s="26"/>
      <c r="DLF76" s="26"/>
      <c r="DLG76" s="26"/>
      <c r="DLH76" s="22"/>
      <c r="DLI76" s="167"/>
      <c r="DLJ76" s="30"/>
      <c r="DLK76" s="25"/>
      <c r="DLL76" s="178"/>
      <c r="DLM76" s="26"/>
      <c r="DLN76" s="26"/>
      <c r="DLO76" s="26"/>
      <c r="DLP76" s="26"/>
      <c r="DLQ76" s="26"/>
      <c r="DLR76" s="26"/>
      <c r="DLS76" s="58"/>
      <c r="DLT76" s="26"/>
      <c r="DLU76" s="26"/>
      <c r="DLV76" s="26"/>
      <c r="DLW76" s="26"/>
      <c r="DLX76" s="22"/>
      <c r="DLY76" s="167"/>
      <c r="DLZ76" s="30"/>
      <c r="DMA76" s="25"/>
      <c r="DMB76" s="178"/>
      <c r="DMC76" s="26"/>
      <c r="DMD76" s="26"/>
      <c r="DME76" s="26"/>
      <c r="DMF76" s="26"/>
      <c r="DMG76" s="26"/>
      <c r="DMH76" s="26"/>
      <c r="DMI76" s="58"/>
      <c r="DMJ76" s="26"/>
      <c r="DMK76" s="26"/>
      <c r="DML76" s="26"/>
      <c r="DMM76" s="26"/>
      <c r="DMN76" s="22"/>
      <c r="DMO76" s="167"/>
      <c r="DMP76" s="30"/>
      <c r="DMQ76" s="25"/>
      <c r="DMR76" s="178"/>
      <c r="DMS76" s="26"/>
      <c r="DMT76" s="26"/>
      <c r="DMU76" s="26"/>
      <c r="DMV76" s="26"/>
      <c r="DMW76" s="26"/>
      <c r="DMX76" s="26"/>
      <c r="DMY76" s="58"/>
      <c r="DMZ76" s="26"/>
      <c r="DNA76" s="26"/>
      <c r="DNB76" s="26"/>
      <c r="DNC76" s="26"/>
      <c r="DND76" s="22"/>
      <c r="DNE76" s="167"/>
      <c r="DNF76" s="30"/>
      <c r="DNG76" s="25"/>
      <c r="DNH76" s="178"/>
      <c r="DNI76" s="26"/>
      <c r="DNJ76" s="26"/>
      <c r="DNK76" s="26"/>
      <c r="DNL76" s="26"/>
      <c r="DNM76" s="26"/>
      <c r="DNN76" s="26"/>
      <c r="DNO76" s="58"/>
      <c r="DNP76" s="26"/>
      <c r="DNQ76" s="26"/>
      <c r="DNR76" s="26"/>
      <c r="DNS76" s="26"/>
      <c r="DNT76" s="22"/>
      <c r="DNU76" s="167"/>
      <c r="DNV76" s="30"/>
      <c r="DNW76" s="25"/>
      <c r="DNX76" s="178"/>
      <c r="DNY76" s="26"/>
      <c r="DNZ76" s="26"/>
      <c r="DOA76" s="26"/>
      <c r="DOB76" s="26"/>
      <c r="DOC76" s="26"/>
      <c r="DOD76" s="26"/>
      <c r="DOE76" s="58"/>
      <c r="DOF76" s="26"/>
      <c r="DOG76" s="26"/>
      <c r="DOH76" s="26"/>
      <c r="DOI76" s="26"/>
      <c r="DOJ76" s="22"/>
      <c r="DOK76" s="167"/>
      <c r="DOL76" s="30"/>
      <c r="DOM76" s="25"/>
      <c r="DON76" s="178"/>
      <c r="DOO76" s="26"/>
      <c r="DOP76" s="26"/>
      <c r="DOQ76" s="26"/>
      <c r="DOR76" s="26"/>
      <c r="DOS76" s="26"/>
      <c r="DOT76" s="26"/>
      <c r="DOU76" s="58"/>
      <c r="DOV76" s="26"/>
      <c r="DOW76" s="26"/>
      <c r="DOX76" s="26"/>
      <c r="DOY76" s="26"/>
      <c r="DOZ76" s="22"/>
      <c r="DPA76" s="167"/>
      <c r="DPB76" s="30"/>
      <c r="DPC76" s="25"/>
      <c r="DPD76" s="178"/>
      <c r="DPE76" s="26"/>
      <c r="DPF76" s="26"/>
      <c r="DPG76" s="26"/>
      <c r="DPH76" s="26"/>
      <c r="DPI76" s="26"/>
      <c r="DPJ76" s="26"/>
      <c r="DPK76" s="58"/>
      <c r="DPL76" s="26"/>
      <c r="DPM76" s="26"/>
      <c r="DPN76" s="26"/>
      <c r="DPO76" s="26"/>
      <c r="DPP76" s="22"/>
      <c r="DPQ76" s="167"/>
      <c r="DPR76" s="30"/>
      <c r="DPS76" s="25"/>
      <c r="DPT76" s="178"/>
      <c r="DPU76" s="26"/>
      <c r="DPV76" s="26"/>
      <c r="DPW76" s="26"/>
      <c r="DPX76" s="26"/>
      <c r="DPY76" s="26"/>
      <c r="DPZ76" s="26"/>
      <c r="DQA76" s="58"/>
      <c r="DQB76" s="26"/>
      <c r="DQC76" s="26"/>
      <c r="DQD76" s="26"/>
      <c r="DQE76" s="26"/>
      <c r="DQF76" s="22"/>
      <c r="DQG76" s="167"/>
      <c r="DQH76" s="30"/>
      <c r="DQI76" s="25"/>
      <c r="DQJ76" s="178"/>
      <c r="DQK76" s="26"/>
      <c r="DQL76" s="26"/>
      <c r="DQM76" s="26"/>
      <c r="DQN76" s="26"/>
      <c r="DQO76" s="26"/>
      <c r="DQP76" s="26"/>
      <c r="DQQ76" s="58"/>
      <c r="DQR76" s="26"/>
      <c r="DQS76" s="26"/>
      <c r="DQT76" s="26"/>
      <c r="DQU76" s="26"/>
      <c r="DQV76" s="22"/>
      <c r="DQW76" s="167"/>
      <c r="DQX76" s="30"/>
      <c r="DQY76" s="25"/>
      <c r="DQZ76" s="178"/>
      <c r="DRA76" s="26"/>
      <c r="DRB76" s="26"/>
      <c r="DRC76" s="26"/>
      <c r="DRD76" s="26"/>
      <c r="DRE76" s="26"/>
      <c r="DRF76" s="26"/>
      <c r="DRG76" s="58"/>
      <c r="DRH76" s="26"/>
      <c r="DRI76" s="26"/>
      <c r="DRJ76" s="26"/>
      <c r="DRK76" s="26"/>
      <c r="DRL76" s="22"/>
      <c r="DRM76" s="167"/>
      <c r="DRN76" s="30"/>
      <c r="DRO76" s="25"/>
      <c r="DRP76" s="178"/>
      <c r="DRQ76" s="26"/>
      <c r="DRR76" s="26"/>
      <c r="DRS76" s="26"/>
      <c r="DRT76" s="26"/>
      <c r="DRU76" s="26"/>
      <c r="DRV76" s="26"/>
      <c r="DRW76" s="58"/>
      <c r="DRX76" s="26"/>
      <c r="DRY76" s="26"/>
      <c r="DRZ76" s="26"/>
      <c r="DSA76" s="26"/>
      <c r="DSB76" s="22"/>
      <c r="DSC76" s="167"/>
      <c r="DSD76" s="30"/>
      <c r="DSE76" s="25"/>
      <c r="DSF76" s="178"/>
      <c r="DSG76" s="26"/>
      <c r="DSH76" s="26"/>
      <c r="DSI76" s="26"/>
      <c r="DSJ76" s="26"/>
      <c r="DSK76" s="26"/>
      <c r="DSL76" s="26"/>
      <c r="DSM76" s="58"/>
      <c r="DSN76" s="26"/>
      <c r="DSO76" s="26"/>
      <c r="DSP76" s="26"/>
      <c r="DSQ76" s="26"/>
      <c r="DSR76" s="22"/>
      <c r="DSS76" s="167"/>
      <c r="DST76" s="30"/>
      <c r="DSU76" s="25"/>
      <c r="DSV76" s="178"/>
      <c r="DSW76" s="26"/>
      <c r="DSX76" s="26"/>
      <c r="DSY76" s="26"/>
      <c r="DSZ76" s="26"/>
      <c r="DTA76" s="26"/>
      <c r="DTB76" s="26"/>
      <c r="DTC76" s="58"/>
      <c r="DTD76" s="26"/>
      <c r="DTE76" s="26"/>
      <c r="DTF76" s="26"/>
      <c r="DTG76" s="26"/>
      <c r="DTH76" s="22"/>
      <c r="DTI76" s="167"/>
      <c r="DTJ76" s="30"/>
      <c r="DTK76" s="25"/>
      <c r="DTL76" s="178"/>
      <c r="DTM76" s="26"/>
      <c r="DTN76" s="26"/>
      <c r="DTO76" s="26"/>
      <c r="DTP76" s="26"/>
      <c r="DTQ76" s="26"/>
      <c r="DTR76" s="26"/>
      <c r="DTS76" s="58"/>
      <c r="DTT76" s="26"/>
      <c r="DTU76" s="26"/>
      <c r="DTV76" s="26"/>
      <c r="DTW76" s="26"/>
      <c r="DTX76" s="22"/>
      <c r="DTY76" s="167"/>
      <c r="DTZ76" s="30"/>
      <c r="DUA76" s="25"/>
      <c r="DUB76" s="178"/>
      <c r="DUC76" s="26"/>
      <c r="DUD76" s="26"/>
      <c r="DUE76" s="26"/>
      <c r="DUF76" s="26"/>
      <c r="DUG76" s="26"/>
      <c r="DUH76" s="26"/>
      <c r="DUI76" s="58"/>
      <c r="DUJ76" s="26"/>
      <c r="DUK76" s="26"/>
      <c r="DUL76" s="26"/>
      <c r="DUM76" s="26"/>
      <c r="DUN76" s="22"/>
      <c r="DUO76" s="167"/>
      <c r="DUP76" s="30"/>
      <c r="DUQ76" s="25"/>
      <c r="DUR76" s="178"/>
      <c r="DUS76" s="26"/>
      <c r="DUT76" s="26"/>
      <c r="DUU76" s="26"/>
      <c r="DUV76" s="26"/>
      <c r="DUW76" s="26"/>
      <c r="DUX76" s="26"/>
      <c r="DUY76" s="58"/>
      <c r="DUZ76" s="26"/>
      <c r="DVA76" s="26"/>
      <c r="DVB76" s="26"/>
      <c r="DVC76" s="26"/>
      <c r="DVD76" s="22"/>
      <c r="DVE76" s="167"/>
      <c r="DVF76" s="30"/>
      <c r="DVG76" s="25"/>
      <c r="DVH76" s="178"/>
      <c r="DVI76" s="26"/>
      <c r="DVJ76" s="26"/>
      <c r="DVK76" s="26"/>
      <c r="DVL76" s="26"/>
      <c r="DVM76" s="26"/>
      <c r="DVN76" s="26"/>
      <c r="DVO76" s="58"/>
      <c r="DVP76" s="26"/>
      <c r="DVQ76" s="26"/>
      <c r="DVR76" s="26"/>
      <c r="DVS76" s="26"/>
      <c r="DVT76" s="22"/>
      <c r="DVU76" s="167"/>
      <c r="DVV76" s="30"/>
      <c r="DVW76" s="25"/>
      <c r="DVX76" s="178"/>
      <c r="DVY76" s="26"/>
      <c r="DVZ76" s="26"/>
      <c r="DWA76" s="26"/>
      <c r="DWB76" s="26"/>
      <c r="DWC76" s="26"/>
      <c r="DWD76" s="26"/>
      <c r="DWE76" s="58"/>
      <c r="DWF76" s="26"/>
      <c r="DWG76" s="26"/>
      <c r="DWH76" s="26"/>
      <c r="DWI76" s="26"/>
      <c r="DWJ76" s="22"/>
      <c r="DWK76" s="167"/>
      <c r="DWL76" s="30"/>
      <c r="DWM76" s="25"/>
      <c r="DWN76" s="178"/>
      <c r="DWO76" s="26"/>
      <c r="DWP76" s="26"/>
      <c r="DWQ76" s="26"/>
      <c r="DWR76" s="26"/>
      <c r="DWS76" s="26"/>
      <c r="DWT76" s="26"/>
      <c r="DWU76" s="58"/>
      <c r="DWV76" s="26"/>
      <c r="DWW76" s="26"/>
      <c r="DWX76" s="26"/>
      <c r="DWY76" s="26"/>
      <c r="DWZ76" s="22"/>
      <c r="DXA76" s="167"/>
      <c r="DXB76" s="30"/>
      <c r="DXC76" s="25"/>
      <c r="DXD76" s="178"/>
      <c r="DXE76" s="26"/>
      <c r="DXF76" s="26"/>
      <c r="DXG76" s="26"/>
      <c r="DXH76" s="26"/>
      <c r="DXI76" s="26"/>
      <c r="DXJ76" s="26"/>
      <c r="DXK76" s="58"/>
      <c r="DXL76" s="26"/>
      <c r="DXM76" s="26"/>
      <c r="DXN76" s="26"/>
      <c r="DXO76" s="26"/>
      <c r="DXP76" s="22"/>
      <c r="DXQ76" s="167"/>
      <c r="DXR76" s="30"/>
      <c r="DXS76" s="25"/>
      <c r="DXT76" s="178"/>
      <c r="DXU76" s="26"/>
      <c r="DXV76" s="26"/>
      <c r="DXW76" s="26"/>
      <c r="DXX76" s="26"/>
      <c r="DXY76" s="26"/>
      <c r="DXZ76" s="26"/>
      <c r="DYA76" s="58"/>
      <c r="DYB76" s="26"/>
      <c r="DYC76" s="26"/>
      <c r="DYD76" s="26"/>
      <c r="DYE76" s="26"/>
      <c r="DYF76" s="22"/>
      <c r="DYG76" s="167"/>
      <c r="DYH76" s="30"/>
      <c r="DYI76" s="25"/>
      <c r="DYJ76" s="178"/>
      <c r="DYK76" s="26"/>
      <c r="DYL76" s="26"/>
      <c r="DYM76" s="26"/>
      <c r="DYN76" s="26"/>
      <c r="DYO76" s="26"/>
      <c r="DYP76" s="26"/>
      <c r="DYQ76" s="58"/>
      <c r="DYR76" s="26"/>
      <c r="DYS76" s="26"/>
      <c r="DYT76" s="26"/>
      <c r="DYU76" s="26"/>
      <c r="DYV76" s="22"/>
      <c r="DYW76" s="167"/>
      <c r="DYX76" s="30"/>
      <c r="DYY76" s="25"/>
      <c r="DYZ76" s="178"/>
      <c r="DZA76" s="26"/>
      <c r="DZB76" s="26"/>
      <c r="DZC76" s="26"/>
      <c r="DZD76" s="26"/>
      <c r="DZE76" s="26"/>
      <c r="DZF76" s="26"/>
      <c r="DZG76" s="58"/>
      <c r="DZH76" s="26"/>
      <c r="DZI76" s="26"/>
      <c r="DZJ76" s="26"/>
      <c r="DZK76" s="26"/>
      <c r="DZL76" s="22"/>
      <c r="DZM76" s="167"/>
      <c r="DZN76" s="30"/>
      <c r="DZO76" s="25"/>
      <c r="DZP76" s="178"/>
      <c r="DZQ76" s="26"/>
      <c r="DZR76" s="26"/>
      <c r="DZS76" s="26"/>
      <c r="DZT76" s="26"/>
      <c r="DZU76" s="26"/>
      <c r="DZV76" s="26"/>
      <c r="DZW76" s="58"/>
      <c r="DZX76" s="26"/>
      <c r="DZY76" s="26"/>
      <c r="DZZ76" s="26"/>
      <c r="EAA76" s="26"/>
      <c r="EAB76" s="22"/>
      <c r="EAC76" s="167"/>
      <c r="EAD76" s="30"/>
      <c r="EAE76" s="25"/>
      <c r="EAF76" s="178"/>
      <c r="EAG76" s="26"/>
      <c r="EAH76" s="26"/>
      <c r="EAI76" s="26"/>
      <c r="EAJ76" s="26"/>
      <c r="EAK76" s="26"/>
      <c r="EAL76" s="26"/>
      <c r="EAM76" s="58"/>
      <c r="EAN76" s="26"/>
      <c r="EAO76" s="26"/>
      <c r="EAP76" s="26"/>
      <c r="EAQ76" s="26"/>
      <c r="EAR76" s="22"/>
      <c r="EAS76" s="167"/>
      <c r="EAT76" s="30"/>
      <c r="EAU76" s="25"/>
      <c r="EAV76" s="178"/>
      <c r="EAW76" s="26"/>
      <c r="EAX76" s="26"/>
      <c r="EAY76" s="26"/>
      <c r="EAZ76" s="26"/>
      <c r="EBA76" s="26"/>
      <c r="EBB76" s="26"/>
      <c r="EBC76" s="58"/>
      <c r="EBD76" s="26"/>
      <c r="EBE76" s="26"/>
      <c r="EBF76" s="26"/>
      <c r="EBG76" s="26"/>
      <c r="EBH76" s="22"/>
      <c r="EBI76" s="167"/>
      <c r="EBJ76" s="30"/>
      <c r="EBK76" s="25"/>
      <c r="EBL76" s="178"/>
      <c r="EBM76" s="26"/>
      <c r="EBN76" s="26"/>
      <c r="EBO76" s="26"/>
      <c r="EBP76" s="26"/>
      <c r="EBQ76" s="26"/>
      <c r="EBR76" s="26"/>
      <c r="EBS76" s="58"/>
      <c r="EBT76" s="26"/>
      <c r="EBU76" s="26"/>
      <c r="EBV76" s="26"/>
      <c r="EBW76" s="26"/>
      <c r="EBX76" s="22"/>
      <c r="EBY76" s="167"/>
      <c r="EBZ76" s="30"/>
      <c r="ECA76" s="25"/>
      <c r="ECB76" s="178"/>
      <c r="ECC76" s="26"/>
      <c r="ECD76" s="26"/>
      <c r="ECE76" s="26"/>
      <c r="ECF76" s="26"/>
      <c r="ECG76" s="26"/>
      <c r="ECH76" s="26"/>
      <c r="ECI76" s="58"/>
      <c r="ECJ76" s="26"/>
      <c r="ECK76" s="26"/>
      <c r="ECL76" s="26"/>
      <c r="ECM76" s="26"/>
      <c r="ECN76" s="22"/>
      <c r="ECO76" s="167"/>
      <c r="ECP76" s="30"/>
      <c r="ECQ76" s="25"/>
      <c r="ECR76" s="178"/>
      <c r="ECS76" s="26"/>
      <c r="ECT76" s="26"/>
      <c r="ECU76" s="26"/>
      <c r="ECV76" s="26"/>
      <c r="ECW76" s="26"/>
      <c r="ECX76" s="26"/>
      <c r="ECY76" s="58"/>
      <c r="ECZ76" s="26"/>
      <c r="EDA76" s="26"/>
      <c r="EDB76" s="26"/>
      <c r="EDC76" s="26"/>
      <c r="EDD76" s="22"/>
      <c r="EDE76" s="167"/>
      <c r="EDF76" s="30"/>
      <c r="EDG76" s="25"/>
      <c r="EDH76" s="178"/>
      <c r="EDI76" s="26"/>
      <c r="EDJ76" s="26"/>
      <c r="EDK76" s="26"/>
      <c r="EDL76" s="26"/>
      <c r="EDM76" s="26"/>
      <c r="EDN76" s="26"/>
      <c r="EDO76" s="58"/>
      <c r="EDP76" s="26"/>
      <c r="EDQ76" s="26"/>
      <c r="EDR76" s="26"/>
      <c r="EDS76" s="26"/>
      <c r="EDT76" s="22"/>
      <c r="EDU76" s="167"/>
      <c r="EDV76" s="30"/>
      <c r="EDW76" s="25"/>
      <c r="EDX76" s="178"/>
      <c r="EDY76" s="26"/>
      <c r="EDZ76" s="26"/>
      <c r="EEA76" s="26"/>
      <c r="EEB76" s="26"/>
      <c r="EEC76" s="26"/>
      <c r="EED76" s="26"/>
      <c r="EEE76" s="58"/>
      <c r="EEF76" s="26"/>
      <c r="EEG76" s="26"/>
      <c r="EEH76" s="26"/>
      <c r="EEI76" s="26"/>
      <c r="EEJ76" s="22"/>
      <c r="EEK76" s="167"/>
      <c r="EEL76" s="30"/>
      <c r="EEM76" s="25"/>
      <c r="EEN76" s="178"/>
      <c r="EEO76" s="26"/>
      <c r="EEP76" s="26"/>
      <c r="EEQ76" s="26"/>
      <c r="EER76" s="26"/>
      <c r="EES76" s="26"/>
      <c r="EET76" s="26"/>
      <c r="EEU76" s="58"/>
      <c r="EEV76" s="26"/>
      <c r="EEW76" s="26"/>
      <c r="EEX76" s="26"/>
      <c r="EEY76" s="26"/>
      <c r="EEZ76" s="22"/>
      <c r="EFA76" s="167"/>
      <c r="EFB76" s="30"/>
      <c r="EFC76" s="25"/>
      <c r="EFD76" s="178"/>
      <c r="EFE76" s="26"/>
      <c r="EFF76" s="26"/>
      <c r="EFG76" s="26"/>
      <c r="EFH76" s="26"/>
      <c r="EFI76" s="26"/>
      <c r="EFJ76" s="26"/>
      <c r="EFK76" s="58"/>
      <c r="EFL76" s="26"/>
      <c r="EFM76" s="26"/>
      <c r="EFN76" s="26"/>
      <c r="EFO76" s="26"/>
      <c r="EFP76" s="22"/>
      <c r="EFQ76" s="167"/>
      <c r="EFR76" s="30"/>
      <c r="EFS76" s="25"/>
      <c r="EFT76" s="178"/>
      <c r="EFU76" s="26"/>
      <c r="EFV76" s="26"/>
      <c r="EFW76" s="26"/>
      <c r="EFX76" s="26"/>
      <c r="EFY76" s="26"/>
      <c r="EFZ76" s="26"/>
      <c r="EGA76" s="58"/>
      <c r="EGB76" s="26"/>
      <c r="EGC76" s="26"/>
      <c r="EGD76" s="26"/>
      <c r="EGE76" s="26"/>
      <c r="EGF76" s="22"/>
      <c r="EGG76" s="167"/>
      <c r="EGH76" s="30"/>
      <c r="EGI76" s="25"/>
      <c r="EGJ76" s="178"/>
      <c r="EGK76" s="26"/>
      <c r="EGL76" s="26"/>
      <c r="EGM76" s="26"/>
      <c r="EGN76" s="26"/>
      <c r="EGO76" s="26"/>
      <c r="EGP76" s="26"/>
      <c r="EGQ76" s="58"/>
      <c r="EGR76" s="26"/>
      <c r="EGS76" s="26"/>
      <c r="EGT76" s="26"/>
      <c r="EGU76" s="26"/>
      <c r="EGV76" s="22"/>
      <c r="EGW76" s="167"/>
      <c r="EGX76" s="30"/>
      <c r="EGY76" s="25"/>
      <c r="EGZ76" s="178"/>
      <c r="EHA76" s="26"/>
      <c r="EHB76" s="26"/>
      <c r="EHC76" s="26"/>
      <c r="EHD76" s="26"/>
      <c r="EHE76" s="26"/>
      <c r="EHF76" s="26"/>
      <c r="EHG76" s="58"/>
      <c r="EHH76" s="26"/>
      <c r="EHI76" s="26"/>
      <c r="EHJ76" s="26"/>
      <c r="EHK76" s="26"/>
      <c r="EHL76" s="22"/>
      <c r="EHM76" s="167"/>
      <c r="EHN76" s="30"/>
      <c r="EHO76" s="25"/>
      <c r="EHP76" s="178"/>
      <c r="EHQ76" s="26"/>
      <c r="EHR76" s="26"/>
      <c r="EHS76" s="26"/>
      <c r="EHT76" s="26"/>
      <c r="EHU76" s="26"/>
      <c r="EHV76" s="26"/>
      <c r="EHW76" s="58"/>
      <c r="EHX76" s="26"/>
      <c r="EHY76" s="26"/>
      <c r="EHZ76" s="26"/>
      <c r="EIA76" s="26"/>
      <c r="EIB76" s="22"/>
      <c r="EIC76" s="167"/>
      <c r="EID76" s="30"/>
      <c r="EIE76" s="25"/>
      <c r="EIF76" s="178"/>
      <c r="EIG76" s="26"/>
      <c r="EIH76" s="26"/>
      <c r="EII76" s="26"/>
      <c r="EIJ76" s="26"/>
      <c r="EIK76" s="26"/>
      <c r="EIL76" s="26"/>
      <c r="EIM76" s="58"/>
      <c r="EIN76" s="26"/>
      <c r="EIO76" s="26"/>
      <c r="EIP76" s="26"/>
      <c r="EIQ76" s="26"/>
      <c r="EIR76" s="22"/>
      <c r="EIS76" s="167"/>
      <c r="EIT76" s="30"/>
      <c r="EIU76" s="25"/>
      <c r="EIV76" s="178"/>
      <c r="EIW76" s="26"/>
      <c r="EIX76" s="26"/>
      <c r="EIY76" s="26"/>
      <c r="EIZ76" s="26"/>
      <c r="EJA76" s="26"/>
      <c r="EJB76" s="26"/>
      <c r="EJC76" s="58"/>
      <c r="EJD76" s="26"/>
      <c r="EJE76" s="26"/>
      <c r="EJF76" s="26"/>
      <c r="EJG76" s="26"/>
      <c r="EJH76" s="22"/>
      <c r="EJI76" s="167"/>
      <c r="EJJ76" s="30"/>
      <c r="EJK76" s="25"/>
      <c r="EJL76" s="178"/>
      <c r="EJM76" s="26"/>
      <c r="EJN76" s="26"/>
      <c r="EJO76" s="26"/>
      <c r="EJP76" s="26"/>
      <c r="EJQ76" s="26"/>
      <c r="EJR76" s="26"/>
      <c r="EJS76" s="58"/>
      <c r="EJT76" s="26"/>
      <c r="EJU76" s="26"/>
      <c r="EJV76" s="26"/>
      <c r="EJW76" s="26"/>
      <c r="EJX76" s="22"/>
      <c r="EJY76" s="167"/>
      <c r="EJZ76" s="30"/>
      <c r="EKA76" s="25"/>
      <c r="EKB76" s="178"/>
      <c r="EKC76" s="26"/>
      <c r="EKD76" s="26"/>
      <c r="EKE76" s="26"/>
      <c r="EKF76" s="26"/>
      <c r="EKG76" s="26"/>
      <c r="EKH76" s="26"/>
      <c r="EKI76" s="58"/>
      <c r="EKJ76" s="26"/>
      <c r="EKK76" s="26"/>
      <c r="EKL76" s="26"/>
      <c r="EKM76" s="26"/>
      <c r="EKN76" s="22"/>
      <c r="EKO76" s="167"/>
      <c r="EKP76" s="30"/>
      <c r="EKQ76" s="25"/>
      <c r="EKR76" s="178"/>
      <c r="EKS76" s="26"/>
      <c r="EKT76" s="26"/>
      <c r="EKU76" s="26"/>
      <c r="EKV76" s="26"/>
      <c r="EKW76" s="26"/>
      <c r="EKX76" s="26"/>
      <c r="EKY76" s="58"/>
      <c r="EKZ76" s="26"/>
      <c r="ELA76" s="26"/>
      <c r="ELB76" s="26"/>
      <c r="ELC76" s="26"/>
      <c r="ELD76" s="22"/>
      <c r="ELE76" s="167"/>
      <c r="ELF76" s="30"/>
      <c r="ELG76" s="25"/>
      <c r="ELH76" s="178"/>
      <c r="ELI76" s="26"/>
      <c r="ELJ76" s="26"/>
      <c r="ELK76" s="26"/>
      <c r="ELL76" s="26"/>
      <c r="ELM76" s="26"/>
      <c r="ELN76" s="26"/>
      <c r="ELO76" s="58"/>
      <c r="ELP76" s="26"/>
      <c r="ELQ76" s="26"/>
      <c r="ELR76" s="26"/>
      <c r="ELS76" s="26"/>
      <c r="ELT76" s="22"/>
      <c r="ELU76" s="167"/>
      <c r="ELV76" s="30"/>
      <c r="ELW76" s="25"/>
      <c r="ELX76" s="178"/>
      <c r="ELY76" s="26"/>
      <c r="ELZ76" s="26"/>
      <c r="EMA76" s="26"/>
      <c r="EMB76" s="26"/>
      <c r="EMC76" s="26"/>
      <c r="EMD76" s="26"/>
      <c r="EME76" s="58"/>
      <c r="EMF76" s="26"/>
      <c r="EMG76" s="26"/>
      <c r="EMH76" s="26"/>
      <c r="EMI76" s="26"/>
      <c r="EMJ76" s="22"/>
      <c r="EMK76" s="167"/>
      <c r="EML76" s="30"/>
      <c r="EMM76" s="25"/>
      <c r="EMN76" s="178"/>
      <c r="EMO76" s="26"/>
      <c r="EMP76" s="26"/>
      <c r="EMQ76" s="26"/>
      <c r="EMR76" s="26"/>
      <c r="EMS76" s="26"/>
      <c r="EMT76" s="26"/>
      <c r="EMU76" s="58"/>
      <c r="EMV76" s="26"/>
      <c r="EMW76" s="26"/>
      <c r="EMX76" s="26"/>
      <c r="EMY76" s="26"/>
      <c r="EMZ76" s="22"/>
      <c r="ENA76" s="167"/>
      <c r="ENB76" s="30"/>
      <c r="ENC76" s="25"/>
      <c r="END76" s="178"/>
      <c r="ENE76" s="26"/>
      <c r="ENF76" s="26"/>
      <c r="ENG76" s="26"/>
      <c r="ENH76" s="26"/>
      <c r="ENI76" s="26"/>
      <c r="ENJ76" s="26"/>
      <c r="ENK76" s="58"/>
      <c r="ENL76" s="26"/>
      <c r="ENM76" s="26"/>
      <c r="ENN76" s="26"/>
      <c r="ENO76" s="26"/>
      <c r="ENP76" s="22"/>
      <c r="ENQ76" s="167"/>
      <c r="ENR76" s="30"/>
      <c r="ENS76" s="25"/>
      <c r="ENT76" s="178"/>
      <c r="ENU76" s="26"/>
      <c r="ENV76" s="26"/>
      <c r="ENW76" s="26"/>
      <c r="ENX76" s="26"/>
      <c r="ENY76" s="26"/>
      <c r="ENZ76" s="26"/>
      <c r="EOA76" s="58"/>
      <c r="EOB76" s="26"/>
      <c r="EOC76" s="26"/>
      <c r="EOD76" s="26"/>
      <c r="EOE76" s="26"/>
      <c r="EOF76" s="22"/>
      <c r="EOG76" s="167"/>
      <c r="EOH76" s="30"/>
      <c r="EOI76" s="25"/>
      <c r="EOJ76" s="178"/>
      <c r="EOK76" s="26"/>
      <c r="EOL76" s="26"/>
      <c r="EOM76" s="26"/>
      <c r="EON76" s="26"/>
      <c r="EOO76" s="26"/>
      <c r="EOP76" s="26"/>
      <c r="EOQ76" s="58"/>
      <c r="EOR76" s="26"/>
      <c r="EOS76" s="26"/>
      <c r="EOT76" s="26"/>
      <c r="EOU76" s="26"/>
      <c r="EOV76" s="22"/>
      <c r="EOW76" s="167"/>
      <c r="EOX76" s="30"/>
      <c r="EOY76" s="25"/>
      <c r="EOZ76" s="178"/>
      <c r="EPA76" s="26"/>
      <c r="EPB76" s="26"/>
      <c r="EPC76" s="26"/>
      <c r="EPD76" s="26"/>
      <c r="EPE76" s="26"/>
      <c r="EPF76" s="26"/>
      <c r="EPG76" s="58"/>
      <c r="EPH76" s="26"/>
      <c r="EPI76" s="26"/>
      <c r="EPJ76" s="26"/>
      <c r="EPK76" s="26"/>
      <c r="EPL76" s="22"/>
      <c r="EPM76" s="167"/>
      <c r="EPN76" s="30"/>
      <c r="EPO76" s="25"/>
      <c r="EPP76" s="178"/>
      <c r="EPQ76" s="26"/>
      <c r="EPR76" s="26"/>
      <c r="EPS76" s="26"/>
      <c r="EPT76" s="26"/>
      <c r="EPU76" s="26"/>
      <c r="EPV76" s="26"/>
      <c r="EPW76" s="58"/>
      <c r="EPX76" s="26"/>
      <c r="EPY76" s="26"/>
      <c r="EPZ76" s="26"/>
      <c r="EQA76" s="26"/>
      <c r="EQB76" s="22"/>
      <c r="EQC76" s="167"/>
      <c r="EQD76" s="30"/>
      <c r="EQE76" s="25"/>
      <c r="EQF76" s="178"/>
      <c r="EQG76" s="26"/>
      <c r="EQH76" s="26"/>
      <c r="EQI76" s="26"/>
      <c r="EQJ76" s="26"/>
      <c r="EQK76" s="26"/>
      <c r="EQL76" s="26"/>
      <c r="EQM76" s="58"/>
      <c r="EQN76" s="26"/>
      <c r="EQO76" s="26"/>
      <c r="EQP76" s="26"/>
      <c r="EQQ76" s="26"/>
      <c r="EQR76" s="22"/>
      <c r="EQS76" s="167"/>
      <c r="EQT76" s="30"/>
      <c r="EQU76" s="25"/>
      <c r="EQV76" s="178"/>
      <c r="EQW76" s="26"/>
      <c r="EQX76" s="26"/>
      <c r="EQY76" s="26"/>
      <c r="EQZ76" s="26"/>
      <c r="ERA76" s="26"/>
      <c r="ERB76" s="26"/>
      <c r="ERC76" s="58"/>
      <c r="ERD76" s="26"/>
      <c r="ERE76" s="26"/>
      <c r="ERF76" s="26"/>
      <c r="ERG76" s="26"/>
      <c r="ERH76" s="22"/>
      <c r="ERI76" s="167"/>
      <c r="ERJ76" s="30"/>
      <c r="ERK76" s="25"/>
      <c r="ERL76" s="178"/>
      <c r="ERM76" s="26"/>
      <c r="ERN76" s="26"/>
      <c r="ERO76" s="26"/>
      <c r="ERP76" s="26"/>
      <c r="ERQ76" s="26"/>
      <c r="ERR76" s="26"/>
      <c r="ERS76" s="58"/>
      <c r="ERT76" s="26"/>
      <c r="ERU76" s="26"/>
      <c r="ERV76" s="26"/>
      <c r="ERW76" s="26"/>
      <c r="ERX76" s="22"/>
      <c r="ERY76" s="167"/>
      <c r="ERZ76" s="30"/>
      <c r="ESA76" s="25"/>
      <c r="ESB76" s="178"/>
      <c r="ESC76" s="26"/>
      <c r="ESD76" s="26"/>
      <c r="ESE76" s="26"/>
      <c r="ESF76" s="26"/>
      <c r="ESG76" s="26"/>
      <c r="ESH76" s="26"/>
      <c r="ESI76" s="58"/>
      <c r="ESJ76" s="26"/>
      <c r="ESK76" s="26"/>
      <c r="ESL76" s="26"/>
      <c r="ESM76" s="26"/>
      <c r="ESN76" s="22"/>
      <c r="ESO76" s="167"/>
      <c r="ESP76" s="30"/>
      <c r="ESQ76" s="25"/>
      <c r="ESR76" s="178"/>
      <c r="ESS76" s="26"/>
      <c r="EST76" s="26"/>
      <c r="ESU76" s="26"/>
      <c r="ESV76" s="26"/>
      <c r="ESW76" s="26"/>
      <c r="ESX76" s="26"/>
      <c r="ESY76" s="58"/>
      <c r="ESZ76" s="26"/>
      <c r="ETA76" s="26"/>
      <c r="ETB76" s="26"/>
      <c r="ETC76" s="26"/>
      <c r="ETD76" s="22"/>
      <c r="ETE76" s="167"/>
      <c r="ETF76" s="30"/>
      <c r="ETG76" s="25"/>
      <c r="ETH76" s="178"/>
      <c r="ETI76" s="26"/>
      <c r="ETJ76" s="26"/>
      <c r="ETK76" s="26"/>
      <c r="ETL76" s="26"/>
      <c r="ETM76" s="26"/>
      <c r="ETN76" s="26"/>
      <c r="ETO76" s="58"/>
      <c r="ETP76" s="26"/>
      <c r="ETQ76" s="26"/>
      <c r="ETR76" s="26"/>
      <c r="ETS76" s="26"/>
      <c r="ETT76" s="22"/>
      <c r="ETU76" s="167"/>
      <c r="ETV76" s="30"/>
      <c r="ETW76" s="25"/>
      <c r="ETX76" s="178"/>
      <c r="ETY76" s="26"/>
      <c r="ETZ76" s="26"/>
      <c r="EUA76" s="26"/>
      <c r="EUB76" s="26"/>
      <c r="EUC76" s="26"/>
      <c r="EUD76" s="26"/>
      <c r="EUE76" s="58"/>
      <c r="EUF76" s="26"/>
      <c r="EUG76" s="26"/>
      <c r="EUH76" s="26"/>
      <c r="EUI76" s="26"/>
      <c r="EUJ76" s="22"/>
      <c r="EUK76" s="167"/>
      <c r="EUL76" s="30"/>
      <c r="EUM76" s="25"/>
      <c r="EUN76" s="178"/>
      <c r="EUO76" s="26"/>
      <c r="EUP76" s="26"/>
      <c r="EUQ76" s="26"/>
      <c r="EUR76" s="26"/>
      <c r="EUS76" s="26"/>
      <c r="EUT76" s="26"/>
      <c r="EUU76" s="58"/>
      <c r="EUV76" s="26"/>
      <c r="EUW76" s="26"/>
      <c r="EUX76" s="26"/>
      <c r="EUY76" s="26"/>
      <c r="EUZ76" s="22"/>
      <c r="EVA76" s="167"/>
      <c r="EVB76" s="30"/>
      <c r="EVC76" s="25"/>
      <c r="EVD76" s="178"/>
      <c r="EVE76" s="26"/>
      <c r="EVF76" s="26"/>
      <c r="EVG76" s="26"/>
      <c r="EVH76" s="26"/>
      <c r="EVI76" s="26"/>
      <c r="EVJ76" s="26"/>
      <c r="EVK76" s="58"/>
      <c r="EVL76" s="26"/>
      <c r="EVM76" s="26"/>
      <c r="EVN76" s="26"/>
      <c r="EVO76" s="26"/>
      <c r="EVP76" s="22"/>
      <c r="EVQ76" s="167"/>
      <c r="EVR76" s="30"/>
      <c r="EVS76" s="25"/>
      <c r="EVT76" s="178"/>
      <c r="EVU76" s="26"/>
      <c r="EVV76" s="26"/>
      <c r="EVW76" s="26"/>
      <c r="EVX76" s="26"/>
      <c r="EVY76" s="26"/>
      <c r="EVZ76" s="26"/>
      <c r="EWA76" s="58"/>
      <c r="EWB76" s="26"/>
      <c r="EWC76" s="26"/>
      <c r="EWD76" s="26"/>
      <c r="EWE76" s="26"/>
      <c r="EWF76" s="22"/>
      <c r="EWG76" s="167"/>
      <c r="EWH76" s="30"/>
      <c r="EWI76" s="25"/>
      <c r="EWJ76" s="178"/>
      <c r="EWK76" s="26"/>
      <c r="EWL76" s="26"/>
      <c r="EWM76" s="26"/>
      <c r="EWN76" s="26"/>
      <c r="EWO76" s="26"/>
      <c r="EWP76" s="26"/>
      <c r="EWQ76" s="58"/>
      <c r="EWR76" s="26"/>
      <c r="EWS76" s="26"/>
      <c r="EWT76" s="26"/>
      <c r="EWU76" s="26"/>
      <c r="EWV76" s="22"/>
      <c r="EWW76" s="167"/>
      <c r="EWX76" s="30"/>
      <c r="EWY76" s="25"/>
      <c r="EWZ76" s="178"/>
      <c r="EXA76" s="26"/>
      <c r="EXB76" s="26"/>
      <c r="EXC76" s="26"/>
      <c r="EXD76" s="26"/>
      <c r="EXE76" s="26"/>
      <c r="EXF76" s="26"/>
      <c r="EXG76" s="58"/>
      <c r="EXH76" s="26"/>
      <c r="EXI76" s="26"/>
      <c r="EXJ76" s="26"/>
      <c r="EXK76" s="26"/>
      <c r="EXL76" s="22"/>
      <c r="EXM76" s="167"/>
      <c r="EXN76" s="30"/>
      <c r="EXO76" s="25"/>
      <c r="EXP76" s="178"/>
      <c r="EXQ76" s="26"/>
      <c r="EXR76" s="26"/>
      <c r="EXS76" s="26"/>
      <c r="EXT76" s="26"/>
      <c r="EXU76" s="26"/>
      <c r="EXV76" s="26"/>
      <c r="EXW76" s="58"/>
      <c r="EXX76" s="26"/>
      <c r="EXY76" s="26"/>
      <c r="EXZ76" s="26"/>
      <c r="EYA76" s="26"/>
      <c r="EYB76" s="22"/>
      <c r="EYC76" s="167"/>
      <c r="EYD76" s="30"/>
      <c r="EYE76" s="25"/>
      <c r="EYF76" s="178"/>
      <c r="EYG76" s="26"/>
      <c r="EYH76" s="26"/>
      <c r="EYI76" s="26"/>
      <c r="EYJ76" s="26"/>
      <c r="EYK76" s="26"/>
      <c r="EYL76" s="26"/>
      <c r="EYM76" s="58"/>
      <c r="EYN76" s="26"/>
      <c r="EYO76" s="26"/>
      <c r="EYP76" s="26"/>
      <c r="EYQ76" s="26"/>
      <c r="EYR76" s="22"/>
      <c r="EYS76" s="167"/>
      <c r="EYT76" s="30"/>
      <c r="EYU76" s="25"/>
      <c r="EYV76" s="178"/>
      <c r="EYW76" s="26"/>
      <c r="EYX76" s="26"/>
      <c r="EYY76" s="26"/>
      <c r="EYZ76" s="26"/>
      <c r="EZA76" s="26"/>
      <c r="EZB76" s="26"/>
      <c r="EZC76" s="58"/>
      <c r="EZD76" s="26"/>
      <c r="EZE76" s="26"/>
      <c r="EZF76" s="26"/>
      <c r="EZG76" s="26"/>
      <c r="EZH76" s="22"/>
      <c r="EZI76" s="167"/>
      <c r="EZJ76" s="30"/>
      <c r="EZK76" s="25"/>
      <c r="EZL76" s="178"/>
      <c r="EZM76" s="26"/>
      <c r="EZN76" s="26"/>
      <c r="EZO76" s="26"/>
      <c r="EZP76" s="26"/>
      <c r="EZQ76" s="26"/>
      <c r="EZR76" s="26"/>
      <c r="EZS76" s="58"/>
      <c r="EZT76" s="26"/>
      <c r="EZU76" s="26"/>
      <c r="EZV76" s="26"/>
      <c r="EZW76" s="26"/>
      <c r="EZX76" s="22"/>
      <c r="EZY76" s="167"/>
      <c r="EZZ76" s="30"/>
      <c r="FAA76" s="25"/>
      <c r="FAB76" s="178"/>
      <c r="FAC76" s="26"/>
      <c r="FAD76" s="26"/>
      <c r="FAE76" s="26"/>
      <c r="FAF76" s="26"/>
      <c r="FAG76" s="26"/>
      <c r="FAH76" s="26"/>
      <c r="FAI76" s="58"/>
      <c r="FAJ76" s="26"/>
      <c r="FAK76" s="26"/>
      <c r="FAL76" s="26"/>
      <c r="FAM76" s="26"/>
      <c r="FAN76" s="22"/>
      <c r="FAO76" s="167"/>
      <c r="FAP76" s="30"/>
      <c r="FAQ76" s="25"/>
      <c r="FAR76" s="178"/>
      <c r="FAS76" s="26"/>
      <c r="FAT76" s="26"/>
      <c r="FAU76" s="26"/>
      <c r="FAV76" s="26"/>
      <c r="FAW76" s="26"/>
      <c r="FAX76" s="26"/>
      <c r="FAY76" s="58"/>
      <c r="FAZ76" s="26"/>
      <c r="FBA76" s="26"/>
      <c r="FBB76" s="26"/>
      <c r="FBC76" s="26"/>
      <c r="FBD76" s="22"/>
      <c r="FBE76" s="167"/>
      <c r="FBF76" s="30"/>
      <c r="FBG76" s="25"/>
      <c r="FBH76" s="178"/>
      <c r="FBI76" s="26"/>
      <c r="FBJ76" s="26"/>
      <c r="FBK76" s="26"/>
      <c r="FBL76" s="26"/>
      <c r="FBM76" s="26"/>
      <c r="FBN76" s="26"/>
      <c r="FBO76" s="58"/>
      <c r="FBP76" s="26"/>
      <c r="FBQ76" s="26"/>
      <c r="FBR76" s="26"/>
      <c r="FBS76" s="26"/>
      <c r="FBT76" s="22"/>
      <c r="FBU76" s="167"/>
      <c r="FBV76" s="30"/>
      <c r="FBW76" s="25"/>
      <c r="FBX76" s="178"/>
      <c r="FBY76" s="26"/>
      <c r="FBZ76" s="26"/>
      <c r="FCA76" s="26"/>
      <c r="FCB76" s="26"/>
      <c r="FCC76" s="26"/>
      <c r="FCD76" s="26"/>
      <c r="FCE76" s="58"/>
      <c r="FCF76" s="26"/>
      <c r="FCG76" s="26"/>
      <c r="FCH76" s="26"/>
      <c r="FCI76" s="26"/>
      <c r="FCJ76" s="22"/>
      <c r="FCK76" s="167"/>
      <c r="FCL76" s="30"/>
      <c r="FCM76" s="25"/>
      <c r="FCN76" s="178"/>
      <c r="FCO76" s="26"/>
      <c r="FCP76" s="26"/>
      <c r="FCQ76" s="26"/>
      <c r="FCR76" s="26"/>
      <c r="FCS76" s="26"/>
      <c r="FCT76" s="26"/>
      <c r="FCU76" s="58"/>
      <c r="FCV76" s="26"/>
      <c r="FCW76" s="26"/>
      <c r="FCX76" s="26"/>
      <c r="FCY76" s="26"/>
      <c r="FCZ76" s="22"/>
      <c r="FDA76" s="167"/>
      <c r="FDB76" s="30"/>
      <c r="FDC76" s="25"/>
      <c r="FDD76" s="178"/>
      <c r="FDE76" s="26"/>
      <c r="FDF76" s="26"/>
      <c r="FDG76" s="26"/>
      <c r="FDH76" s="26"/>
      <c r="FDI76" s="26"/>
      <c r="FDJ76" s="26"/>
      <c r="FDK76" s="58"/>
      <c r="FDL76" s="26"/>
      <c r="FDM76" s="26"/>
      <c r="FDN76" s="26"/>
      <c r="FDO76" s="26"/>
      <c r="FDP76" s="22"/>
      <c r="FDQ76" s="167"/>
      <c r="FDR76" s="30"/>
      <c r="FDS76" s="25"/>
      <c r="FDT76" s="178"/>
      <c r="FDU76" s="26"/>
      <c r="FDV76" s="26"/>
      <c r="FDW76" s="26"/>
      <c r="FDX76" s="26"/>
      <c r="FDY76" s="26"/>
      <c r="FDZ76" s="26"/>
      <c r="FEA76" s="58"/>
      <c r="FEB76" s="26"/>
      <c r="FEC76" s="26"/>
      <c r="FED76" s="26"/>
      <c r="FEE76" s="26"/>
      <c r="FEF76" s="22"/>
      <c r="FEG76" s="167"/>
      <c r="FEH76" s="30"/>
      <c r="FEI76" s="25"/>
      <c r="FEJ76" s="178"/>
      <c r="FEK76" s="26"/>
      <c r="FEL76" s="26"/>
      <c r="FEM76" s="26"/>
      <c r="FEN76" s="26"/>
      <c r="FEO76" s="26"/>
      <c r="FEP76" s="26"/>
      <c r="FEQ76" s="58"/>
      <c r="FER76" s="26"/>
      <c r="FES76" s="26"/>
      <c r="FET76" s="26"/>
      <c r="FEU76" s="26"/>
      <c r="FEV76" s="22"/>
      <c r="FEW76" s="167"/>
      <c r="FEX76" s="30"/>
      <c r="FEY76" s="25"/>
      <c r="FEZ76" s="178"/>
      <c r="FFA76" s="26"/>
      <c r="FFB76" s="26"/>
      <c r="FFC76" s="26"/>
      <c r="FFD76" s="26"/>
      <c r="FFE76" s="26"/>
      <c r="FFF76" s="26"/>
      <c r="FFG76" s="58"/>
      <c r="FFH76" s="26"/>
      <c r="FFI76" s="26"/>
      <c r="FFJ76" s="26"/>
      <c r="FFK76" s="26"/>
      <c r="FFL76" s="22"/>
      <c r="FFM76" s="167"/>
      <c r="FFN76" s="30"/>
      <c r="FFO76" s="25"/>
      <c r="FFP76" s="178"/>
      <c r="FFQ76" s="26"/>
      <c r="FFR76" s="26"/>
      <c r="FFS76" s="26"/>
      <c r="FFT76" s="26"/>
      <c r="FFU76" s="26"/>
      <c r="FFV76" s="26"/>
      <c r="FFW76" s="58"/>
      <c r="FFX76" s="26"/>
      <c r="FFY76" s="26"/>
      <c r="FFZ76" s="26"/>
      <c r="FGA76" s="26"/>
      <c r="FGB76" s="22"/>
      <c r="FGC76" s="167"/>
      <c r="FGD76" s="30"/>
      <c r="FGE76" s="25"/>
      <c r="FGF76" s="178"/>
      <c r="FGG76" s="26"/>
      <c r="FGH76" s="26"/>
      <c r="FGI76" s="26"/>
      <c r="FGJ76" s="26"/>
      <c r="FGK76" s="26"/>
      <c r="FGL76" s="26"/>
      <c r="FGM76" s="58"/>
      <c r="FGN76" s="26"/>
      <c r="FGO76" s="26"/>
      <c r="FGP76" s="26"/>
      <c r="FGQ76" s="26"/>
      <c r="FGR76" s="22"/>
      <c r="FGS76" s="167"/>
      <c r="FGT76" s="30"/>
      <c r="FGU76" s="25"/>
      <c r="FGV76" s="178"/>
      <c r="FGW76" s="26"/>
      <c r="FGX76" s="26"/>
      <c r="FGY76" s="26"/>
      <c r="FGZ76" s="26"/>
      <c r="FHA76" s="26"/>
      <c r="FHB76" s="26"/>
      <c r="FHC76" s="58"/>
      <c r="FHD76" s="26"/>
      <c r="FHE76" s="26"/>
      <c r="FHF76" s="26"/>
      <c r="FHG76" s="26"/>
      <c r="FHH76" s="22"/>
      <c r="FHI76" s="167"/>
      <c r="FHJ76" s="30"/>
      <c r="FHK76" s="25"/>
      <c r="FHL76" s="178"/>
      <c r="FHM76" s="26"/>
      <c r="FHN76" s="26"/>
      <c r="FHO76" s="26"/>
      <c r="FHP76" s="26"/>
      <c r="FHQ76" s="26"/>
      <c r="FHR76" s="26"/>
      <c r="FHS76" s="58"/>
      <c r="FHT76" s="26"/>
      <c r="FHU76" s="26"/>
      <c r="FHV76" s="26"/>
      <c r="FHW76" s="26"/>
      <c r="FHX76" s="22"/>
      <c r="FHY76" s="167"/>
      <c r="FHZ76" s="30"/>
      <c r="FIA76" s="25"/>
      <c r="FIB76" s="178"/>
      <c r="FIC76" s="26"/>
      <c r="FID76" s="26"/>
      <c r="FIE76" s="26"/>
      <c r="FIF76" s="26"/>
      <c r="FIG76" s="26"/>
      <c r="FIH76" s="26"/>
      <c r="FII76" s="58"/>
      <c r="FIJ76" s="26"/>
      <c r="FIK76" s="26"/>
      <c r="FIL76" s="26"/>
      <c r="FIM76" s="26"/>
      <c r="FIN76" s="22"/>
      <c r="FIO76" s="167"/>
      <c r="FIP76" s="30"/>
      <c r="FIQ76" s="25"/>
      <c r="FIR76" s="178"/>
      <c r="FIS76" s="26"/>
      <c r="FIT76" s="26"/>
      <c r="FIU76" s="26"/>
      <c r="FIV76" s="26"/>
      <c r="FIW76" s="26"/>
      <c r="FIX76" s="26"/>
      <c r="FIY76" s="58"/>
      <c r="FIZ76" s="26"/>
      <c r="FJA76" s="26"/>
      <c r="FJB76" s="26"/>
      <c r="FJC76" s="26"/>
      <c r="FJD76" s="22"/>
      <c r="FJE76" s="167"/>
      <c r="FJF76" s="30"/>
      <c r="FJG76" s="25"/>
      <c r="FJH76" s="178"/>
      <c r="FJI76" s="26"/>
      <c r="FJJ76" s="26"/>
      <c r="FJK76" s="26"/>
      <c r="FJL76" s="26"/>
      <c r="FJM76" s="26"/>
      <c r="FJN76" s="26"/>
      <c r="FJO76" s="58"/>
      <c r="FJP76" s="26"/>
      <c r="FJQ76" s="26"/>
      <c r="FJR76" s="26"/>
      <c r="FJS76" s="26"/>
      <c r="FJT76" s="22"/>
      <c r="FJU76" s="167"/>
      <c r="FJV76" s="30"/>
      <c r="FJW76" s="25"/>
      <c r="FJX76" s="178"/>
      <c r="FJY76" s="26"/>
      <c r="FJZ76" s="26"/>
      <c r="FKA76" s="26"/>
      <c r="FKB76" s="26"/>
      <c r="FKC76" s="26"/>
      <c r="FKD76" s="26"/>
      <c r="FKE76" s="58"/>
      <c r="FKF76" s="26"/>
      <c r="FKG76" s="26"/>
      <c r="FKH76" s="26"/>
      <c r="FKI76" s="26"/>
      <c r="FKJ76" s="22"/>
      <c r="FKK76" s="167"/>
      <c r="FKL76" s="30"/>
      <c r="FKM76" s="25"/>
      <c r="FKN76" s="178"/>
      <c r="FKO76" s="26"/>
      <c r="FKP76" s="26"/>
      <c r="FKQ76" s="26"/>
      <c r="FKR76" s="26"/>
      <c r="FKS76" s="26"/>
      <c r="FKT76" s="26"/>
      <c r="FKU76" s="58"/>
      <c r="FKV76" s="26"/>
      <c r="FKW76" s="26"/>
      <c r="FKX76" s="26"/>
      <c r="FKY76" s="26"/>
      <c r="FKZ76" s="22"/>
      <c r="FLA76" s="167"/>
      <c r="FLB76" s="30"/>
      <c r="FLC76" s="25"/>
      <c r="FLD76" s="178"/>
      <c r="FLE76" s="26"/>
      <c r="FLF76" s="26"/>
      <c r="FLG76" s="26"/>
      <c r="FLH76" s="26"/>
      <c r="FLI76" s="26"/>
      <c r="FLJ76" s="26"/>
      <c r="FLK76" s="58"/>
      <c r="FLL76" s="26"/>
      <c r="FLM76" s="26"/>
      <c r="FLN76" s="26"/>
      <c r="FLO76" s="26"/>
      <c r="FLP76" s="22"/>
      <c r="FLQ76" s="167"/>
      <c r="FLR76" s="30"/>
      <c r="FLS76" s="25"/>
      <c r="FLT76" s="178"/>
      <c r="FLU76" s="26"/>
      <c r="FLV76" s="26"/>
      <c r="FLW76" s="26"/>
      <c r="FLX76" s="26"/>
      <c r="FLY76" s="26"/>
      <c r="FLZ76" s="26"/>
      <c r="FMA76" s="58"/>
      <c r="FMB76" s="26"/>
      <c r="FMC76" s="26"/>
      <c r="FMD76" s="26"/>
      <c r="FME76" s="26"/>
      <c r="FMF76" s="22"/>
      <c r="FMG76" s="167"/>
      <c r="FMH76" s="30"/>
      <c r="FMI76" s="25"/>
      <c r="FMJ76" s="178"/>
      <c r="FMK76" s="26"/>
      <c r="FML76" s="26"/>
      <c r="FMM76" s="26"/>
      <c r="FMN76" s="26"/>
      <c r="FMO76" s="26"/>
      <c r="FMP76" s="26"/>
      <c r="FMQ76" s="58"/>
      <c r="FMR76" s="26"/>
      <c r="FMS76" s="26"/>
      <c r="FMT76" s="26"/>
      <c r="FMU76" s="26"/>
      <c r="FMV76" s="22"/>
      <c r="FMW76" s="167"/>
      <c r="FMX76" s="30"/>
      <c r="FMY76" s="25"/>
      <c r="FMZ76" s="178"/>
      <c r="FNA76" s="26"/>
      <c r="FNB76" s="26"/>
      <c r="FNC76" s="26"/>
      <c r="FND76" s="26"/>
      <c r="FNE76" s="26"/>
      <c r="FNF76" s="26"/>
      <c r="FNG76" s="58"/>
      <c r="FNH76" s="26"/>
      <c r="FNI76" s="26"/>
      <c r="FNJ76" s="26"/>
      <c r="FNK76" s="26"/>
      <c r="FNL76" s="22"/>
      <c r="FNM76" s="167"/>
      <c r="FNN76" s="30"/>
      <c r="FNO76" s="25"/>
      <c r="FNP76" s="178"/>
      <c r="FNQ76" s="26"/>
      <c r="FNR76" s="26"/>
      <c r="FNS76" s="26"/>
      <c r="FNT76" s="26"/>
      <c r="FNU76" s="26"/>
      <c r="FNV76" s="26"/>
      <c r="FNW76" s="58"/>
      <c r="FNX76" s="26"/>
      <c r="FNY76" s="26"/>
      <c r="FNZ76" s="26"/>
      <c r="FOA76" s="26"/>
      <c r="FOB76" s="22"/>
      <c r="FOC76" s="167"/>
      <c r="FOD76" s="30"/>
      <c r="FOE76" s="25"/>
      <c r="FOF76" s="178"/>
      <c r="FOG76" s="26"/>
      <c r="FOH76" s="26"/>
      <c r="FOI76" s="26"/>
      <c r="FOJ76" s="26"/>
      <c r="FOK76" s="26"/>
      <c r="FOL76" s="26"/>
      <c r="FOM76" s="58"/>
      <c r="FON76" s="26"/>
      <c r="FOO76" s="26"/>
      <c r="FOP76" s="26"/>
      <c r="FOQ76" s="26"/>
      <c r="FOR76" s="22"/>
      <c r="FOS76" s="167"/>
      <c r="FOT76" s="30"/>
      <c r="FOU76" s="25"/>
      <c r="FOV76" s="178"/>
      <c r="FOW76" s="26"/>
      <c r="FOX76" s="26"/>
      <c r="FOY76" s="26"/>
      <c r="FOZ76" s="26"/>
      <c r="FPA76" s="26"/>
      <c r="FPB76" s="26"/>
      <c r="FPC76" s="58"/>
      <c r="FPD76" s="26"/>
      <c r="FPE76" s="26"/>
      <c r="FPF76" s="26"/>
      <c r="FPG76" s="26"/>
      <c r="FPH76" s="22"/>
      <c r="FPI76" s="167"/>
      <c r="FPJ76" s="30"/>
      <c r="FPK76" s="25"/>
      <c r="FPL76" s="178"/>
      <c r="FPM76" s="26"/>
      <c r="FPN76" s="26"/>
      <c r="FPO76" s="26"/>
      <c r="FPP76" s="26"/>
      <c r="FPQ76" s="26"/>
      <c r="FPR76" s="26"/>
      <c r="FPS76" s="58"/>
      <c r="FPT76" s="26"/>
      <c r="FPU76" s="26"/>
      <c r="FPV76" s="26"/>
      <c r="FPW76" s="26"/>
      <c r="FPX76" s="22"/>
      <c r="FPY76" s="167"/>
      <c r="FPZ76" s="30"/>
      <c r="FQA76" s="25"/>
      <c r="FQB76" s="178"/>
      <c r="FQC76" s="26"/>
      <c r="FQD76" s="26"/>
      <c r="FQE76" s="26"/>
      <c r="FQF76" s="26"/>
      <c r="FQG76" s="26"/>
      <c r="FQH76" s="26"/>
      <c r="FQI76" s="58"/>
      <c r="FQJ76" s="26"/>
      <c r="FQK76" s="26"/>
      <c r="FQL76" s="26"/>
      <c r="FQM76" s="26"/>
      <c r="FQN76" s="22"/>
      <c r="FQO76" s="167"/>
      <c r="FQP76" s="30"/>
      <c r="FQQ76" s="25"/>
      <c r="FQR76" s="178"/>
      <c r="FQS76" s="26"/>
      <c r="FQT76" s="26"/>
      <c r="FQU76" s="26"/>
      <c r="FQV76" s="26"/>
      <c r="FQW76" s="26"/>
      <c r="FQX76" s="26"/>
      <c r="FQY76" s="58"/>
      <c r="FQZ76" s="26"/>
      <c r="FRA76" s="26"/>
      <c r="FRB76" s="26"/>
      <c r="FRC76" s="26"/>
      <c r="FRD76" s="22"/>
      <c r="FRE76" s="167"/>
      <c r="FRF76" s="30"/>
      <c r="FRG76" s="25"/>
      <c r="FRH76" s="178"/>
      <c r="FRI76" s="26"/>
      <c r="FRJ76" s="26"/>
      <c r="FRK76" s="26"/>
      <c r="FRL76" s="26"/>
      <c r="FRM76" s="26"/>
      <c r="FRN76" s="26"/>
      <c r="FRO76" s="58"/>
      <c r="FRP76" s="26"/>
      <c r="FRQ76" s="26"/>
      <c r="FRR76" s="26"/>
      <c r="FRS76" s="26"/>
      <c r="FRT76" s="22"/>
      <c r="FRU76" s="167"/>
      <c r="FRV76" s="30"/>
      <c r="FRW76" s="25"/>
      <c r="FRX76" s="178"/>
      <c r="FRY76" s="26"/>
      <c r="FRZ76" s="26"/>
      <c r="FSA76" s="26"/>
      <c r="FSB76" s="26"/>
      <c r="FSC76" s="26"/>
      <c r="FSD76" s="26"/>
      <c r="FSE76" s="58"/>
      <c r="FSF76" s="26"/>
      <c r="FSG76" s="26"/>
      <c r="FSH76" s="26"/>
      <c r="FSI76" s="26"/>
      <c r="FSJ76" s="22"/>
      <c r="FSK76" s="167"/>
      <c r="FSL76" s="30"/>
      <c r="FSM76" s="25"/>
      <c r="FSN76" s="178"/>
      <c r="FSO76" s="26"/>
      <c r="FSP76" s="26"/>
      <c r="FSQ76" s="26"/>
      <c r="FSR76" s="26"/>
      <c r="FSS76" s="26"/>
      <c r="FST76" s="26"/>
      <c r="FSU76" s="58"/>
      <c r="FSV76" s="26"/>
      <c r="FSW76" s="26"/>
      <c r="FSX76" s="26"/>
      <c r="FSY76" s="26"/>
      <c r="FSZ76" s="22"/>
      <c r="FTA76" s="167"/>
      <c r="FTB76" s="30"/>
      <c r="FTC76" s="25"/>
      <c r="FTD76" s="178"/>
      <c r="FTE76" s="26"/>
      <c r="FTF76" s="26"/>
      <c r="FTG76" s="26"/>
      <c r="FTH76" s="26"/>
      <c r="FTI76" s="26"/>
      <c r="FTJ76" s="26"/>
      <c r="FTK76" s="58"/>
      <c r="FTL76" s="26"/>
      <c r="FTM76" s="26"/>
      <c r="FTN76" s="26"/>
      <c r="FTO76" s="26"/>
      <c r="FTP76" s="22"/>
      <c r="FTQ76" s="167"/>
      <c r="FTR76" s="30"/>
      <c r="FTS76" s="25"/>
      <c r="FTT76" s="178"/>
      <c r="FTU76" s="26"/>
      <c r="FTV76" s="26"/>
      <c r="FTW76" s="26"/>
      <c r="FTX76" s="26"/>
      <c r="FTY76" s="26"/>
      <c r="FTZ76" s="26"/>
      <c r="FUA76" s="58"/>
      <c r="FUB76" s="26"/>
      <c r="FUC76" s="26"/>
      <c r="FUD76" s="26"/>
      <c r="FUE76" s="26"/>
      <c r="FUF76" s="22"/>
      <c r="FUG76" s="167"/>
      <c r="FUH76" s="30"/>
      <c r="FUI76" s="25"/>
      <c r="FUJ76" s="178"/>
      <c r="FUK76" s="26"/>
      <c r="FUL76" s="26"/>
      <c r="FUM76" s="26"/>
      <c r="FUN76" s="26"/>
      <c r="FUO76" s="26"/>
      <c r="FUP76" s="26"/>
      <c r="FUQ76" s="58"/>
      <c r="FUR76" s="26"/>
      <c r="FUS76" s="26"/>
      <c r="FUT76" s="26"/>
      <c r="FUU76" s="26"/>
      <c r="FUV76" s="22"/>
      <c r="FUW76" s="167"/>
      <c r="FUX76" s="30"/>
      <c r="FUY76" s="25"/>
      <c r="FUZ76" s="178"/>
      <c r="FVA76" s="26"/>
      <c r="FVB76" s="26"/>
      <c r="FVC76" s="26"/>
      <c r="FVD76" s="26"/>
      <c r="FVE76" s="26"/>
      <c r="FVF76" s="26"/>
      <c r="FVG76" s="58"/>
      <c r="FVH76" s="26"/>
      <c r="FVI76" s="26"/>
      <c r="FVJ76" s="26"/>
      <c r="FVK76" s="26"/>
      <c r="FVL76" s="22"/>
      <c r="FVM76" s="167"/>
      <c r="FVN76" s="30"/>
      <c r="FVO76" s="25"/>
      <c r="FVP76" s="178"/>
      <c r="FVQ76" s="26"/>
      <c r="FVR76" s="26"/>
      <c r="FVS76" s="26"/>
      <c r="FVT76" s="26"/>
      <c r="FVU76" s="26"/>
      <c r="FVV76" s="26"/>
      <c r="FVW76" s="58"/>
      <c r="FVX76" s="26"/>
      <c r="FVY76" s="26"/>
      <c r="FVZ76" s="26"/>
      <c r="FWA76" s="26"/>
      <c r="FWB76" s="22"/>
      <c r="FWC76" s="167"/>
      <c r="FWD76" s="30"/>
      <c r="FWE76" s="25"/>
      <c r="FWF76" s="178"/>
      <c r="FWG76" s="26"/>
      <c r="FWH76" s="26"/>
      <c r="FWI76" s="26"/>
      <c r="FWJ76" s="26"/>
      <c r="FWK76" s="26"/>
      <c r="FWL76" s="26"/>
      <c r="FWM76" s="58"/>
      <c r="FWN76" s="26"/>
      <c r="FWO76" s="26"/>
      <c r="FWP76" s="26"/>
      <c r="FWQ76" s="26"/>
      <c r="FWR76" s="22"/>
      <c r="FWS76" s="167"/>
      <c r="FWT76" s="30"/>
      <c r="FWU76" s="25"/>
      <c r="FWV76" s="178"/>
      <c r="FWW76" s="26"/>
      <c r="FWX76" s="26"/>
      <c r="FWY76" s="26"/>
      <c r="FWZ76" s="26"/>
      <c r="FXA76" s="26"/>
      <c r="FXB76" s="26"/>
      <c r="FXC76" s="58"/>
      <c r="FXD76" s="26"/>
      <c r="FXE76" s="26"/>
      <c r="FXF76" s="26"/>
      <c r="FXG76" s="26"/>
      <c r="FXH76" s="22"/>
      <c r="FXI76" s="167"/>
      <c r="FXJ76" s="30"/>
      <c r="FXK76" s="25"/>
      <c r="FXL76" s="178"/>
      <c r="FXM76" s="26"/>
      <c r="FXN76" s="26"/>
      <c r="FXO76" s="26"/>
      <c r="FXP76" s="26"/>
      <c r="FXQ76" s="26"/>
      <c r="FXR76" s="26"/>
      <c r="FXS76" s="58"/>
      <c r="FXT76" s="26"/>
      <c r="FXU76" s="26"/>
      <c r="FXV76" s="26"/>
      <c r="FXW76" s="26"/>
      <c r="FXX76" s="22"/>
      <c r="FXY76" s="167"/>
      <c r="FXZ76" s="30"/>
      <c r="FYA76" s="25"/>
      <c r="FYB76" s="178"/>
      <c r="FYC76" s="26"/>
      <c r="FYD76" s="26"/>
      <c r="FYE76" s="26"/>
      <c r="FYF76" s="26"/>
      <c r="FYG76" s="26"/>
      <c r="FYH76" s="26"/>
      <c r="FYI76" s="58"/>
      <c r="FYJ76" s="26"/>
      <c r="FYK76" s="26"/>
      <c r="FYL76" s="26"/>
      <c r="FYM76" s="26"/>
      <c r="FYN76" s="22"/>
      <c r="FYO76" s="167"/>
      <c r="FYP76" s="30"/>
      <c r="FYQ76" s="25"/>
      <c r="FYR76" s="178"/>
      <c r="FYS76" s="26"/>
      <c r="FYT76" s="26"/>
      <c r="FYU76" s="26"/>
      <c r="FYV76" s="26"/>
      <c r="FYW76" s="26"/>
      <c r="FYX76" s="26"/>
      <c r="FYY76" s="58"/>
      <c r="FYZ76" s="26"/>
      <c r="FZA76" s="26"/>
      <c r="FZB76" s="26"/>
      <c r="FZC76" s="26"/>
      <c r="FZD76" s="22"/>
      <c r="FZE76" s="167"/>
      <c r="FZF76" s="30"/>
      <c r="FZG76" s="25"/>
      <c r="FZH76" s="178"/>
      <c r="FZI76" s="26"/>
      <c r="FZJ76" s="26"/>
      <c r="FZK76" s="26"/>
      <c r="FZL76" s="26"/>
      <c r="FZM76" s="26"/>
      <c r="FZN76" s="26"/>
      <c r="FZO76" s="58"/>
      <c r="FZP76" s="26"/>
      <c r="FZQ76" s="26"/>
      <c r="FZR76" s="26"/>
      <c r="FZS76" s="26"/>
      <c r="FZT76" s="22"/>
      <c r="FZU76" s="167"/>
      <c r="FZV76" s="30"/>
      <c r="FZW76" s="25"/>
      <c r="FZX76" s="178"/>
      <c r="FZY76" s="26"/>
      <c r="FZZ76" s="26"/>
      <c r="GAA76" s="26"/>
      <c r="GAB76" s="26"/>
      <c r="GAC76" s="26"/>
      <c r="GAD76" s="26"/>
      <c r="GAE76" s="58"/>
      <c r="GAF76" s="26"/>
      <c r="GAG76" s="26"/>
      <c r="GAH76" s="26"/>
      <c r="GAI76" s="26"/>
      <c r="GAJ76" s="22"/>
      <c r="GAK76" s="167"/>
      <c r="GAL76" s="30"/>
      <c r="GAM76" s="25"/>
      <c r="GAN76" s="178"/>
      <c r="GAO76" s="26"/>
      <c r="GAP76" s="26"/>
      <c r="GAQ76" s="26"/>
      <c r="GAR76" s="26"/>
      <c r="GAS76" s="26"/>
      <c r="GAT76" s="26"/>
      <c r="GAU76" s="58"/>
      <c r="GAV76" s="26"/>
      <c r="GAW76" s="26"/>
      <c r="GAX76" s="26"/>
      <c r="GAY76" s="26"/>
      <c r="GAZ76" s="22"/>
      <c r="GBA76" s="167"/>
      <c r="GBB76" s="30"/>
      <c r="GBC76" s="25"/>
      <c r="GBD76" s="178"/>
      <c r="GBE76" s="26"/>
      <c r="GBF76" s="26"/>
      <c r="GBG76" s="26"/>
      <c r="GBH76" s="26"/>
      <c r="GBI76" s="26"/>
      <c r="GBJ76" s="26"/>
      <c r="GBK76" s="58"/>
      <c r="GBL76" s="26"/>
      <c r="GBM76" s="26"/>
      <c r="GBN76" s="26"/>
      <c r="GBO76" s="26"/>
      <c r="GBP76" s="22"/>
      <c r="GBQ76" s="167"/>
      <c r="GBR76" s="30"/>
      <c r="GBS76" s="25"/>
      <c r="GBT76" s="178"/>
      <c r="GBU76" s="26"/>
      <c r="GBV76" s="26"/>
      <c r="GBW76" s="26"/>
      <c r="GBX76" s="26"/>
      <c r="GBY76" s="26"/>
      <c r="GBZ76" s="26"/>
      <c r="GCA76" s="58"/>
      <c r="GCB76" s="26"/>
      <c r="GCC76" s="26"/>
      <c r="GCD76" s="26"/>
      <c r="GCE76" s="26"/>
      <c r="GCF76" s="22"/>
      <c r="GCG76" s="167"/>
      <c r="GCH76" s="30"/>
      <c r="GCI76" s="25"/>
      <c r="GCJ76" s="178"/>
      <c r="GCK76" s="26"/>
      <c r="GCL76" s="26"/>
      <c r="GCM76" s="26"/>
      <c r="GCN76" s="26"/>
      <c r="GCO76" s="26"/>
      <c r="GCP76" s="26"/>
      <c r="GCQ76" s="58"/>
      <c r="GCR76" s="26"/>
      <c r="GCS76" s="26"/>
      <c r="GCT76" s="26"/>
      <c r="GCU76" s="26"/>
      <c r="GCV76" s="22"/>
      <c r="GCW76" s="167"/>
      <c r="GCX76" s="30"/>
      <c r="GCY76" s="25"/>
      <c r="GCZ76" s="178"/>
      <c r="GDA76" s="26"/>
      <c r="GDB76" s="26"/>
      <c r="GDC76" s="26"/>
      <c r="GDD76" s="26"/>
      <c r="GDE76" s="26"/>
      <c r="GDF76" s="26"/>
      <c r="GDG76" s="58"/>
      <c r="GDH76" s="26"/>
      <c r="GDI76" s="26"/>
      <c r="GDJ76" s="26"/>
      <c r="GDK76" s="26"/>
      <c r="GDL76" s="22"/>
      <c r="GDM76" s="167"/>
      <c r="GDN76" s="30"/>
      <c r="GDO76" s="25"/>
      <c r="GDP76" s="178"/>
      <c r="GDQ76" s="26"/>
      <c r="GDR76" s="26"/>
      <c r="GDS76" s="26"/>
      <c r="GDT76" s="26"/>
      <c r="GDU76" s="26"/>
      <c r="GDV76" s="26"/>
      <c r="GDW76" s="58"/>
      <c r="GDX76" s="26"/>
      <c r="GDY76" s="26"/>
      <c r="GDZ76" s="26"/>
      <c r="GEA76" s="26"/>
      <c r="GEB76" s="22"/>
      <c r="GEC76" s="167"/>
      <c r="GED76" s="30"/>
      <c r="GEE76" s="25"/>
      <c r="GEF76" s="178"/>
      <c r="GEG76" s="26"/>
      <c r="GEH76" s="26"/>
      <c r="GEI76" s="26"/>
      <c r="GEJ76" s="26"/>
      <c r="GEK76" s="26"/>
      <c r="GEL76" s="26"/>
      <c r="GEM76" s="58"/>
      <c r="GEN76" s="26"/>
      <c r="GEO76" s="26"/>
      <c r="GEP76" s="26"/>
      <c r="GEQ76" s="26"/>
      <c r="GER76" s="22"/>
      <c r="GES76" s="167"/>
      <c r="GET76" s="30"/>
      <c r="GEU76" s="25"/>
      <c r="GEV76" s="178"/>
      <c r="GEW76" s="26"/>
      <c r="GEX76" s="26"/>
      <c r="GEY76" s="26"/>
      <c r="GEZ76" s="26"/>
      <c r="GFA76" s="26"/>
      <c r="GFB76" s="26"/>
      <c r="GFC76" s="58"/>
      <c r="GFD76" s="26"/>
      <c r="GFE76" s="26"/>
      <c r="GFF76" s="26"/>
      <c r="GFG76" s="26"/>
      <c r="GFH76" s="22"/>
      <c r="GFI76" s="167"/>
      <c r="GFJ76" s="30"/>
      <c r="GFK76" s="25"/>
      <c r="GFL76" s="178"/>
      <c r="GFM76" s="26"/>
      <c r="GFN76" s="26"/>
      <c r="GFO76" s="26"/>
      <c r="GFP76" s="26"/>
      <c r="GFQ76" s="26"/>
      <c r="GFR76" s="26"/>
      <c r="GFS76" s="58"/>
      <c r="GFT76" s="26"/>
      <c r="GFU76" s="26"/>
      <c r="GFV76" s="26"/>
      <c r="GFW76" s="26"/>
      <c r="GFX76" s="22"/>
      <c r="GFY76" s="167"/>
      <c r="GFZ76" s="30"/>
      <c r="GGA76" s="25"/>
      <c r="GGB76" s="178"/>
      <c r="GGC76" s="26"/>
      <c r="GGD76" s="26"/>
      <c r="GGE76" s="26"/>
      <c r="GGF76" s="26"/>
      <c r="GGG76" s="26"/>
      <c r="GGH76" s="26"/>
      <c r="GGI76" s="58"/>
      <c r="GGJ76" s="26"/>
      <c r="GGK76" s="26"/>
      <c r="GGL76" s="26"/>
      <c r="GGM76" s="26"/>
      <c r="GGN76" s="22"/>
      <c r="GGO76" s="167"/>
      <c r="GGP76" s="30"/>
      <c r="GGQ76" s="25"/>
      <c r="GGR76" s="178"/>
      <c r="GGS76" s="26"/>
      <c r="GGT76" s="26"/>
      <c r="GGU76" s="26"/>
      <c r="GGV76" s="26"/>
      <c r="GGW76" s="26"/>
      <c r="GGX76" s="26"/>
      <c r="GGY76" s="58"/>
      <c r="GGZ76" s="26"/>
      <c r="GHA76" s="26"/>
      <c r="GHB76" s="26"/>
      <c r="GHC76" s="26"/>
      <c r="GHD76" s="22"/>
      <c r="GHE76" s="167"/>
      <c r="GHF76" s="30"/>
      <c r="GHG76" s="25"/>
      <c r="GHH76" s="178"/>
      <c r="GHI76" s="26"/>
      <c r="GHJ76" s="26"/>
      <c r="GHK76" s="26"/>
      <c r="GHL76" s="26"/>
      <c r="GHM76" s="26"/>
      <c r="GHN76" s="26"/>
      <c r="GHO76" s="58"/>
      <c r="GHP76" s="26"/>
      <c r="GHQ76" s="26"/>
      <c r="GHR76" s="26"/>
      <c r="GHS76" s="26"/>
      <c r="GHT76" s="22"/>
      <c r="GHU76" s="167"/>
      <c r="GHV76" s="30"/>
      <c r="GHW76" s="25"/>
      <c r="GHX76" s="178"/>
      <c r="GHY76" s="26"/>
      <c r="GHZ76" s="26"/>
      <c r="GIA76" s="26"/>
      <c r="GIB76" s="26"/>
      <c r="GIC76" s="26"/>
      <c r="GID76" s="26"/>
      <c r="GIE76" s="58"/>
      <c r="GIF76" s="26"/>
      <c r="GIG76" s="26"/>
      <c r="GIH76" s="26"/>
      <c r="GII76" s="26"/>
      <c r="GIJ76" s="22"/>
      <c r="GIK76" s="167"/>
      <c r="GIL76" s="30"/>
      <c r="GIM76" s="25"/>
      <c r="GIN76" s="178"/>
      <c r="GIO76" s="26"/>
      <c r="GIP76" s="26"/>
      <c r="GIQ76" s="26"/>
      <c r="GIR76" s="26"/>
      <c r="GIS76" s="26"/>
      <c r="GIT76" s="26"/>
      <c r="GIU76" s="58"/>
      <c r="GIV76" s="26"/>
      <c r="GIW76" s="26"/>
      <c r="GIX76" s="26"/>
      <c r="GIY76" s="26"/>
      <c r="GIZ76" s="22"/>
      <c r="GJA76" s="167"/>
      <c r="GJB76" s="30"/>
      <c r="GJC76" s="25"/>
      <c r="GJD76" s="178"/>
      <c r="GJE76" s="26"/>
      <c r="GJF76" s="26"/>
      <c r="GJG76" s="26"/>
      <c r="GJH76" s="26"/>
      <c r="GJI76" s="26"/>
      <c r="GJJ76" s="26"/>
      <c r="GJK76" s="58"/>
      <c r="GJL76" s="26"/>
      <c r="GJM76" s="26"/>
      <c r="GJN76" s="26"/>
      <c r="GJO76" s="26"/>
      <c r="GJP76" s="22"/>
      <c r="GJQ76" s="167"/>
      <c r="GJR76" s="30"/>
      <c r="GJS76" s="25"/>
      <c r="GJT76" s="178"/>
      <c r="GJU76" s="26"/>
      <c r="GJV76" s="26"/>
      <c r="GJW76" s="26"/>
      <c r="GJX76" s="26"/>
      <c r="GJY76" s="26"/>
      <c r="GJZ76" s="26"/>
      <c r="GKA76" s="58"/>
      <c r="GKB76" s="26"/>
      <c r="GKC76" s="26"/>
      <c r="GKD76" s="26"/>
      <c r="GKE76" s="26"/>
      <c r="GKF76" s="22"/>
      <c r="GKG76" s="167"/>
      <c r="GKH76" s="30"/>
      <c r="GKI76" s="25"/>
      <c r="GKJ76" s="178"/>
      <c r="GKK76" s="26"/>
      <c r="GKL76" s="26"/>
      <c r="GKM76" s="26"/>
      <c r="GKN76" s="26"/>
      <c r="GKO76" s="26"/>
      <c r="GKP76" s="26"/>
      <c r="GKQ76" s="58"/>
      <c r="GKR76" s="26"/>
      <c r="GKS76" s="26"/>
      <c r="GKT76" s="26"/>
      <c r="GKU76" s="26"/>
      <c r="GKV76" s="22"/>
      <c r="GKW76" s="167"/>
      <c r="GKX76" s="30"/>
      <c r="GKY76" s="25"/>
      <c r="GKZ76" s="178"/>
      <c r="GLA76" s="26"/>
      <c r="GLB76" s="26"/>
      <c r="GLC76" s="26"/>
      <c r="GLD76" s="26"/>
      <c r="GLE76" s="26"/>
      <c r="GLF76" s="26"/>
      <c r="GLG76" s="58"/>
      <c r="GLH76" s="26"/>
      <c r="GLI76" s="26"/>
      <c r="GLJ76" s="26"/>
      <c r="GLK76" s="26"/>
      <c r="GLL76" s="22"/>
      <c r="GLM76" s="167"/>
      <c r="GLN76" s="30"/>
      <c r="GLO76" s="25"/>
      <c r="GLP76" s="178"/>
      <c r="GLQ76" s="26"/>
      <c r="GLR76" s="26"/>
      <c r="GLS76" s="26"/>
      <c r="GLT76" s="26"/>
      <c r="GLU76" s="26"/>
      <c r="GLV76" s="26"/>
      <c r="GLW76" s="58"/>
      <c r="GLX76" s="26"/>
      <c r="GLY76" s="26"/>
      <c r="GLZ76" s="26"/>
      <c r="GMA76" s="26"/>
      <c r="GMB76" s="22"/>
      <c r="GMC76" s="167"/>
      <c r="GMD76" s="30"/>
      <c r="GME76" s="25"/>
      <c r="GMF76" s="178"/>
      <c r="GMG76" s="26"/>
      <c r="GMH76" s="26"/>
      <c r="GMI76" s="26"/>
      <c r="GMJ76" s="26"/>
      <c r="GMK76" s="26"/>
      <c r="GML76" s="26"/>
      <c r="GMM76" s="58"/>
      <c r="GMN76" s="26"/>
      <c r="GMO76" s="26"/>
      <c r="GMP76" s="26"/>
      <c r="GMQ76" s="26"/>
      <c r="GMR76" s="22"/>
      <c r="GMS76" s="167"/>
      <c r="GMT76" s="30"/>
      <c r="GMU76" s="25"/>
      <c r="GMV76" s="178"/>
      <c r="GMW76" s="26"/>
      <c r="GMX76" s="26"/>
      <c r="GMY76" s="26"/>
      <c r="GMZ76" s="26"/>
      <c r="GNA76" s="26"/>
      <c r="GNB76" s="26"/>
      <c r="GNC76" s="58"/>
      <c r="GND76" s="26"/>
      <c r="GNE76" s="26"/>
      <c r="GNF76" s="26"/>
      <c r="GNG76" s="26"/>
      <c r="GNH76" s="22"/>
      <c r="GNI76" s="167"/>
      <c r="GNJ76" s="30"/>
      <c r="GNK76" s="25"/>
      <c r="GNL76" s="178"/>
      <c r="GNM76" s="26"/>
      <c r="GNN76" s="26"/>
      <c r="GNO76" s="26"/>
      <c r="GNP76" s="26"/>
      <c r="GNQ76" s="26"/>
      <c r="GNR76" s="26"/>
      <c r="GNS76" s="58"/>
      <c r="GNT76" s="26"/>
      <c r="GNU76" s="26"/>
      <c r="GNV76" s="26"/>
      <c r="GNW76" s="26"/>
      <c r="GNX76" s="22"/>
      <c r="GNY76" s="167"/>
      <c r="GNZ76" s="30"/>
      <c r="GOA76" s="25"/>
      <c r="GOB76" s="178"/>
      <c r="GOC76" s="26"/>
      <c r="GOD76" s="26"/>
      <c r="GOE76" s="26"/>
      <c r="GOF76" s="26"/>
      <c r="GOG76" s="26"/>
      <c r="GOH76" s="26"/>
      <c r="GOI76" s="58"/>
      <c r="GOJ76" s="26"/>
      <c r="GOK76" s="26"/>
      <c r="GOL76" s="26"/>
      <c r="GOM76" s="26"/>
      <c r="GON76" s="22"/>
      <c r="GOO76" s="167"/>
      <c r="GOP76" s="30"/>
      <c r="GOQ76" s="25"/>
      <c r="GOR76" s="178"/>
      <c r="GOS76" s="26"/>
      <c r="GOT76" s="26"/>
      <c r="GOU76" s="26"/>
      <c r="GOV76" s="26"/>
      <c r="GOW76" s="26"/>
      <c r="GOX76" s="26"/>
      <c r="GOY76" s="58"/>
      <c r="GOZ76" s="26"/>
      <c r="GPA76" s="26"/>
      <c r="GPB76" s="26"/>
      <c r="GPC76" s="26"/>
      <c r="GPD76" s="22"/>
      <c r="GPE76" s="167"/>
      <c r="GPF76" s="30"/>
      <c r="GPG76" s="25"/>
      <c r="GPH76" s="178"/>
      <c r="GPI76" s="26"/>
      <c r="GPJ76" s="26"/>
      <c r="GPK76" s="26"/>
      <c r="GPL76" s="26"/>
      <c r="GPM76" s="26"/>
      <c r="GPN76" s="26"/>
      <c r="GPO76" s="58"/>
      <c r="GPP76" s="26"/>
      <c r="GPQ76" s="26"/>
      <c r="GPR76" s="26"/>
      <c r="GPS76" s="26"/>
      <c r="GPT76" s="22"/>
      <c r="GPU76" s="167"/>
      <c r="GPV76" s="30"/>
      <c r="GPW76" s="25"/>
      <c r="GPX76" s="178"/>
      <c r="GPY76" s="26"/>
      <c r="GPZ76" s="26"/>
      <c r="GQA76" s="26"/>
      <c r="GQB76" s="26"/>
      <c r="GQC76" s="26"/>
      <c r="GQD76" s="26"/>
      <c r="GQE76" s="58"/>
      <c r="GQF76" s="26"/>
      <c r="GQG76" s="26"/>
      <c r="GQH76" s="26"/>
      <c r="GQI76" s="26"/>
      <c r="GQJ76" s="22"/>
      <c r="GQK76" s="167"/>
      <c r="GQL76" s="30"/>
      <c r="GQM76" s="25"/>
      <c r="GQN76" s="178"/>
      <c r="GQO76" s="26"/>
      <c r="GQP76" s="26"/>
      <c r="GQQ76" s="26"/>
      <c r="GQR76" s="26"/>
      <c r="GQS76" s="26"/>
      <c r="GQT76" s="26"/>
      <c r="GQU76" s="58"/>
      <c r="GQV76" s="26"/>
      <c r="GQW76" s="26"/>
      <c r="GQX76" s="26"/>
      <c r="GQY76" s="26"/>
      <c r="GQZ76" s="22"/>
      <c r="GRA76" s="167"/>
      <c r="GRB76" s="30"/>
      <c r="GRC76" s="25"/>
      <c r="GRD76" s="178"/>
      <c r="GRE76" s="26"/>
      <c r="GRF76" s="26"/>
      <c r="GRG76" s="26"/>
      <c r="GRH76" s="26"/>
      <c r="GRI76" s="26"/>
      <c r="GRJ76" s="26"/>
      <c r="GRK76" s="58"/>
      <c r="GRL76" s="26"/>
      <c r="GRM76" s="26"/>
      <c r="GRN76" s="26"/>
      <c r="GRO76" s="26"/>
      <c r="GRP76" s="22"/>
      <c r="GRQ76" s="167"/>
      <c r="GRR76" s="30"/>
      <c r="GRS76" s="25"/>
      <c r="GRT76" s="178"/>
      <c r="GRU76" s="26"/>
      <c r="GRV76" s="26"/>
      <c r="GRW76" s="26"/>
      <c r="GRX76" s="26"/>
      <c r="GRY76" s="26"/>
      <c r="GRZ76" s="26"/>
      <c r="GSA76" s="58"/>
      <c r="GSB76" s="26"/>
      <c r="GSC76" s="26"/>
      <c r="GSD76" s="26"/>
      <c r="GSE76" s="26"/>
      <c r="GSF76" s="22"/>
      <c r="GSG76" s="167"/>
      <c r="GSH76" s="30"/>
      <c r="GSI76" s="25"/>
      <c r="GSJ76" s="178"/>
      <c r="GSK76" s="26"/>
      <c r="GSL76" s="26"/>
      <c r="GSM76" s="26"/>
      <c r="GSN76" s="26"/>
      <c r="GSO76" s="26"/>
      <c r="GSP76" s="26"/>
      <c r="GSQ76" s="58"/>
      <c r="GSR76" s="26"/>
      <c r="GSS76" s="26"/>
      <c r="GST76" s="26"/>
      <c r="GSU76" s="26"/>
      <c r="GSV76" s="22"/>
      <c r="GSW76" s="167"/>
      <c r="GSX76" s="30"/>
      <c r="GSY76" s="25"/>
      <c r="GSZ76" s="178"/>
      <c r="GTA76" s="26"/>
      <c r="GTB76" s="26"/>
      <c r="GTC76" s="26"/>
      <c r="GTD76" s="26"/>
      <c r="GTE76" s="26"/>
      <c r="GTF76" s="26"/>
      <c r="GTG76" s="58"/>
      <c r="GTH76" s="26"/>
      <c r="GTI76" s="26"/>
      <c r="GTJ76" s="26"/>
      <c r="GTK76" s="26"/>
      <c r="GTL76" s="22"/>
      <c r="GTM76" s="167"/>
      <c r="GTN76" s="30"/>
      <c r="GTO76" s="25"/>
      <c r="GTP76" s="178"/>
      <c r="GTQ76" s="26"/>
      <c r="GTR76" s="26"/>
      <c r="GTS76" s="26"/>
      <c r="GTT76" s="26"/>
      <c r="GTU76" s="26"/>
      <c r="GTV76" s="26"/>
      <c r="GTW76" s="58"/>
      <c r="GTX76" s="26"/>
      <c r="GTY76" s="26"/>
      <c r="GTZ76" s="26"/>
      <c r="GUA76" s="26"/>
      <c r="GUB76" s="22"/>
      <c r="GUC76" s="167"/>
      <c r="GUD76" s="30"/>
      <c r="GUE76" s="25"/>
      <c r="GUF76" s="178"/>
      <c r="GUG76" s="26"/>
      <c r="GUH76" s="26"/>
      <c r="GUI76" s="26"/>
      <c r="GUJ76" s="26"/>
      <c r="GUK76" s="26"/>
      <c r="GUL76" s="26"/>
      <c r="GUM76" s="58"/>
      <c r="GUN76" s="26"/>
      <c r="GUO76" s="26"/>
      <c r="GUP76" s="26"/>
      <c r="GUQ76" s="26"/>
      <c r="GUR76" s="22"/>
      <c r="GUS76" s="167"/>
      <c r="GUT76" s="30"/>
      <c r="GUU76" s="25"/>
      <c r="GUV76" s="178"/>
      <c r="GUW76" s="26"/>
      <c r="GUX76" s="26"/>
      <c r="GUY76" s="26"/>
      <c r="GUZ76" s="26"/>
      <c r="GVA76" s="26"/>
      <c r="GVB76" s="26"/>
      <c r="GVC76" s="58"/>
      <c r="GVD76" s="26"/>
      <c r="GVE76" s="26"/>
      <c r="GVF76" s="26"/>
      <c r="GVG76" s="26"/>
      <c r="GVH76" s="22"/>
      <c r="GVI76" s="167"/>
      <c r="GVJ76" s="30"/>
      <c r="GVK76" s="25"/>
      <c r="GVL76" s="178"/>
      <c r="GVM76" s="26"/>
      <c r="GVN76" s="26"/>
      <c r="GVO76" s="26"/>
      <c r="GVP76" s="26"/>
      <c r="GVQ76" s="26"/>
      <c r="GVR76" s="26"/>
      <c r="GVS76" s="58"/>
      <c r="GVT76" s="26"/>
      <c r="GVU76" s="26"/>
      <c r="GVV76" s="26"/>
      <c r="GVW76" s="26"/>
      <c r="GVX76" s="22"/>
      <c r="GVY76" s="167"/>
      <c r="GVZ76" s="30"/>
      <c r="GWA76" s="25"/>
      <c r="GWB76" s="178"/>
      <c r="GWC76" s="26"/>
      <c r="GWD76" s="26"/>
      <c r="GWE76" s="26"/>
      <c r="GWF76" s="26"/>
      <c r="GWG76" s="26"/>
      <c r="GWH76" s="26"/>
      <c r="GWI76" s="58"/>
      <c r="GWJ76" s="26"/>
      <c r="GWK76" s="26"/>
      <c r="GWL76" s="26"/>
      <c r="GWM76" s="26"/>
      <c r="GWN76" s="22"/>
      <c r="GWO76" s="167"/>
      <c r="GWP76" s="30"/>
      <c r="GWQ76" s="25"/>
      <c r="GWR76" s="178"/>
      <c r="GWS76" s="26"/>
      <c r="GWT76" s="26"/>
      <c r="GWU76" s="26"/>
      <c r="GWV76" s="26"/>
      <c r="GWW76" s="26"/>
      <c r="GWX76" s="26"/>
      <c r="GWY76" s="58"/>
      <c r="GWZ76" s="26"/>
      <c r="GXA76" s="26"/>
      <c r="GXB76" s="26"/>
      <c r="GXC76" s="26"/>
      <c r="GXD76" s="22"/>
      <c r="GXE76" s="167"/>
      <c r="GXF76" s="30"/>
      <c r="GXG76" s="25"/>
      <c r="GXH76" s="178"/>
      <c r="GXI76" s="26"/>
      <c r="GXJ76" s="26"/>
      <c r="GXK76" s="26"/>
      <c r="GXL76" s="26"/>
      <c r="GXM76" s="26"/>
      <c r="GXN76" s="26"/>
      <c r="GXO76" s="58"/>
      <c r="GXP76" s="26"/>
      <c r="GXQ76" s="26"/>
      <c r="GXR76" s="26"/>
      <c r="GXS76" s="26"/>
      <c r="GXT76" s="22"/>
      <c r="GXU76" s="167"/>
      <c r="GXV76" s="30"/>
      <c r="GXW76" s="25"/>
      <c r="GXX76" s="178"/>
      <c r="GXY76" s="26"/>
      <c r="GXZ76" s="26"/>
      <c r="GYA76" s="26"/>
      <c r="GYB76" s="26"/>
      <c r="GYC76" s="26"/>
      <c r="GYD76" s="26"/>
      <c r="GYE76" s="58"/>
      <c r="GYF76" s="26"/>
      <c r="GYG76" s="26"/>
      <c r="GYH76" s="26"/>
      <c r="GYI76" s="26"/>
      <c r="GYJ76" s="22"/>
      <c r="GYK76" s="167"/>
      <c r="GYL76" s="30"/>
      <c r="GYM76" s="25"/>
      <c r="GYN76" s="178"/>
      <c r="GYO76" s="26"/>
      <c r="GYP76" s="26"/>
      <c r="GYQ76" s="26"/>
      <c r="GYR76" s="26"/>
      <c r="GYS76" s="26"/>
      <c r="GYT76" s="26"/>
      <c r="GYU76" s="58"/>
      <c r="GYV76" s="26"/>
      <c r="GYW76" s="26"/>
      <c r="GYX76" s="26"/>
      <c r="GYY76" s="26"/>
      <c r="GYZ76" s="22"/>
      <c r="GZA76" s="167"/>
      <c r="GZB76" s="30"/>
      <c r="GZC76" s="25"/>
      <c r="GZD76" s="178"/>
      <c r="GZE76" s="26"/>
      <c r="GZF76" s="26"/>
      <c r="GZG76" s="26"/>
      <c r="GZH76" s="26"/>
      <c r="GZI76" s="26"/>
      <c r="GZJ76" s="26"/>
      <c r="GZK76" s="58"/>
      <c r="GZL76" s="26"/>
      <c r="GZM76" s="26"/>
      <c r="GZN76" s="26"/>
      <c r="GZO76" s="26"/>
      <c r="GZP76" s="22"/>
      <c r="GZQ76" s="167"/>
      <c r="GZR76" s="30"/>
      <c r="GZS76" s="25"/>
      <c r="GZT76" s="178"/>
      <c r="GZU76" s="26"/>
      <c r="GZV76" s="26"/>
      <c r="GZW76" s="26"/>
      <c r="GZX76" s="26"/>
      <c r="GZY76" s="26"/>
      <c r="GZZ76" s="26"/>
      <c r="HAA76" s="58"/>
      <c r="HAB76" s="26"/>
      <c r="HAC76" s="26"/>
      <c r="HAD76" s="26"/>
      <c r="HAE76" s="26"/>
      <c r="HAF76" s="22"/>
      <c r="HAG76" s="167"/>
      <c r="HAH76" s="30"/>
      <c r="HAI76" s="25"/>
      <c r="HAJ76" s="178"/>
      <c r="HAK76" s="26"/>
      <c r="HAL76" s="26"/>
      <c r="HAM76" s="26"/>
      <c r="HAN76" s="26"/>
      <c r="HAO76" s="26"/>
      <c r="HAP76" s="26"/>
      <c r="HAQ76" s="58"/>
      <c r="HAR76" s="26"/>
      <c r="HAS76" s="26"/>
      <c r="HAT76" s="26"/>
      <c r="HAU76" s="26"/>
      <c r="HAV76" s="22"/>
      <c r="HAW76" s="167"/>
      <c r="HAX76" s="30"/>
      <c r="HAY76" s="25"/>
      <c r="HAZ76" s="178"/>
      <c r="HBA76" s="26"/>
      <c r="HBB76" s="26"/>
      <c r="HBC76" s="26"/>
      <c r="HBD76" s="26"/>
      <c r="HBE76" s="26"/>
      <c r="HBF76" s="26"/>
      <c r="HBG76" s="58"/>
      <c r="HBH76" s="26"/>
      <c r="HBI76" s="26"/>
      <c r="HBJ76" s="26"/>
      <c r="HBK76" s="26"/>
      <c r="HBL76" s="22"/>
      <c r="HBM76" s="167"/>
      <c r="HBN76" s="30"/>
      <c r="HBO76" s="25"/>
      <c r="HBP76" s="178"/>
      <c r="HBQ76" s="26"/>
      <c r="HBR76" s="26"/>
      <c r="HBS76" s="26"/>
      <c r="HBT76" s="26"/>
      <c r="HBU76" s="26"/>
      <c r="HBV76" s="26"/>
      <c r="HBW76" s="58"/>
      <c r="HBX76" s="26"/>
      <c r="HBY76" s="26"/>
      <c r="HBZ76" s="26"/>
      <c r="HCA76" s="26"/>
      <c r="HCB76" s="22"/>
      <c r="HCC76" s="167"/>
      <c r="HCD76" s="30"/>
      <c r="HCE76" s="25"/>
      <c r="HCF76" s="178"/>
      <c r="HCG76" s="26"/>
      <c r="HCH76" s="26"/>
      <c r="HCI76" s="26"/>
      <c r="HCJ76" s="26"/>
      <c r="HCK76" s="26"/>
      <c r="HCL76" s="26"/>
      <c r="HCM76" s="58"/>
      <c r="HCN76" s="26"/>
      <c r="HCO76" s="26"/>
      <c r="HCP76" s="26"/>
      <c r="HCQ76" s="26"/>
      <c r="HCR76" s="22"/>
      <c r="HCS76" s="167"/>
      <c r="HCT76" s="30"/>
      <c r="HCU76" s="25"/>
      <c r="HCV76" s="178"/>
      <c r="HCW76" s="26"/>
      <c r="HCX76" s="26"/>
      <c r="HCY76" s="26"/>
      <c r="HCZ76" s="26"/>
      <c r="HDA76" s="26"/>
      <c r="HDB76" s="26"/>
      <c r="HDC76" s="58"/>
      <c r="HDD76" s="26"/>
      <c r="HDE76" s="26"/>
      <c r="HDF76" s="26"/>
      <c r="HDG76" s="26"/>
      <c r="HDH76" s="22"/>
      <c r="HDI76" s="167"/>
      <c r="HDJ76" s="30"/>
      <c r="HDK76" s="25"/>
      <c r="HDL76" s="178"/>
      <c r="HDM76" s="26"/>
      <c r="HDN76" s="26"/>
      <c r="HDO76" s="26"/>
      <c r="HDP76" s="26"/>
      <c r="HDQ76" s="26"/>
      <c r="HDR76" s="26"/>
      <c r="HDS76" s="58"/>
      <c r="HDT76" s="26"/>
      <c r="HDU76" s="26"/>
      <c r="HDV76" s="26"/>
      <c r="HDW76" s="26"/>
      <c r="HDX76" s="22"/>
      <c r="HDY76" s="167"/>
      <c r="HDZ76" s="30"/>
      <c r="HEA76" s="25"/>
      <c r="HEB76" s="178"/>
      <c r="HEC76" s="26"/>
      <c r="HED76" s="26"/>
      <c r="HEE76" s="26"/>
      <c r="HEF76" s="26"/>
      <c r="HEG76" s="26"/>
      <c r="HEH76" s="26"/>
      <c r="HEI76" s="58"/>
      <c r="HEJ76" s="26"/>
      <c r="HEK76" s="26"/>
      <c r="HEL76" s="26"/>
      <c r="HEM76" s="26"/>
      <c r="HEN76" s="22"/>
      <c r="HEO76" s="167"/>
      <c r="HEP76" s="30"/>
      <c r="HEQ76" s="25"/>
      <c r="HER76" s="178"/>
      <c r="HES76" s="26"/>
      <c r="HET76" s="26"/>
      <c r="HEU76" s="26"/>
      <c r="HEV76" s="26"/>
      <c r="HEW76" s="26"/>
      <c r="HEX76" s="26"/>
      <c r="HEY76" s="58"/>
      <c r="HEZ76" s="26"/>
      <c r="HFA76" s="26"/>
      <c r="HFB76" s="26"/>
      <c r="HFC76" s="26"/>
      <c r="HFD76" s="22"/>
      <c r="HFE76" s="167"/>
      <c r="HFF76" s="30"/>
      <c r="HFG76" s="25"/>
      <c r="HFH76" s="178"/>
      <c r="HFI76" s="26"/>
      <c r="HFJ76" s="26"/>
      <c r="HFK76" s="26"/>
      <c r="HFL76" s="26"/>
      <c r="HFM76" s="26"/>
      <c r="HFN76" s="26"/>
      <c r="HFO76" s="58"/>
      <c r="HFP76" s="26"/>
      <c r="HFQ76" s="26"/>
      <c r="HFR76" s="26"/>
      <c r="HFS76" s="26"/>
      <c r="HFT76" s="22"/>
      <c r="HFU76" s="167"/>
      <c r="HFV76" s="30"/>
      <c r="HFW76" s="25"/>
      <c r="HFX76" s="178"/>
      <c r="HFY76" s="26"/>
      <c r="HFZ76" s="26"/>
      <c r="HGA76" s="26"/>
      <c r="HGB76" s="26"/>
      <c r="HGC76" s="26"/>
      <c r="HGD76" s="26"/>
      <c r="HGE76" s="58"/>
      <c r="HGF76" s="26"/>
      <c r="HGG76" s="26"/>
      <c r="HGH76" s="26"/>
      <c r="HGI76" s="26"/>
      <c r="HGJ76" s="22"/>
      <c r="HGK76" s="167"/>
      <c r="HGL76" s="30"/>
      <c r="HGM76" s="25"/>
      <c r="HGN76" s="178"/>
      <c r="HGO76" s="26"/>
      <c r="HGP76" s="26"/>
      <c r="HGQ76" s="26"/>
      <c r="HGR76" s="26"/>
      <c r="HGS76" s="26"/>
      <c r="HGT76" s="26"/>
      <c r="HGU76" s="58"/>
      <c r="HGV76" s="26"/>
      <c r="HGW76" s="26"/>
      <c r="HGX76" s="26"/>
      <c r="HGY76" s="26"/>
      <c r="HGZ76" s="22"/>
      <c r="HHA76" s="167"/>
      <c r="HHB76" s="30"/>
      <c r="HHC76" s="25"/>
      <c r="HHD76" s="178"/>
      <c r="HHE76" s="26"/>
      <c r="HHF76" s="26"/>
      <c r="HHG76" s="26"/>
      <c r="HHH76" s="26"/>
      <c r="HHI76" s="26"/>
      <c r="HHJ76" s="26"/>
      <c r="HHK76" s="58"/>
      <c r="HHL76" s="26"/>
      <c r="HHM76" s="26"/>
      <c r="HHN76" s="26"/>
      <c r="HHO76" s="26"/>
      <c r="HHP76" s="22"/>
      <c r="HHQ76" s="167"/>
      <c r="HHR76" s="30"/>
      <c r="HHS76" s="25"/>
      <c r="HHT76" s="178"/>
      <c r="HHU76" s="26"/>
      <c r="HHV76" s="26"/>
      <c r="HHW76" s="26"/>
      <c r="HHX76" s="26"/>
      <c r="HHY76" s="26"/>
      <c r="HHZ76" s="26"/>
      <c r="HIA76" s="58"/>
      <c r="HIB76" s="26"/>
      <c r="HIC76" s="26"/>
      <c r="HID76" s="26"/>
      <c r="HIE76" s="26"/>
      <c r="HIF76" s="22"/>
      <c r="HIG76" s="167"/>
      <c r="HIH76" s="30"/>
      <c r="HII76" s="25"/>
      <c r="HIJ76" s="178"/>
      <c r="HIK76" s="26"/>
      <c r="HIL76" s="26"/>
      <c r="HIM76" s="26"/>
      <c r="HIN76" s="26"/>
      <c r="HIO76" s="26"/>
      <c r="HIP76" s="26"/>
      <c r="HIQ76" s="58"/>
      <c r="HIR76" s="26"/>
      <c r="HIS76" s="26"/>
      <c r="HIT76" s="26"/>
      <c r="HIU76" s="26"/>
      <c r="HIV76" s="22"/>
      <c r="HIW76" s="167"/>
      <c r="HIX76" s="30"/>
      <c r="HIY76" s="25"/>
      <c r="HIZ76" s="178"/>
      <c r="HJA76" s="26"/>
      <c r="HJB76" s="26"/>
      <c r="HJC76" s="26"/>
      <c r="HJD76" s="26"/>
      <c r="HJE76" s="26"/>
      <c r="HJF76" s="26"/>
      <c r="HJG76" s="58"/>
      <c r="HJH76" s="26"/>
      <c r="HJI76" s="26"/>
      <c r="HJJ76" s="26"/>
      <c r="HJK76" s="26"/>
      <c r="HJL76" s="22"/>
      <c r="HJM76" s="167"/>
      <c r="HJN76" s="30"/>
      <c r="HJO76" s="25"/>
      <c r="HJP76" s="178"/>
      <c r="HJQ76" s="26"/>
      <c r="HJR76" s="26"/>
      <c r="HJS76" s="26"/>
      <c r="HJT76" s="26"/>
      <c r="HJU76" s="26"/>
      <c r="HJV76" s="26"/>
      <c r="HJW76" s="58"/>
      <c r="HJX76" s="26"/>
      <c r="HJY76" s="26"/>
      <c r="HJZ76" s="26"/>
      <c r="HKA76" s="26"/>
      <c r="HKB76" s="22"/>
      <c r="HKC76" s="167"/>
      <c r="HKD76" s="30"/>
      <c r="HKE76" s="25"/>
      <c r="HKF76" s="178"/>
      <c r="HKG76" s="26"/>
      <c r="HKH76" s="26"/>
      <c r="HKI76" s="26"/>
      <c r="HKJ76" s="26"/>
      <c r="HKK76" s="26"/>
      <c r="HKL76" s="26"/>
      <c r="HKM76" s="58"/>
      <c r="HKN76" s="26"/>
      <c r="HKO76" s="26"/>
      <c r="HKP76" s="26"/>
      <c r="HKQ76" s="26"/>
      <c r="HKR76" s="22"/>
      <c r="HKS76" s="167"/>
      <c r="HKT76" s="30"/>
      <c r="HKU76" s="25"/>
      <c r="HKV76" s="178"/>
      <c r="HKW76" s="26"/>
      <c r="HKX76" s="26"/>
      <c r="HKY76" s="26"/>
      <c r="HKZ76" s="26"/>
      <c r="HLA76" s="26"/>
      <c r="HLB76" s="26"/>
      <c r="HLC76" s="58"/>
      <c r="HLD76" s="26"/>
      <c r="HLE76" s="26"/>
      <c r="HLF76" s="26"/>
      <c r="HLG76" s="26"/>
      <c r="HLH76" s="22"/>
      <c r="HLI76" s="167"/>
      <c r="HLJ76" s="30"/>
      <c r="HLK76" s="25"/>
      <c r="HLL76" s="178"/>
      <c r="HLM76" s="26"/>
      <c r="HLN76" s="26"/>
      <c r="HLO76" s="26"/>
      <c r="HLP76" s="26"/>
      <c r="HLQ76" s="26"/>
      <c r="HLR76" s="26"/>
      <c r="HLS76" s="58"/>
      <c r="HLT76" s="26"/>
      <c r="HLU76" s="26"/>
      <c r="HLV76" s="26"/>
      <c r="HLW76" s="26"/>
      <c r="HLX76" s="22"/>
      <c r="HLY76" s="167"/>
      <c r="HLZ76" s="30"/>
      <c r="HMA76" s="25"/>
      <c r="HMB76" s="178"/>
      <c r="HMC76" s="26"/>
      <c r="HMD76" s="26"/>
      <c r="HME76" s="26"/>
      <c r="HMF76" s="26"/>
      <c r="HMG76" s="26"/>
      <c r="HMH76" s="26"/>
      <c r="HMI76" s="58"/>
      <c r="HMJ76" s="26"/>
      <c r="HMK76" s="26"/>
      <c r="HML76" s="26"/>
      <c r="HMM76" s="26"/>
      <c r="HMN76" s="22"/>
      <c r="HMO76" s="167"/>
      <c r="HMP76" s="30"/>
      <c r="HMQ76" s="25"/>
      <c r="HMR76" s="178"/>
      <c r="HMS76" s="26"/>
      <c r="HMT76" s="26"/>
      <c r="HMU76" s="26"/>
      <c r="HMV76" s="26"/>
      <c r="HMW76" s="26"/>
      <c r="HMX76" s="26"/>
      <c r="HMY76" s="58"/>
      <c r="HMZ76" s="26"/>
      <c r="HNA76" s="26"/>
      <c r="HNB76" s="26"/>
      <c r="HNC76" s="26"/>
      <c r="HND76" s="22"/>
      <c r="HNE76" s="167"/>
      <c r="HNF76" s="30"/>
      <c r="HNG76" s="25"/>
      <c r="HNH76" s="178"/>
      <c r="HNI76" s="26"/>
      <c r="HNJ76" s="26"/>
      <c r="HNK76" s="26"/>
      <c r="HNL76" s="26"/>
      <c r="HNM76" s="26"/>
      <c r="HNN76" s="26"/>
      <c r="HNO76" s="58"/>
      <c r="HNP76" s="26"/>
      <c r="HNQ76" s="26"/>
      <c r="HNR76" s="26"/>
      <c r="HNS76" s="26"/>
      <c r="HNT76" s="22"/>
      <c r="HNU76" s="167"/>
      <c r="HNV76" s="30"/>
      <c r="HNW76" s="25"/>
      <c r="HNX76" s="178"/>
      <c r="HNY76" s="26"/>
      <c r="HNZ76" s="26"/>
      <c r="HOA76" s="26"/>
      <c r="HOB76" s="26"/>
      <c r="HOC76" s="26"/>
      <c r="HOD76" s="26"/>
      <c r="HOE76" s="58"/>
      <c r="HOF76" s="26"/>
      <c r="HOG76" s="26"/>
      <c r="HOH76" s="26"/>
      <c r="HOI76" s="26"/>
      <c r="HOJ76" s="22"/>
      <c r="HOK76" s="167"/>
      <c r="HOL76" s="30"/>
      <c r="HOM76" s="25"/>
      <c r="HON76" s="178"/>
      <c r="HOO76" s="26"/>
      <c r="HOP76" s="26"/>
      <c r="HOQ76" s="26"/>
      <c r="HOR76" s="26"/>
      <c r="HOS76" s="26"/>
      <c r="HOT76" s="26"/>
      <c r="HOU76" s="58"/>
      <c r="HOV76" s="26"/>
      <c r="HOW76" s="26"/>
      <c r="HOX76" s="26"/>
      <c r="HOY76" s="26"/>
      <c r="HOZ76" s="22"/>
      <c r="HPA76" s="167"/>
      <c r="HPB76" s="30"/>
      <c r="HPC76" s="25"/>
      <c r="HPD76" s="178"/>
      <c r="HPE76" s="26"/>
      <c r="HPF76" s="26"/>
      <c r="HPG76" s="26"/>
      <c r="HPH76" s="26"/>
      <c r="HPI76" s="26"/>
      <c r="HPJ76" s="26"/>
      <c r="HPK76" s="58"/>
      <c r="HPL76" s="26"/>
      <c r="HPM76" s="26"/>
      <c r="HPN76" s="26"/>
      <c r="HPO76" s="26"/>
      <c r="HPP76" s="22"/>
      <c r="HPQ76" s="167"/>
      <c r="HPR76" s="30"/>
      <c r="HPS76" s="25"/>
      <c r="HPT76" s="178"/>
      <c r="HPU76" s="26"/>
      <c r="HPV76" s="26"/>
      <c r="HPW76" s="26"/>
      <c r="HPX76" s="26"/>
      <c r="HPY76" s="26"/>
      <c r="HPZ76" s="26"/>
      <c r="HQA76" s="58"/>
      <c r="HQB76" s="26"/>
      <c r="HQC76" s="26"/>
      <c r="HQD76" s="26"/>
      <c r="HQE76" s="26"/>
      <c r="HQF76" s="22"/>
      <c r="HQG76" s="167"/>
      <c r="HQH76" s="30"/>
      <c r="HQI76" s="25"/>
      <c r="HQJ76" s="178"/>
      <c r="HQK76" s="26"/>
      <c r="HQL76" s="26"/>
      <c r="HQM76" s="26"/>
      <c r="HQN76" s="26"/>
      <c r="HQO76" s="26"/>
      <c r="HQP76" s="26"/>
      <c r="HQQ76" s="58"/>
      <c r="HQR76" s="26"/>
      <c r="HQS76" s="26"/>
      <c r="HQT76" s="26"/>
      <c r="HQU76" s="26"/>
      <c r="HQV76" s="22"/>
      <c r="HQW76" s="167"/>
      <c r="HQX76" s="30"/>
      <c r="HQY76" s="25"/>
      <c r="HQZ76" s="178"/>
      <c r="HRA76" s="26"/>
      <c r="HRB76" s="26"/>
      <c r="HRC76" s="26"/>
      <c r="HRD76" s="26"/>
      <c r="HRE76" s="26"/>
      <c r="HRF76" s="26"/>
      <c r="HRG76" s="58"/>
      <c r="HRH76" s="26"/>
      <c r="HRI76" s="26"/>
      <c r="HRJ76" s="26"/>
      <c r="HRK76" s="26"/>
      <c r="HRL76" s="22"/>
      <c r="HRM76" s="167"/>
      <c r="HRN76" s="30"/>
      <c r="HRO76" s="25"/>
      <c r="HRP76" s="178"/>
      <c r="HRQ76" s="26"/>
      <c r="HRR76" s="26"/>
      <c r="HRS76" s="26"/>
      <c r="HRT76" s="26"/>
      <c r="HRU76" s="26"/>
      <c r="HRV76" s="26"/>
      <c r="HRW76" s="58"/>
      <c r="HRX76" s="26"/>
      <c r="HRY76" s="26"/>
      <c r="HRZ76" s="26"/>
      <c r="HSA76" s="26"/>
      <c r="HSB76" s="22"/>
      <c r="HSC76" s="167"/>
      <c r="HSD76" s="30"/>
      <c r="HSE76" s="25"/>
      <c r="HSF76" s="178"/>
      <c r="HSG76" s="26"/>
      <c r="HSH76" s="26"/>
      <c r="HSI76" s="26"/>
      <c r="HSJ76" s="26"/>
      <c r="HSK76" s="26"/>
      <c r="HSL76" s="26"/>
      <c r="HSM76" s="58"/>
      <c r="HSN76" s="26"/>
      <c r="HSO76" s="26"/>
      <c r="HSP76" s="26"/>
      <c r="HSQ76" s="26"/>
      <c r="HSR76" s="22"/>
      <c r="HSS76" s="167"/>
      <c r="HST76" s="30"/>
      <c r="HSU76" s="25"/>
      <c r="HSV76" s="178"/>
      <c r="HSW76" s="26"/>
      <c r="HSX76" s="26"/>
      <c r="HSY76" s="26"/>
      <c r="HSZ76" s="26"/>
      <c r="HTA76" s="26"/>
      <c r="HTB76" s="26"/>
      <c r="HTC76" s="58"/>
      <c r="HTD76" s="26"/>
      <c r="HTE76" s="26"/>
      <c r="HTF76" s="26"/>
      <c r="HTG76" s="26"/>
      <c r="HTH76" s="22"/>
      <c r="HTI76" s="167"/>
      <c r="HTJ76" s="30"/>
      <c r="HTK76" s="25"/>
      <c r="HTL76" s="178"/>
      <c r="HTM76" s="26"/>
      <c r="HTN76" s="26"/>
      <c r="HTO76" s="26"/>
      <c r="HTP76" s="26"/>
      <c r="HTQ76" s="26"/>
      <c r="HTR76" s="26"/>
      <c r="HTS76" s="58"/>
      <c r="HTT76" s="26"/>
      <c r="HTU76" s="26"/>
      <c r="HTV76" s="26"/>
      <c r="HTW76" s="26"/>
      <c r="HTX76" s="22"/>
      <c r="HTY76" s="167"/>
      <c r="HTZ76" s="30"/>
      <c r="HUA76" s="25"/>
      <c r="HUB76" s="178"/>
      <c r="HUC76" s="26"/>
      <c r="HUD76" s="26"/>
      <c r="HUE76" s="26"/>
      <c r="HUF76" s="26"/>
      <c r="HUG76" s="26"/>
      <c r="HUH76" s="26"/>
      <c r="HUI76" s="58"/>
      <c r="HUJ76" s="26"/>
      <c r="HUK76" s="26"/>
      <c r="HUL76" s="26"/>
      <c r="HUM76" s="26"/>
      <c r="HUN76" s="22"/>
      <c r="HUO76" s="167"/>
      <c r="HUP76" s="30"/>
      <c r="HUQ76" s="25"/>
      <c r="HUR76" s="178"/>
      <c r="HUS76" s="26"/>
      <c r="HUT76" s="26"/>
      <c r="HUU76" s="26"/>
      <c r="HUV76" s="26"/>
      <c r="HUW76" s="26"/>
      <c r="HUX76" s="26"/>
      <c r="HUY76" s="58"/>
      <c r="HUZ76" s="26"/>
      <c r="HVA76" s="26"/>
      <c r="HVB76" s="26"/>
      <c r="HVC76" s="26"/>
      <c r="HVD76" s="22"/>
      <c r="HVE76" s="167"/>
      <c r="HVF76" s="30"/>
      <c r="HVG76" s="25"/>
      <c r="HVH76" s="178"/>
      <c r="HVI76" s="26"/>
      <c r="HVJ76" s="26"/>
      <c r="HVK76" s="26"/>
      <c r="HVL76" s="26"/>
      <c r="HVM76" s="26"/>
      <c r="HVN76" s="26"/>
      <c r="HVO76" s="58"/>
      <c r="HVP76" s="26"/>
      <c r="HVQ76" s="26"/>
      <c r="HVR76" s="26"/>
      <c r="HVS76" s="26"/>
      <c r="HVT76" s="22"/>
      <c r="HVU76" s="167"/>
      <c r="HVV76" s="30"/>
      <c r="HVW76" s="25"/>
      <c r="HVX76" s="178"/>
      <c r="HVY76" s="26"/>
      <c r="HVZ76" s="26"/>
      <c r="HWA76" s="26"/>
      <c r="HWB76" s="26"/>
      <c r="HWC76" s="26"/>
      <c r="HWD76" s="26"/>
      <c r="HWE76" s="58"/>
      <c r="HWF76" s="26"/>
      <c r="HWG76" s="26"/>
      <c r="HWH76" s="26"/>
      <c r="HWI76" s="26"/>
      <c r="HWJ76" s="22"/>
      <c r="HWK76" s="167"/>
      <c r="HWL76" s="30"/>
      <c r="HWM76" s="25"/>
      <c r="HWN76" s="178"/>
      <c r="HWO76" s="26"/>
      <c r="HWP76" s="26"/>
      <c r="HWQ76" s="26"/>
      <c r="HWR76" s="26"/>
      <c r="HWS76" s="26"/>
      <c r="HWT76" s="26"/>
      <c r="HWU76" s="58"/>
      <c r="HWV76" s="26"/>
      <c r="HWW76" s="26"/>
      <c r="HWX76" s="26"/>
      <c r="HWY76" s="26"/>
      <c r="HWZ76" s="22"/>
      <c r="HXA76" s="167"/>
      <c r="HXB76" s="30"/>
      <c r="HXC76" s="25"/>
      <c r="HXD76" s="178"/>
      <c r="HXE76" s="26"/>
      <c r="HXF76" s="26"/>
      <c r="HXG76" s="26"/>
      <c r="HXH76" s="26"/>
      <c r="HXI76" s="26"/>
      <c r="HXJ76" s="26"/>
      <c r="HXK76" s="58"/>
      <c r="HXL76" s="26"/>
      <c r="HXM76" s="26"/>
      <c r="HXN76" s="26"/>
      <c r="HXO76" s="26"/>
      <c r="HXP76" s="22"/>
      <c r="HXQ76" s="167"/>
      <c r="HXR76" s="30"/>
      <c r="HXS76" s="25"/>
      <c r="HXT76" s="178"/>
      <c r="HXU76" s="26"/>
      <c r="HXV76" s="26"/>
      <c r="HXW76" s="26"/>
      <c r="HXX76" s="26"/>
      <c r="HXY76" s="26"/>
      <c r="HXZ76" s="26"/>
      <c r="HYA76" s="58"/>
      <c r="HYB76" s="26"/>
      <c r="HYC76" s="26"/>
      <c r="HYD76" s="26"/>
      <c r="HYE76" s="26"/>
      <c r="HYF76" s="22"/>
      <c r="HYG76" s="167"/>
      <c r="HYH76" s="30"/>
      <c r="HYI76" s="25"/>
      <c r="HYJ76" s="178"/>
      <c r="HYK76" s="26"/>
      <c r="HYL76" s="26"/>
      <c r="HYM76" s="26"/>
      <c r="HYN76" s="26"/>
      <c r="HYO76" s="26"/>
      <c r="HYP76" s="26"/>
      <c r="HYQ76" s="58"/>
      <c r="HYR76" s="26"/>
      <c r="HYS76" s="26"/>
      <c r="HYT76" s="26"/>
      <c r="HYU76" s="26"/>
      <c r="HYV76" s="22"/>
      <c r="HYW76" s="167"/>
      <c r="HYX76" s="30"/>
      <c r="HYY76" s="25"/>
      <c r="HYZ76" s="178"/>
      <c r="HZA76" s="26"/>
      <c r="HZB76" s="26"/>
      <c r="HZC76" s="26"/>
      <c r="HZD76" s="26"/>
      <c r="HZE76" s="26"/>
      <c r="HZF76" s="26"/>
      <c r="HZG76" s="58"/>
      <c r="HZH76" s="26"/>
      <c r="HZI76" s="26"/>
      <c r="HZJ76" s="26"/>
      <c r="HZK76" s="26"/>
      <c r="HZL76" s="22"/>
      <c r="HZM76" s="167"/>
      <c r="HZN76" s="30"/>
      <c r="HZO76" s="25"/>
      <c r="HZP76" s="178"/>
      <c r="HZQ76" s="26"/>
      <c r="HZR76" s="26"/>
      <c r="HZS76" s="26"/>
      <c r="HZT76" s="26"/>
      <c r="HZU76" s="26"/>
      <c r="HZV76" s="26"/>
      <c r="HZW76" s="58"/>
      <c r="HZX76" s="26"/>
      <c r="HZY76" s="26"/>
      <c r="HZZ76" s="26"/>
      <c r="IAA76" s="26"/>
      <c r="IAB76" s="22"/>
      <c r="IAC76" s="167"/>
      <c r="IAD76" s="30"/>
      <c r="IAE76" s="25"/>
      <c r="IAF76" s="178"/>
      <c r="IAG76" s="26"/>
      <c r="IAH76" s="26"/>
      <c r="IAI76" s="26"/>
      <c r="IAJ76" s="26"/>
      <c r="IAK76" s="26"/>
      <c r="IAL76" s="26"/>
      <c r="IAM76" s="58"/>
      <c r="IAN76" s="26"/>
      <c r="IAO76" s="26"/>
      <c r="IAP76" s="26"/>
      <c r="IAQ76" s="26"/>
      <c r="IAR76" s="22"/>
      <c r="IAS76" s="167"/>
      <c r="IAT76" s="30"/>
      <c r="IAU76" s="25"/>
      <c r="IAV76" s="178"/>
      <c r="IAW76" s="26"/>
      <c r="IAX76" s="26"/>
      <c r="IAY76" s="26"/>
      <c r="IAZ76" s="26"/>
      <c r="IBA76" s="26"/>
      <c r="IBB76" s="26"/>
      <c r="IBC76" s="58"/>
      <c r="IBD76" s="26"/>
      <c r="IBE76" s="26"/>
      <c r="IBF76" s="26"/>
      <c r="IBG76" s="26"/>
      <c r="IBH76" s="22"/>
      <c r="IBI76" s="167"/>
      <c r="IBJ76" s="30"/>
      <c r="IBK76" s="25"/>
      <c r="IBL76" s="178"/>
      <c r="IBM76" s="26"/>
      <c r="IBN76" s="26"/>
      <c r="IBO76" s="26"/>
      <c r="IBP76" s="26"/>
      <c r="IBQ76" s="26"/>
      <c r="IBR76" s="26"/>
      <c r="IBS76" s="58"/>
      <c r="IBT76" s="26"/>
      <c r="IBU76" s="26"/>
      <c r="IBV76" s="26"/>
      <c r="IBW76" s="26"/>
      <c r="IBX76" s="22"/>
      <c r="IBY76" s="167"/>
      <c r="IBZ76" s="30"/>
      <c r="ICA76" s="25"/>
      <c r="ICB76" s="178"/>
      <c r="ICC76" s="26"/>
      <c r="ICD76" s="26"/>
      <c r="ICE76" s="26"/>
      <c r="ICF76" s="26"/>
      <c r="ICG76" s="26"/>
      <c r="ICH76" s="26"/>
      <c r="ICI76" s="58"/>
      <c r="ICJ76" s="26"/>
      <c r="ICK76" s="26"/>
      <c r="ICL76" s="26"/>
      <c r="ICM76" s="26"/>
      <c r="ICN76" s="22"/>
      <c r="ICO76" s="167"/>
      <c r="ICP76" s="30"/>
      <c r="ICQ76" s="25"/>
      <c r="ICR76" s="178"/>
      <c r="ICS76" s="26"/>
      <c r="ICT76" s="26"/>
      <c r="ICU76" s="26"/>
      <c r="ICV76" s="26"/>
      <c r="ICW76" s="26"/>
      <c r="ICX76" s="26"/>
      <c r="ICY76" s="58"/>
      <c r="ICZ76" s="26"/>
      <c r="IDA76" s="26"/>
      <c r="IDB76" s="26"/>
      <c r="IDC76" s="26"/>
      <c r="IDD76" s="22"/>
      <c r="IDE76" s="167"/>
      <c r="IDF76" s="30"/>
      <c r="IDG76" s="25"/>
      <c r="IDH76" s="178"/>
      <c r="IDI76" s="26"/>
      <c r="IDJ76" s="26"/>
      <c r="IDK76" s="26"/>
      <c r="IDL76" s="26"/>
      <c r="IDM76" s="26"/>
      <c r="IDN76" s="26"/>
      <c r="IDO76" s="58"/>
      <c r="IDP76" s="26"/>
      <c r="IDQ76" s="26"/>
      <c r="IDR76" s="26"/>
      <c r="IDS76" s="26"/>
      <c r="IDT76" s="22"/>
      <c r="IDU76" s="167"/>
      <c r="IDV76" s="30"/>
      <c r="IDW76" s="25"/>
      <c r="IDX76" s="178"/>
      <c r="IDY76" s="26"/>
      <c r="IDZ76" s="26"/>
      <c r="IEA76" s="26"/>
      <c r="IEB76" s="26"/>
      <c r="IEC76" s="26"/>
      <c r="IED76" s="26"/>
      <c r="IEE76" s="58"/>
      <c r="IEF76" s="26"/>
      <c r="IEG76" s="26"/>
      <c r="IEH76" s="26"/>
      <c r="IEI76" s="26"/>
      <c r="IEJ76" s="22"/>
      <c r="IEK76" s="167"/>
      <c r="IEL76" s="30"/>
      <c r="IEM76" s="25"/>
      <c r="IEN76" s="178"/>
      <c r="IEO76" s="26"/>
      <c r="IEP76" s="26"/>
      <c r="IEQ76" s="26"/>
      <c r="IER76" s="26"/>
      <c r="IES76" s="26"/>
      <c r="IET76" s="26"/>
      <c r="IEU76" s="58"/>
      <c r="IEV76" s="26"/>
      <c r="IEW76" s="26"/>
      <c r="IEX76" s="26"/>
      <c r="IEY76" s="26"/>
      <c r="IEZ76" s="22"/>
      <c r="IFA76" s="167"/>
      <c r="IFB76" s="30"/>
      <c r="IFC76" s="25"/>
      <c r="IFD76" s="178"/>
      <c r="IFE76" s="26"/>
      <c r="IFF76" s="26"/>
      <c r="IFG76" s="26"/>
      <c r="IFH76" s="26"/>
      <c r="IFI76" s="26"/>
      <c r="IFJ76" s="26"/>
      <c r="IFK76" s="58"/>
      <c r="IFL76" s="26"/>
      <c r="IFM76" s="26"/>
      <c r="IFN76" s="26"/>
      <c r="IFO76" s="26"/>
      <c r="IFP76" s="22"/>
      <c r="IFQ76" s="167"/>
      <c r="IFR76" s="30"/>
      <c r="IFS76" s="25"/>
      <c r="IFT76" s="178"/>
      <c r="IFU76" s="26"/>
      <c r="IFV76" s="26"/>
      <c r="IFW76" s="26"/>
      <c r="IFX76" s="26"/>
      <c r="IFY76" s="26"/>
      <c r="IFZ76" s="26"/>
      <c r="IGA76" s="58"/>
      <c r="IGB76" s="26"/>
      <c r="IGC76" s="26"/>
      <c r="IGD76" s="26"/>
      <c r="IGE76" s="26"/>
      <c r="IGF76" s="22"/>
      <c r="IGG76" s="167"/>
      <c r="IGH76" s="30"/>
      <c r="IGI76" s="25"/>
      <c r="IGJ76" s="178"/>
      <c r="IGK76" s="26"/>
      <c r="IGL76" s="26"/>
      <c r="IGM76" s="26"/>
      <c r="IGN76" s="26"/>
      <c r="IGO76" s="26"/>
      <c r="IGP76" s="26"/>
      <c r="IGQ76" s="58"/>
      <c r="IGR76" s="26"/>
      <c r="IGS76" s="26"/>
      <c r="IGT76" s="26"/>
      <c r="IGU76" s="26"/>
      <c r="IGV76" s="22"/>
      <c r="IGW76" s="167"/>
      <c r="IGX76" s="30"/>
      <c r="IGY76" s="25"/>
      <c r="IGZ76" s="178"/>
      <c r="IHA76" s="26"/>
      <c r="IHB76" s="26"/>
      <c r="IHC76" s="26"/>
      <c r="IHD76" s="26"/>
      <c r="IHE76" s="26"/>
      <c r="IHF76" s="26"/>
      <c r="IHG76" s="58"/>
      <c r="IHH76" s="26"/>
      <c r="IHI76" s="26"/>
      <c r="IHJ76" s="26"/>
      <c r="IHK76" s="26"/>
      <c r="IHL76" s="22"/>
      <c r="IHM76" s="167"/>
      <c r="IHN76" s="30"/>
      <c r="IHO76" s="25"/>
      <c r="IHP76" s="178"/>
      <c r="IHQ76" s="26"/>
      <c r="IHR76" s="26"/>
      <c r="IHS76" s="26"/>
      <c r="IHT76" s="26"/>
      <c r="IHU76" s="26"/>
      <c r="IHV76" s="26"/>
      <c r="IHW76" s="58"/>
      <c r="IHX76" s="26"/>
      <c r="IHY76" s="26"/>
      <c r="IHZ76" s="26"/>
      <c r="IIA76" s="26"/>
      <c r="IIB76" s="22"/>
      <c r="IIC76" s="167"/>
      <c r="IID76" s="30"/>
      <c r="IIE76" s="25"/>
      <c r="IIF76" s="178"/>
      <c r="IIG76" s="26"/>
      <c r="IIH76" s="26"/>
      <c r="III76" s="26"/>
      <c r="IIJ76" s="26"/>
      <c r="IIK76" s="26"/>
      <c r="IIL76" s="26"/>
      <c r="IIM76" s="58"/>
      <c r="IIN76" s="26"/>
      <c r="IIO76" s="26"/>
      <c r="IIP76" s="26"/>
      <c r="IIQ76" s="26"/>
      <c r="IIR76" s="22"/>
      <c r="IIS76" s="167"/>
      <c r="IIT76" s="30"/>
      <c r="IIU76" s="25"/>
      <c r="IIV76" s="178"/>
      <c r="IIW76" s="26"/>
      <c r="IIX76" s="26"/>
      <c r="IIY76" s="26"/>
      <c r="IIZ76" s="26"/>
      <c r="IJA76" s="26"/>
      <c r="IJB76" s="26"/>
      <c r="IJC76" s="58"/>
      <c r="IJD76" s="26"/>
      <c r="IJE76" s="26"/>
      <c r="IJF76" s="26"/>
      <c r="IJG76" s="26"/>
      <c r="IJH76" s="22"/>
      <c r="IJI76" s="167"/>
      <c r="IJJ76" s="30"/>
      <c r="IJK76" s="25"/>
      <c r="IJL76" s="178"/>
      <c r="IJM76" s="26"/>
      <c r="IJN76" s="26"/>
      <c r="IJO76" s="26"/>
      <c r="IJP76" s="26"/>
      <c r="IJQ76" s="26"/>
      <c r="IJR76" s="26"/>
      <c r="IJS76" s="58"/>
      <c r="IJT76" s="26"/>
      <c r="IJU76" s="26"/>
      <c r="IJV76" s="26"/>
      <c r="IJW76" s="26"/>
      <c r="IJX76" s="22"/>
      <c r="IJY76" s="167"/>
      <c r="IJZ76" s="30"/>
      <c r="IKA76" s="25"/>
      <c r="IKB76" s="178"/>
      <c r="IKC76" s="26"/>
      <c r="IKD76" s="26"/>
      <c r="IKE76" s="26"/>
      <c r="IKF76" s="26"/>
      <c r="IKG76" s="26"/>
      <c r="IKH76" s="26"/>
      <c r="IKI76" s="58"/>
      <c r="IKJ76" s="26"/>
      <c r="IKK76" s="26"/>
      <c r="IKL76" s="26"/>
      <c r="IKM76" s="26"/>
      <c r="IKN76" s="22"/>
      <c r="IKO76" s="167"/>
      <c r="IKP76" s="30"/>
      <c r="IKQ76" s="25"/>
      <c r="IKR76" s="178"/>
      <c r="IKS76" s="26"/>
      <c r="IKT76" s="26"/>
      <c r="IKU76" s="26"/>
      <c r="IKV76" s="26"/>
      <c r="IKW76" s="26"/>
      <c r="IKX76" s="26"/>
      <c r="IKY76" s="58"/>
      <c r="IKZ76" s="26"/>
      <c r="ILA76" s="26"/>
      <c r="ILB76" s="26"/>
      <c r="ILC76" s="26"/>
      <c r="ILD76" s="22"/>
      <c r="ILE76" s="167"/>
      <c r="ILF76" s="30"/>
      <c r="ILG76" s="25"/>
      <c r="ILH76" s="178"/>
      <c r="ILI76" s="26"/>
      <c r="ILJ76" s="26"/>
      <c r="ILK76" s="26"/>
      <c r="ILL76" s="26"/>
      <c r="ILM76" s="26"/>
      <c r="ILN76" s="26"/>
      <c r="ILO76" s="58"/>
      <c r="ILP76" s="26"/>
      <c r="ILQ76" s="26"/>
      <c r="ILR76" s="26"/>
      <c r="ILS76" s="26"/>
      <c r="ILT76" s="22"/>
      <c r="ILU76" s="167"/>
      <c r="ILV76" s="30"/>
      <c r="ILW76" s="25"/>
      <c r="ILX76" s="178"/>
      <c r="ILY76" s="26"/>
      <c r="ILZ76" s="26"/>
      <c r="IMA76" s="26"/>
      <c r="IMB76" s="26"/>
      <c r="IMC76" s="26"/>
      <c r="IMD76" s="26"/>
      <c r="IME76" s="58"/>
      <c r="IMF76" s="26"/>
      <c r="IMG76" s="26"/>
      <c r="IMH76" s="26"/>
      <c r="IMI76" s="26"/>
      <c r="IMJ76" s="22"/>
      <c r="IMK76" s="167"/>
      <c r="IML76" s="30"/>
      <c r="IMM76" s="25"/>
      <c r="IMN76" s="178"/>
      <c r="IMO76" s="26"/>
      <c r="IMP76" s="26"/>
      <c r="IMQ76" s="26"/>
      <c r="IMR76" s="26"/>
      <c r="IMS76" s="26"/>
      <c r="IMT76" s="26"/>
      <c r="IMU76" s="58"/>
      <c r="IMV76" s="26"/>
      <c r="IMW76" s="26"/>
      <c r="IMX76" s="26"/>
      <c r="IMY76" s="26"/>
      <c r="IMZ76" s="22"/>
      <c r="INA76" s="167"/>
      <c r="INB76" s="30"/>
      <c r="INC76" s="25"/>
      <c r="IND76" s="178"/>
      <c r="INE76" s="26"/>
      <c r="INF76" s="26"/>
      <c r="ING76" s="26"/>
      <c r="INH76" s="26"/>
      <c r="INI76" s="26"/>
      <c r="INJ76" s="26"/>
      <c r="INK76" s="58"/>
      <c r="INL76" s="26"/>
      <c r="INM76" s="26"/>
      <c r="INN76" s="26"/>
      <c r="INO76" s="26"/>
      <c r="INP76" s="22"/>
      <c r="INQ76" s="167"/>
      <c r="INR76" s="30"/>
      <c r="INS76" s="25"/>
      <c r="INT76" s="178"/>
      <c r="INU76" s="26"/>
      <c r="INV76" s="26"/>
      <c r="INW76" s="26"/>
      <c r="INX76" s="26"/>
      <c r="INY76" s="26"/>
      <c r="INZ76" s="26"/>
      <c r="IOA76" s="58"/>
      <c r="IOB76" s="26"/>
      <c r="IOC76" s="26"/>
      <c r="IOD76" s="26"/>
      <c r="IOE76" s="26"/>
      <c r="IOF76" s="22"/>
      <c r="IOG76" s="167"/>
      <c r="IOH76" s="30"/>
      <c r="IOI76" s="25"/>
      <c r="IOJ76" s="178"/>
      <c r="IOK76" s="26"/>
      <c r="IOL76" s="26"/>
      <c r="IOM76" s="26"/>
      <c r="ION76" s="26"/>
      <c r="IOO76" s="26"/>
      <c r="IOP76" s="26"/>
      <c r="IOQ76" s="58"/>
      <c r="IOR76" s="26"/>
      <c r="IOS76" s="26"/>
      <c r="IOT76" s="26"/>
      <c r="IOU76" s="26"/>
      <c r="IOV76" s="22"/>
      <c r="IOW76" s="167"/>
      <c r="IOX76" s="30"/>
      <c r="IOY76" s="25"/>
      <c r="IOZ76" s="178"/>
      <c r="IPA76" s="26"/>
      <c r="IPB76" s="26"/>
      <c r="IPC76" s="26"/>
      <c r="IPD76" s="26"/>
      <c r="IPE76" s="26"/>
      <c r="IPF76" s="26"/>
      <c r="IPG76" s="58"/>
      <c r="IPH76" s="26"/>
      <c r="IPI76" s="26"/>
      <c r="IPJ76" s="26"/>
      <c r="IPK76" s="26"/>
      <c r="IPL76" s="22"/>
      <c r="IPM76" s="167"/>
      <c r="IPN76" s="30"/>
      <c r="IPO76" s="25"/>
      <c r="IPP76" s="178"/>
      <c r="IPQ76" s="26"/>
      <c r="IPR76" s="26"/>
      <c r="IPS76" s="26"/>
      <c r="IPT76" s="26"/>
      <c r="IPU76" s="26"/>
      <c r="IPV76" s="26"/>
      <c r="IPW76" s="58"/>
      <c r="IPX76" s="26"/>
      <c r="IPY76" s="26"/>
      <c r="IPZ76" s="26"/>
      <c r="IQA76" s="26"/>
      <c r="IQB76" s="22"/>
      <c r="IQC76" s="167"/>
      <c r="IQD76" s="30"/>
      <c r="IQE76" s="25"/>
      <c r="IQF76" s="178"/>
      <c r="IQG76" s="26"/>
      <c r="IQH76" s="26"/>
      <c r="IQI76" s="26"/>
      <c r="IQJ76" s="26"/>
      <c r="IQK76" s="26"/>
      <c r="IQL76" s="26"/>
      <c r="IQM76" s="58"/>
      <c r="IQN76" s="26"/>
      <c r="IQO76" s="26"/>
      <c r="IQP76" s="26"/>
      <c r="IQQ76" s="26"/>
      <c r="IQR76" s="22"/>
      <c r="IQS76" s="167"/>
      <c r="IQT76" s="30"/>
      <c r="IQU76" s="25"/>
      <c r="IQV76" s="178"/>
      <c r="IQW76" s="26"/>
      <c r="IQX76" s="26"/>
      <c r="IQY76" s="26"/>
      <c r="IQZ76" s="26"/>
      <c r="IRA76" s="26"/>
      <c r="IRB76" s="26"/>
      <c r="IRC76" s="58"/>
      <c r="IRD76" s="26"/>
      <c r="IRE76" s="26"/>
      <c r="IRF76" s="26"/>
      <c r="IRG76" s="26"/>
      <c r="IRH76" s="22"/>
      <c r="IRI76" s="167"/>
      <c r="IRJ76" s="30"/>
      <c r="IRK76" s="25"/>
      <c r="IRL76" s="178"/>
      <c r="IRM76" s="26"/>
      <c r="IRN76" s="26"/>
      <c r="IRO76" s="26"/>
      <c r="IRP76" s="26"/>
      <c r="IRQ76" s="26"/>
      <c r="IRR76" s="26"/>
      <c r="IRS76" s="58"/>
      <c r="IRT76" s="26"/>
      <c r="IRU76" s="26"/>
      <c r="IRV76" s="26"/>
      <c r="IRW76" s="26"/>
      <c r="IRX76" s="22"/>
      <c r="IRY76" s="167"/>
      <c r="IRZ76" s="30"/>
      <c r="ISA76" s="25"/>
      <c r="ISB76" s="178"/>
      <c r="ISC76" s="26"/>
      <c r="ISD76" s="26"/>
      <c r="ISE76" s="26"/>
      <c r="ISF76" s="26"/>
      <c r="ISG76" s="26"/>
      <c r="ISH76" s="26"/>
      <c r="ISI76" s="58"/>
      <c r="ISJ76" s="26"/>
      <c r="ISK76" s="26"/>
      <c r="ISL76" s="26"/>
      <c r="ISM76" s="26"/>
      <c r="ISN76" s="22"/>
      <c r="ISO76" s="167"/>
      <c r="ISP76" s="30"/>
      <c r="ISQ76" s="25"/>
      <c r="ISR76" s="178"/>
      <c r="ISS76" s="26"/>
      <c r="IST76" s="26"/>
      <c r="ISU76" s="26"/>
      <c r="ISV76" s="26"/>
      <c r="ISW76" s="26"/>
      <c r="ISX76" s="26"/>
      <c r="ISY76" s="58"/>
      <c r="ISZ76" s="26"/>
      <c r="ITA76" s="26"/>
      <c r="ITB76" s="26"/>
      <c r="ITC76" s="26"/>
      <c r="ITD76" s="22"/>
      <c r="ITE76" s="167"/>
      <c r="ITF76" s="30"/>
      <c r="ITG76" s="25"/>
      <c r="ITH76" s="178"/>
      <c r="ITI76" s="26"/>
      <c r="ITJ76" s="26"/>
      <c r="ITK76" s="26"/>
      <c r="ITL76" s="26"/>
      <c r="ITM76" s="26"/>
      <c r="ITN76" s="26"/>
      <c r="ITO76" s="58"/>
      <c r="ITP76" s="26"/>
      <c r="ITQ76" s="26"/>
      <c r="ITR76" s="26"/>
      <c r="ITS76" s="26"/>
      <c r="ITT76" s="22"/>
      <c r="ITU76" s="167"/>
      <c r="ITV76" s="30"/>
      <c r="ITW76" s="25"/>
      <c r="ITX76" s="178"/>
      <c r="ITY76" s="26"/>
      <c r="ITZ76" s="26"/>
      <c r="IUA76" s="26"/>
      <c r="IUB76" s="26"/>
      <c r="IUC76" s="26"/>
      <c r="IUD76" s="26"/>
      <c r="IUE76" s="58"/>
      <c r="IUF76" s="26"/>
      <c r="IUG76" s="26"/>
      <c r="IUH76" s="26"/>
      <c r="IUI76" s="26"/>
      <c r="IUJ76" s="22"/>
      <c r="IUK76" s="167"/>
      <c r="IUL76" s="30"/>
      <c r="IUM76" s="25"/>
      <c r="IUN76" s="178"/>
      <c r="IUO76" s="26"/>
      <c r="IUP76" s="26"/>
      <c r="IUQ76" s="26"/>
      <c r="IUR76" s="26"/>
      <c r="IUS76" s="26"/>
      <c r="IUT76" s="26"/>
      <c r="IUU76" s="58"/>
      <c r="IUV76" s="26"/>
      <c r="IUW76" s="26"/>
      <c r="IUX76" s="26"/>
      <c r="IUY76" s="26"/>
      <c r="IUZ76" s="22"/>
      <c r="IVA76" s="167"/>
      <c r="IVB76" s="30"/>
      <c r="IVC76" s="25"/>
      <c r="IVD76" s="178"/>
      <c r="IVE76" s="26"/>
      <c r="IVF76" s="26"/>
      <c r="IVG76" s="26"/>
      <c r="IVH76" s="26"/>
      <c r="IVI76" s="26"/>
      <c r="IVJ76" s="26"/>
      <c r="IVK76" s="58"/>
      <c r="IVL76" s="26"/>
      <c r="IVM76" s="26"/>
      <c r="IVN76" s="26"/>
      <c r="IVO76" s="26"/>
      <c r="IVP76" s="22"/>
      <c r="IVQ76" s="167"/>
      <c r="IVR76" s="30"/>
      <c r="IVS76" s="25"/>
      <c r="IVT76" s="178"/>
      <c r="IVU76" s="26"/>
      <c r="IVV76" s="26"/>
      <c r="IVW76" s="26"/>
      <c r="IVX76" s="26"/>
      <c r="IVY76" s="26"/>
      <c r="IVZ76" s="26"/>
      <c r="IWA76" s="58"/>
      <c r="IWB76" s="26"/>
      <c r="IWC76" s="26"/>
      <c r="IWD76" s="26"/>
      <c r="IWE76" s="26"/>
      <c r="IWF76" s="22"/>
      <c r="IWG76" s="167"/>
      <c r="IWH76" s="30"/>
      <c r="IWI76" s="25"/>
      <c r="IWJ76" s="178"/>
      <c r="IWK76" s="26"/>
      <c r="IWL76" s="26"/>
      <c r="IWM76" s="26"/>
      <c r="IWN76" s="26"/>
      <c r="IWO76" s="26"/>
      <c r="IWP76" s="26"/>
      <c r="IWQ76" s="58"/>
      <c r="IWR76" s="26"/>
      <c r="IWS76" s="26"/>
      <c r="IWT76" s="26"/>
      <c r="IWU76" s="26"/>
      <c r="IWV76" s="22"/>
      <c r="IWW76" s="167"/>
      <c r="IWX76" s="30"/>
      <c r="IWY76" s="25"/>
      <c r="IWZ76" s="178"/>
      <c r="IXA76" s="26"/>
      <c r="IXB76" s="26"/>
      <c r="IXC76" s="26"/>
      <c r="IXD76" s="26"/>
      <c r="IXE76" s="26"/>
      <c r="IXF76" s="26"/>
      <c r="IXG76" s="58"/>
      <c r="IXH76" s="26"/>
      <c r="IXI76" s="26"/>
      <c r="IXJ76" s="26"/>
      <c r="IXK76" s="26"/>
      <c r="IXL76" s="22"/>
      <c r="IXM76" s="167"/>
      <c r="IXN76" s="30"/>
      <c r="IXO76" s="25"/>
      <c r="IXP76" s="178"/>
      <c r="IXQ76" s="26"/>
      <c r="IXR76" s="26"/>
      <c r="IXS76" s="26"/>
      <c r="IXT76" s="26"/>
      <c r="IXU76" s="26"/>
      <c r="IXV76" s="26"/>
      <c r="IXW76" s="58"/>
      <c r="IXX76" s="26"/>
      <c r="IXY76" s="26"/>
      <c r="IXZ76" s="26"/>
      <c r="IYA76" s="26"/>
      <c r="IYB76" s="22"/>
      <c r="IYC76" s="167"/>
      <c r="IYD76" s="30"/>
      <c r="IYE76" s="25"/>
      <c r="IYF76" s="178"/>
      <c r="IYG76" s="26"/>
      <c r="IYH76" s="26"/>
      <c r="IYI76" s="26"/>
      <c r="IYJ76" s="26"/>
      <c r="IYK76" s="26"/>
      <c r="IYL76" s="26"/>
      <c r="IYM76" s="58"/>
      <c r="IYN76" s="26"/>
      <c r="IYO76" s="26"/>
      <c r="IYP76" s="26"/>
      <c r="IYQ76" s="26"/>
      <c r="IYR76" s="22"/>
      <c r="IYS76" s="167"/>
      <c r="IYT76" s="30"/>
      <c r="IYU76" s="25"/>
      <c r="IYV76" s="178"/>
      <c r="IYW76" s="26"/>
      <c r="IYX76" s="26"/>
      <c r="IYY76" s="26"/>
      <c r="IYZ76" s="26"/>
      <c r="IZA76" s="26"/>
      <c r="IZB76" s="26"/>
      <c r="IZC76" s="58"/>
      <c r="IZD76" s="26"/>
      <c r="IZE76" s="26"/>
      <c r="IZF76" s="26"/>
      <c r="IZG76" s="26"/>
      <c r="IZH76" s="22"/>
      <c r="IZI76" s="167"/>
      <c r="IZJ76" s="30"/>
      <c r="IZK76" s="25"/>
      <c r="IZL76" s="178"/>
      <c r="IZM76" s="26"/>
      <c r="IZN76" s="26"/>
      <c r="IZO76" s="26"/>
      <c r="IZP76" s="26"/>
      <c r="IZQ76" s="26"/>
      <c r="IZR76" s="26"/>
      <c r="IZS76" s="58"/>
      <c r="IZT76" s="26"/>
      <c r="IZU76" s="26"/>
      <c r="IZV76" s="26"/>
      <c r="IZW76" s="26"/>
      <c r="IZX76" s="22"/>
      <c r="IZY76" s="167"/>
      <c r="IZZ76" s="30"/>
      <c r="JAA76" s="25"/>
      <c r="JAB76" s="178"/>
      <c r="JAC76" s="26"/>
      <c r="JAD76" s="26"/>
      <c r="JAE76" s="26"/>
      <c r="JAF76" s="26"/>
      <c r="JAG76" s="26"/>
      <c r="JAH76" s="26"/>
      <c r="JAI76" s="58"/>
      <c r="JAJ76" s="26"/>
      <c r="JAK76" s="26"/>
      <c r="JAL76" s="26"/>
      <c r="JAM76" s="26"/>
      <c r="JAN76" s="22"/>
      <c r="JAO76" s="167"/>
      <c r="JAP76" s="30"/>
      <c r="JAQ76" s="25"/>
      <c r="JAR76" s="178"/>
      <c r="JAS76" s="26"/>
      <c r="JAT76" s="26"/>
      <c r="JAU76" s="26"/>
      <c r="JAV76" s="26"/>
      <c r="JAW76" s="26"/>
      <c r="JAX76" s="26"/>
      <c r="JAY76" s="58"/>
      <c r="JAZ76" s="26"/>
      <c r="JBA76" s="26"/>
      <c r="JBB76" s="26"/>
      <c r="JBC76" s="26"/>
      <c r="JBD76" s="22"/>
      <c r="JBE76" s="167"/>
      <c r="JBF76" s="30"/>
      <c r="JBG76" s="25"/>
      <c r="JBH76" s="178"/>
      <c r="JBI76" s="26"/>
      <c r="JBJ76" s="26"/>
      <c r="JBK76" s="26"/>
      <c r="JBL76" s="26"/>
      <c r="JBM76" s="26"/>
      <c r="JBN76" s="26"/>
      <c r="JBO76" s="58"/>
      <c r="JBP76" s="26"/>
      <c r="JBQ76" s="26"/>
      <c r="JBR76" s="26"/>
      <c r="JBS76" s="26"/>
      <c r="JBT76" s="22"/>
      <c r="JBU76" s="167"/>
      <c r="JBV76" s="30"/>
      <c r="JBW76" s="25"/>
      <c r="JBX76" s="178"/>
      <c r="JBY76" s="26"/>
      <c r="JBZ76" s="26"/>
      <c r="JCA76" s="26"/>
      <c r="JCB76" s="26"/>
      <c r="JCC76" s="26"/>
      <c r="JCD76" s="26"/>
      <c r="JCE76" s="58"/>
      <c r="JCF76" s="26"/>
      <c r="JCG76" s="26"/>
      <c r="JCH76" s="26"/>
      <c r="JCI76" s="26"/>
      <c r="JCJ76" s="22"/>
      <c r="JCK76" s="167"/>
      <c r="JCL76" s="30"/>
      <c r="JCM76" s="25"/>
      <c r="JCN76" s="178"/>
      <c r="JCO76" s="26"/>
      <c r="JCP76" s="26"/>
      <c r="JCQ76" s="26"/>
      <c r="JCR76" s="26"/>
      <c r="JCS76" s="26"/>
      <c r="JCT76" s="26"/>
      <c r="JCU76" s="58"/>
      <c r="JCV76" s="26"/>
      <c r="JCW76" s="26"/>
      <c r="JCX76" s="26"/>
      <c r="JCY76" s="26"/>
      <c r="JCZ76" s="22"/>
      <c r="JDA76" s="167"/>
      <c r="JDB76" s="30"/>
      <c r="JDC76" s="25"/>
      <c r="JDD76" s="178"/>
      <c r="JDE76" s="26"/>
      <c r="JDF76" s="26"/>
      <c r="JDG76" s="26"/>
      <c r="JDH76" s="26"/>
      <c r="JDI76" s="26"/>
      <c r="JDJ76" s="26"/>
      <c r="JDK76" s="58"/>
      <c r="JDL76" s="26"/>
      <c r="JDM76" s="26"/>
      <c r="JDN76" s="26"/>
      <c r="JDO76" s="26"/>
      <c r="JDP76" s="22"/>
      <c r="JDQ76" s="167"/>
      <c r="JDR76" s="30"/>
      <c r="JDS76" s="25"/>
      <c r="JDT76" s="178"/>
      <c r="JDU76" s="26"/>
      <c r="JDV76" s="26"/>
      <c r="JDW76" s="26"/>
      <c r="JDX76" s="26"/>
      <c r="JDY76" s="26"/>
      <c r="JDZ76" s="26"/>
      <c r="JEA76" s="58"/>
      <c r="JEB76" s="26"/>
      <c r="JEC76" s="26"/>
      <c r="JED76" s="26"/>
      <c r="JEE76" s="26"/>
      <c r="JEF76" s="22"/>
      <c r="JEG76" s="167"/>
      <c r="JEH76" s="30"/>
      <c r="JEI76" s="25"/>
      <c r="JEJ76" s="178"/>
      <c r="JEK76" s="26"/>
      <c r="JEL76" s="26"/>
      <c r="JEM76" s="26"/>
      <c r="JEN76" s="26"/>
      <c r="JEO76" s="26"/>
      <c r="JEP76" s="26"/>
      <c r="JEQ76" s="58"/>
      <c r="JER76" s="26"/>
      <c r="JES76" s="26"/>
      <c r="JET76" s="26"/>
      <c r="JEU76" s="26"/>
      <c r="JEV76" s="22"/>
      <c r="JEW76" s="167"/>
      <c r="JEX76" s="30"/>
      <c r="JEY76" s="25"/>
      <c r="JEZ76" s="178"/>
      <c r="JFA76" s="26"/>
      <c r="JFB76" s="26"/>
      <c r="JFC76" s="26"/>
      <c r="JFD76" s="26"/>
      <c r="JFE76" s="26"/>
      <c r="JFF76" s="26"/>
      <c r="JFG76" s="58"/>
      <c r="JFH76" s="26"/>
      <c r="JFI76" s="26"/>
      <c r="JFJ76" s="26"/>
      <c r="JFK76" s="26"/>
      <c r="JFL76" s="22"/>
      <c r="JFM76" s="167"/>
      <c r="JFN76" s="30"/>
      <c r="JFO76" s="25"/>
      <c r="JFP76" s="178"/>
      <c r="JFQ76" s="26"/>
      <c r="JFR76" s="26"/>
      <c r="JFS76" s="26"/>
      <c r="JFT76" s="26"/>
      <c r="JFU76" s="26"/>
      <c r="JFV76" s="26"/>
      <c r="JFW76" s="58"/>
      <c r="JFX76" s="26"/>
      <c r="JFY76" s="26"/>
      <c r="JFZ76" s="26"/>
      <c r="JGA76" s="26"/>
      <c r="JGB76" s="22"/>
      <c r="JGC76" s="167"/>
      <c r="JGD76" s="30"/>
      <c r="JGE76" s="25"/>
      <c r="JGF76" s="178"/>
      <c r="JGG76" s="26"/>
      <c r="JGH76" s="26"/>
      <c r="JGI76" s="26"/>
      <c r="JGJ76" s="26"/>
      <c r="JGK76" s="26"/>
      <c r="JGL76" s="26"/>
      <c r="JGM76" s="58"/>
      <c r="JGN76" s="26"/>
      <c r="JGO76" s="26"/>
      <c r="JGP76" s="26"/>
      <c r="JGQ76" s="26"/>
      <c r="JGR76" s="22"/>
      <c r="JGS76" s="167"/>
      <c r="JGT76" s="30"/>
      <c r="JGU76" s="25"/>
      <c r="JGV76" s="178"/>
      <c r="JGW76" s="26"/>
      <c r="JGX76" s="26"/>
      <c r="JGY76" s="26"/>
      <c r="JGZ76" s="26"/>
      <c r="JHA76" s="26"/>
      <c r="JHB76" s="26"/>
      <c r="JHC76" s="58"/>
      <c r="JHD76" s="26"/>
      <c r="JHE76" s="26"/>
      <c r="JHF76" s="26"/>
      <c r="JHG76" s="26"/>
      <c r="JHH76" s="22"/>
      <c r="JHI76" s="167"/>
      <c r="JHJ76" s="30"/>
      <c r="JHK76" s="25"/>
      <c r="JHL76" s="178"/>
      <c r="JHM76" s="26"/>
      <c r="JHN76" s="26"/>
      <c r="JHO76" s="26"/>
      <c r="JHP76" s="26"/>
      <c r="JHQ76" s="26"/>
      <c r="JHR76" s="26"/>
      <c r="JHS76" s="58"/>
      <c r="JHT76" s="26"/>
      <c r="JHU76" s="26"/>
      <c r="JHV76" s="26"/>
      <c r="JHW76" s="26"/>
      <c r="JHX76" s="22"/>
      <c r="JHY76" s="167"/>
      <c r="JHZ76" s="30"/>
      <c r="JIA76" s="25"/>
      <c r="JIB76" s="178"/>
      <c r="JIC76" s="26"/>
      <c r="JID76" s="26"/>
      <c r="JIE76" s="26"/>
      <c r="JIF76" s="26"/>
      <c r="JIG76" s="26"/>
      <c r="JIH76" s="26"/>
      <c r="JII76" s="58"/>
      <c r="JIJ76" s="26"/>
      <c r="JIK76" s="26"/>
      <c r="JIL76" s="26"/>
      <c r="JIM76" s="26"/>
      <c r="JIN76" s="22"/>
      <c r="JIO76" s="167"/>
      <c r="JIP76" s="30"/>
      <c r="JIQ76" s="25"/>
      <c r="JIR76" s="178"/>
      <c r="JIS76" s="26"/>
      <c r="JIT76" s="26"/>
      <c r="JIU76" s="26"/>
      <c r="JIV76" s="26"/>
      <c r="JIW76" s="26"/>
      <c r="JIX76" s="26"/>
      <c r="JIY76" s="58"/>
      <c r="JIZ76" s="26"/>
      <c r="JJA76" s="26"/>
      <c r="JJB76" s="26"/>
      <c r="JJC76" s="26"/>
      <c r="JJD76" s="22"/>
      <c r="JJE76" s="167"/>
      <c r="JJF76" s="30"/>
      <c r="JJG76" s="25"/>
      <c r="JJH76" s="178"/>
      <c r="JJI76" s="26"/>
      <c r="JJJ76" s="26"/>
      <c r="JJK76" s="26"/>
      <c r="JJL76" s="26"/>
      <c r="JJM76" s="26"/>
      <c r="JJN76" s="26"/>
      <c r="JJO76" s="58"/>
      <c r="JJP76" s="26"/>
      <c r="JJQ76" s="26"/>
      <c r="JJR76" s="26"/>
      <c r="JJS76" s="26"/>
      <c r="JJT76" s="22"/>
      <c r="JJU76" s="167"/>
      <c r="JJV76" s="30"/>
      <c r="JJW76" s="25"/>
      <c r="JJX76" s="178"/>
      <c r="JJY76" s="26"/>
      <c r="JJZ76" s="26"/>
      <c r="JKA76" s="26"/>
      <c r="JKB76" s="26"/>
      <c r="JKC76" s="26"/>
      <c r="JKD76" s="26"/>
      <c r="JKE76" s="58"/>
      <c r="JKF76" s="26"/>
      <c r="JKG76" s="26"/>
      <c r="JKH76" s="26"/>
      <c r="JKI76" s="26"/>
      <c r="JKJ76" s="22"/>
      <c r="JKK76" s="167"/>
      <c r="JKL76" s="30"/>
      <c r="JKM76" s="25"/>
      <c r="JKN76" s="178"/>
      <c r="JKO76" s="26"/>
      <c r="JKP76" s="26"/>
      <c r="JKQ76" s="26"/>
      <c r="JKR76" s="26"/>
      <c r="JKS76" s="26"/>
      <c r="JKT76" s="26"/>
      <c r="JKU76" s="58"/>
      <c r="JKV76" s="26"/>
      <c r="JKW76" s="26"/>
      <c r="JKX76" s="26"/>
      <c r="JKY76" s="26"/>
      <c r="JKZ76" s="22"/>
      <c r="JLA76" s="167"/>
      <c r="JLB76" s="30"/>
      <c r="JLC76" s="25"/>
      <c r="JLD76" s="178"/>
      <c r="JLE76" s="26"/>
      <c r="JLF76" s="26"/>
      <c r="JLG76" s="26"/>
      <c r="JLH76" s="26"/>
      <c r="JLI76" s="26"/>
      <c r="JLJ76" s="26"/>
      <c r="JLK76" s="58"/>
      <c r="JLL76" s="26"/>
      <c r="JLM76" s="26"/>
      <c r="JLN76" s="26"/>
      <c r="JLO76" s="26"/>
      <c r="JLP76" s="22"/>
      <c r="JLQ76" s="167"/>
      <c r="JLR76" s="30"/>
      <c r="JLS76" s="25"/>
      <c r="JLT76" s="178"/>
      <c r="JLU76" s="26"/>
      <c r="JLV76" s="26"/>
      <c r="JLW76" s="26"/>
      <c r="JLX76" s="26"/>
      <c r="JLY76" s="26"/>
      <c r="JLZ76" s="26"/>
      <c r="JMA76" s="58"/>
      <c r="JMB76" s="26"/>
      <c r="JMC76" s="26"/>
      <c r="JMD76" s="26"/>
      <c r="JME76" s="26"/>
      <c r="JMF76" s="22"/>
      <c r="JMG76" s="167"/>
      <c r="JMH76" s="30"/>
      <c r="JMI76" s="25"/>
      <c r="JMJ76" s="178"/>
      <c r="JMK76" s="26"/>
      <c r="JML76" s="26"/>
      <c r="JMM76" s="26"/>
      <c r="JMN76" s="26"/>
      <c r="JMO76" s="26"/>
      <c r="JMP76" s="26"/>
      <c r="JMQ76" s="58"/>
      <c r="JMR76" s="26"/>
      <c r="JMS76" s="26"/>
      <c r="JMT76" s="26"/>
      <c r="JMU76" s="26"/>
      <c r="JMV76" s="22"/>
      <c r="JMW76" s="167"/>
      <c r="JMX76" s="30"/>
      <c r="JMY76" s="25"/>
      <c r="JMZ76" s="178"/>
      <c r="JNA76" s="26"/>
      <c r="JNB76" s="26"/>
      <c r="JNC76" s="26"/>
      <c r="JND76" s="26"/>
      <c r="JNE76" s="26"/>
      <c r="JNF76" s="26"/>
      <c r="JNG76" s="58"/>
      <c r="JNH76" s="26"/>
      <c r="JNI76" s="26"/>
      <c r="JNJ76" s="26"/>
      <c r="JNK76" s="26"/>
      <c r="JNL76" s="22"/>
      <c r="JNM76" s="167"/>
      <c r="JNN76" s="30"/>
      <c r="JNO76" s="25"/>
      <c r="JNP76" s="178"/>
      <c r="JNQ76" s="26"/>
      <c r="JNR76" s="26"/>
      <c r="JNS76" s="26"/>
      <c r="JNT76" s="26"/>
      <c r="JNU76" s="26"/>
      <c r="JNV76" s="26"/>
      <c r="JNW76" s="58"/>
      <c r="JNX76" s="26"/>
      <c r="JNY76" s="26"/>
      <c r="JNZ76" s="26"/>
      <c r="JOA76" s="26"/>
      <c r="JOB76" s="22"/>
      <c r="JOC76" s="167"/>
      <c r="JOD76" s="30"/>
      <c r="JOE76" s="25"/>
      <c r="JOF76" s="178"/>
      <c r="JOG76" s="26"/>
      <c r="JOH76" s="26"/>
      <c r="JOI76" s="26"/>
      <c r="JOJ76" s="26"/>
      <c r="JOK76" s="26"/>
      <c r="JOL76" s="26"/>
      <c r="JOM76" s="58"/>
      <c r="JON76" s="26"/>
      <c r="JOO76" s="26"/>
      <c r="JOP76" s="26"/>
      <c r="JOQ76" s="26"/>
      <c r="JOR76" s="22"/>
      <c r="JOS76" s="167"/>
      <c r="JOT76" s="30"/>
      <c r="JOU76" s="25"/>
      <c r="JOV76" s="178"/>
      <c r="JOW76" s="26"/>
      <c r="JOX76" s="26"/>
      <c r="JOY76" s="26"/>
      <c r="JOZ76" s="26"/>
      <c r="JPA76" s="26"/>
      <c r="JPB76" s="26"/>
      <c r="JPC76" s="58"/>
      <c r="JPD76" s="26"/>
      <c r="JPE76" s="26"/>
      <c r="JPF76" s="26"/>
      <c r="JPG76" s="26"/>
      <c r="JPH76" s="22"/>
      <c r="JPI76" s="167"/>
      <c r="JPJ76" s="30"/>
      <c r="JPK76" s="25"/>
      <c r="JPL76" s="178"/>
      <c r="JPM76" s="26"/>
      <c r="JPN76" s="26"/>
      <c r="JPO76" s="26"/>
      <c r="JPP76" s="26"/>
      <c r="JPQ76" s="26"/>
      <c r="JPR76" s="26"/>
      <c r="JPS76" s="58"/>
      <c r="JPT76" s="26"/>
      <c r="JPU76" s="26"/>
      <c r="JPV76" s="26"/>
      <c r="JPW76" s="26"/>
      <c r="JPX76" s="22"/>
      <c r="JPY76" s="167"/>
      <c r="JPZ76" s="30"/>
      <c r="JQA76" s="25"/>
      <c r="JQB76" s="178"/>
      <c r="JQC76" s="26"/>
      <c r="JQD76" s="26"/>
      <c r="JQE76" s="26"/>
      <c r="JQF76" s="26"/>
      <c r="JQG76" s="26"/>
      <c r="JQH76" s="26"/>
      <c r="JQI76" s="58"/>
      <c r="JQJ76" s="26"/>
      <c r="JQK76" s="26"/>
      <c r="JQL76" s="26"/>
      <c r="JQM76" s="26"/>
      <c r="JQN76" s="22"/>
      <c r="JQO76" s="167"/>
      <c r="JQP76" s="30"/>
      <c r="JQQ76" s="25"/>
      <c r="JQR76" s="178"/>
      <c r="JQS76" s="26"/>
      <c r="JQT76" s="26"/>
      <c r="JQU76" s="26"/>
      <c r="JQV76" s="26"/>
      <c r="JQW76" s="26"/>
      <c r="JQX76" s="26"/>
      <c r="JQY76" s="58"/>
      <c r="JQZ76" s="26"/>
      <c r="JRA76" s="26"/>
      <c r="JRB76" s="26"/>
      <c r="JRC76" s="26"/>
      <c r="JRD76" s="22"/>
      <c r="JRE76" s="167"/>
      <c r="JRF76" s="30"/>
      <c r="JRG76" s="25"/>
      <c r="JRH76" s="178"/>
      <c r="JRI76" s="26"/>
      <c r="JRJ76" s="26"/>
      <c r="JRK76" s="26"/>
      <c r="JRL76" s="26"/>
      <c r="JRM76" s="26"/>
      <c r="JRN76" s="26"/>
      <c r="JRO76" s="58"/>
      <c r="JRP76" s="26"/>
      <c r="JRQ76" s="26"/>
      <c r="JRR76" s="26"/>
      <c r="JRS76" s="26"/>
      <c r="JRT76" s="22"/>
      <c r="JRU76" s="167"/>
      <c r="JRV76" s="30"/>
      <c r="JRW76" s="25"/>
      <c r="JRX76" s="178"/>
      <c r="JRY76" s="26"/>
      <c r="JRZ76" s="26"/>
      <c r="JSA76" s="26"/>
      <c r="JSB76" s="26"/>
      <c r="JSC76" s="26"/>
      <c r="JSD76" s="26"/>
      <c r="JSE76" s="58"/>
      <c r="JSF76" s="26"/>
      <c r="JSG76" s="26"/>
      <c r="JSH76" s="26"/>
      <c r="JSI76" s="26"/>
      <c r="JSJ76" s="22"/>
      <c r="JSK76" s="167"/>
      <c r="JSL76" s="30"/>
      <c r="JSM76" s="25"/>
      <c r="JSN76" s="178"/>
      <c r="JSO76" s="26"/>
      <c r="JSP76" s="26"/>
      <c r="JSQ76" s="26"/>
      <c r="JSR76" s="26"/>
      <c r="JSS76" s="26"/>
      <c r="JST76" s="26"/>
      <c r="JSU76" s="58"/>
      <c r="JSV76" s="26"/>
      <c r="JSW76" s="26"/>
      <c r="JSX76" s="26"/>
      <c r="JSY76" s="26"/>
      <c r="JSZ76" s="22"/>
      <c r="JTA76" s="167"/>
      <c r="JTB76" s="30"/>
      <c r="JTC76" s="25"/>
      <c r="JTD76" s="178"/>
      <c r="JTE76" s="26"/>
      <c r="JTF76" s="26"/>
      <c r="JTG76" s="26"/>
      <c r="JTH76" s="26"/>
      <c r="JTI76" s="26"/>
      <c r="JTJ76" s="26"/>
      <c r="JTK76" s="58"/>
      <c r="JTL76" s="26"/>
      <c r="JTM76" s="26"/>
      <c r="JTN76" s="26"/>
      <c r="JTO76" s="26"/>
      <c r="JTP76" s="22"/>
      <c r="JTQ76" s="167"/>
      <c r="JTR76" s="30"/>
      <c r="JTS76" s="25"/>
      <c r="JTT76" s="178"/>
      <c r="JTU76" s="26"/>
      <c r="JTV76" s="26"/>
      <c r="JTW76" s="26"/>
      <c r="JTX76" s="26"/>
      <c r="JTY76" s="26"/>
      <c r="JTZ76" s="26"/>
      <c r="JUA76" s="58"/>
      <c r="JUB76" s="26"/>
      <c r="JUC76" s="26"/>
      <c r="JUD76" s="26"/>
      <c r="JUE76" s="26"/>
      <c r="JUF76" s="22"/>
      <c r="JUG76" s="167"/>
      <c r="JUH76" s="30"/>
      <c r="JUI76" s="25"/>
      <c r="JUJ76" s="178"/>
      <c r="JUK76" s="26"/>
      <c r="JUL76" s="26"/>
      <c r="JUM76" s="26"/>
      <c r="JUN76" s="26"/>
      <c r="JUO76" s="26"/>
      <c r="JUP76" s="26"/>
      <c r="JUQ76" s="58"/>
      <c r="JUR76" s="26"/>
      <c r="JUS76" s="26"/>
      <c r="JUT76" s="26"/>
      <c r="JUU76" s="26"/>
      <c r="JUV76" s="22"/>
      <c r="JUW76" s="167"/>
      <c r="JUX76" s="30"/>
      <c r="JUY76" s="25"/>
      <c r="JUZ76" s="178"/>
      <c r="JVA76" s="26"/>
      <c r="JVB76" s="26"/>
      <c r="JVC76" s="26"/>
      <c r="JVD76" s="26"/>
      <c r="JVE76" s="26"/>
      <c r="JVF76" s="26"/>
      <c r="JVG76" s="58"/>
      <c r="JVH76" s="26"/>
      <c r="JVI76" s="26"/>
      <c r="JVJ76" s="26"/>
      <c r="JVK76" s="26"/>
      <c r="JVL76" s="22"/>
      <c r="JVM76" s="167"/>
      <c r="JVN76" s="30"/>
      <c r="JVO76" s="25"/>
      <c r="JVP76" s="178"/>
      <c r="JVQ76" s="26"/>
      <c r="JVR76" s="26"/>
      <c r="JVS76" s="26"/>
      <c r="JVT76" s="26"/>
      <c r="JVU76" s="26"/>
      <c r="JVV76" s="26"/>
      <c r="JVW76" s="58"/>
      <c r="JVX76" s="26"/>
      <c r="JVY76" s="26"/>
      <c r="JVZ76" s="26"/>
      <c r="JWA76" s="26"/>
      <c r="JWB76" s="22"/>
      <c r="JWC76" s="167"/>
      <c r="JWD76" s="30"/>
      <c r="JWE76" s="25"/>
      <c r="JWF76" s="178"/>
      <c r="JWG76" s="26"/>
      <c r="JWH76" s="26"/>
      <c r="JWI76" s="26"/>
      <c r="JWJ76" s="26"/>
      <c r="JWK76" s="26"/>
      <c r="JWL76" s="26"/>
      <c r="JWM76" s="58"/>
      <c r="JWN76" s="26"/>
      <c r="JWO76" s="26"/>
      <c r="JWP76" s="26"/>
      <c r="JWQ76" s="26"/>
      <c r="JWR76" s="22"/>
      <c r="JWS76" s="167"/>
      <c r="JWT76" s="30"/>
      <c r="JWU76" s="25"/>
      <c r="JWV76" s="178"/>
      <c r="JWW76" s="26"/>
      <c r="JWX76" s="26"/>
      <c r="JWY76" s="26"/>
      <c r="JWZ76" s="26"/>
      <c r="JXA76" s="26"/>
      <c r="JXB76" s="26"/>
      <c r="JXC76" s="58"/>
      <c r="JXD76" s="26"/>
      <c r="JXE76" s="26"/>
      <c r="JXF76" s="26"/>
      <c r="JXG76" s="26"/>
      <c r="JXH76" s="22"/>
      <c r="JXI76" s="167"/>
      <c r="JXJ76" s="30"/>
      <c r="JXK76" s="25"/>
      <c r="JXL76" s="178"/>
      <c r="JXM76" s="26"/>
      <c r="JXN76" s="26"/>
      <c r="JXO76" s="26"/>
      <c r="JXP76" s="26"/>
      <c r="JXQ76" s="26"/>
      <c r="JXR76" s="26"/>
      <c r="JXS76" s="58"/>
      <c r="JXT76" s="26"/>
      <c r="JXU76" s="26"/>
      <c r="JXV76" s="26"/>
      <c r="JXW76" s="26"/>
      <c r="JXX76" s="22"/>
      <c r="JXY76" s="167"/>
      <c r="JXZ76" s="30"/>
      <c r="JYA76" s="25"/>
      <c r="JYB76" s="178"/>
      <c r="JYC76" s="26"/>
      <c r="JYD76" s="26"/>
      <c r="JYE76" s="26"/>
      <c r="JYF76" s="26"/>
      <c r="JYG76" s="26"/>
      <c r="JYH76" s="26"/>
      <c r="JYI76" s="58"/>
      <c r="JYJ76" s="26"/>
      <c r="JYK76" s="26"/>
      <c r="JYL76" s="26"/>
      <c r="JYM76" s="26"/>
      <c r="JYN76" s="22"/>
      <c r="JYO76" s="167"/>
      <c r="JYP76" s="30"/>
      <c r="JYQ76" s="25"/>
      <c r="JYR76" s="178"/>
      <c r="JYS76" s="26"/>
      <c r="JYT76" s="26"/>
      <c r="JYU76" s="26"/>
      <c r="JYV76" s="26"/>
      <c r="JYW76" s="26"/>
      <c r="JYX76" s="26"/>
      <c r="JYY76" s="58"/>
      <c r="JYZ76" s="26"/>
      <c r="JZA76" s="26"/>
      <c r="JZB76" s="26"/>
      <c r="JZC76" s="26"/>
      <c r="JZD76" s="22"/>
      <c r="JZE76" s="167"/>
      <c r="JZF76" s="30"/>
      <c r="JZG76" s="25"/>
      <c r="JZH76" s="178"/>
      <c r="JZI76" s="26"/>
      <c r="JZJ76" s="26"/>
      <c r="JZK76" s="26"/>
      <c r="JZL76" s="26"/>
      <c r="JZM76" s="26"/>
      <c r="JZN76" s="26"/>
      <c r="JZO76" s="58"/>
      <c r="JZP76" s="26"/>
      <c r="JZQ76" s="26"/>
      <c r="JZR76" s="26"/>
      <c r="JZS76" s="26"/>
      <c r="JZT76" s="22"/>
      <c r="JZU76" s="167"/>
      <c r="JZV76" s="30"/>
      <c r="JZW76" s="25"/>
      <c r="JZX76" s="178"/>
      <c r="JZY76" s="26"/>
      <c r="JZZ76" s="26"/>
      <c r="KAA76" s="26"/>
      <c r="KAB76" s="26"/>
      <c r="KAC76" s="26"/>
      <c r="KAD76" s="26"/>
      <c r="KAE76" s="58"/>
      <c r="KAF76" s="26"/>
      <c r="KAG76" s="26"/>
      <c r="KAH76" s="26"/>
      <c r="KAI76" s="26"/>
      <c r="KAJ76" s="22"/>
      <c r="KAK76" s="167"/>
      <c r="KAL76" s="30"/>
      <c r="KAM76" s="25"/>
      <c r="KAN76" s="178"/>
      <c r="KAO76" s="26"/>
      <c r="KAP76" s="26"/>
      <c r="KAQ76" s="26"/>
      <c r="KAR76" s="26"/>
      <c r="KAS76" s="26"/>
      <c r="KAT76" s="26"/>
      <c r="KAU76" s="58"/>
      <c r="KAV76" s="26"/>
      <c r="KAW76" s="26"/>
      <c r="KAX76" s="26"/>
      <c r="KAY76" s="26"/>
      <c r="KAZ76" s="22"/>
      <c r="KBA76" s="167"/>
      <c r="KBB76" s="30"/>
      <c r="KBC76" s="25"/>
      <c r="KBD76" s="178"/>
      <c r="KBE76" s="26"/>
      <c r="KBF76" s="26"/>
      <c r="KBG76" s="26"/>
      <c r="KBH76" s="26"/>
      <c r="KBI76" s="26"/>
      <c r="KBJ76" s="26"/>
      <c r="KBK76" s="58"/>
      <c r="KBL76" s="26"/>
      <c r="KBM76" s="26"/>
      <c r="KBN76" s="26"/>
      <c r="KBO76" s="26"/>
      <c r="KBP76" s="22"/>
      <c r="KBQ76" s="167"/>
      <c r="KBR76" s="30"/>
      <c r="KBS76" s="25"/>
      <c r="KBT76" s="178"/>
      <c r="KBU76" s="26"/>
      <c r="KBV76" s="26"/>
      <c r="KBW76" s="26"/>
      <c r="KBX76" s="26"/>
      <c r="KBY76" s="26"/>
      <c r="KBZ76" s="26"/>
      <c r="KCA76" s="58"/>
      <c r="KCB76" s="26"/>
      <c r="KCC76" s="26"/>
      <c r="KCD76" s="26"/>
      <c r="KCE76" s="26"/>
      <c r="KCF76" s="22"/>
      <c r="KCG76" s="167"/>
      <c r="KCH76" s="30"/>
      <c r="KCI76" s="25"/>
      <c r="KCJ76" s="178"/>
      <c r="KCK76" s="26"/>
      <c r="KCL76" s="26"/>
      <c r="KCM76" s="26"/>
      <c r="KCN76" s="26"/>
      <c r="KCO76" s="26"/>
      <c r="KCP76" s="26"/>
      <c r="KCQ76" s="58"/>
      <c r="KCR76" s="26"/>
      <c r="KCS76" s="26"/>
      <c r="KCT76" s="26"/>
      <c r="KCU76" s="26"/>
      <c r="KCV76" s="22"/>
      <c r="KCW76" s="167"/>
      <c r="KCX76" s="30"/>
      <c r="KCY76" s="25"/>
      <c r="KCZ76" s="178"/>
      <c r="KDA76" s="26"/>
      <c r="KDB76" s="26"/>
      <c r="KDC76" s="26"/>
      <c r="KDD76" s="26"/>
      <c r="KDE76" s="26"/>
      <c r="KDF76" s="26"/>
      <c r="KDG76" s="58"/>
      <c r="KDH76" s="26"/>
      <c r="KDI76" s="26"/>
      <c r="KDJ76" s="26"/>
      <c r="KDK76" s="26"/>
      <c r="KDL76" s="22"/>
      <c r="KDM76" s="167"/>
      <c r="KDN76" s="30"/>
      <c r="KDO76" s="25"/>
      <c r="KDP76" s="178"/>
      <c r="KDQ76" s="26"/>
      <c r="KDR76" s="26"/>
      <c r="KDS76" s="26"/>
      <c r="KDT76" s="26"/>
      <c r="KDU76" s="26"/>
      <c r="KDV76" s="26"/>
      <c r="KDW76" s="58"/>
      <c r="KDX76" s="26"/>
      <c r="KDY76" s="26"/>
      <c r="KDZ76" s="26"/>
      <c r="KEA76" s="26"/>
      <c r="KEB76" s="22"/>
      <c r="KEC76" s="167"/>
      <c r="KED76" s="30"/>
      <c r="KEE76" s="25"/>
      <c r="KEF76" s="178"/>
      <c r="KEG76" s="26"/>
      <c r="KEH76" s="26"/>
      <c r="KEI76" s="26"/>
      <c r="KEJ76" s="26"/>
      <c r="KEK76" s="26"/>
      <c r="KEL76" s="26"/>
      <c r="KEM76" s="58"/>
      <c r="KEN76" s="26"/>
      <c r="KEO76" s="26"/>
      <c r="KEP76" s="26"/>
      <c r="KEQ76" s="26"/>
      <c r="KER76" s="22"/>
      <c r="KES76" s="167"/>
      <c r="KET76" s="30"/>
      <c r="KEU76" s="25"/>
      <c r="KEV76" s="178"/>
      <c r="KEW76" s="26"/>
      <c r="KEX76" s="26"/>
      <c r="KEY76" s="26"/>
      <c r="KEZ76" s="26"/>
      <c r="KFA76" s="26"/>
      <c r="KFB76" s="26"/>
      <c r="KFC76" s="58"/>
      <c r="KFD76" s="26"/>
      <c r="KFE76" s="26"/>
      <c r="KFF76" s="26"/>
      <c r="KFG76" s="26"/>
      <c r="KFH76" s="22"/>
      <c r="KFI76" s="167"/>
      <c r="KFJ76" s="30"/>
      <c r="KFK76" s="25"/>
      <c r="KFL76" s="178"/>
      <c r="KFM76" s="26"/>
      <c r="KFN76" s="26"/>
      <c r="KFO76" s="26"/>
      <c r="KFP76" s="26"/>
      <c r="KFQ76" s="26"/>
      <c r="KFR76" s="26"/>
      <c r="KFS76" s="58"/>
      <c r="KFT76" s="26"/>
      <c r="KFU76" s="26"/>
      <c r="KFV76" s="26"/>
      <c r="KFW76" s="26"/>
      <c r="KFX76" s="22"/>
      <c r="KFY76" s="167"/>
      <c r="KFZ76" s="30"/>
      <c r="KGA76" s="25"/>
      <c r="KGB76" s="178"/>
      <c r="KGC76" s="26"/>
      <c r="KGD76" s="26"/>
      <c r="KGE76" s="26"/>
      <c r="KGF76" s="26"/>
      <c r="KGG76" s="26"/>
      <c r="KGH76" s="26"/>
      <c r="KGI76" s="58"/>
      <c r="KGJ76" s="26"/>
      <c r="KGK76" s="26"/>
      <c r="KGL76" s="26"/>
      <c r="KGM76" s="26"/>
      <c r="KGN76" s="22"/>
      <c r="KGO76" s="167"/>
      <c r="KGP76" s="30"/>
      <c r="KGQ76" s="25"/>
      <c r="KGR76" s="178"/>
      <c r="KGS76" s="26"/>
      <c r="KGT76" s="26"/>
      <c r="KGU76" s="26"/>
      <c r="KGV76" s="26"/>
      <c r="KGW76" s="26"/>
      <c r="KGX76" s="26"/>
      <c r="KGY76" s="58"/>
      <c r="KGZ76" s="26"/>
      <c r="KHA76" s="26"/>
      <c r="KHB76" s="26"/>
      <c r="KHC76" s="26"/>
      <c r="KHD76" s="22"/>
      <c r="KHE76" s="167"/>
      <c r="KHF76" s="30"/>
      <c r="KHG76" s="25"/>
      <c r="KHH76" s="178"/>
      <c r="KHI76" s="26"/>
      <c r="KHJ76" s="26"/>
      <c r="KHK76" s="26"/>
      <c r="KHL76" s="26"/>
      <c r="KHM76" s="26"/>
      <c r="KHN76" s="26"/>
      <c r="KHO76" s="58"/>
      <c r="KHP76" s="26"/>
      <c r="KHQ76" s="26"/>
      <c r="KHR76" s="26"/>
      <c r="KHS76" s="26"/>
      <c r="KHT76" s="22"/>
      <c r="KHU76" s="167"/>
      <c r="KHV76" s="30"/>
      <c r="KHW76" s="25"/>
      <c r="KHX76" s="178"/>
      <c r="KHY76" s="26"/>
      <c r="KHZ76" s="26"/>
      <c r="KIA76" s="26"/>
      <c r="KIB76" s="26"/>
      <c r="KIC76" s="26"/>
      <c r="KID76" s="26"/>
      <c r="KIE76" s="58"/>
      <c r="KIF76" s="26"/>
      <c r="KIG76" s="26"/>
      <c r="KIH76" s="26"/>
      <c r="KII76" s="26"/>
      <c r="KIJ76" s="22"/>
      <c r="KIK76" s="167"/>
      <c r="KIL76" s="30"/>
      <c r="KIM76" s="25"/>
      <c r="KIN76" s="178"/>
      <c r="KIO76" s="26"/>
      <c r="KIP76" s="26"/>
      <c r="KIQ76" s="26"/>
      <c r="KIR76" s="26"/>
      <c r="KIS76" s="26"/>
      <c r="KIT76" s="26"/>
      <c r="KIU76" s="58"/>
      <c r="KIV76" s="26"/>
      <c r="KIW76" s="26"/>
      <c r="KIX76" s="26"/>
      <c r="KIY76" s="26"/>
      <c r="KIZ76" s="22"/>
      <c r="KJA76" s="167"/>
      <c r="KJB76" s="30"/>
      <c r="KJC76" s="25"/>
      <c r="KJD76" s="178"/>
      <c r="KJE76" s="26"/>
      <c r="KJF76" s="26"/>
      <c r="KJG76" s="26"/>
      <c r="KJH76" s="26"/>
      <c r="KJI76" s="26"/>
      <c r="KJJ76" s="26"/>
      <c r="KJK76" s="58"/>
      <c r="KJL76" s="26"/>
      <c r="KJM76" s="26"/>
      <c r="KJN76" s="26"/>
      <c r="KJO76" s="26"/>
      <c r="KJP76" s="22"/>
      <c r="KJQ76" s="167"/>
      <c r="KJR76" s="30"/>
      <c r="KJS76" s="25"/>
      <c r="KJT76" s="178"/>
      <c r="KJU76" s="26"/>
      <c r="KJV76" s="26"/>
      <c r="KJW76" s="26"/>
      <c r="KJX76" s="26"/>
      <c r="KJY76" s="26"/>
      <c r="KJZ76" s="26"/>
      <c r="KKA76" s="58"/>
      <c r="KKB76" s="26"/>
      <c r="KKC76" s="26"/>
      <c r="KKD76" s="26"/>
      <c r="KKE76" s="26"/>
      <c r="KKF76" s="22"/>
      <c r="KKG76" s="167"/>
      <c r="KKH76" s="30"/>
      <c r="KKI76" s="25"/>
      <c r="KKJ76" s="178"/>
      <c r="KKK76" s="26"/>
      <c r="KKL76" s="26"/>
      <c r="KKM76" s="26"/>
      <c r="KKN76" s="26"/>
      <c r="KKO76" s="26"/>
      <c r="KKP76" s="26"/>
      <c r="KKQ76" s="58"/>
      <c r="KKR76" s="26"/>
      <c r="KKS76" s="26"/>
      <c r="KKT76" s="26"/>
      <c r="KKU76" s="26"/>
      <c r="KKV76" s="22"/>
      <c r="KKW76" s="167"/>
      <c r="KKX76" s="30"/>
      <c r="KKY76" s="25"/>
      <c r="KKZ76" s="178"/>
      <c r="KLA76" s="26"/>
      <c r="KLB76" s="26"/>
      <c r="KLC76" s="26"/>
      <c r="KLD76" s="26"/>
      <c r="KLE76" s="26"/>
      <c r="KLF76" s="26"/>
      <c r="KLG76" s="58"/>
      <c r="KLH76" s="26"/>
      <c r="KLI76" s="26"/>
      <c r="KLJ76" s="26"/>
      <c r="KLK76" s="26"/>
      <c r="KLL76" s="22"/>
      <c r="KLM76" s="167"/>
      <c r="KLN76" s="30"/>
      <c r="KLO76" s="25"/>
      <c r="KLP76" s="178"/>
      <c r="KLQ76" s="26"/>
      <c r="KLR76" s="26"/>
      <c r="KLS76" s="26"/>
      <c r="KLT76" s="26"/>
      <c r="KLU76" s="26"/>
      <c r="KLV76" s="26"/>
      <c r="KLW76" s="58"/>
      <c r="KLX76" s="26"/>
      <c r="KLY76" s="26"/>
      <c r="KLZ76" s="26"/>
      <c r="KMA76" s="26"/>
      <c r="KMB76" s="22"/>
      <c r="KMC76" s="167"/>
      <c r="KMD76" s="30"/>
      <c r="KME76" s="25"/>
      <c r="KMF76" s="178"/>
      <c r="KMG76" s="26"/>
      <c r="KMH76" s="26"/>
      <c r="KMI76" s="26"/>
      <c r="KMJ76" s="26"/>
      <c r="KMK76" s="26"/>
      <c r="KML76" s="26"/>
      <c r="KMM76" s="58"/>
      <c r="KMN76" s="26"/>
      <c r="KMO76" s="26"/>
      <c r="KMP76" s="26"/>
      <c r="KMQ76" s="26"/>
      <c r="KMR76" s="22"/>
      <c r="KMS76" s="167"/>
      <c r="KMT76" s="30"/>
      <c r="KMU76" s="25"/>
      <c r="KMV76" s="178"/>
      <c r="KMW76" s="26"/>
      <c r="KMX76" s="26"/>
      <c r="KMY76" s="26"/>
      <c r="KMZ76" s="26"/>
      <c r="KNA76" s="26"/>
      <c r="KNB76" s="26"/>
      <c r="KNC76" s="58"/>
      <c r="KND76" s="26"/>
      <c r="KNE76" s="26"/>
      <c r="KNF76" s="26"/>
      <c r="KNG76" s="26"/>
      <c r="KNH76" s="22"/>
      <c r="KNI76" s="167"/>
      <c r="KNJ76" s="30"/>
      <c r="KNK76" s="25"/>
      <c r="KNL76" s="178"/>
      <c r="KNM76" s="26"/>
      <c r="KNN76" s="26"/>
      <c r="KNO76" s="26"/>
      <c r="KNP76" s="26"/>
      <c r="KNQ76" s="26"/>
      <c r="KNR76" s="26"/>
      <c r="KNS76" s="58"/>
      <c r="KNT76" s="26"/>
      <c r="KNU76" s="26"/>
      <c r="KNV76" s="26"/>
      <c r="KNW76" s="26"/>
      <c r="KNX76" s="22"/>
      <c r="KNY76" s="167"/>
      <c r="KNZ76" s="30"/>
      <c r="KOA76" s="25"/>
      <c r="KOB76" s="178"/>
      <c r="KOC76" s="26"/>
      <c r="KOD76" s="26"/>
      <c r="KOE76" s="26"/>
      <c r="KOF76" s="26"/>
      <c r="KOG76" s="26"/>
      <c r="KOH76" s="26"/>
      <c r="KOI76" s="58"/>
      <c r="KOJ76" s="26"/>
      <c r="KOK76" s="26"/>
      <c r="KOL76" s="26"/>
      <c r="KOM76" s="26"/>
      <c r="KON76" s="22"/>
      <c r="KOO76" s="167"/>
      <c r="KOP76" s="30"/>
      <c r="KOQ76" s="25"/>
      <c r="KOR76" s="178"/>
      <c r="KOS76" s="26"/>
      <c r="KOT76" s="26"/>
      <c r="KOU76" s="26"/>
      <c r="KOV76" s="26"/>
      <c r="KOW76" s="26"/>
      <c r="KOX76" s="26"/>
      <c r="KOY76" s="58"/>
      <c r="KOZ76" s="26"/>
      <c r="KPA76" s="26"/>
      <c r="KPB76" s="26"/>
      <c r="KPC76" s="26"/>
      <c r="KPD76" s="22"/>
      <c r="KPE76" s="167"/>
      <c r="KPF76" s="30"/>
      <c r="KPG76" s="25"/>
      <c r="KPH76" s="178"/>
      <c r="KPI76" s="26"/>
      <c r="KPJ76" s="26"/>
      <c r="KPK76" s="26"/>
      <c r="KPL76" s="26"/>
      <c r="KPM76" s="26"/>
      <c r="KPN76" s="26"/>
      <c r="KPO76" s="58"/>
      <c r="KPP76" s="26"/>
      <c r="KPQ76" s="26"/>
      <c r="KPR76" s="26"/>
      <c r="KPS76" s="26"/>
      <c r="KPT76" s="22"/>
      <c r="KPU76" s="167"/>
      <c r="KPV76" s="30"/>
      <c r="KPW76" s="25"/>
      <c r="KPX76" s="178"/>
      <c r="KPY76" s="26"/>
      <c r="KPZ76" s="26"/>
      <c r="KQA76" s="26"/>
      <c r="KQB76" s="26"/>
      <c r="KQC76" s="26"/>
      <c r="KQD76" s="26"/>
      <c r="KQE76" s="58"/>
      <c r="KQF76" s="26"/>
      <c r="KQG76" s="26"/>
      <c r="KQH76" s="26"/>
      <c r="KQI76" s="26"/>
      <c r="KQJ76" s="22"/>
      <c r="KQK76" s="167"/>
      <c r="KQL76" s="30"/>
      <c r="KQM76" s="25"/>
      <c r="KQN76" s="178"/>
      <c r="KQO76" s="26"/>
      <c r="KQP76" s="26"/>
      <c r="KQQ76" s="26"/>
      <c r="KQR76" s="26"/>
      <c r="KQS76" s="26"/>
      <c r="KQT76" s="26"/>
      <c r="KQU76" s="58"/>
      <c r="KQV76" s="26"/>
      <c r="KQW76" s="26"/>
      <c r="KQX76" s="26"/>
      <c r="KQY76" s="26"/>
      <c r="KQZ76" s="22"/>
      <c r="KRA76" s="167"/>
      <c r="KRB76" s="30"/>
      <c r="KRC76" s="25"/>
      <c r="KRD76" s="178"/>
      <c r="KRE76" s="26"/>
      <c r="KRF76" s="26"/>
      <c r="KRG76" s="26"/>
      <c r="KRH76" s="26"/>
      <c r="KRI76" s="26"/>
      <c r="KRJ76" s="26"/>
      <c r="KRK76" s="58"/>
      <c r="KRL76" s="26"/>
      <c r="KRM76" s="26"/>
      <c r="KRN76" s="26"/>
      <c r="KRO76" s="26"/>
      <c r="KRP76" s="22"/>
      <c r="KRQ76" s="167"/>
      <c r="KRR76" s="30"/>
      <c r="KRS76" s="25"/>
      <c r="KRT76" s="178"/>
      <c r="KRU76" s="26"/>
      <c r="KRV76" s="26"/>
      <c r="KRW76" s="26"/>
      <c r="KRX76" s="26"/>
      <c r="KRY76" s="26"/>
      <c r="KRZ76" s="26"/>
      <c r="KSA76" s="58"/>
      <c r="KSB76" s="26"/>
      <c r="KSC76" s="26"/>
      <c r="KSD76" s="26"/>
      <c r="KSE76" s="26"/>
      <c r="KSF76" s="22"/>
      <c r="KSG76" s="167"/>
      <c r="KSH76" s="30"/>
      <c r="KSI76" s="25"/>
      <c r="KSJ76" s="178"/>
      <c r="KSK76" s="26"/>
      <c r="KSL76" s="26"/>
      <c r="KSM76" s="26"/>
      <c r="KSN76" s="26"/>
      <c r="KSO76" s="26"/>
      <c r="KSP76" s="26"/>
      <c r="KSQ76" s="58"/>
      <c r="KSR76" s="26"/>
      <c r="KSS76" s="26"/>
      <c r="KST76" s="26"/>
      <c r="KSU76" s="26"/>
      <c r="KSV76" s="22"/>
      <c r="KSW76" s="167"/>
      <c r="KSX76" s="30"/>
      <c r="KSY76" s="25"/>
      <c r="KSZ76" s="178"/>
      <c r="KTA76" s="26"/>
      <c r="KTB76" s="26"/>
      <c r="KTC76" s="26"/>
      <c r="KTD76" s="26"/>
      <c r="KTE76" s="26"/>
      <c r="KTF76" s="26"/>
      <c r="KTG76" s="58"/>
      <c r="KTH76" s="26"/>
      <c r="KTI76" s="26"/>
      <c r="KTJ76" s="26"/>
      <c r="KTK76" s="26"/>
      <c r="KTL76" s="22"/>
      <c r="KTM76" s="167"/>
      <c r="KTN76" s="30"/>
      <c r="KTO76" s="25"/>
      <c r="KTP76" s="178"/>
      <c r="KTQ76" s="26"/>
      <c r="KTR76" s="26"/>
      <c r="KTS76" s="26"/>
      <c r="KTT76" s="26"/>
      <c r="KTU76" s="26"/>
      <c r="KTV76" s="26"/>
      <c r="KTW76" s="58"/>
      <c r="KTX76" s="26"/>
      <c r="KTY76" s="26"/>
      <c r="KTZ76" s="26"/>
      <c r="KUA76" s="26"/>
      <c r="KUB76" s="22"/>
      <c r="KUC76" s="167"/>
      <c r="KUD76" s="30"/>
      <c r="KUE76" s="25"/>
      <c r="KUF76" s="178"/>
      <c r="KUG76" s="26"/>
      <c r="KUH76" s="26"/>
      <c r="KUI76" s="26"/>
      <c r="KUJ76" s="26"/>
      <c r="KUK76" s="26"/>
      <c r="KUL76" s="26"/>
      <c r="KUM76" s="58"/>
      <c r="KUN76" s="26"/>
      <c r="KUO76" s="26"/>
      <c r="KUP76" s="26"/>
      <c r="KUQ76" s="26"/>
      <c r="KUR76" s="22"/>
      <c r="KUS76" s="167"/>
      <c r="KUT76" s="30"/>
      <c r="KUU76" s="25"/>
      <c r="KUV76" s="178"/>
      <c r="KUW76" s="26"/>
      <c r="KUX76" s="26"/>
      <c r="KUY76" s="26"/>
      <c r="KUZ76" s="26"/>
      <c r="KVA76" s="26"/>
      <c r="KVB76" s="26"/>
      <c r="KVC76" s="58"/>
      <c r="KVD76" s="26"/>
      <c r="KVE76" s="26"/>
      <c r="KVF76" s="26"/>
      <c r="KVG76" s="26"/>
      <c r="KVH76" s="22"/>
      <c r="KVI76" s="167"/>
      <c r="KVJ76" s="30"/>
      <c r="KVK76" s="25"/>
      <c r="KVL76" s="178"/>
      <c r="KVM76" s="26"/>
      <c r="KVN76" s="26"/>
      <c r="KVO76" s="26"/>
      <c r="KVP76" s="26"/>
      <c r="KVQ76" s="26"/>
      <c r="KVR76" s="26"/>
      <c r="KVS76" s="58"/>
      <c r="KVT76" s="26"/>
      <c r="KVU76" s="26"/>
      <c r="KVV76" s="26"/>
      <c r="KVW76" s="26"/>
      <c r="KVX76" s="22"/>
      <c r="KVY76" s="167"/>
      <c r="KVZ76" s="30"/>
      <c r="KWA76" s="25"/>
      <c r="KWB76" s="178"/>
      <c r="KWC76" s="26"/>
      <c r="KWD76" s="26"/>
      <c r="KWE76" s="26"/>
      <c r="KWF76" s="26"/>
      <c r="KWG76" s="26"/>
      <c r="KWH76" s="26"/>
      <c r="KWI76" s="58"/>
      <c r="KWJ76" s="26"/>
      <c r="KWK76" s="26"/>
      <c r="KWL76" s="26"/>
      <c r="KWM76" s="26"/>
      <c r="KWN76" s="22"/>
      <c r="KWO76" s="167"/>
      <c r="KWP76" s="30"/>
      <c r="KWQ76" s="25"/>
      <c r="KWR76" s="178"/>
      <c r="KWS76" s="26"/>
      <c r="KWT76" s="26"/>
      <c r="KWU76" s="26"/>
      <c r="KWV76" s="26"/>
      <c r="KWW76" s="26"/>
      <c r="KWX76" s="26"/>
      <c r="KWY76" s="58"/>
      <c r="KWZ76" s="26"/>
      <c r="KXA76" s="26"/>
      <c r="KXB76" s="26"/>
      <c r="KXC76" s="26"/>
      <c r="KXD76" s="22"/>
      <c r="KXE76" s="167"/>
      <c r="KXF76" s="30"/>
      <c r="KXG76" s="25"/>
      <c r="KXH76" s="178"/>
      <c r="KXI76" s="26"/>
      <c r="KXJ76" s="26"/>
      <c r="KXK76" s="26"/>
      <c r="KXL76" s="26"/>
      <c r="KXM76" s="26"/>
      <c r="KXN76" s="26"/>
      <c r="KXO76" s="58"/>
      <c r="KXP76" s="26"/>
      <c r="KXQ76" s="26"/>
      <c r="KXR76" s="26"/>
      <c r="KXS76" s="26"/>
      <c r="KXT76" s="22"/>
      <c r="KXU76" s="167"/>
      <c r="KXV76" s="30"/>
      <c r="KXW76" s="25"/>
      <c r="KXX76" s="178"/>
      <c r="KXY76" s="26"/>
      <c r="KXZ76" s="26"/>
      <c r="KYA76" s="26"/>
      <c r="KYB76" s="26"/>
      <c r="KYC76" s="26"/>
      <c r="KYD76" s="26"/>
      <c r="KYE76" s="58"/>
      <c r="KYF76" s="26"/>
      <c r="KYG76" s="26"/>
      <c r="KYH76" s="26"/>
      <c r="KYI76" s="26"/>
      <c r="KYJ76" s="22"/>
      <c r="KYK76" s="167"/>
      <c r="KYL76" s="30"/>
      <c r="KYM76" s="25"/>
      <c r="KYN76" s="178"/>
      <c r="KYO76" s="26"/>
      <c r="KYP76" s="26"/>
      <c r="KYQ76" s="26"/>
      <c r="KYR76" s="26"/>
      <c r="KYS76" s="26"/>
      <c r="KYT76" s="26"/>
      <c r="KYU76" s="58"/>
      <c r="KYV76" s="26"/>
      <c r="KYW76" s="26"/>
      <c r="KYX76" s="26"/>
      <c r="KYY76" s="26"/>
      <c r="KYZ76" s="22"/>
      <c r="KZA76" s="167"/>
      <c r="KZB76" s="30"/>
      <c r="KZC76" s="25"/>
      <c r="KZD76" s="178"/>
      <c r="KZE76" s="26"/>
      <c r="KZF76" s="26"/>
      <c r="KZG76" s="26"/>
      <c r="KZH76" s="26"/>
      <c r="KZI76" s="26"/>
      <c r="KZJ76" s="26"/>
      <c r="KZK76" s="58"/>
      <c r="KZL76" s="26"/>
      <c r="KZM76" s="26"/>
      <c r="KZN76" s="26"/>
      <c r="KZO76" s="26"/>
      <c r="KZP76" s="22"/>
      <c r="KZQ76" s="167"/>
      <c r="KZR76" s="30"/>
      <c r="KZS76" s="25"/>
      <c r="KZT76" s="178"/>
      <c r="KZU76" s="26"/>
      <c r="KZV76" s="26"/>
      <c r="KZW76" s="26"/>
      <c r="KZX76" s="26"/>
      <c r="KZY76" s="26"/>
      <c r="KZZ76" s="26"/>
      <c r="LAA76" s="58"/>
      <c r="LAB76" s="26"/>
      <c r="LAC76" s="26"/>
      <c r="LAD76" s="26"/>
      <c r="LAE76" s="26"/>
      <c r="LAF76" s="22"/>
      <c r="LAG76" s="167"/>
      <c r="LAH76" s="30"/>
      <c r="LAI76" s="25"/>
      <c r="LAJ76" s="178"/>
      <c r="LAK76" s="26"/>
      <c r="LAL76" s="26"/>
      <c r="LAM76" s="26"/>
      <c r="LAN76" s="26"/>
      <c r="LAO76" s="26"/>
      <c r="LAP76" s="26"/>
      <c r="LAQ76" s="58"/>
      <c r="LAR76" s="26"/>
      <c r="LAS76" s="26"/>
      <c r="LAT76" s="26"/>
      <c r="LAU76" s="26"/>
      <c r="LAV76" s="22"/>
      <c r="LAW76" s="167"/>
      <c r="LAX76" s="30"/>
      <c r="LAY76" s="25"/>
      <c r="LAZ76" s="178"/>
      <c r="LBA76" s="26"/>
      <c r="LBB76" s="26"/>
      <c r="LBC76" s="26"/>
      <c r="LBD76" s="26"/>
      <c r="LBE76" s="26"/>
      <c r="LBF76" s="26"/>
      <c r="LBG76" s="58"/>
      <c r="LBH76" s="26"/>
      <c r="LBI76" s="26"/>
      <c r="LBJ76" s="26"/>
      <c r="LBK76" s="26"/>
      <c r="LBL76" s="22"/>
      <c r="LBM76" s="167"/>
      <c r="LBN76" s="30"/>
      <c r="LBO76" s="25"/>
      <c r="LBP76" s="178"/>
      <c r="LBQ76" s="26"/>
      <c r="LBR76" s="26"/>
      <c r="LBS76" s="26"/>
      <c r="LBT76" s="26"/>
      <c r="LBU76" s="26"/>
      <c r="LBV76" s="26"/>
      <c r="LBW76" s="58"/>
      <c r="LBX76" s="26"/>
      <c r="LBY76" s="26"/>
      <c r="LBZ76" s="26"/>
      <c r="LCA76" s="26"/>
      <c r="LCB76" s="22"/>
      <c r="LCC76" s="167"/>
      <c r="LCD76" s="30"/>
      <c r="LCE76" s="25"/>
      <c r="LCF76" s="178"/>
      <c r="LCG76" s="26"/>
      <c r="LCH76" s="26"/>
      <c r="LCI76" s="26"/>
      <c r="LCJ76" s="26"/>
      <c r="LCK76" s="26"/>
      <c r="LCL76" s="26"/>
      <c r="LCM76" s="58"/>
      <c r="LCN76" s="26"/>
      <c r="LCO76" s="26"/>
      <c r="LCP76" s="26"/>
      <c r="LCQ76" s="26"/>
      <c r="LCR76" s="22"/>
      <c r="LCS76" s="167"/>
      <c r="LCT76" s="30"/>
      <c r="LCU76" s="25"/>
      <c r="LCV76" s="178"/>
      <c r="LCW76" s="26"/>
      <c r="LCX76" s="26"/>
      <c r="LCY76" s="26"/>
      <c r="LCZ76" s="26"/>
      <c r="LDA76" s="26"/>
      <c r="LDB76" s="26"/>
      <c r="LDC76" s="58"/>
      <c r="LDD76" s="26"/>
      <c r="LDE76" s="26"/>
      <c r="LDF76" s="26"/>
      <c r="LDG76" s="26"/>
      <c r="LDH76" s="22"/>
      <c r="LDI76" s="167"/>
      <c r="LDJ76" s="30"/>
      <c r="LDK76" s="25"/>
      <c r="LDL76" s="178"/>
      <c r="LDM76" s="26"/>
      <c r="LDN76" s="26"/>
      <c r="LDO76" s="26"/>
      <c r="LDP76" s="26"/>
      <c r="LDQ76" s="26"/>
      <c r="LDR76" s="26"/>
      <c r="LDS76" s="58"/>
      <c r="LDT76" s="26"/>
      <c r="LDU76" s="26"/>
      <c r="LDV76" s="26"/>
      <c r="LDW76" s="26"/>
      <c r="LDX76" s="22"/>
      <c r="LDY76" s="167"/>
      <c r="LDZ76" s="30"/>
      <c r="LEA76" s="25"/>
      <c r="LEB76" s="178"/>
      <c r="LEC76" s="26"/>
      <c r="LED76" s="26"/>
      <c r="LEE76" s="26"/>
      <c r="LEF76" s="26"/>
      <c r="LEG76" s="26"/>
      <c r="LEH76" s="26"/>
      <c r="LEI76" s="58"/>
      <c r="LEJ76" s="26"/>
      <c r="LEK76" s="26"/>
      <c r="LEL76" s="26"/>
      <c r="LEM76" s="26"/>
      <c r="LEN76" s="22"/>
      <c r="LEO76" s="167"/>
      <c r="LEP76" s="30"/>
      <c r="LEQ76" s="25"/>
      <c r="LER76" s="178"/>
      <c r="LES76" s="26"/>
      <c r="LET76" s="26"/>
      <c r="LEU76" s="26"/>
      <c r="LEV76" s="26"/>
      <c r="LEW76" s="26"/>
      <c r="LEX76" s="26"/>
      <c r="LEY76" s="58"/>
      <c r="LEZ76" s="26"/>
      <c r="LFA76" s="26"/>
      <c r="LFB76" s="26"/>
      <c r="LFC76" s="26"/>
      <c r="LFD76" s="22"/>
      <c r="LFE76" s="167"/>
      <c r="LFF76" s="30"/>
      <c r="LFG76" s="25"/>
      <c r="LFH76" s="178"/>
      <c r="LFI76" s="26"/>
      <c r="LFJ76" s="26"/>
      <c r="LFK76" s="26"/>
      <c r="LFL76" s="26"/>
      <c r="LFM76" s="26"/>
      <c r="LFN76" s="26"/>
      <c r="LFO76" s="58"/>
      <c r="LFP76" s="26"/>
      <c r="LFQ76" s="26"/>
      <c r="LFR76" s="26"/>
      <c r="LFS76" s="26"/>
      <c r="LFT76" s="22"/>
      <c r="LFU76" s="167"/>
      <c r="LFV76" s="30"/>
      <c r="LFW76" s="25"/>
      <c r="LFX76" s="178"/>
      <c r="LFY76" s="26"/>
      <c r="LFZ76" s="26"/>
      <c r="LGA76" s="26"/>
      <c r="LGB76" s="26"/>
      <c r="LGC76" s="26"/>
      <c r="LGD76" s="26"/>
      <c r="LGE76" s="58"/>
      <c r="LGF76" s="26"/>
      <c r="LGG76" s="26"/>
      <c r="LGH76" s="26"/>
      <c r="LGI76" s="26"/>
      <c r="LGJ76" s="22"/>
      <c r="LGK76" s="167"/>
      <c r="LGL76" s="30"/>
      <c r="LGM76" s="25"/>
      <c r="LGN76" s="178"/>
      <c r="LGO76" s="26"/>
      <c r="LGP76" s="26"/>
      <c r="LGQ76" s="26"/>
      <c r="LGR76" s="26"/>
      <c r="LGS76" s="26"/>
      <c r="LGT76" s="26"/>
      <c r="LGU76" s="58"/>
      <c r="LGV76" s="26"/>
      <c r="LGW76" s="26"/>
      <c r="LGX76" s="26"/>
      <c r="LGY76" s="26"/>
      <c r="LGZ76" s="22"/>
      <c r="LHA76" s="167"/>
      <c r="LHB76" s="30"/>
      <c r="LHC76" s="25"/>
      <c r="LHD76" s="178"/>
      <c r="LHE76" s="26"/>
      <c r="LHF76" s="26"/>
      <c r="LHG76" s="26"/>
      <c r="LHH76" s="26"/>
      <c r="LHI76" s="26"/>
      <c r="LHJ76" s="26"/>
      <c r="LHK76" s="58"/>
      <c r="LHL76" s="26"/>
      <c r="LHM76" s="26"/>
      <c r="LHN76" s="26"/>
      <c r="LHO76" s="26"/>
      <c r="LHP76" s="22"/>
      <c r="LHQ76" s="167"/>
      <c r="LHR76" s="30"/>
      <c r="LHS76" s="25"/>
      <c r="LHT76" s="178"/>
      <c r="LHU76" s="26"/>
      <c r="LHV76" s="26"/>
      <c r="LHW76" s="26"/>
      <c r="LHX76" s="26"/>
      <c r="LHY76" s="26"/>
      <c r="LHZ76" s="26"/>
      <c r="LIA76" s="58"/>
      <c r="LIB76" s="26"/>
      <c r="LIC76" s="26"/>
      <c r="LID76" s="26"/>
      <c r="LIE76" s="26"/>
      <c r="LIF76" s="22"/>
      <c r="LIG76" s="167"/>
      <c r="LIH76" s="30"/>
      <c r="LII76" s="25"/>
      <c r="LIJ76" s="178"/>
      <c r="LIK76" s="26"/>
      <c r="LIL76" s="26"/>
      <c r="LIM76" s="26"/>
      <c r="LIN76" s="26"/>
      <c r="LIO76" s="26"/>
      <c r="LIP76" s="26"/>
      <c r="LIQ76" s="58"/>
      <c r="LIR76" s="26"/>
      <c r="LIS76" s="26"/>
      <c r="LIT76" s="26"/>
      <c r="LIU76" s="26"/>
      <c r="LIV76" s="22"/>
      <c r="LIW76" s="167"/>
      <c r="LIX76" s="30"/>
      <c r="LIY76" s="25"/>
      <c r="LIZ76" s="178"/>
      <c r="LJA76" s="26"/>
      <c r="LJB76" s="26"/>
      <c r="LJC76" s="26"/>
      <c r="LJD76" s="26"/>
      <c r="LJE76" s="26"/>
      <c r="LJF76" s="26"/>
      <c r="LJG76" s="58"/>
      <c r="LJH76" s="26"/>
      <c r="LJI76" s="26"/>
      <c r="LJJ76" s="26"/>
      <c r="LJK76" s="26"/>
      <c r="LJL76" s="22"/>
      <c r="LJM76" s="167"/>
      <c r="LJN76" s="30"/>
      <c r="LJO76" s="25"/>
      <c r="LJP76" s="178"/>
      <c r="LJQ76" s="26"/>
      <c r="LJR76" s="26"/>
      <c r="LJS76" s="26"/>
      <c r="LJT76" s="26"/>
      <c r="LJU76" s="26"/>
      <c r="LJV76" s="26"/>
      <c r="LJW76" s="58"/>
      <c r="LJX76" s="26"/>
      <c r="LJY76" s="26"/>
      <c r="LJZ76" s="26"/>
      <c r="LKA76" s="26"/>
      <c r="LKB76" s="22"/>
      <c r="LKC76" s="167"/>
      <c r="LKD76" s="30"/>
      <c r="LKE76" s="25"/>
      <c r="LKF76" s="178"/>
      <c r="LKG76" s="26"/>
      <c r="LKH76" s="26"/>
      <c r="LKI76" s="26"/>
      <c r="LKJ76" s="26"/>
      <c r="LKK76" s="26"/>
      <c r="LKL76" s="26"/>
      <c r="LKM76" s="58"/>
      <c r="LKN76" s="26"/>
      <c r="LKO76" s="26"/>
      <c r="LKP76" s="26"/>
      <c r="LKQ76" s="26"/>
      <c r="LKR76" s="22"/>
      <c r="LKS76" s="167"/>
      <c r="LKT76" s="30"/>
      <c r="LKU76" s="25"/>
      <c r="LKV76" s="178"/>
      <c r="LKW76" s="26"/>
      <c r="LKX76" s="26"/>
      <c r="LKY76" s="26"/>
      <c r="LKZ76" s="26"/>
      <c r="LLA76" s="26"/>
      <c r="LLB76" s="26"/>
      <c r="LLC76" s="58"/>
      <c r="LLD76" s="26"/>
      <c r="LLE76" s="26"/>
      <c r="LLF76" s="26"/>
      <c r="LLG76" s="26"/>
      <c r="LLH76" s="22"/>
      <c r="LLI76" s="167"/>
      <c r="LLJ76" s="30"/>
      <c r="LLK76" s="25"/>
      <c r="LLL76" s="178"/>
      <c r="LLM76" s="26"/>
      <c r="LLN76" s="26"/>
      <c r="LLO76" s="26"/>
      <c r="LLP76" s="26"/>
      <c r="LLQ76" s="26"/>
      <c r="LLR76" s="26"/>
      <c r="LLS76" s="58"/>
      <c r="LLT76" s="26"/>
      <c r="LLU76" s="26"/>
      <c r="LLV76" s="26"/>
      <c r="LLW76" s="26"/>
      <c r="LLX76" s="22"/>
      <c r="LLY76" s="167"/>
      <c r="LLZ76" s="30"/>
      <c r="LMA76" s="25"/>
      <c r="LMB76" s="178"/>
      <c r="LMC76" s="26"/>
      <c r="LMD76" s="26"/>
      <c r="LME76" s="26"/>
      <c r="LMF76" s="26"/>
      <c r="LMG76" s="26"/>
      <c r="LMH76" s="26"/>
      <c r="LMI76" s="58"/>
      <c r="LMJ76" s="26"/>
      <c r="LMK76" s="26"/>
      <c r="LML76" s="26"/>
      <c r="LMM76" s="26"/>
      <c r="LMN76" s="22"/>
      <c r="LMO76" s="167"/>
      <c r="LMP76" s="30"/>
      <c r="LMQ76" s="25"/>
      <c r="LMR76" s="178"/>
      <c r="LMS76" s="26"/>
      <c r="LMT76" s="26"/>
      <c r="LMU76" s="26"/>
      <c r="LMV76" s="26"/>
      <c r="LMW76" s="26"/>
      <c r="LMX76" s="26"/>
      <c r="LMY76" s="58"/>
      <c r="LMZ76" s="26"/>
      <c r="LNA76" s="26"/>
      <c r="LNB76" s="26"/>
      <c r="LNC76" s="26"/>
      <c r="LND76" s="22"/>
      <c r="LNE76" s="167"/>
      <c r="LNF76" s="30"/>
      <c r="LNG76" s="25"/>
      <c r="LNH76" s="178"/>
      <c r="LNI76" s="26"/>
      <c r="LNJ76" s="26"/>
      <c r="LNK76" s="26"/>
      <c r="LNL76" s="26"/>
      <c r="LNM76" s="26"/>
      <c r="LNN76" s="26"/>
      <c r="LNO76" s="58"/>
      <c r="LNP76" s="26"/>
      <c r="LNQ76" s="26"/>
      <c r="LNR76" s="26"/>
      <c r="LNS76" s="26"/>
      <c r="LNT76" s="22"/>
      <c r="LNU76" s="167"/>
      <c r="LNV76" s="30"/>
      <c r="LNW76" s="25"/>
      <c r="LNX76" s="178"/>
      <c r="LNY76" s="26"/>
      <c r="LNZ76" s="26"/>
      <c r="LOA76" s="26"/>
      <c r="LOB76" s="26"/>
      <c r="LOC76" s="26"/>
      <c r="LOD76" s="26"/>
      <c r="LOE76" s="58"/>
      <c r="LOF76" s="26"/>
      <c r="LOG76" s="26"/>
      <c r="LOH76" s="26"/>
      <c r="LOI76" s="26"/>
      <c r="LOJ76" s="22"/>
      <c r="LOK76" s="167"/>
      <c r="LOL76" s="30"/>
      <c r="LOM76" s="25"/>
      <c r="LON76" s="178"/>
      <c r="LOO76" s="26"/>
      <c r="LOP76" s="26"/>
      <c r="LOQ76" s="26"/>
      <c r="LOR76" s="26"/>
      <c r="LOS76" s="26"/>
      <c r="LOT76" s="26"/>
      <c r="LOU76" s="58"/>
      <c r="LOV76" s="26"/>
      <c r="LOW76" s="26"/>
      <c r="LOX76" s="26"/>
      <c r="LOY76" s="26"/>
      <c r="LOZ76" s="22"/>
      <c r="LPA76" s="167"/>
      <c r="LPB76" s="30"/>
      <c r="LPC76" s="25"/>
      <c r="LPD76" s="178"/>
      <c r="LPE76" s="26"/>
      <c r="LPF76" s="26"/>
      <c r="LPG76" s="26"/>
      <c r="LPH76" s="26"/>
      <c r="LPI76" s="26"/>
      <c r="LPJ76" s="26"/>
      <c r="LPK76" s="58"/>
      <c r="LPL76" s="26"/>
      <c r="LPM76" s="26"/>
      <c r="LPN76" s="26"/>
      <c r="LPO76" s="26"/>
      <c r="LPP76" s="22"/>
      <c r="LPQ76" s="167"/>
      <c r="LPR76" s="30"/>
      <c r="LPS76" s="25"/>
      <c r="LPT76" s="178"/>
      <c r="LPU76" s="26"/>
      <c r="LPV76" s="26"/>
      <c r="LPW76" s="26"/>
      <c r="LPX76" s="26"/>
      <c r="LPY76" s="26"/>
      <c r="LPZ76" s="26"/>
      <c r="LQA76" s="58"/>
      <c r="LQB76" s="26"/>
      <c r="LQC76" s="26"/>
      <c r="LQD76" s="26"/>
      <c r="LQE76" s="26"/>
      <c r="LQF76" s="22"/>
      <c r="LQG76" s="167"/>
      <c r="LQH76" s="30"/>
      <c r="LQI76" s="25"/>
      <c r="LQJ76" s="178"/>
      <c r="LQK76" s="26"/>
      <c r="LQL76" s="26"/>
      <c r="LQM76" s="26"/>
      <c r="LQN76" s="26"/>
      <c r="LQO76" s="26"/>
      <c r="LQP76" s="26"/>
      <c r="LQQ76" s="58"/>
      <c r="LQR76" s="26"/>
      <c r="LQS76" s="26"/>
      <c r="LQT76" s="26"/>
      <c r="LQU76" s="26"/>
      <c r="LQV76" s="22"/>
      <c r="LQW76" s="167"/>
      <c r="LQX76" s="30"/>
      <c r="LQY76" s="25"/>
      <c r="LQZ76" s="178"/>
      <c r="LRA76" s="26"/>
      <c r="LRB76" s="26"/>
      <c r="LRC76" s="26"/>
      <c r="LRD76" s="26"/>
      <c r="LRE76" s="26"/>
      <c r="LRF76" s="26"/>
      <c r="LRG76" s="58"/>
      <c r="LRH76" s="26"/>
      <c r="LRI76" s="26"/>
      <c r="LRJ76" s="26"/>
      <c r="LRK76" s="26"/>
      <c r="LRL76" s="22"/>
      <c r="LRM76" s="167"/>
      <c r="LRN76" s="30"/>
      <c r="LRO76" s="25"/>
      <c r="LRP76" s="178"/>
      <c r="LRQ76" s="26"/>
      <c r="LRR76" s="26"/>
      <c r="LRS76" s="26"/>
      <c r="LRT76" s="26"/>
      <c r="LRU76" s="26"/>
      <c r="LRV76" s="26"/>
      <c r="LRW76" s="58"/>
      <c r="LRX76" s="26"/>
      <c r="LRY76" s="26"/>
      <c r="LRZ76" s="26"/>
      <c r="LSA76" s="26"/>
      <c r="LSB76" s="22"/>
      <c r="LSC76" s="167"/>
      <c r="LSD76" s="30"/>
      <c r="LSE76" s="25"/>
      <c r="LSF76" s="178"/>
      <c r="LSG76" s="26"/>
      <c r="LSH76" s="26"/>
      <c r="LSI76" s="26"/>
      <c r="LSJ76" s="26"/>
      <c r="LSK76" s="26"/>
      <c r="LSL76" s="26"/>
      <c r="LSM76" s="58"/>
      <c r="LSN76" s="26"/>
      <c r="LSO76" s="26"/>
      <c r="LSP76" s="26"/>
      <c r="LSQ76" s="26"/>
      <c r="LSR76" s="22"/>
      <c r="LSS76" s="167"/>
      <c r="LST76" s="30"/>
      <c r="LSU76" s="25"/>
      <c r="LSV76" s="178"/>
      <c r="LSW76" s="26"/>
      <c r="LSX76" s="26"/>
      <c r="LSY76" s="26"/>
      <c r="LSZ76" s="26"/>
      <c r="LTA76" s="26"/>
      <c r="LTB76" s="26"/>
      <c r="LTC76" s="58"/>
      <c r="LTD76" s="26"/>
      <c r="LTE76" s="26"/>
      <c r="LTF76" s="26"/>
      <c r="LTG76" s="26"/>
      <c r="LTH76" s="22"/>
      <c r="LTI76" s="167"/>
      <c r="LTJ76" s="30"/>
      <c r="LTK76" s="25"/>
      <c r="LTL76" s="178"/>
      <c r="LTM76" s="26"/>
      <c r="LTN76" s="26"/>
      <c r="LTO76" s="26"/>
      <c r="LTP76" s="26"/>
      <c r="LTQ76" s="26"/>
      <c r="LTR76" s="26"/>
      <c r="LTS76" s="58"/>
      <c r="LTT76" s="26"/>
      <c r="LTU76" s="26"/>
      <c r="LTV76" s="26"/>
      <c r="LTW76" s="26"/>
      <c r="LTX76" s="22"/>
      <c r="LTY76" s="167"/>
      <c r="LTZ76" s="30"/>
      <c r="LUA76" s="25"/>
      <c r="LUB76" s="178"/>
      <c r="LUC76" s="26"/>
      <c r="LUD76" s="26"/>
      <c r="LUE76" s="26"/>
      <c r="LUF76" s="26"/>
      <c r="LUG76" s="26"/>
      <c r="LUH76" s="26"/>
      <c r="LUI76" s="58"/>
      <c r="LUJ76" s="26"/>
      <c r="LUK76" s="26"/>
      <c r="LUL76" s="26"/>
      <c r="LUM76" s="26"/>
      <c r="LUN76" s="22"/>
      <c r="LUO76" s="167"/>
      <c r="LUP76" s="30"/>
      <c r="LUQ76" s="25"/>
      <c r="LUR76" s="178"/>
      <c r="LUS76" s="26"/>
      <c r="LUT76" s="26"/>
      <c r="LUU76" s="26"/>
      <c r="LUV76" s="26"/>
      <c r="LUW76" s="26"/>
      <c r="LUX76" s="26"/>
      <c r="LUY76" s="58"/>
      <c r="LUZ76" s="26"/>
      <c r="LVA76" s="26"/>
      <c r="LVB76" s="26"/>
      <c r="LVC76" s="26"/>
      <c r="LVD76" s="22"/>
      <c r="LVE76" s="167"/>
      <c r="LVF76" s="30"/>
      <c r="LVG76" s="25"/>
      <c r="LVH76" s="178"/>
      <c r="LVI76" s="26"/>
      <c r="LVJ76" s="26"/>
      <c r="LVK76" s="26"/>
      <c r="LVL76" s="26"/>
      <c r="LVM76" s="26"/>
      <c r="LVN76" s="26"/>
      <c r="LVO76" s="58"/>
      <c r="LVP76" s="26"/>
      <c r="LVQ76" s="26"/>
      <c r="LVR76" s="26"/>
      <c r="LVS76" s="26"/>
      <c r="LVT76" s="22"/>
      <c r="LVU76" s="167"/>
      <c r="LVV76" s="30"/>
      <c r="LVW76" s="25"/>
      <c r="LVX76" s="178"/>
      <c r="LVY76" s="26"/>
      <c r="LVZ76" s="26"/>
      <c r="LWA76" s="26"/>
      <c r="LWB76" s="26"/>
      <c r="LWC76" s="26"/>
      <c r="LWD76" s="26"/>
      <c r="LWE76" s="58"/>
      <c r="LWF76" s="26"/>
      <c r="LWG76" s="26"/>
      <c r="LWH76" s="26"/>
      <c r="LWI76" s="26"/>
      <c r="LWJ76" s="22"/>
      <c r="LWK76" s="167"/>
      <c r="LWL76" s="30"/>
      <c r="LWM76" s="25"/>
      <c r="LWN76" s="178"/>
      <c r="LWO76" s="26"/>
      <c r="LWP76" s="26"/>
      <c r="LWQ76" s="26"/>
      <c r="LWR76" s="26"/>
      <c r="LWS76" s="26"/>
      <c r="LWT76" s="26"/>
      <c r="LWU76" s="58"/>
      <c r="LWV76" s="26"/>
      <c r="LWW76" s="26"/>
      <c r="LWX76" s="26"/>
      <c r="LWY76" s="26"/>
      <c r="LWZ76" s="22"/>
      <c r="LXA76" s="167"/>
      <c r="LXB76" s="30"/>
      <c r="LXC76" s="25"/>
      <c r="LXD76" s="178"/>
      <c r="LXE76" s="26"/>
      <c r="LXF76" s="26"/>
      <c r="LXG76" s="26"/>
      <c r="LXH76" s="26"/>
      <c r="LXI76" s="26"/>
      <c r="LXJ76" s="26"/>
      <c r="LXK76" s="58"/>
      <c r="LXL76" s="26"/>
      <c r="LXM76" s="26"/>
      <c r="LXN76" s="26"/>
      <c r="LXO76" s="26"/>
      <c r="LXP76" s="22"/>
      <c r="LXQ76" s="167"/>
      <c r="LXR76" s="30"/>
      <c r="LXS76" s="25"/>
      <c r="LXT76" s="178"/>
      <c r="LXU76" s="26"/>
      <c r="LXV76" s="26"/>
      <c r="LXW76" s="26"/>
      <c r="LXX76" s="26"/>
      <c r="LXY76" s="26"/>
      <c r="LXZ76" s="26"/>
      <c r="LYA76" s="58"/>
      <c r="LYB76" s="26"/>
      <c r="LYC76" s="26"/>
      <c r="LYD76" s="26"/>
      <c r="LYE76" s="26"/>
      <c r="LYF76" s="22"/>
      <c r="LYG76" s="167"/>
      <c r="LYH76" s="30"/>
      <c r="LYI76" s="25"/>
      <c r="LYJ76" s="178"/>
      <c r="LYK76" s="26"/>
      <c r="LYL76" s="26"/>
      <c r="LYM76" s="26"/>
      <c r="LYN76" s="26"/>
      <c r="LYO76" s="26"/>
      <c r="LYP76" s="26"/>
      <c r="LYQ76" s="58"/>
      <c r="LYR76" s="26"/>
      <c r="LYS76" s="26"/>
      <c r="LYT76" s="26"/>
      <c r="LYU76" s="26"/>
      <c r="LYV76" s="22"/>
      <c r="LYW76" s="167"/>
      <c r="LYX76" s="30"/>
      <c r="LYY76" s="25"/>
      <c r="LYZ76" s="178"/>
      <c r="LZA76" s="26"/>
      <c r="LZB76" s="26"/>
      <c r="LZC76" s="26"/>
      <c r="LZD76" s="26"/>
      <c r="LZE76" s="26"/>
      <c r="LZF76" s="26"/>
      <c r="LZG76" s="58"/>
      <c r="LZH76" s="26"/>
      <c r="LZI76" s="26"/>
      <c r="LZJ76" s="26"/>
      <c r="LZK76" s="26"/>
      <c r="LZL76" s="22"/>
      <c r="LZM76" s="167"/>
      <c r="LZN76" s="30"/>
      <c r="LZO76" s="25"/>
      <c r="LZP76" s="178"/>
      <c r="LZQ76" s="26"/>
      <c r="LZR76" s="26"/>
      <c r="LZS76" s="26"/>
      <c r="LZT76" s="26"/>
      <c r="LZU76" s="26"/>
      <c r="LZV76" s="26"/>
      <c r="LZW76" s="58"/>
      <c r="LZX76" s="26"/>
      <c r="LZY76" s="26"/>
      <c r="LZZ76" s="26"/>
      <c r="MAA76" s="26"/>
      <c r="MAB76" s="22"/>
      <c r="MAC76" s="167"/>
      <c r="MAD76" s="30"/>
      <c r="MAE76" s="25"/>
      <c r="MAF76" s="178"/>
      <c r="MAG76" s="26"/>
      <c r="MAH76" s="26"/>
      <c r="MAI76" s="26"/>
      <c r="MAJ76" s="26"/>
      <c r="MAK76" s="26"/>
      <c r="MAL76" s="26"/>
      <c r="MAM76" s="58"/>
      <c r="MAN76" s="26"/>
      <c r="MAO76" s="26"/>
      <c r="MAP76" s="26"/>
      <c r="MAQ76" s="26"/>
      <c r="MAR76" s="22"/>
      <c r="MAS76" s="167"/>
      <c r="MAT76" s="30"/>
      <c r="MAU76" s="25"/>
      <c r="MAV76" s="178"/>
      <c r="MAW76" s="26"/>
      <c r="MAX76" s="26"/>
      <c r="MAY76" s="26"/>
      <c r="MAZ76" s="26"/>
      <c r="MBA76" s="26"/>
      <c r="MBB76" s="26"/>
      <c r="MBC76" s="58"/>
      <c r="MBD76" s="26"/>
      <c r="MBE76" s="26"/>
      <c r="MBF76" s="26"/>
      <c r="MBG76" s="26"/>
      <c r="MBH76" s="22"/>
      <c r="MBI76" s="167"/>
      <c r="MBJ76" s="30"/>
      <c r="MBK76" s="25"/>
      <c r="MBL76" s="178"/>
      <c r="MBM76" s="26"/>
      <c r="MBN76" s="26"/>
      <c r="MBO76" s="26"/>
      <c r="MBP76" s="26"/>
      <c r="MBQ76" s="26"/>
      <c r="MBR76" s="26"/>
      <c r="MBS76" s="58"/>
      <c r="MBT76" s="26"/>
      <c r="MBU76" s="26"/>
      <c r="MBV76" s="26"/>
      <c r="MBW76" s="26"/>
      <c r="MBX76" s="22"/>
      <c r="MBY76" s="167"/>
      <c r="MBZ76" s="30"/>
      <c r="MCA76" s="25"/>
      <c r="MCB76" s="178"/>
      <c r="MCC76" s="26"/>
      <c r="MCD76" s="26"/>
      <c r="MCE76" s="26"/>
      <c r="MCF76" s="26"/>
      <c r="MCG76" s="26"/>
      <c r="MCH76" s="26"/>
      <c r="MCI76" s="58"/>
      <c r="MCJ76" s="26"/>
      <c r="MCK76" s="26"/>
      <c r="MCL76" s="26"/>
      <c r="MCM76" s="26"/>
      <c r="MCN76" s="22"/>
      <c r="MCO76" s="167"/>
      <c r="MCP76" s="30"/>
      <c r="MCQ76" s="25"/>
      <c r="MCR76" s="178"/>
      <c r="MCS76" s="26"/>
      <c r="MCT76" s="26"/>
      <c r="MCU76" s="26"/>
      <c r="MCV76" s="26"/>
      <c r="MCW76" s="26"/>
      <c r="MCX76" s="26"/>
      <c r="MCY76" s="58"/>
      <c r="MCZ76" s="26"/>
      <c r="MDA76" s="26"/>
      <c r="MDB76" s="26"/>
      <c r="MDC76" s="26"/>
      <c r="MDD76" s="22"/>
      <c r="MDE76" s="167"/>
      <c r="MDF76" s="30"/>
      <c r="MDG76" s="25"/>
      <c r="MDH76" s="178"/>
      <c r="MDI76" s="26"/>
      <c r="MDJ76" s="26"/>
      <c r="MDK76" s="26"/>
      <c r="MDL76" s="26"/>
      <c r="MDM76" s="26"/>
      <c r="MDN76" s="26"/>
      <c r="MDO76" s="58"/>
      <c r="MDP76" s="26"/>
      <c r="MDQ76" s="26"/>
      <c r="MDR76" s="26"/>
      <c r="MDS76" s="26"/>
      <c r="MDT76" s="22"/>
      <c r="MDU76" s="167"/>
      <c r="MDV76" s="30"/>
      <c r="MDW76" s="25"/>
      <c r="MDX76" s="178"/>
      <c r="MDY76" s="26"/>
      <c r="MDZ76" s="26"/>
      <c r="MEA76" s="26"/>
      <c r="MEB76" s="26"/>
      <c r="MEC76" s="26"/>
      <c r="MED76" s="26"/>
      <c r="MEE76" s="58"/>
      <c r="MEF76" s="26"/>
      <c r="MEG76" s="26"/>
      <c r="MEH76" s="26"/>
      <c r="MEI76" s="26"/>
      <c r="MEJ76" s="22"/>
      <c r="MEK76" s="167"/>
      <c r="MEL76" s="30"/>
      <c r="MEM76" s="25"/>
      <c r="MEN76" s="178"/>
      <c r="MEO76" s="26"/>
      <c r="MEP76" s="26"/>
      <c r="MEQ76" s="26"/>
      <c r="MER76" s="26"/>
      <c r="MES76" s="26"/>
      <c r="MET76" s="26"/>
      <c r="MEU76" s="58"/>
      <c r="MEV76" s="26"/>
      <c r="MEW76" s="26"/>
      <c r="MEX76" s="26"/>
      <c r="MEY76" s="26"/>
      <c r="MEZ76" s="22"/>
      <c r="MFA76" s="167"/>
      <c r="MFB76" s="30"/>
      <c r="MFC76" s="25"/>
      <c r="MFD76" s="178"/>
      <c r="MFE76" s="26"/>
      <c r="MFF76" s="26"/>
      <c r="MFG76" s="26"/>
      <c r="MFH76" s="26"/>
      <c r="MFI76" s="26"/>
      <c r="MFJ76" s="26"/>
      <c r="MFK76" s="58"/>
      <c r="MFL76" s="26"/>
      <c r="MFM76" s="26"/>
      <c r="MFN76" s="26"/>
      <c r="MFO76" s="26"/>
      <c r="MFP76" s="22"/>
      <c r="MFQ76" s="167"/>
      <c r="MFR76" s="30"/>
      <c r="MFS76" s="25"/>
      <c r="MFT76" s="178"/>
      <c r="MFU76" s="26"/>
      <c r="MFV76" s="26"/>
      <c r="MFW76" s="26"/>
      <c r="MFX76" s="26"/>
      <c r="MFY76" s="26"/>
      <c r="MFZ76" s="26"/>
      <c r="MGA76" s="58"/>
      <c r="MGB76" s="26"/>
      <c r="MGC76" s="26"/>
      <c r="MGD76" s="26"/>
      <c r="MGE76" s="26"/>
      <c r="MGF76" s="22"/>
      <c r="MGG76" s="167"/>
      <c r="MGH76" s="30"/>
      <c r="MGI76" s="25"/>
      <c r="MGJ76" s="178"/>
      <c r="MGK76" s="26"/>
      <c r="MGL76" s="26"/>
      <c r="MGM76" s="26"/>
      <c r="MGN76" s="26"/>
      <c r="MGO76" s="26"/>
      <c r="MGP76" s="26"/>
      <c r="MGQ76" s="58"/>
      <c r="MGR76" s="26"/>
      <c r="MGS76" s="26"/>
      <c r="MGT76" s="26"/>
      <c r="MGU76" s="26"/>
      <c r="MGV76" s="22"/>
      <c r="MGW76" s="167"/>
      <c r="MGX76" s="30"/>
      <c r="MGY76" s="25"/>
      <c r="MGZ76" s="178"/>
      <c r="MHA76" s="26"/>
      <c r="MHB76" s="26"/>
      <c r="MHC76" s="26"/>
      <c r="MHD76" s="26"/>
      <c r="MHE76" s="26"/>
      <c r="MHF76" s="26"/>
      <c r="MHG76" s="58"/>
      <c r="MHH76" s="26"/>
      <c r="MHI76" s="26"/>
      <c r="MHJ76" s="26"/>
      <c r="MHK76" s="26"/>
      <c r="MHL76" s="22"/>
      <c r="MHM76" s="167"/>
      <c r="MHN76" s="30"/>
      <c r="MHO76" s="25"/>
      <c r="MHP76" s="178"/>
      <c r="MHQ76" s="26"/>
      <c r="MHR76" s="26"/>
      <c r="MHS76" s="26"/>
      <c r="MHT76" s="26"/>
      <c r="MHU76" s="26"/>
      <c r="MHV76" s="26"/>
      <c r="MHW76" s="58"/>
      <c r="MHX76" s="26"/>
      <c r="MHY76" s="26"/>
      <c r="MHZ76" s="26"/>
      <c r="MIA76" s="26"/>
      <c r="MIB76" s="22"/>
      <c r="MIC76" s="167"/>
      <c r="MID76" s="30"/>
      <c r="MIE76" s="25"/>
      <c r="MIF76" s="178"/>
      <c r="MIG76" s="26"/>
      <c r="MIH76" s="26"/>
      <c r="MII76" s="26"/>
      <c r="MIJ76" s="26"/>
      <c r="MIK76" s="26"/>
      <c r="MIL76" s="26"/>
      <c r="MIM76" s="58"/>
      <c r="MIN76" s="26"/>
      <c r="MIO76" s="26"/>
      <c r="MIP76" s="26"/>
      <c r="MIQ76" s="26"/>
      <c r="MIR76" s="22"/>
      <c r="MIS76" s="167"/>
      <c r="MIT76" s="30"/>
      <c r="MIU76" s="25"/>
      <c r="MIV76" s="178"/>
      <c r="MIW76" s="26"/>
      <c r="MIX76" s="26"/>
      <c r="MIY76" s="26"/>
      <c r="MIZ76" s="26"/>
      <c r="MJA76" s="26"/>
      <c r="MJB76" s="26"/>
      <c r="MJC76" s="58"/>
      <c r="MJD76" s="26"/>
      <c r="MJE76" s="26"/>
      <c r="MJF76" s="26"/>
      <c r="MJG76" s="26"/>
      <c r="MJH76" s="22"/>
      <c r="MJI76" s="167"/>
      <c r="MJJ76" s="30"/>
      <c r="MJK76" s="25"/>
      <c r="MJL76" s="178"/>
      <c r="MJM76" s="26"/>
      <c r="MJN76" s="26"/>
      <c r="MJO76" s="26"/>
      <c r="MJP76" s="26"/>
      <c r="MJQ76" s="26"/>
      <c r="MJR76" s="26"/>
      <c r="MJS76" s="58"/>
      <c r="MJT76" s="26"/>
      <c r="MJU76" s="26"/>
      <c r="MJV76" s="26"/>
      <c r="MJW76" s="26"/>
      <c r="MJX76" s="22"/>
      <c r="MJY76" s="167"/>
      <c r="MJZ76" s="30"/>
      <c r="MKA76" s="25"/>
      <c r="MKB76" s="178"/>
      <c r="MKC76" s="26"/>
      <c r="MKD76" s="26"/>
      <c r="MKE76" s="26"/>
      <c r="MKF76" s="26"/>
      <c r="MKG76" s="26"/>
      <c r="MKH76" s="26"/>
      <c r="MKI76" s="58"/>
      <c r="MKJ76" s="26"/>
      <c r="MKK76" s="26"/>
      <c r="MKL76" s="26"/>
      <c r="MKM76" s="26"/>
      <c r="MKN76" s="22"/>
      <c r="MKO76" s="167"/>
      <c r="MKP76" s="30"/>
      <c r="MKQ76" s="25"/>
      <c r="MKR76" s="178"/>
      <c r="MKS76" s="26"/>
      <c r="MKT76" s="26"/>
      <c r="MKU76" s="26"/>
      <c r="MKV76" s="26"/>
      <c r="MKW76" s="26"/>
      <c r="MKX76" s="26"/>
      <c r="MKY76" s="58"/>
      <c r="MKZ76" s="26"/>
      <c r="MLA76" s="26"/>
      <c r="MLB76" s="26"/>
      <c r="MLC76" s="26"/>
      <c r="MLD76" s="22"/>
      <c r="MLE76" s="167"/>
      <c r="MLF76" s="30"/>
      <c r="MLG76" s="25"/>
      <c r="MLH76" s="178"/>
      <c r="MLI76" s="26"/>
      <c r="MLJ76" s="26"/>
      <c r="MLK76" s="26"/>
      <c r="MLL76" s="26"/>
      <c r="MLM76" s="26"/>
      <c r="MLN76" s="26"/>
      <c r="MLO76" s="58"/>
      <c r="MLP76" s="26"/>
      <c r="MLQ76" s="26"/>
      <c r="MLR76" s="26"/>
      <c r="MLS76" s="26"/>
      <c r="MLT76" s="22"/>
      <c r="MLU76" s="167"/>
      <c r="MLV76" s="30"/>
      <c r="MLW76" s="25"/>
      <c r="MLX76" s="178"/>
      <c r="MLY76" s="26"/>
      <c r="MLZ76" s="26"/>
      <c r="MMA76" s="26"/>
      <c r="MMB76" s="26"/>
      <c r="MMC76" s="26"/>
      <c r="MMD76" s="26"/>
      <c r="MME76" s="58"/>
      <c r="MMF76" s="26"/>
      <c r="MMG76" s="26"/>
      <c r="MMH76" s="26"/>
      <c r="MMI76" s="26"/>
      <c r="MMJ76" s="22"/>
      <c r="MMK76" s="167"/>
      <c r="MML76" s="30"/>
      <c r="MMM76" s="25"/>
      <c r="MMN76" s="178"/>
      <c r="MMO76" s="26"/>
      <c r="MMP76" s="26"/>
      <c r="MMQ76" s="26"/>
      <c r="MMR76" s="26"/>
      <c r="MMS76" s="26"/>
      <c r="MMT76" s="26"/>
      <c r="MMU76" s="58"/>
      <c r="MMV76" s="26"/>
      <c r="MMW76" s="26"/>
      <c r="MMX76" s="26"/>
      <c r="MMY76" s="26"/>
      <c r="MMZ76" s="22"/>
      <c r="MNA76" s="167"/>
      <c r="MNB76" s="30"/>
      <c r="MNC76" s="25"/>
      <c r="MND76" s="178"/>
      <c r="MNE76" s="26"/>
      <c r="MNF76" s="26"/>
      <c r="MNG76" s="26"/>
      <c r="MNH76" s="26"/>
      <c r="MNI76" s="26"/>
      <c r="MNJ76" s="26"/>
      <c r="MNK76" s="58"/>
      <c r="MNL76" s="26"/>
      <c r="MNM76" s="26"/>
      <c r="MNN76" s="26"/>
      <c r="MNO76" s="26"/>
      <c r="MNP76" s="22"/>
      <c r="MNQ76" s="167"/>
      <c r="MNR76" s="30"/>
      <c r="MNS76" s="25"/>
      <c r="MNT76" s="178"/>
      <c r="MNU76" s="26"/>
      <c r="MNV76" s="26"/>
      <c r="MNW76" s="26"/>
      <c r="MNX76" s="26"/>
      <c r="MNY76" s="26"/>
      <c r="MNZ76" s="26"/>
      <c r="MOA76" s="58"/>
      <c r="MOB76" s="26"/>
      <c r="MOC76" s="26"/>
      <c r="MOD76" s="26"/>
      <c r="MOE76" s="26"/>
      <c r="MOF76" s="22"/>
      <c r="MOG76" s="167"/>
      <c r="MOH76" s="30"/>
      <c r="MOI76" s="25"/>
      <c r="MOJ76" s="178"/>
      <c r="MOK76" s="26"/>
      <c r="MOL76" s="26"/>
      <c r="MOM76" s="26"/>
      <c r="MON76" s="26"/>
      <c r="MOO76" s="26"/>
      <c r="MOP76" s="26"/>
      <c r="MOQ76" s="58"/>
      <c r="MOR76" s="26"/>
      <c r="MOS76" s="26"/>
      <c r="MOT76" s="26"/>
      <c r="MOU76" s="26"/>
      <c r="MOV76" s="22"/>
      <c r="MOW76" s="167"/>
      <c r="MOX76" s="30"/>
      <c r="MOY76" s="25"/>
      <c r="MOZ76" s="178"/>
      <c r="MPA76" s="26"/>
      <c r="MPB76" s="26"/>
      <c r="MPC76" s="26"/>
      <c r="MPD76" s="26"/>
      <c r="MPE76" s="26"/>
      <c r="MPF76" s="26"/>
      <c r="MPG76" s="58"/>
      <c r="MPH76" s="26"/>
      <c r="MPI76" s="26"/>
      <c r="MPJ76" s="26"/>
      <c r="MPK76" s="26"/>
      <c r="MPL76" s="22"/>
      <c r="MPM76" s="167"/>
      <c r="MPN76" s="30"/>
      <c r="MPO76" s="25"/>
      <c r="MPP76" s="178"/>
      <c r="MPQ76" s="26"/>
      <c r="MPR76" s="26"/>
      <c r="MPS76" s="26"/>
      <c r="MPT76" s="26"/>
      <c r="MPU76" s="26"/>
      <c r="MPV76" s="26"/>
      <c r="MPW76" s="58"/>
      <c r="MPX76" s="26"/>
      <c r="MPY76" s="26"/>
      <c r="MPZ76" s="26"/>
      <c r="MQA76" s="26"/>
      <c r="MQB76" s="22"/>
      <c r="MQC76" s="167"/>
      <c r="MQD76" s="30"/>
      <c r="MQE76" s="25"/>
      <c r="MQF76" s="178"/>
      <c r="MQG76" s="26"/>
      <c r="MQH76" s="26"/>
      <c r="MQI76" s="26"/>
      <c r="MQJ76" s="26"/>
      <c r="MQK76" s="26"/>
      <c r="MQL76" s="26"/>
      <c r="MQM76" s="58"/>
      <c r="MQN76" s="26"/>
      <c r="MQO76" s="26"/>
      <c r="MQP76" s="26"/>
      <c r="MQQ76" s="26"/>
      <c r="MQR76" s="22"/>
      <c r="MQS76" s="167"/>
      <c r="MQT76" s="30"/>
      <c r="MQU76" s="25"/>
      <c r="MQV76" s="178"/>
      <c r="MQW76" s="26"/>
      <c r="MQX76" s="26"/>
      <c r="MQY76" s="26"/>
      <c r="MQZ76" s="26"/>
      <c r="MRA76" s="26"/>
      <c r="MRB76" s="26"/>
      <c r="MRC76" s="58"/>
      <c r="MRD76" s="26"/>
      <c r="MRE76" s="26"/>
      <c r="MRF76" s="26"/>
      <c r="MRG76" s="26"/>
      <c r="MRH76" s="22"/>
      <c r="MRI76" s="167"/>
      <c r="MRJ76" s="30"/>
      <c r="MRK76" s="25"/>
      <c r="MRL76" s="178"/>
      <c r="MRM76" s="26"/>
      <c r="MRN76" s="26"/>
      <c r="MRO76" s="26"/>
      <c r="MRP76" s="26"/>
      <c r="MRQ76" s="26"/>
      <c r="MRR76" s="26"/>
      <c r="MRS76" s="58"/>
      <c r="MRT76" s="26"/>
      <c r="MRU76" s="26"/>
      <c r="MRV76" s="26"/>
      <c r="MRW76" s="26"/>
      <c r="MRX76" s="22"/>
      <c r="MRY76" s="167"/>
      <c r="MRZ76" s="30"/>
      <c r="MSA76" s="25"/>
      <c r="MSB76" s="178"/>
      <c r="MSC76" s="26"/>
      <c r="MSD76" s="26"/>
      <c r="MSE76" s="26"/>
      <c r="MSF76" s="26"/>
      <c r="MSG76" s="26"/>
      <c r="MSH76" s="26"/>
      <c r="MSI76" s="58"/>
      <c r="MSJ76" s="26"/>
      <c r="MSK76" s="26"/>
      <c r="MSL76" s="26"/>
      <c r="MSM76" s="26"/>
      <c r="MSN76" s="22"/>
      <c r="MSO76" s="167"/>
      <c r="MSP76" s="30"/>
      <c r="MSQ76" s="25"/>
      <c r="MSR76" s="178"/>
      <c r="MSS76" s="26"/>
      <c r="MST76" s="26"/>
      <c r="MSU76" s="26"/>
      <c r="MSV76" s="26"/>
      <c r="MSW76" s="26"/>
      <c r="MSX76" s="26"/>
      <c r="MSY76" s="58"/>
      <c r="MSZ76" s="26"/>
      <c r="MTA76" s="26"/>
      <c r="MTB76" s="26"/>
      <c r="MTC76" s="26"/>
      <c r="MTD76" s="22"/>
      <c r="MTE76" s="167"/>
      <c r="MTF76" s="30"/>
      <c r="MTG76" s="25"/>
      <c r="MTH76" s="178"/>
      <c r="MTI76" s="26"/>
      <c r="MTJ76" s="26"/>
      <c r="MTK76" s="26"/>
      <c r="MTL76" s="26"/>
      <c r="MTM76" s="26"/>
      <c r="MTN76" s="26"/>
      <c r="MTO76" s="58"/>
      <c r="MTP76" s="26"/>
      <c r="MTQ76" s="26"/>
      <c r="MTR76" s="26"/>
      <c r="MTS76" s="26"/>
      <c r="MTT76" s="22"/>
      <c r="MTU76" s="167"/>
      <c r="MTV76" s="30"/>
      <c r="MTW76" s="25"/>
      <c r="MTX76" s="178"/>
      <c r="MTY76" s="26"/>
      <c r="MTZ76" s="26"/>
      <c r="MUA76" s="26"/>
      <c r="MUB76" s="26"/>
      <c r="MUC76" s="26"/>
      <c r="MUD76" s="26"/>
      <c r="MUE76" s="58"/>
      <c r="MUF76" s="26"/>
      <c r="MUG76" s="26"/>
      <c r="MUH76" s="26"/>
      <c r="MUI76" s="26"/>
      <c r="MUJ76" s="22"/>
      <c r="MUK76" s="167"/>
      <c r="MUL76" s="30"/>
      <c r="MUM76" s="25"/>
      <c r="MUN76" s="178"/>
      <c r="MUO76" s="26"/>
      <c r="MUP76" s="26"/>
      <c r="MUQ76" s="26"/>
      <c r="MUR76" s="26"/>
      <c r="MUS76" s="26"/>
      <c r="MUT76" s="26"/>
      <c r="MUU76" s="58"/>
      <c r="MUV76" s="26"/>
      <c r="MUW76" s="26"/>
      <c r="MUX76" s="26"/>
      <c r="MUY76" s="26"/>
      <c r="MUZ76" s="22"/>
      <c r="MVA76" s="167"/>
      <c r="MVB76" s="30"/>
      <c r="MVC76" s="25"/>
      <c r="MVD76" s="178"/>
      <c r="MVE76" s="26"/>
      <c r="MVF76" s="26"/>
      <c r="MVG76" s="26"/>
      <c r="MVH76" s="26"/>
      <c r="MVI76" s="26"/>
      <c r="MVJ76" s="26"/>
      <c r="MVK76" s="58"/>
      <c r="MVL76" s="26"/>
      <c r="MVM76" s="26"/>
      <c r="MVN76" s="26"/>
      <c r="MVO76" s="26"/>
      <c r="MVP76" s="22"/>
      <c r="MVQ76" s="167"/>
      <c r="MVR76" s="30"/>
      <c r="MVS76" s="25"/>
      <c r="MVT76" s="178"/>
      <c r="MVU76" s="26"/>
      <c r="MVV76" s="26"/>
      <c r="MVW76" s="26"/>
      <c r="MVX76" s="26"/>
      <c r="MVY76" s="26"/>
      <c r="MVZ76" s="26"/>
      <c r="MWA76" s="58"/>
      <c r="MWB76" s="26"/>
      <c r="MWC76" s="26"/>
      <c r="MWD76" s="26"/>
      <c r="MWE76" s="26"/>
      <c r="MWF76" s="22"/>
      <c r="MWG76" s="167"/>
      <c r="MWH76" s="30"/>
      <c r="MWI76" s="25"/>
      <c r="MWJ76" s="178"/>
      <c r="MWK76" s="26"/>
      <c r="MWL76" s="26"/>
      <c r="MWM76" s="26"/>
      <c r="MWN76" s="26"/>
      <c r="MWO76" s="26"/>
      <c r="MWP76" s="26"/>
      <c r="MWQ76" s="58"/>
      <c r="MWR76" s="26"/>
      <c r="MWS76" s="26"/>
      <c r="MWT76" s="26"/>
      <c r="MWU76" s="26"/>
      <c r="MWV76" s="22"/>
      <c r="MWW76" s="167"/>
      <c r="MWX76" s="30"/>
      <c r="MWY76" s="25"/>
      <c r="MWZ76" s="178"/>
      <c r="MXA76" s="26"/>
      <c r="MXB76" s="26"/>
      <c r="MXC76" s="26"/>
      <c r="MXD76" s="26"/>
      <c r="MXE76" s="26"/>
      <c r="MXF76" s="26"/>
      <c r="MXG76" s="58"/>
      <c r="MXH76" s="26"/>
      <c r="MXI76" s="26"/>
      <c r="MXJ76" s="26"/>
      <c r="MXK76" s="26"/>
      <c r="MXL76" s="22"/>
      <c r="MXM76" s="167"/>
      <c r="MXN76" s="30"/>
      <c r="MXO76" s="25"/>
      <c r="MXP76" s="178"/>
      <c r="MXQ76" s="26"/>
      <c r="MXR76" s="26"/>
      <c r="MXS76" s="26"/>
      <c r="MXT76" s="26"/>
      <c r="MXU76" s="26"/>
      <c r="MXV76" s="26"/>
      <c r="MXW76" s="58"/>
      <c r="MXX76" s="26"/>
      <c r="MXY76" s="26"/>
      <c r="MXZ76" s="26"/>
      <c r="MYA76" s="26"/>
      <c r="MYB76" s="22"/>
      <c r="MYC76" s="167"/>
      <c r="MYD76" s="30"/>
      <c r="MYE76" s="25"/>
      <c r="MYF76" s="178"/>
      <c r="MYG76" s="26"/>
      <c r="MYH76" s="26"/>
      <c r="MYI76" s="26"/>
      <c r="MYJ76" s="26"/>
      <c r="MYK76" s="26"/>
      <c r="MYL76" s="26"/>
      <c r="MYM76" s="58"/>
      <c r="MYN76" s="26"/>
      <c r="MYO76" s="26"/>
      <c r="MYP76" s="26"/>
      <c r="MYQ76" s="26"/>
      <c r="MYR76" s="22"/>
      <c r="MYS76" s="167"/>
      <c r="MYT76" s="30"/>
      <c r="MYU76" s="25"/>
      <c r="MYV76" s="178"/>
      <c r="MYW76" s="26"/>
      <c r="MYX76" s="26"/>
      <c r="MYY76" s="26"/>
      <c r="MYZ76" s="26"/>
      <c r="MZA76" s="26"/>
      <c r="MZB76" s="26"/>
      <c r="MZC76" s="58"/>
      <c r="MZD76" s="26"/>
      <c r="MZE76" s="26"/>
      <c r="MZF76" s="26"/>
      <c r="MZG76" s="26"/>
      <c r="MZH76" s="22"/>
      <c r="MZI76" s="167"/>
      <c r="MZJ76" s="30"/>
      <c r="MZK76" s="25"/>
      <c r="MZL76" s="178"/>
      <c r="MZM76" s="26"/>
      <c r="MZN76" s="26"/>
      <c r="MZO76" s="26"/>
      <c r="MZP76" s="26"/>
      <c r="MZQ76" s="26"/>
      <c r="MZR76" s="26"/>
      <c r="MZS76" s="58"/>
      <c r="MZT76" s="26"/>
      <c r="MZU76" s="26"/>
      <c r="MZV76" s="26"/>
      <c r="MZW76" s="26"/>
      <c r="MZX76" s="22"/>
      <c r="MZY76" s="167"/>
      <c r="MZZ76" s="30"/>
      <c r="NAA76" s="25"/>
      <c r="NAB76" s="178"/>
      <c r="NAC76" s="26"/>
      <c r="NAD76" s="26"/>
      <c r="NAE76" s="26"/>
      <c r="NAF76" s="26"/>
      <c r="NAG76" s="26"/>
      <c r="NAH76" s="26"/>
      <c r="NAI76" s="58"/>
      <c r="NAJ76" s="26"/>
      <c r="NAK76" s="26"/>
      <c r="NAL76" s="26"/>
      <c r="NAM76" s="26"/>
      <c r="NAN76" s="22"/>
      <c r="NAO76" s="167"/>
      <c r="NAP76" s="30"/>
      <c r="NAQ76" s="25"/>
      <c r="NAR76" s="178"/>
      <c r="NAS76" s="26"/>
      <c r="NAT76" s="26"/>
      <c r="NAU76" s="26"/>
      <c r="NAV76" s="26"/>
      <c r="NAW76" s="26"/>
      <c r="NAX76" s="26"/>
      <c r="NAY76" s="58"/>
      <c r="NAZ76" s="26"/>
      <c r="NBA76" s="26"/>
      <c r="NBB76" s="26"/>
      <c r="NBC76" s="26"/>
      <c r="NBD76" s="22"/>
      <c r="NBE76" s="167"/>
      <c r="NBF76" s="30"/>
      <c r="NBG76" s="25"/>
      <c r="NBH76" s="178"/>
      <c r="NBI76" s="26"/>
      <c r="NBJ76" s="26"/>
      <c r="NBK76" s="26"/>
      <c r="NBL76" s="26"/>
      <c r="NBM76" s="26"/>
      <c r="NBN76" s="26"/>
      <c r="NBO76" s="58"/>
      <c r="NBP76" s="26"/>
      <c r="NBQ76" s="26"/>
      <c r="NBR76" s="26"/>
      <c r="NBS76" s="26"/>
      <c r="NBT76" s="22"/>
      <c r="NBU76" s="167"/>
      <c r="NBV76" s="30"/>
      <c r="NBW76" s="25"/>
      <c r="NBX76" s="178"/>
      <c r="NBY76" s="26"/>
      <c r="NBZ76" s="26"/>
      <c r="NCA76" s="26"/>
      <c r="NCB76" s="26"/>
      <c r="NCC76" s="26"/>
      <c r="NCD76" s="26"/>
      <c r="NCE76" s="58"/>
      <c r="NCF76" s="26"/>
      <c r="NCG76" s="26"/>
      <c r="NCH76" s="26"/>
      <c r="NCI76" s="26"/>
      <c r="NCJ76" s="22"/>
      <c r="NCK76" s="167"/>
      <c r="NCL76" s="30"/>
      <c r="NCM76" s="25"/>
      <c r="NCN76" s="178"/>
      <c r="NCO76" s="26"/>
      <c r="NCP76" s="26"/>
      <c r="NCQ76" s="26"/>
      <c r="NCR76" s="26"/>
      <c r="NCS76" s="26"/>
      <c r="NCT76" s="26"/>
      <c r="NCU76" s="58"/>
      <c r="NCV76" s="26"/>
      <c r="NCW76" s="26"/>
      <c r="NCX76" s="26"/>
      <c r="NCY76" s="26"/>
      <c r="NCZ76" s="22"/>
      <c r="NDA76" s="167"/>
      <c r="NDB76" s="30"/>
      <c r="NDC76" s="25"/>
      <c r="NDD76" s="178"/>
      <c r="NDE76" s="26"/>
      <c r="NDF76" s="26"/>
      <c r="NDG76" s="26"/>
      <c r="NDH76" s="26"/>
      <c r="NDI76" s="26"/>
      <c r="NDJ76" s="26"/>
      <c r="NDK76" s="58"/>
      <c r="NDL76" s="26"/>
      <c r="NDM76" s="26"/>
      <c r="NDN76" s="26"/>
      <c r="NDO76" s="26"/>
      <c r="NDP76" s="22"/>
      <c r="NDQ76" s="167"/>
      <c r="NDR76" s="30"/>
      <c r="NDS76" s="25"/>
      <c r="NDT76" s="178"/>
      <c r="NDU76" s="26"/>
      <c r="NDV76" s="26"/>
      <c r="NDW76" s="26"/>
      <c r="NDX76" s="26"/>
      <c r="NDY76" s="26"/>
      <c r="NDZ76" s="26"/>
      <c r="NEA76" s="58"/>
      <c r="NEB76" s="26"/>
      <c r="NEC76" s="26"/>
      <c r="NED76" s="26"/>
      <c r="NEE76" s="26"/>
      <c r="NEF76" s="22"/>
      <c r="NEG76" s="167"/>
      <c r="NEH76" s="30"/>
      <c r="NEI76" s="25"/>
      <c r="NEJ76" s="178"/>
      <c r="NEK76" s="26"/>
      <c r="NEL76" s="26"/>
      <c r="NEM76" s="26"/>
      <c r="NEN76" s="26"/>
      <c r="NEO76" s="26"/>
      <c r="NEP76" s="26"/>
      <c r="NEQ76" s="58"/>
      <c r="NER76" s="26"/>
      <c r="NES76" s="26"/>
      <c r="NET76" s="26"/>
      <c r="NEU76" s="26"/>
      <c r="NEV76" s="22"/>
      <c r="NEW76" s="167"/>
      <c r="NEX76" s="30"/>
      <c r="NEY76" s="25"/>
      <c r="NEZ76" s="178"/>
      <c r="NFA76" s="26"/>
      <c r="NFB76" s="26"/>
      <c r="NFC76" s="26"/>
      <c r="NFD76" s="26"/>
      <c r="NFE76" s="26"/>
      <c r="NFF76" s="26"/>
      <c r="NFG76" s="58"/>
      <c r="NFH76" s="26"/>
      <c r="NFI76" s="26"/>
      <c r="NFJ76" s="26"/>
      <c r="NFK76" s="26"/>
      <c r="NFL76" s="22"/>
      <c r="NFM76" s="167"/>
      <c r="NFN76" s="30"/>
      <c r="NFO76" s="25"/>
      <c r="NFP76" s="178"/>
      <c r="NFQ76" s="26"/>
      <c r="NFR76" s="26"/>
      <c r="NFS76" s="26"/>
      <c r="NFT76" s="26"/>
      <c r="NFU76" s="26"/>
      <c r="NFV76" s="26"/>
      <c r="NFW76" s="58"/>
      <c r="NFX76" s="26"/>
      <c r="NFY76" s="26"/>
      <c r="NFZ76" s="26"/>
      <c r="NGA76" s="26"/>
      <c r="NGB76" s="22"/>
      <c r="NGC76" s="167"/>
      <c r="NGD76" s="30"/>
      <c r="NGE76" s="25"/>
      <c r="NGF76" s="178"/>
      <c r="NGG76" s="26"/>
      <c r="NGH76" s="26"/>
      <c r="NGI76" s="26"/>
      <c r="NGJ76" s="26"/>
      <c r="NGK76" s="26"/>
      <c r="NGL76" s="26"/>
      <c r="NGM76" s="58"/>
      <c r="NGN76" s="26"/>
      <c r="NGO76" s="26"/>
      <c r="NGP76" s="26"/>
      <c r="NGQ76" s="26"/>
      <c r="NGR76" s="22"/>
      <c r="NGS76" s="167"/>
      <c r="NGT76" s="30"/>
      <c r="NGU76" s="25"/>
      <c r="NGV76" s="178"/>
      <c r="NGW76" s="26"/>
      <c r="NGX76" s="26"/>
      <c r="NGY76" s="26"/>
      <c r="NGZ76" s="26"/>
      <c r="NHA76" s="26"/>
      <c r="NHB76" s="26"/>
      <c r="NHC76" s="58"/>
      <c r="NHD76" s="26"/>
      <c r="NHE76" s="26"/>
      <c r="NHF76" s="26"/>
      <c r="NHG76" s="26"/>
      <c r="NHH76" s="22"/>
      <c r="NHI76" s="167"/>
      <c r="NHJ76" s="30"/>
      <c r="NHK76" s="25"/>
      <c r="NHL76" s="178"/>
      <c r="NHM76" s="26"/>
      <c r="NHN76" s="26"/>
      <c r="NHO76" s="26"/>
      <c r="NHP76" s="26"/>
      <c r="NHQ76" s="26"/>
      <c r="NHR76" s="26"/>
      <c r="NHS76" s="58"/>
      <c r="NHT76" s="26"/>
      <c r="NHU76" s="26"/>
      <c r="NHV76" s="26"/>
      <c r="NHW76" s="26"/>
      <c r="NHX76" s="22"/>
      <c r="NHY76" s="167"/>
      <c r="NHZ76" s="30"/>
      <c r="NIA76" s="25"/>
      <c r="NIB76" s="178"/>
      <c r="NIC76" s="26"/>
      <c r="NID76" s="26"/>
      <c r="NIE76" s="26"/>
      <c r="NIF76" s="26"/>
      <c r="NIG76" s="26"/>
      <c r="NIH76" s="26"/>
      <c r="NII76" s="58"/>
      <c r="NIJ76" s="26"/>
      <c r="NIK76" s="26"/>
      <c r="NIL76" s="26"/>
      <c r="NIM76" s="26"/>
      <c r="NIN76" s="22"/>
      <c r="NIO76" s="167"/>
      <c r="NIP76" s="30"/>
      <c r="NIQ76" s="25"/>
      <c r="NIR76" s="178"/>
      <c r="NIS76" s="26"/>
      <c r="NIT76" s="26"/>
      <c r="NIU76" s="26"/>
      <c r="NIV76" s="26"/>
      <c r="NIW76" s="26"/>
      <c r="NIX76" s="26"/>
      <c r="NIY76" s="58"/>
      <c r="NIZ76" s="26"/>
      <c r="NJA76" s="26"/>
      <c r="NJB76" s="26"/>
      <c r="NJC76" s="26"/>
      <c r="NJD76" s="22"/>
      <c r="NJE76" s="167"/>
      <c r="NJF76" s="30"/>
      <c r="NJG76" s="25"/>
      <c r="NJH76" s="178"/>
      <c r="NJI76" s="26"/>
      <c r="NJJ76" s="26"/>
      <c r="NJK76" s="26"/>
      <c r="NJL76" s="26"/>
      <c r="NJM76" s="26"/>
      <c r="NJN76" s="26"/>
      <c r="NJO76" s="58"/>
      <c r="NJP76" s="26"/>
      <c r="NJQ76" s="26"/>
      <c r="NJR76" s="26"/>
      <c r="NJS76" s="26"/>
      <c r="NJT76" s="22"/>
      <c r="NJU76" s="167"/>
      <c r="NJV76" s="30"/>
      <c r="NJW76" s="25"/>
      <c r="NJX76" s="178"/>
      <c r="NJY76" s="26"/>
      <c r="NJZ76" s="26"/>
      <c r="NKA76" s="26"/>
      <c r="NKB76" s="26"/>
      <c r="NKC76" s="26"/>
      <c r="NKD76" s="26"/>
      <c r="NKE76" s="58"/>
      <c r="NKF76" s="26"/>
      <c r="NKG76" s="26"/>
      <c r="NKH76" s="26"/>
      <c r="NKI76" s="26"/>
      <c r="NKJ76" s="22"/>
      <c r="NKK76" s="167"/>
      <c r="NKL76" s="30"/>
      <c r="NKM76" s="25"/>
      <c r="NKN76" s="178"/>
      <c r="NKO76" s="26"/>
      <c r="NKP76" s="26"/>
      <c r="NKQ76" s="26"/>
      <c r="NKR76" s="26"/>
      <c r="NKS76" s="26"/>
      <c r="NKT76" s="26"/>
      <c r="NKU76" s="58"/>
      <c r="NKV76" s="26"/>
      <c r="NKW76" s="26"/>
      <c r="NKX76" s="26"/>
      <c r="NKY76" s="26"/>
      <c r="NKZ76" s="22"/>
      <c r="NLA76" s="167"/>
      <c r="NLB76" s="30"/>
      <c r="NLC76" s="25"/>
      <c r="NLD76" s="178"/>
      <c r="NLE76" s="26"/>
      <c r="NLF76" s="26"/>
      <c r="NLG76" s="26"/>
      <c r="NLH76" s="26"/>
      <c r="NLI76" s="26"/>
      <c r="NLJ76" s="26"/>
      <c r="NLK76" s="58"/>
      <c r="NLL76" s="26"/>
      <c r="NLM76" s="26"/>
      <c r="NLN76" s="26"/>
      <c r="NLO76" s="26"/>
      <c r="NLP76" s="22"/>
      <c r="NLQ76" s="167"/>
      <c r="NLR76" s="30"/>
      <c r="NLS76" s="25"/>
      <c r="NLT76" s="178"/>
      <c r="NLU76" s="26"/>
      <c r="NLV76" s="26"/>
      <c r="NLW76" s="26"/>
      <c r="NLX76" s="26"/>
      <c r="NLY76" s="26"/>
      <c r="NLZ76" s="26"/>
      <c r="NMA76" s="58"/>
      <c r="NMB76" s="26"/>
      <c r="NMC76" s="26"/>
      <c r="NMD76" s="26"/>
      <c r="NME76" s="26"/>
      <c r="NMF76" s="22"/>
      <c r="NMG76" s="167"/>
      <c r="NMH76" s="30"/>
      <c r="NMI76" s="25"/>
      <c r="NMJ76" s="178"/>
      <c r="NMK76" s="26"/>
      <c r="NML76" s="26"/>
      <c r="NMM76" s="26"/>
      <c r="NMN76" s="26"/>
      <c r="NMO76" s="26"/>
      <c r="NMP76" s="26"/>
      <c r="NMQ76" s="58"/>
      <c r="NMR76" s="26"/>
      <c r="NMS76" s="26"/>
      <c r="NMT76" s="26"/>
      <c r="NMU76" s="26"/>
      <c r="NMV76" s="22"/>
      <c r="NMW76" s="167"/>
      <c r="NMX76" s="30"/>
      <c r="NMY76" s="25"/>
      <c r="NMZ76" s="178"/>
      <c r="NNA76" s="26"/>
      <c r="NNB76" s="26"/>
      <c r="NNC76" s="26"/>
      <c r="NND76" s="26"/>
      <c r="NNE76" s="26"/>
      <c r="NNF76" s="26"/>
      <c r="NNG76" s="58"/>
      <c r="NNH76" s="26"/>
      <c r="NNI76" s="26"/>
      <c r="NNJ76" s="26"/>
      <c r="NNK76" s="26"/>
      <c r="NNL76" s="22"/>
      <c r="NNM76" s="167"/>
      <c r="NNN76" s="30"/>
      <c r="NNO76" s="25"/>
      <c r="NNP76" s="178"/>
      <c r="NNQ76" s="26"/>
      <c r="NNR76" s="26"/>
      <c r="NNS76" s="26"/>
      <c r="NNT76" s="26"/>
      <c r="NNU76" s="26"/>
      <c r="NNV76" s="26"/>
      <c r="NNW76" s="58"/>
      <c r="NNX76" s="26"/>
      <c r="NNY76" s="26"/>
      <c r="NNZ76" s="26"/>
      <c r="NOA76" s="26"/>
      <c r="NOB76" s="22"/>
      <c r="NOC76" s="167"/>
      <c r="NOD76" s="30"/>
      <c r="NOE76" s="25"/>
      <c r="NOF76" s="178"/>
      <c r="NOG76" s="26"/>
      <c r="NOH76" s="26"/>
      <c r="NOI76" s="26"/>
      <c r="NOJ76" s="26"/>
      <c r="NOK76" s="26"/>
      <c r="NOL76" s="26"/>
      <c r="NOM76" s="58"/>
      <c r="NON76" s="26"/>
      <c r="NOO76" s="26"/>
      <c r="NOP76" s="26"/>
      <c r="NOQ76" s="26"/>
      <c r="NOR76" s="22"/>
      <c r="NOS76" s="167"/>
      <c r="NOT76" s="30"/>
      <c r="NOU76" s="25"/>
      <c r="NOV76" s="178"/>
      <c r="NOW76" s="26"/>
      <c r="NOX76" s="26"/>
      <c r="NOY76" s="26"/>
      <c r="NOZ76" s="26"/>
      <c r="NPA76" s="26"/>
      <c r="NPB76" s="26"/>
      <c r="NPC76" s="58"/>
      <c r="NPD76" s="26"/>
      <c r="NPE76" s="26"/>
      <c r="NPF76" s="26"/>
      <c r="NPG76" s="26"/>
      <c r="NPH76" s="22"/>
      <c r="NPI76" s="167"/>
      <c r="NPJ76" s="30"/>
      <c r="NPK76" s="25"/>
      <c r="NPL76" s="178"/>
      <c r="NPM76" s="26"/>
      <c r="NPN76" s="26"/>
      <c r="NPO76" s="26"/>
      <c r="NPP76" s="26"/>
      <c r="NPQ76" s="26"/>
      <c r="NPR76" s="26"/>
      <c r="NPS76" s="58"/>
      <c r="NPT76" s="26"/>
      <c r="NPU76" s="26"/>
      <c r="NPV76" s="26"/>
      <c r="NPW76" s="26"/>
      <c r="NPX76" s="22"/>
      <c r="NPY76" s="167"/>
      <c r="NPZ76" s="30"/>
      <c r="NQA76" s="25"/>
      <c r="NQB76" s="178"/>
      <c r="NQC76" s="26"/>
      <c r="NQD76" s="26"/>
      <c r="NQE76" s="26"/>
      <c r="NQF76" s="26"/>
      <c r="NQG76" s="26"/>
      <c r="NQH76" s="26"/>
      <c r="NQI76" s="58"/>
      <c r="NQJ76" s="26"/>
      <c r="NQK76" s="26"/>
      <c r="NQL76" s="26"/>
      <c r="NQM76" s="26"/>
      <c r="NQN76" s="22"/>
      <c r="NQO76" s="167"/>
      <c r="NQP76" s="30"/>
      <c r="NQQ76" s="25"/>
      <c r="NQR76" s="178"/>
      <c r="NQS76" s="26"/>
      <c r="NQT76" s="26"/>
      <c r="NQU76" s="26"/>
      <c r="NQV76" s="26"/>
      <c r="NQW76" s="26"/>
      <c r="NQX76" s="26"/>
      <c r="NQY76" s="58"/>
      <c r="NQZ76" s="26"/>
      <c r="NRA76" s="26"/>
      <c r="NRB76" s="26"/>
      <c r="NRC76" s="26"/>
      <c r="NRD76" s="22"/>
      <c r="NRE76" s="167"/>
      <c r="NRF76" s="30"/>
      <c r="NRG76" s="25"/>
      <c r="NRH76" s="178"/>
      <c r="NRI76" s="26"/>
      <c r="NRJ76" s="26"/>
      <c r="NRK76" s="26"/>
      <c r="NRL76" s="26"/>
      <c r="NRM76" s="26"/>
      <c r="NRN76" s="26"/>
      <c r="NRO76" s="58"/>
      <c r="NRP76" s="26"/>
      <c r="NRQ76" s="26"/>
      <c r="NRR76" s="26"/>
      <c r="NRS76" s="26"/>
      <c r="NRT76" s="22"/>
      <c r="NRU76" s="167"/>
      <c r="NRV76" s="30"/>
      <c r="NRW76" s="25"/>
      <c r="NRX76" s="178"/>
      <c r="NRY76" s="26"/>
      <c r="NRZ76" s="26"/>
      <c r="NSA76" s="26"/>
      <c r="NSB76" s="26"/>
      <c r="NSC76" s="26"/>
      <c r="NSD76" s="26"/>
      <c r="NSE76" s="58"/>
      <c r="NSF76" s="26"/>
      <c r="NSG76" s="26"/>
      <c r="NSH76" s="26"/>
      <c r="NSI76" s="26"/>
      <c r="NSJ76" s="22"/>
      <c r="NSK76" s="167"/>
      <c r="NSL76" s="30"/>
      <c r="NSM76" s="25"/>
      <c r="NSN76" s="178"/>
      <c r="NSO76" s="26"/>
      <c r="NSP76" s="26"/>
      <c r="NSQ76" s="26"/>
      <c r="NSR76" s="26"/>
      <c r="NSS76" s="26"/>
      <c r="NST76" s="26"/>
      <c r="NSU76" s="58"/>
      <c r="NSV76" s="26"/>
      <c r="NSW76" s="26"/>
      <c r="NSX76" s="26"/>
      <c r="NSY76" s="26"/>
      <c r="NSZ76" s="22"/>
      <c r="NTA76" s="167"/>
      <c r="NTB76" s="30"/>
      <c r="NTC76" s="25"/>
      <c r="NTD76" s="178"/>
      <c r="NTE76" s="26"/>
      <c r="NTF76" s="26"/>
      <c r="NTG76" s="26"/>
      <c r="NTH76" s="26"/>
      <c r="NTI76" s="26"/>
      <c r="NTJ76" s="26"/>
      <c r="NTK76" s="58"/>
      <c r="NTL76" s="26"/>
      <c r="NTM76" s="26"/>
      <c r="NTN76" s="26"/>
      <c r="NTO76" s="26"/>
      <c r="NTP76" s="22"/>
      <c r="NTQ76" s="167"/>
      <c r="NTR76" s="30"/>
      <c r="NTS76" s="25"/>
      <c r="NTT76" s="178"/>
      <c r="NTU76" s="26"/>
      <c r="NTV76" s="26"/>
      <c r="NTW76" s="26"/>
      <c r="NTX76" s="26"/>
      <c r="NTY76" s="26"/>
      <c r="NTZ76" s="26"/>
      <c r="NUA76" s="58"/>
      <c r="NUB76" s="26"/>
      <c r="NUC76" s="26"/>
      <c r="NUD76" s="26"/>
      <c r="NUE76" s="26"/>
      <c r="NUF76" s="22"/>
      <c r="NUG76" s="167"/>
      <c r="NUH76" s="30"/>
      <c r="NUI76" s="25"/>
      <c r="NUJ76" s="178"/>
      <c r="NUK76" s="26"/>
      <c r="NUL76" s="26"/>
      <c r="NUM76" s="26"/>
      <c r="NUN76" s="26"/>
      <c r="NUO76" s="26"/>
      <c r="NUP76" s="26"/>
      <c r="NUQ76" s="58"/>
      <c r="NUR76" s="26"/>
      <c r="NUS76" s="26"/>
      <c r="NUT76" s="26"/>
      <c r="NUU76" s="26"/>
      <c r="NUV76" s="22"/>
      <c r="NUW76" s="167"/>
      <c r="NUX76" s="30"/>
      <c r="NUY76" s="25"/>
      <c r="NUZ76" s="178"/>
      <c r="NVA76" s="26"/>
      <c r="NVB76" s="26"/>
      <c r="NVC76" s="26"/>
      <c r="NVD76" s="26"/>
      <c r="NVE76" s="26"/>
      <c r="NVF76" s="26"/>
      <c r="NVG76" s="58"/>
      <c r="NVH76" s="26"/>
      <c r="NVI76" s="26"/>
      <c r="NVJ76" s="26"/>
      <c r="NVK76" s="26"/>
      <c r="NVL76" s="22"/>
      <c r="NVM76" s="167"/>
      <c r="NVN76" s="30"/>
      <c r="NVO76" s="25"/>
      <c r="NVP76" s="178"/>
      <c r="NVQ76" s="26"/>
      <c r="NVR76" s="26"/>
      <c r="NVS76" s="26"/>
      <c r="NVT76" s="26"/>
      <c r="NVU76" s="26"/>
      <c r="NVV76" s="26"/>
      <c r="NVW76" s="58"/>
      <c r="NVX76" s="26"/>
      <c r="NVY76" s="26"/>
      <c r="NVZ76" s="26"/>
      <c r="NWA76" s="26"/>
      <c r="NWB76" s="22"/>
      <c r="NWC76" s="167"/>
      <c r="NWD76" s="30"/>
      <c r="NWE76" s="25"/>
      <c r="NWF76" s="178"/>
      <c r="NWG76" s="26"/>
      <c r="NWH76" s="26"/>
      <c r="NWI76" s="26"/>
      <c r="NWJ76" s="26"/>
      <c r="NWK76" s="26"/>
      <c r="NWL76" s="26"/>
      <c r="NWM76" s="58"/>
      <c r="NWN76" s="26"/>
      <c r="NWO76" s="26"/>
      <c r="NWP76" s="26"/>
      <c r="NWQ76" s="26"/>
      <c r="NWR76" s="22"/>
      <c r="NWS76" s="167"/>
      <c r="NWT76" s="30"/>
      <c r="NWU76" s="25"/>
      <c r="NWV76" s="178"/>
      <c r="NWW76" s="26"/>
      <c r="NWX76" s="26"/>
      <c r="NWY76" s="26"/>
      <c r="NWZ76" s="26"/>
      <c r="NXA76" s="26"/>
      <c r="NXB76" s="26"/>
      <c r="NXC76" s="58"/>
      <c r="NXD76" s="26"/>
      <c r="NXE76" s="26"/>
      <c r="NXF76" s="26"/>
      <c r="NXG76" s="26"/>
      <c r="NXH76" s="22"/>
      <c r="NXI76" s="167"/>
      <c r="NXJ76" s="30"/>
      <c r="NXK76" s="25"/>
      <c r="NXL76" s="178"/>
      <c r="NXM76" s="26"/>
      <c r="NXN76" s="26"/>
      <c r="NXO76" s="26"/>
      <c r="NXP76" s="26"/>
      <c r="NXQ76" s="26"/>
      <c r="NXR76" s="26"/>
      <c r="NXS76" s="58"/>
      <c r="NXT76" s="26"/>
      <c r="NXU76" s="26"/>
      <c r="NXV76" s="26"/>
      <c r="NXW76" s="26"/>
      <c r="NXX76" s="22"/>
      <c r="NXY76" s="167"/>
      <c r="NXZ76" s="30"/>
      <c r="NYA76" s="25"/>
      <c r="NYB76" s="178"/>
      <c r="NYC76" s="26"/>
      <c r="NYD76" s="26"/>
      <c r="NYE76" s="26"/>
      <c r="NYF76" s="26"/>
      <c r="NYG76" s="26"/>
      <c r="NYH76" s="26"/>
      <c r="NYI76" s="58"/>
      <c r="NYJ76" s="26"/>
      <c r="NYK76" s="26"/>
      <c r="NYL76" s="26"/>
      <c r="NYM76" s="26"/>
      <c r="NYN76" s="22"/>
      <c r="NYO76" s="167"/>
      <c r="NYP76" s="30"/>
      <c r="NYQ76" s="25"/>
      <c r="NYR76" s="178"/>
      <c r="NYS76" s="26"/>
      <c r="NYT76" s="26"/>
      <c r="NYU76" s="26"/>
      <c r="NYV76" s="26"/>
      <c r="NYW76" s="26"/>
      <c r="NYX76" s="26"/>
      <c r="NYY76" s="58"/>
      <c r="NYZ76" s="26"/>
      <c r="NZA76" s="26"/>
      <c r="NZB76" s="26"/>
      <c r="NZC76" s="26"/>
      <c r="NZD76" s="22"/>
      <c r="NZE76" s="167"/>
      <c r="NZF76" s="30"/>
      <c r="NZG76" s="25"/>
      <c r="NZH76" s="178"/>
      <c r="NZI76" s="26"/>
      <c r="NZJ76" s="26"/>
      <c r="NZK76" s="26"/>
      <c r="NZL76" s="26"/>
      <c r="NZM76" s="26"/>
      <c r="NZN76" s="26"/>
      <c r="NZO76" s="58"/>
      <c r="NZP76" s="26"/>
      <c r="NZQ76" s="26"/>
      <c r="NZR76" s="26"/>
      <c r="NZS76" s="26"/>
      <c r="NZT76" s="22"/>
      <c r="NZU76" s="167"/>
      <c r="NZV76" s="30"/>
      <c r="NZW76" s="25"/>
      <c r="NZX76" s="178"/>
      <c r="NZY76" s="26"/>
      <c r="NZZ76" s="26"/>
      <c r="OAA76" s="26"/>
      <c r="OAB76" s="26"/>
      <c r="OAC76" s="26"/>
      <c r="OAD76" s="26"/>
      <c r="OAE76" s="58"/>
      <c r="OAF76" s="26"/>
      <c r="OAG76" s="26"/>
      <c r="OAH76" s="26"/>
      <c r="OAI76" s="26"/>
      <c r="OAJ76" s="22"/>
      <c r="OAK76" s="167"/>
      <c r="OAL76" s="30"/>
      <c r="OAM76" s="25"/>
      <c r="OAN76" s="178"/>
      <c r="OAO76" s="26"/>
      <c r="OAP76" s="26"/>
      <c r="OAQ76" s="26"/>
      <c r="OAR76" s="26"/>
      <c r="OAS76" s="26"/>
      <c r="OAT76" s="26"/>
      <c r="OAU76" s="58"/>
      <c r="OAV76" s="26"/>
      <c r="OAW76" s="26"/>
      <c r="OAX76" s="26"/>
      <c r="OAY76" s="26"/>
      <c r="OAZ76" s="22"/>
      <c r="OBA76" s="167"/>
      <c r="OBB76" s="30"/>
      <c r="OBC76" s="25"/>
      <c r="OBD76" s="178"/>
      <c r="OBE76" s="26"/>
      <c r="OBF76" s="26"/>
      <c r="OBG76" s="26"/>
      <c r="OBH76" s="26"/>
      <c r="OBI76" s="26"/>
      <c r="OBJ76" s="26"/>
      <c r="OBK76" s="58"/>
      <c r="OBL76" s="26"/>
      <c r="OBM76" s="26"/>
      <c r="OBN76" s="26"/>
      <c r="OBO76" s="26"/>
      <c r="OBP76" s="22"/>
      <c r="OBQ76" s="167"/>
      <c r="OBR76" s="30"/>
      <c r="OBS76" s="25"/>
      <c r="OBT76" s="178"/>
      <c r="OBU76" s="26"/>
      <c r="OBV76" s="26"/>
      <c r="OBW76" s="26"/>
      <c r="OBX76" s="26"/>
      <c r="OBY76" s="26"/>
      <c r="OBZ76" s="26"/>
      <c r="OCA76" s="58"/>
      <c r="OCB76" s="26"/>
      <c r="OCC76" s="26"/>
      <c r="OCD76" s="26"/>
      <c r="OCE76" s="26"/>
      <c r="OCF76" s="22"/>
      <c r="OCG76" s="167"/>
      <c r="OCH76" s="30"/>
      <c r="OCI76" s="25"/>
      <c r="OCJ76" s="178"/>
      <c r="OCK76" s="26"/>
      <c r="OCL76" s="26"/>
      <c r="OCM76" s="26"/>
      <c r="OCN76" s="26"/>
      <c r="OCO76" s="26"/>
      <c r="OCP76" s="26"/>
      <c r="OCQ76" s="58"/>
      <c r="OCR76" s="26"/>
      <c r="OCS76" s="26"/>
      <c r="OCT76" s="26"/>
      <c r="OCU76" s="26"/>
      <c r="OCV76" s="22"/>
      <c r="OCW76" s="167"/>
      <c r="OCX76" s="30"/>
      <c r="OCY76" s="25"/>
      <c r="OCZ76" s="178"/>
      <c r="ODA76" s="26"/>
      <c r="ODB76" s="26"/>
      <c r="ODC76" s="26"/>
      <c r="ODD76" s="26"/>
      <c r="ODE76" s="26"/>
      <c r="ODF76" s="26"/>
      <c r="ODG76" s="58"/>
      <c r="ODH76" s="26"/>
      <c r="ODI76" s="26"/>
      <c r="ODJ76" s="26"/>
      <c r="ODK76" s="26"/>
      <c r="ODL76" s="22"/>
      <c r="ODM76" s="167"/>
      <c r="ODN76" s="30"/>
      <c r="ODO76" s="25"/>
      <c r="ODP76" s="178"/>
      <c r="ODQ76" s="26"/>
      <c r="ODR76" s="26"/>
      <c r="ODS76" s="26"/>
      <c r="ODT76" s="26"/>
      <c r="ODU76" s="26"/>
      <c r="ODV76" s="26"/>
      <c r="ODW76" s="58"/>
      <c r="ODX76" s="26"/>
      <c r="ODY76" s="26"/>
      <c r="ODZ76" s="26"/>
      <c r="OEA76" s="26"/>
      <c r="OEB76" s="22"/>
      <c r="OEC76" s="167"/>
      <c r="OED76" s="30"/>
      <c r="OEE76" s="25"/>
      <c r="OEF76" s="178"/>
      <c r="OEG76" s="26"/>
      <c r="OEH76" s="26"/>
      <c r="OEI76" s="26"/>
      <c r="OEJ76" s="26"/>
      <c r="OEK76" s="26"/>
      <c r="OEL76" s="26"/>
      <c r="OEM76" s="58"/>
      <c r="OEN76" s="26"/>
      <c r="OEO76" s="26"/>
      <c r="OEP76" s="26"/>
      <c r="OEQ76" s="26"/>
      <c r="OER76" s="22"/>
      <c r="OES76" s="167"/>
      <c r="OET76" s="30"/>
      <c r="OEU76" s="25"/>
      <c r="OEV76" s="178"/>
      <c r="OEW76" s="26"/>
      <c r="OEX76" s="26"/>
      <c r="OEY76" s="26"/>
      <c r="OEZ76" s="26"/>
      <c r="OFA76" s="26"/>
      <c r="OFB76" s="26"/>
      <c r="OFC76" s="58"/>
      <c r="OFD76" s="26"/>
      <c r="OFE76" s="26"/>
      <c r="OFF76" s="26"/>
      <c r="OFG76" s="26"/>
      <c r="OFH76" s="22"/>
      <c r="OFI76" s="167"/>
      <c r="OFJ76" s="30"/>
      <c r="OFK76" s="25"/>
      <c r="OFL76" s="178"/>
      <c r="OFM76" s="26"/>
      <c r="OFN76" s="26"/>
      <c r="OFO76" s="26"/>
      <c r="OFP76" s="26"/>
      <c r="OFQ76" s="26"/>
      <c r="OFR76" s="26"/>
      <c r="OFS76" s="58"/>
      <c r="OFT76" s="26"/>
      <c r="OFU76" s="26"/>
      <c r="OFV76" s="26"/>
      <c r="OFW76" s="26"/>
      <c r="OFX76" s="22"/>
      <c r="OFY76" s="167"/>
      <c r="OFZ76" s="30"/>
      <c r="OGA76" s="25"/>
      <c r="OGB76" s="178"/>
      <c r="OGC76" s="26"/>
      <c r="OGD76" s="26"/>
      <c r="OGE76" s="26"/>
      <c r="OGF76" s="26"/>
      <c r="OGG76" s="26"/>
      <c r="OGH76" s="26"/>
      <c r="OGI76" s="58"/>
      <c r="OGJ76" s="26"/>
      <c r="OGK76" s="26"/>
      <c r="OGL76" s="26"/>
      <c r="OGM76" s="26"/>
      <c r="OGN76" s="22"/>
      <c r="OGO76" s="167"/>
      <c r="OGP76" s="30"/>
      <c r="OGQ76" s="25"/>
      <c r="OGR76" s="178"/>
      <c r="OGS76" s="26"/>
      <c r="OGT76" s="26"/>
      <c r="OGU76" s="26"/>
      <c r="OGV76" s="26"/>
      <c r="OGW76" s="26"/>
      <c r="OGX76" s="26"/>
      <c r="OGY76" s="58"/>
      <c r="OGZ76" s="26"/>
      <c r="OHA76" s="26"/>
      <c r="OHB76" s="26"/>
      <c r="OHC76" s="26"/>
      <c r="OHD76" s="22"/>
      <c r="OHE76" s="167"/>
      <c r="OHF76" s="30"/>
      <c r="OHG76" s="25"/>
      <c r="OHH76" s="178"/>
      <c r="OHI76" s="26"/>
      <c r="OHJ76" s="26"/>
      <c r="OHK76" s="26"/>
      <c r="OHL76" s="26"/>
      <c r="OHM76" s="26"/>
      <c r="OHN76" s="26"/>
      <c r="OHO76" s="58"/>
      <c r="OHP76" s="26"/>
      <c r="OHQ76" s="26"/>
      <c r="OHR76" s="26"/>
      <c r="OHS76" s="26"/>
      <c r="OHT76" s="22"/>
      <c r="OHU76" s="167"/>
      <c r="OHV76" s="30"/>
      <c r="OHW76" s="25"/>
      <c r="OHX76" s="178"/>
      <c r="OHY76" s="26"/>
      <c r="OHZ76" s="26"/>
      <c r="OIA76" s="26"/>
      <c r="OIB76" s="26"/>
      <c r="OIC76" s="26"/>
      <c r="OID76" s="26"/>
      <c r="OIE76" s="58"/>
      <c r="OIF76" s="26"/>
      <c r="OIG76" s="26"/>
      <c r="OIH76" s="26"/>
      <c r="OII76" s="26"/>
      <c r="OIJ76" s="22"/>
      <c r="OIK76" s="167"/>
      <c r="OIL76" s="30"/>
      <c r="OIM76" s="25"/>
      <c r="OIN76" s="178"/>
      <c r="OIO76" s="26"/>
      <c r="OIP76" s="26"/>
      <c r="OIQ76" s="26"/>
      <c r="OIR76" s="26"/>
      <c r="OIS76" s="26"/>
      <c r="OIT76" s="26"/>
      <c r="OIU76" s="58"/>
      <c r="OIV76" s="26"/>
      <c r="OIW76" s="26"/>
      <c r="OIX76" s="26"/>
      <c r="OIY76" s="26"/>
      <c r="OIZ76" s="22"/>
      <c r="OJA76" s="167"/>
      <c r="OJB76" s="30"/>
      <c r="OJC76" s="25"/>
      <c r="OJD76" s="178"/>
      <c r="OJE76" s="26"/>
      <c r="OJF76" s="26"/>
      <c r="OJG76" s="26"/>
      <c r="OJH76" s="26"/>
      <c r="OJI76" s="26"/>
      <c r="OJJ76" s="26"/>
      <c r="OJK76" s="58"/>
      <c r="OJL76" s="26"/>
      <c r="OJM76" s="26"/>
      <c r="OJN76" s="26"/>
      <c r="OJO76" s="26"/>
      <c r="OJP76" s="22"/>
      <c r="OJQ76" s="167"/>
      <c r="OJR76" s="30"/>
      <c r="OJS76" s="25"/>
      <c r="OJT76" s="178"/>
      <c r="OJU76" s="26"/>
      <c r="OJV76" s="26"/>
      <c r="OJW76" s="26"/>
      <c r="OJX76" s="26"/>
      <c r="OJY76" s="26"/>
      <c r="OJZ76" s="26"/>
      <c r="OKA76" s="58"/>
      <c r="OKB76" s="26"/>
      <c r="OKC76" s="26"/>
      <c r="OKD76" s="26"/>
      <c r="OKE76" s="26"/>
      <c r="OKF76" s="22"/>
      <c r="OKG76" s="167"/>
      <c r="OKH76" s="30"/>
      <c r="OKI76" s="25"/>
      <c r="OKJ76" s="178"/>
      <c r="OKK76" s="26"/>
      <c r="OKL76" s="26"/>
      <c r="OKM76" s="26"/>
      <c r="OKN76" s="26"/>
      <c r="OKO76" s="26"/>
      <c r="OKP76" s="26"/>
      <c r="OKQ76" s="58"/>
      <c r="OKR76" s="26"/>
      <c r="OKS76" s="26"/>
      <c r="OKT76" s="26"/>
      <c r="OKU76" s="26"/>
      <c r="OKV76" s="22"/>
      <c r="OKW76" s="167"/>
      <c r="OKX76" s="30"/>
      <c r="OKY76" s="25"/>
      <c r="OKZ76" s="178"/>
      <c r="OLA76" s="26"/>
      <c r="OLB76" s="26"/>
      <c r="OLC76" s="26"/>
      <c r="OLD76" s="26"/>
      <c r="OLE76" s="26"/>
      <c r="OLF76" s="26"/>
      <c r="OLG76" s="58"/>
      <c r="OLH76" s="26"/>
      <c r="OLI76" s="26"/>
      <c r="OLJ76" s="26"/>
      <c r="OLK76" s="26"/>
      <c r="OLL76" s="22"/>
      <c r="OLM76" s="167"/>
      <c r="OLN76" s="30"/>
      <c r="OLO76" s="25"/>
      <c r="OLP76" s="178"/>
      <c r="OLQ76" s="26"/>
      <c r="OLR76" s="26"/>
      <c r="OLS76" s="26"/>
      <c r="OLT76" s="26"/>
      <c r="OLU76" s="26"/>
      <c r="OLV76" s="26"/>
      <c r="OLW76" s="58"/>
      <c r="OLX76" s="26"/>
      <c r="OLY76" s="26"/>
      <c r="OLZ76" s="26"/>
      <c r="OMA76" s="26"/>
      <c r="OMB76" s="22"/>
      <c r="OMC76" s="167"/>
      <c r="OMD76" s="30"/>
      <c r="OME76" s="25"/>
      <c r="OMF76" s="178"/>
      <c r="OMG76" s="26"/>
      <c r="OMH76" s="26"/>
      <c r="OMI76" s="26"/>
      <c r="OMJ76" s="26"/>
      <c r="OMK76" s="26"/>
      <c r="OML76" s="26"/>
      <c r="OMM76" s="58"/>
      <c r="OMN76" s="26"/>
      <c r="OMO76" s="26"/>
      <c r="OMP76" s="26"/>
      <c r="OMQ76" s="26"/>
      <c r="OMR76" s="22"/>
      <c r="OMS76" s="167"/>
      <c r="OMT76" s="30"/>
      <c r="OMU76" s="25"/>
      <c r="OMV76" s="178"/>
      <c r="OMW76" s="26"/>
      <c r="OMX76" s="26"/>
      <c r="OMY76" s="26"/>
      <c r="OMZ76" s="26"/>
      <c r="ONA76" s="26"/>
      <c r="ONB76" s="26"/>
      <c r="ONC76" s="58"/>
      <c r="OND76" s="26"/>
      <c r="ONE76" s="26"/>
      <c r="ONF76" s="26"/>
      <c r="ONG76" s="26"/>
      <c r="ONH76" s="22"/>
      <c r="ONI76" s="167"/>
      <c r="ONJ76" s="30"/>
      <c r="ONK76" s="25"/>
      <c r="ONL76" s="178"/>
      <c r="ONM76" s="26"/>
      <c r="ONN76" s="26"/>
      <c r="ONO76" s="26"/>
      <c r="ONP76" s="26"/>
      <c r="ONQ76" s="26"/>
      <c r="ONR76" s="26"/>
      <c r="ONS76" s="58"/>
      <c r="ONT76" s="26"/>
      <c r="ONU76" s="26"/>
      <c r="ONV76" s="26"/>
      <c r="ONW76" s="26"/>
      <c r="ONX76" s="22"/>
      <c r="ONY76" s="167"/>
      <c r="ONZ76" s="30"/>
      <c r="OOA76" s="25"/>
      <c r="OOB76" s="178"/>
      <c r="OOC76" s="26"/>
      <c r="OOD76" s="26"/>
      <c r="OOE76" s="26"/>
      <c r="OOF76" s="26"/>
      <c r="OOG76" s="26"/>
      <c r="OOH76" s="26"/>
      <c r="OOI76" s="58"/>
      <c r="OOJ76" s="26"/>
      <c r="OOK76" s="26"/>
      <c r="OOL76" s="26"/>
      <c r="OOM76" s="26"/>
      <c r="OON76" s="22"/>
      <c r="OOO76" s="167"/>
      <c r="OOP76" s="30"/>
      <c r="OOQ76" s="25"/>
      <c r="OOR76" s="178"/>
      <c r="OOS76" s="26"/>
      <c r="OOT76" s="26"/>
      <c r="OOU76" s="26"/>
      <c r="OOV76" s="26"/>
      <c r="OOW76" s="26"/>
      <c r="OOX76" s="26"/>
      <c r="OOY76" s="58"/>
      <c r="OOZ76" s="26"/>
      <c r="OPA76" s="26"/>
      <c r="OPB76" s="26"/>
      <c r="OPC76" s="26"/>
      <c r="OPD76" s="22"/>
      <c r="OPE76" s="167"/>
      <c r="OPF76" s="30"/>
      <c r="OPG76" s="25"/>
      <c r="OPH76" s="178"/>
      <c r="OPI76" s="26"/>
      <c r="OPJ76" s="26"/>
      <c r="OPK76" s="26"/>
      <c r="OPL76" s="26"/>
      <c r="OPM76" s="26"/>
      <c r="OPN76" s="26"/>
      <c r="OPO76" s="58"/>
      <c r="OPP76" s="26"/>
      <c r="OPQ76" s="26"/>
      <c r="OPR76" s="26"/>
      <c r="OPS76" s="26"/>
      <c r="OPT76" s="22"/>
      <c r="OPU76" s="167"/>
      <c r="OPV76" s="30"/>
      <c r="OPW76" s="25"/>
      <c r="OPX76" s="178"/>
      <c r="OPY76" s="26"/>
      <c r="OPZ76" s="26"/>
      <c r="OQA76" s="26"/>
      <c r="OQB76" s="26"/>
      <c r="OQC76" s="26"/>
      <c r="OQD76" s="26"/>
      <c r="OQE76" s="58"/>
      <c r="OQF76" s="26"/>
      <c r="OQG76" s="26"/>
      <c r="OQH76" s="26"/>
      <c r="OQI76" s="26"/>
      <c r="OQJ76" s="22"/>
      <c r="OQK76" s="167"/>
      <c r="OQL76" s="30"/>
      <c r="OQM76" s="25"/>
      <c r="OQN76" s="178"/>
      <c r="OQO76" s="26"/>
      <c r="OQP76" s="26"/>
      <c r="OQQ76" s="26"/>
      <c r="OQR76" s="26"/>
      <c r="OQS76" s="26"/>
      <c r="OQT76" s="26"/>
      <c r="OQU76" s="58"/>
      <c r="OQV76" s="26"/>
      <c r="OQW76" s="26"/>
      <c r="OQX76" s="26"/>
      <c r="OQY76" s="26"/>
      <c r="OQZ76" s="22"/>
      <c r="ORA76" s="167"/>
      <c r="ORB76" s="30"/>
      <c r="ORC76" s="25"/>
      <c r="ORD76" s="178"/>
      <c r="ORE76" s="26"/>
      <c r="ORF76" s="26"/>
      <c r="ORG76" s="26"/>
      <c r="ORH76" s="26"/>
      <c r="ORI76" s="26"/>
      <c r="ORJ76" s="26"/>
      <c r="ORK76" s="58"/>
      <c r="ORL76" s="26"/>
      <c r="ORM76" s="26"/>
      <c r="ORN76" s="26"/>
      <c r="ORO76" s="26"/>
      <c r="ORP76" s="22"/>
      <c r="ORQ76" s="167"/>
      <c r="ORR76" s="30"/>
      <c r="ORS76" s="25"/>
      <c r="ORT76" s="178"/>
      <c r="ORU76" s="26"/>
      <c r="ORV76" s="26"/>
      <c r="ORW76" s="26"/>
      <c r="ORX76" s="26"/>
      <c r="ORY76" s="26"/>
      <c r="ORZ76" s="26"/>
      <c r="OSA76" s="58"/>
      <c r="OSB76" s="26"/>
      <c r="OSC76" s="26"/>
      <c r="OSD76" s="26"/>
      <c r="OSE76" s="26"/>
      <c r="OSF76" s="22"/>
      <c r="OSG76" s="167"/>
      <c r="OSH76" s="30"/>
      <c r="OSI76" s="25"/>
      <c r="OSJ76" s="178"/>
      <c r="OSK76" s="26"/>
      <c r="OSL76" s="26"/>
      <c r="OSM76" s="26"/>
      <c r="OSN76" s="26"/>
      <c r="OSO76" s="26"/>
      <c r="OSP76" s="26"/>
      <c r="OSQ76" s="58"/>
      <c r="OSR76" s="26"/>
      <c r="OSS76" s="26"/>
      <c r="OST76" s="26"/>
      <c r="OSU76" s="26"/>
      <c r="OSV76" s="22"/>
      <c r="OSW76" s="167"/>
      <c r="OSX76" s="30"/>
      <c r="OSY76" s="25"/>
      <c r="OSZ76" s="178"/>
      <c r="OTA76" s="26"/>
      <c r="OTB76" s="26"/>
      <c r="OTC76" s="26"/>
      <c r="OTD76" s="26"/>
      <c r="OTE76" s="26"/>
      <c r="OTF76" s="26"/>
      <c r="OTG76" s="58"/>
      <c r="OTH76" s="26"/>
      <c r="OTI76" s="26"/>
      <c r="OTJ76" s="26"/>
      <c r="OTK76" s="26"/>
      <c r="OTL76" s="22"/>
      <c r="OTM76" s="167"/>
      <c r="OTN76" s="30"/>
      <c r="OTO76" s="25"/>
      <c r="OTP76" s="178"/>
      <c r="OTQ76" s="26"/>
      <c r="OTR76" s="26"/>
      <c r="OTS76" s="26"/>
      <c r="OTT76" s="26"/>
      <c r="OTU76" s="26"/>
      <c r="OTV76" s="26"/>
      <c r="OTW76" s="58"/>
      <c r="OTX76" s="26"/>
      <c r="OTY76" s="26"/>
      <c r="OTZ76" s="26"/>
      <c r="OUA76" s="26"/>
      <c r="OUB76" s="22"/>
      <c r="OUC76" s="167"/>
      <c r="OUD76" s="30"/>
      <c r="OUE76" s="25"/>
      <c r="OUF76" s="178"/>
      <c r="OUG76" s="26"/>
      <c r="OUH76" s="26"/>
      <c r="OUI76" s="26"/>
      <c r="OUJ76" s="26"/>
      <c r="OUK76" s="26"/>
      <c r="OUL76" s="26"/>
      <c r="OUM76" s="58"/>
      <c r="OUN76" s="26"/>
      <c r="OUO76" s="26"/>
      <c r="OUP76" s="26"/>
      <c r="OUQ76" s="26"/>
      <c r="OUR76" s="22"/>
      <c r="OUS76" s="167"/>
      <c r="OUT76" s="30"/>
      <c r="OUU76" s="25"/>
      <c r="OUV76" s="178"/>
      <c r="OUW76" s="26"/>
      <c r="OUX76" s="26"/>
      <c r="OUY76" s="26"/>
      <c r="OUZ76" s="26"/>
      <c r="OVA76" s="26"/>
      <c r="OVB76" s="26"/>
      <c r="OVC76" s="58"/>
      <c r="OVD76" s="26"/>
      <c r="OVE76" s="26"/>
      <c r="OVF76" s="26"/>
      <c r="OVG76" s="26"/>
      <c r="OVH76" s="22"/>
      <c r="OVI76" s="167"/>
      <c r="OVJ76" s="30"/>
      <c r="OVK76" s="25"/>
      <c r="OVL76" s="178"/>
      <c r="OVM76" s="26"/>
      <c r="OVN76" s="26"/>
      <c r="OVO76" s="26"/>
      <c r="OVP76" s="26"/>
      <c r="OVQ76" s="26"/>
      <c r="OVR76" s="26"/>
      <c r="OVS76" s="58"/>
      <c r="OVT76" s="26"/>
      <c r="OVU76" s="26"/>
      <c r="OVV76" s="26"/>
      <c r="OVW76" s="26"/>
      <c r="OVX76" s="22"/>
      <c r="OVY76" s="167"/>
      <c r="OVZ76" s="30"/>
      <c r="OWA76" s="25"/>
      <c r="OWB76" s="178"/>
      <c r="OWC76" s="26"/>
      <c r="OWD76" s="26"/>
      <c r="OWE76" s="26"/>
      <c r="OWF76" s="26"/>
      <c r="OWG76" s="26"/>
      <c r="OWH76" s="26"/>
      <c r="OWI76" s="58"/>
      <c r="OWJ76" s="26"/>
      <c r="OWK76" s="26"/>
      <c r="OWL76" s="26"/>
      <c r="OWM76" s="26"/>
      <c r="OWN76" s="22"/>
      <c r="OWO76" s="167"/>
      <c r="OWP76" s="30"/>
      <c r="OWQ76" s="25"/>
      <c r="OWR76" s="178"/>
      <c r="OWS76" s="26"/>
      <c r="OWT76" s="26"/>
      <c r="OWU76" s="26"/>
      <c r="OWV76" s="26"/>
      <c r="OWW76" s="26"/>
      <c r="OWX76" s="26"/>
      <c r="OWY76" s="58"/>
      <c r="OWZ76" s="26"/>
      <c r="OXA76" s="26"/>
      <c r="OXB76" s="26"/>
      <c r="OXC76" s="26"/>
      <c r="OXD76" s="22"/>
      <c r="OXE76" s="167"/>
      <c r="OXF76" s="30"/>
      <c r="OXG76" s="25"/>
      <c r="OXH76" s="178"/>
      <c r="OXI76" s="26"/>
      <c r="OXJ76" s="26"/>
      <c r="OXK76" s="26"/>
      <c r="OXL76" s="26"/>
      <c r="OXM76" s="26"/>
      <c r="OXN76" s="26"/>
      <c r="OXO76" s="58"/>
      <c r="OXP76" s="26"/>
      <c r="OXQ76" s="26"/>
      <c r="OXR76" s="26"/>
      <c r="OXS76" s="26"/>
      <c r="OXT76" s="22"/>
      <c r="OXU76" s="167"/>
      <c r="OXV76" s="30"/>
      <c r="OXW76" s="25"/>
      <c r="OXX76" s="178"/>
      <c r="OXY76" s="26"/>
      <c r="OXZ76" s="26"/>
      <c r="OYA76" s="26"/>
      <c r="OYB76" s="26"/>
      <c r="OYC76" s="26"/>
      <c r="OYD76" s="26"/>
      <c r="OYE76" s="58"/>
      <c r="OYF76" s="26"/>
      <c r="OYG76" s="26"/>
      <c r="OYH76" s="26"/>
      <c r="OYI76" s="26"/>
      <c r="OYJ76" s="22"/>
      <c r="OYK76" s="167"/>
      <c r="OYL76" s="30"/>
      <c r="OYM76" s="25"/>
      <c r="OYN76" s="178"/>
      <c r="OYO76" s="26"/>
      <c r="OYP76" s="26"/>
      <c r="OYQ76" s="26"/>
      <c r="OYR76" s="26"/>
      <c r="OYS76" s="26"/>
      <c r="OYT76" s="26"/>
      <c r="OYU76" s="58"/>
      <c r="OYV76" s="26"/>
      <c r="OYW76" s="26"/>
      <c r="OYX76" s="26"/>
      <c r="OYY76" s="26"/>
      <c r="OYZ76" s="22"/>
      <c r="OZA76" s="167"/>
      <c r="OZB76" s="30"/>
      <c r="OZC76" s="25"/>
      <c r="OZD76" s="178"/>
      <c r="OZE76" s="26"/>
      <c r="OZF76" s="26"/>
      <c r="OZG76" s="26"/>
      <c r="OZH76" s="26"/>
      <c r="OZI76" s="26"/>
      <c r="OZJ76" s="26"/>
      <c r="OZK76" s="58"/>
      <c r="OZL76" s="26"/>
      <c r="OZM76" s="26"/>
      <c r="OZN76" s="26"/>
      <c r="OZO76" s="26"/>
      <c r="OZP76" s="22"/>
      <c r="OZQ76" s="167"/>
      <c r="OZR76" s="30"/>
      <c r="OZS76" s="25"/>
      <c r="OZT76" s="178"/>
      <c r="OZU76" s="26"/>
      <c r="OZV76" s="26"/>
      <c r="OZW76" s="26"/>
      <c r="OZX76" s="26"/>
      <c r="OZY76" s="26"/>
      <c r="OZZ76" s="26"/>
      <c r="PAA76" s="58"/>
      <c r="PAB76" s="26"/>
      <c r="PAC76" s="26"/>
      <c r="PAD76" s="26"/>
      <c r="PAE76" s="26"/>
      <c r="PAF76" s="22"/>
      <c r="PAG76" s="167"/>
      <c r="PAH76" s="30"/>
      <c r="PAI76" s="25"/>
      <c r="PAJ76" s="178"/>
      <c r="PAK76" s="26"/>
      <c r="PAL76" s="26"/>
      <c r="PAM76" s="26"/>
      <c r="PAN76" s="26"/>
      <c r="PAO76" s="26"/>
      <c r="PAP76" s="26"/>
      <c r="PAQ76" s="58"/>
      <c r="PAR76" s="26"/>
      <c r="PAS76" s="26"/>
      <c r="PAT76" s="26"/>
      <c r="PAU76" s="26"/>
      <c r="PAV76" s="22"/>
      <c r="PAW76" s="167"/>
      <c r="PAX76" s="30"/>
      <c r="PAY76" s="25"/>
      <c r="PAZ76" s="178"/>
      <c r="PBA76" s="26"/>
      <c r="PBB76" s="26"/>
      <c r="PBC76" s="26"/>
      <c r="PBD76" s="26"/>
      <c r="PBE76" s="26"/>
      <c r="PBF76" s="26"/>
      <c r="PBG76" s="58"/>
      <c r="PBH76" s="26"/>
      <c r="PBI76" s="26"/>
      <c r="PBJ76" s="26"/>
      <c r="PBK76" s="26"/>
      <c r="PBL76" s="22"/>
      <c r="PBM76" s="167"/>
      <c r="PBN76" s="30"/>
      <c r="PBO76" s="25"/>
      <c r="PBP76" s="178"/>
      <c r="PBQ76" s="26"/>
      <c r="PBR76" s="26"/>
      <c r="PBS76" s="26"/>
      <c r="PBT76" s="26"/>
      <c r="PBU76" s="26"/>
      <c r="PBV76" s="26"/>
      <c r="PBW76" s="58"/>
      <c r="PBX76" s="26"/>
      <c r="PBY76" s="26"/>
      <c r="PBZ76" s="26"/>
      <c r="PCA76" s="26"/>
      <c r="PCB76" s="22"/>
      <c r="PCC76" s="167"/>
      <c r="PCD76" s="30"/>
      <c r="PCE76" s="25"/>
      <c r="PCF76" s="178"/>
      <c r="PCG76" s="26"/>
      <c r="PCH76" s="26"/>
      <c r="PCI76" s="26"/>
      <c r="PCJ76" s="26"/>
      <c r="PCK76" s="26"/>
      <c r="PCL76" s="26"/>
      <c r="PCM76" s="58"/>
      <c r="PCN76" s="26"/>
      <c r="PCO76" s="26"/>
      <c r="PCP76" s="26"/>
      <c r="PCQ76" s="26"/>
      <c r="PCR76" s="22"/>
      <c r="PCS76" s="167"/>
      <c r="PCT76" s="30"/>
      <c r="PCU76" s="25"/>
      <c r="PCV76" s="178"/>
      <c r="PCW76" s="26"/>
      <c r="PCX76" s="26"/>
      <c r="PCY76" s="26"/>
      <c r="PCZ76" s="26"/>
      <c r="PDA76" s="26"/>
      <c r="PDB76" s="26"/>
      <c r="PDC76" s="58"/>
      <c r="PDD76" s="26"/>
      <c r="PDE76" s="26"/>
      <c r="PDF76" s="26"/>
      <c r="PDG76" s="26"/>
      <c r="PDH76" s="22"/>
      <c r="PDI76" s="167"/>
      <c r="PDJ76" s="30"/>
      <c r="PDK76" s="25"/>
      <c r="PDL76" s="178"/>
      <c r="PDM76" s="26"/>
      <c r="PDN76" s="26"/>
      <c r="PDO76" s="26"/>
      <c r="PDP76" s="26"/>
      <c r="PDQ76" s="26"/>
      <c r="PDR76" s="26"/>
      <c r="PDS76" s="58"/>
      <c r="PDT76" s="26"/>
      <c r="PDU76" s="26"/>
      <c r="PDV76" s="26"/>
      <c r="PDW76" s="26"/>
      <c r="PDX76" s="22"/>
      <c r="PDY76" s="167"/>
      <c r="PDZ76" s="30"/>
      <c r="PEA76" s="25"/>
      <c r="PEB76" s="178"/>
      <c r="PEC76" s="26"/>
      <c r="PED76" s="26"/>
      <c r="PEE76" s="26"/>
      <c r="PEF76" s="26"/>
      <c r="PEG76" s="26"/>
      <c r="PEH76" s="26"/>
      <c r="PEI76" s="58"/>
      <c r="PEJ76" s="26"/>
      <c r="PEK76" s="26"/>
      <c r="PEL76" s="26"/>
      <c r="PEM76" s="26"/>
      <c r="PEN76" s="22"/>
      <c r="PEO76" s="167"/>
      <c r="PEP76" s="30"/>
      <c r="PEQ76" s="25"/>
      <c r="PER76" s="178"/>
      <c r="PES76" s="26"/>
      <c r="PET76" s="26"/>
      <c r="PEU76" s="26"/>
      <c r="PEV76" s="26"/>
      <c r="PEW76" s="26"/>
      <c r="PEX76" s="26"/>
      <c r="PEY76" s="58"/>
      <c r="PEZ76" s="26"/>
      <c r="PFA76" s="26"/>
      <c r="PFB76" s="26"/>
      <c r="PFC76" s="26"/>
      <c r="PFD76" s="22"/>
      <c r="PFE76" s="167"/>
      <c r="PFF76" s="30"/>
      <c r="PFG76" s="25"/>
      <c r="PFH76" s="178"/>
      <c r="PFI76" s="26"/>
      <c r="PFJ76" s="26"/>
      <c r="PFK76" s="26"/>
      <c r="PFL76" s="26"/>
      <c r="PFM76" s="26"/>
      <c r="PFN76" s="26"/>
      <c r="PFO76" s="58"/>
      <c r="PFP76" s="26"/>
      <c r="PFQ76" s="26"/>
      <c r="PFR76" s="26"/>
      <c r="PFS76" s="26"/>
      <c r="PFT76" s="22"/>
      <c r="PFU76" s="167"/>
      <c r="PFV76" s="30"/>
      <c r="PFW76" s="25"/>
      <c r="PFX76" s="178"/>
      <c r="PFY76" s="26"/>
      <c r="PFZ76" s="26"/>
      <c r="PGA76" s="26"/>
      <c r="PGB76" s="26"/>
      <c r="PGC76" s="26"/>
      <c r="PGD76" s="26"/>
      <c r="PGE76" s="58"/>
      <c r="PGF76" s="26"/>
      <c r="PGG76" s="26"/>
      <c r="PGH76" s="26"/>
      <c r="PGI76" s="26"/>
      <c r="PGJ76" s="22"/>
      <c r="PGK76" s="167"/>
      <c r="PGL76" s="30"/>
      <c r="PGM76" s="25"/>
      <c r="PGN76" s="178"/>
      <c r="PGO76" s="26"/>
      <c r="PGP76" s="26"/>
      <c r="PGQ76" s="26"/>
      <c r="PGR76" s="26"/>
      <c r="PGS76" s="26"/>
      <c r="PGT76" s="26"/>
      <c r="PGU76" s="58"/>
      <c r="PGV76" s="26"/>
      <c r="PGW76" s="26"/>
      <c r="PGX76" s="26"/>
      <c r="PGY76" s="26"/>
      <c r="PGZ76" s="22"/>
      <c r="PHA76" s="167"/>
      <c r="PHB76" s="30"/>
      <c r="PHC76" s="25"/>
      <c r="PHD76" s="178"/>
      <c r="PHE76" s="26"/>
      <c r="PHF76" s="26"/>
      <c r="PHG76" s="26"/>
      <c r="PHH76" s="26"/>
      <c r="PHI76" s="26"/>
      <c r="PHJ76" s="26"/>
      <c r="PHK76" s="58"/>
      <c r="PHL76" s="26"/>
      <c r="PHM76" s="26"/>
      <c r="PHN76" s="26"/>
      <c r="PHO76" s="26"/>
      <c r="PHP76" s="22"/>
      <c r="PHQ76" s="167"/>
      <c r="PHR76" s="30"/>
      <c r="PHS76" s="25"/>
      <c r="PHT76" s="178"/>
      <c r="PHU76" s="26"/>
      <c r="PHV76" s="26"/>
      <c r="PHW76" s="26"/>
      <c r="PHX76" s="26"/>
      <c r="PHY76" s="26"/>
      <c r="PHZ76" s="26"/>
      <c r="PIA76" s="58"/>
      <c r="PIB76" s="26"/>
      <c r="PIC76" s="26"/>
      <c r="PID76" s="26"/>
      <c r="PIE76" s="26"/>
      <c r="PIF76" s="22"/>
      <c r="PIG76" s="167"/>
      <c r="PIH76" s="30"/>
      <c r="PII76" s="25"/>
      <c r="PIJ76" s="178"/>
      <c r="PIK76" s="26"/>
      <c r="PIL76" s="26"/>
      <c r="PIM76" s="26"/>
      <c r="PIN76" s="26"/>
      <c r="PIO76" s="26"/>
      <c r="PIP76" s="26"/>
      <c r="PIQ76" s="58"/>
      <c r="PIR76" s="26"/>
      <c r="PIS76" s="26"/>
      <c r="PIT76" s="26"/>
      <c r="PIU76" s="26"/>
      <c r="PIV76" s="22"/>
      <c r="PIW76" s="167"/>
      <c r="PIX76" s="30"/>
      <c r="PIY76" s="25"/>
      <c r="PIZ76" s="178"/>
      <c r="PJA76" s="26"/>
      <c r="PJB76" s="26"/>
      <c r="PJC76" s="26"/>
      <c r="PJD76" s="26"/>
      <c r="PJE76" s="26"/>
      <c r="PJF76" s="26"/>
      <c r="PJG76" s="58"/>
      <c r="PJH76" s="26"/>
      <c r="PJI76" s="26"/>
      <c r="PJJ76" s="26"/>
      <c r="PJK76" s="26"/>
      <c r="PJL76" s="22"/>
      <c r="PJM76" s="167"/>
      <c r="PJN76" s="30"/>
      <c r="PJO76" s="25"/>
      <c r="PJP76" s="178"/>
      <c r="PJQ76" s="26"/>
      <c r="PJR76" s="26"/>
      <c r="PJS76" s="26"/>
      <c r="PJT76" s="26"/>
      <c r="PJU76" s="26"/>
      <c r="PJV76" s="26"/>
      <c r="PJW76" s="58"/>
      <c r="PJX76" s="26"/>
      <c r="PJY76" s="26"/>
      <c r="PJZ76" s="26"/>
      <c r="PKA76" s="26"/>
      <c r="PKB76" s="22"/>
      <c r="PKC76" s="167"/>
      <c r="PKD76" s="30"/>
      <c r="PKE76" s="25"/>
      <c r="PKF76" s="178"/>
      <c r="PKG76" s="26"/>
      <c r="PKH76" s="26"/>
      <c r="PKI76" s="26"/>
      <c r="PKJ76" s="26"/>
      <c r="PKK76" s="26"/>
      <c r="PKL76" s="26"/>
      <c r="PKM76" s="58"/>
      <c r="PKN76" s="26"/>
      <c r="PKO76" s="26"/>
      <c r="PKP76" s="26"/>
      <c r="PKQ76" s="26"/>
      <c r="PKR76" s="22"/>
      <c r="PKS76" s="167"/>
      <c r="PKT76" s="30"/>
      <c r="PKU76" s="25"/>
      <c r="PKV76" s="178"/>
      <c r="PKW76" s="26"/>
      <c r="PKX76" s="26"/>
      <c r="PKY76" s="26"/>
      <c r="PKZ76" s="26"/>
      <c r="PLA76" s="26"/>
      <c r="PLB76" s="26"/>
      <c r="PLC76" s="58"/>
      <c r="PLD76" s="26"/>
      <c r="PLE76" s="26"/>
      <c r="PLF76" s="26"/>
      <c r="PLG76" s="26"/>
      <c r="PLH76" s="22"/>
      <c r="PLI76" s="167"/>
      <c r="PLJ76" s="30"/>
      <c r="PLK76" s="25"/>
      <c r="PLL76" s="178"/>
      <c r="PLM76" s="26"/>
      <c r="PLN76" s="26"/>
      <c r="PLO76" s="26"/>
      <c r="PLP76" s="26"/>
      <c r="PLQ76" s="26"/>
      <c r="PLR76" s="26"/>
      <c r="PLS76" s="58"/>
      <c r="PLT76" s="26"/>
      <c r="PLU76" s="26"/>
      <c r="PLV76" s="26"/>
      <c r="PLW76" s="26"/>
      <c r="PLX76" s="22"/>
      <c r="PLY76" s="167"/>
      <c r="PLZ76" s="30"/>
      <c r="PMA76" s="25"/>
      <c r="PMB76" s="178"/>
      <c r="PMC76" s="26"/>
      <c r="PMD76" s="26"/>
      <c r="PME76" s="26"/>
      <c r="PMF76" s="26"/>
      <c r="PMG76" s="26"/>
      <c r="PMH76" s="26"/>
      <c r="PMI76" s="58"/>
      <c r="PMJ76" s="26"/>
      <c r="PMK76" s="26"/>
      <c r="PML76" s="26"/>
      <c r="PMM76" s="26"/>
      <c r="PMN76" s="22"/>
      <c r="PMO76" s="167"/>
      <c r="PMP76" s="30"/>
      <c r="PMQ76" s="25"/>
      <c r="PMR76" s="178"/>
      <c r="PMS76" s="26"/>
      <c r="PMT76" s="26"/>
      <c r="PMU76" s="26"/>
      <c r="PMV76" s="26"/>
      <c r="PMW76" s="26"/>
      <c r="PMX76" s="26"/>
      <c r="PMY76" s="58"/>
      <c r="PMZ76" s="26"/>
      <c r="PNA76" s="26"/>
      <c r="PNB76" s="26"/>
      <c r="PNC76" s="26"/>
      <c r="PND76" s="22"/>
      <c r="PNE76" s="167"/>
      <c r="PNF76" s="30"/>
      <c r="PNG76" s="25"/>
      <c r="PNH76" s="178"/>
      <c r="PNI76" s="26"/>
      <c r="PNJ76" s="26"/>
      <c r="PNK76" s="26"/>
      <c r="PNL76" s="26"/>
      <c r="PNM76" s="26"/>
      <c r="PNN76" s="26"/>
      <c r="PNO76" s="58"/>
      <c r="PNP76" s="26"/>
      <c r="PNQ76" s="26"/>
      <c r="PNR76" s="26"/>
      <c r="PNS76" s="26"/>
      <c r="PNT76" s="22"/>
      <c r="PNU76" s="167"/>
      <c r="PNV76" s="30"/>
      <c r="PNW76" s="25"/>
      <c r="PNX76" s="178"/>
      <c r="PNY76" s="26"/>
      <c r="PNZ76" s="26"/>
      <c r="POA76" s="26"/>
      <c r="POB76" s="26"/>
      <c r="POC76" s="26"/>
      <c r="POD76" s="26"/>
      <c r="POE76" s="58"/>
      <c r="POF76" s="26"/>
      <c r="POG76" s="26"/>
      <c r="POH76" s="26"/>
      <c r="POI76" s="26"/>
      <c r="POJ76" s="22"/>
      <c r="POK76" s="167"/>
      <c r="POL76" s="30"/>
      <c r="POM76" s="25"/>
      <c r="PON76" s="178"/>
      <c r="POO76" s="26"/>
      <c r="POP76" s="26"/>
      <c r="POQ76" s="26"/>
      <c r="POR76" s="26"/>
      <c r="POS76" s="26"/>
      <c r="POT76" s="26"/>
      <c r="POU76" s="58"/>
      <c r="POV76" s="26"/>
      <c r="POW76" s="26"/>
      <c r="POX76" s="26"/>
      <c r="POY76" s="26"/>
      <c r="POZ76" s="22"/>
      <c r="PPA76" s="167"/>
      <c r="PPB76" s="30"/>
      <c r="PPC76" s="25"/>
      <c r="PPD76" s="178"/>
      <c r="PPE76" s="26"/>
      <c r="PPF76" s="26"/>
      <c r="PPG76" s="26"/>
      <c r="PPH76" s="26"/>
      <c r="PPI76" s="26"/>
      <c r="PPJ76" s="26"/>
      <c r="PPK76" s="58"/>
      <c r="PPL76" s="26"/>
      <c r="PPM76" s="26"/>
      <c r="PPN76" s="26"/>
      <c r="PPO76" s="26"/>
      <c r="PPP76" s="22"/>
      <c r="PPQ76" s="167"/>
      <c r="PPR76" s="30"/>
      <c r="PPS76" s="25"/>
      <c r="PPT76" s="178"/>
      <c r="PPU76" s="26"/>
      <c r="PPV76" s="26"/>
      <c r="PPW76" s="26"/>
      <c r="PPX76" s="26"/>
      <c r="PPY76" s="26"/>
      <c r="PPZ76" s="26"/>
      <c r="PQA76" s="58"/>
      <c r="PQB76" s="26"/>
      <c r="PQC76" s="26"/>
      <c r="PQD76" s="26"/>
      <c r="PQE76" s="26"/>
      <c r="PQF76" s="22"/>
      <c r="PQG76" s="167"/>
      <c r="PQH76" s="30"/>
      <c r="PQI76" s="25"/>
      <c r="PQJ76" s="178"/>
      <c r="PQK76" s="26"/>
      <c r="PQL76" s="26"/>
      <c r="PQM76" s="26"/>
      <c r="PQN76" s="26"/>
      <c r="PQO76" s="26"/>
      <c r="PQP76" s="26"/>
      <c r="PQQ76" s="58"/>
      <c r="PQR76" s="26"/>
      <c r="PQS76" s="26"/>
      <c r="PQT76" s="26"/>
      <c r="PQU76" s="26"/>
      <c r="PQV76" s="22"/>
      <c r="PQW76" s="167"/>
      <c r="PQX76" s="30"/>
      <c r="PQY76" s="25"/>
      <c r="PQZ76" s="178"/>
      <c r="PRA76" s="26"/>
      <c r="PRB76" s="26"/>
      <c r="PRC76" s="26"/>
      <c r="PRD76" s="26"/>
      <c r="PRE76" s="26"/>
      <c r="PRF76" s="26"/>
      <c r="PRG76" s="58"/>
      <c r="PRH76" s="26"/>
      <c r="PRI76" s="26"/>
      <c r="PRJ76" s="26"/>
      <c r="PRK76" s="26"/>
      <c r="PRL76" s="22"/>
      <c r="PRM76" s="167"/>
      <c r="PRN76" s="30"/>
      <c r="PRO76" s="25"/>
      <c r="PRP76" s="178"/>
      <c r="PRQ76" s="26"/>
      <c r="PRR76" s="26"/>
      <c r="PRS76" s="26"/>
      <c r="PRT76" s="26"/>
      <c r="PRU76" s="26"/>
      <c r="PRV76" s="26"/>
      <c r="PRW76" s="58"/>
      <c r="PRX76" s="26"/>
      <c r="PRY76" s="26"/>
      <c r="PRZ76" s="26"/>
      <c r="PSA76" s="26"/>
      <c r="PSB76" s="22"/>
      <c r="PSC76" s="167"/>
      <c r="PSD76" s="30"/>
      <c r="PSE76" s="25"/>
      <c r="PSF76" s="178"/>
      <c r="PSG76" s="26"/>
      <c r="PSH76" s="26"/>
      <c r="PSI76" s="26"/>
      <c r="PSJ76" s="26"/>
      <c r="PSK76" s="26"/>
      <c r="PSL76" s="26"/>
      <c r="PSM76" s="58"/>
      <c r="PSN76" s="26"/>
      <c r="PSO76" s="26"/>
      <c r="PSP76" s="26"/>
      <c r="PSQ76" s="26"/>
      <c r="PSR76" s="22"/>
      <c r="PSS76" s="167"/>
      <c r="PST76" s="30"/>
      <c r="PSU76" s="25"/>
      <c r="PSV76" s="178"/>
      <c r="PSW76" s="26"/>
      <c r="PSX76" s="26"/>
      <c r="PSY76" s="26"/>
      <c r="PSZ76" s="26"/>
      <c r="PTA76" s="26"/>
      <c r="PTB76" s="26"/>
      <c r="PTC76" s="58"/>
      <c r="PTD76" s="26"/>
      <c r="PTE76" s="26"/>
      <c r="PTF76" s="26"/>
      <c r="PTG76" s="26"/>
      <c r="PTH76" s="22"/>
      <c r="PTI76" s="167"/>
      <c r="PTJ76" s="30"/>
      <c r="PTK76" s="25"/>
      <c r="PTL76" s="178"/>
      <c r="PTM76" s="26"/>
      <c r="PTN76" s="26"/>
      <c r="PTO76" s="26"/>
      <c r="PTP76" s="26"/>
      <c r="PTQ76" s="26"/>
      <c r="PTR76" s="26"/>
      <c r="PTS76" s="58"/>
      <c r="PTT76" s="26"/>
      <c r="PTU76" s="26"/>
      <c r="PTV76" s="26"/>
      <c r="PTW76" s="26"/>
      <c r="PTX76" s="22"/>
      <c r="PTY76" s="167"/>
      <c r="PTZ76" s="30"/>
      <c r="PUA76" s="25"/>
      <c r="PUB76" s="178"/>
      <c r="PUC76" s="26"/>
      <c r="PUD76" s="26"/>
      <c r="PUE76" s="26"/>
      <c r="PUF76" s="26"/>
      <c r="PUG76" s="26"/>
      <c r="PUH76" s="26"/>
      <c r="PUI76" s="58"/>
      <c r="PUJ76" s="26"/>
      <c r="PUK76" s="26"/>
      <c r="PUL76" s="26"/>
      <c r="PUM76" s="26"/>
      <c r="PUN76" s="22"/>
      <c r="PUO76" s="167"/>
      <c r="PUP76" s="30"/>
      <c r="PUQ76" s="25"/>
      <c r="PUR76" s="178"/>
      <c r="PUS76" s="26"/>
      <c r="PUT76" s="26"/>
      <c r="PUU76" s="26"/>
      <c r="PUV76" s="26"/>
      <c r="PUW76" s="26"/>
      <c r="PUX76" s="26"/>
      <c r="PUY76" s="58"/>
      <c r="PUZ76" s="26"/>
      <c r="PVA76" s="26"/>
      <c r="PVB76" s="26"/>
      <c r="PVC76" s="26"/>
      <c r="PVD76" s="22"/>
      <c r="PVE76" s="167"/>
      <c r="PVF76" s="30"/>
      <c r="PVG76" s="25"/>
      <c r="PVH76" s="178"/>
      <c r="PVI76" s="26"/>
      <c r="PVJ76" s="26"/>
      <c r="PVK76" s="26"/>
      <c r="PVL76" s="26"/>
      <c r="PVM76" s="26"/>
      <c r="PVN76" s="26"/>
      <c r="PVO76" s="58"/>
      <c r="PVP76" s="26"/>
      <c r="PVQ76" s="26"/>
      <c r="PVR76" s="26"/>
      <c r="PVS76" s="26"/>
      <c r="PVT76" s="22"/>
      <c r="PVU76" s="167"/>
      <c r="PVV76" s="30"/>
      <c r="PVW76" s="25"/>
      <c r="PVX76" s="178"/>
      <c r="PVY76" s="26"/>
      <c r="PVZ76" s="26"/>
      <c r="PWA76" s="26"/>
      <c r="PWB76" s="26"/>
      <c r="PWC76" s="26"/>
      <c r="PWD76" s="26"/>
      <c r="PWE76" s="58"/>
      <c r="PWF76" s="26"/>
      <c r="PWG76" s="26"/>
      <c r="PWH76" s="26"/>
      <c r="PWI76" s="26"/>
      <c r="PWJ76" s="22"/>
      <c r="PWK76" s="167"/>
      <c r="PWL76" s="30"/>
      <c r="PWM76" s="25"/>
      <c r="PWN76" s="178"/>
      <c r="PWO76" s="26"/>
      <c r="PWP76" s="26"/>
      <c r="PWQ76" s="26"/>
      <c r="PWR76" s="26"/>
      <c r="PWS76" s="26"/>
      <c r="PWT76" s="26"/>
      <c r="PWU76" s="58"/>
      <c r="PWV76" s="26"/>
      <c r="PWW76" s="26"/>
      <c r="PWX76" s="26"/>
      <c r="PWY76" s="26"/>
      <c r="PWZ76" s="22"/>
      <c r="PXA76" s="167"/>
      <c r="PXB76" s="30"/>
      <c r="PXC76" s="25"/>
      <c r="PXD76" s="178"/>
      <c r="PXE76" s="26"/>
      <c r="PXF76" s="26"/>
      <c r="PXG76" s="26"/>
      <c r="PXH76" s="26"/>
      <c r="PXI76" s="26"/>
      <c r="PXJ76" s="26"/>
      <c r="PXK76" s="58"/>
      <c r="PXL76" s="26"/>
      <c r="PXM76" s="26"/>
      <c r="PXN76" s="26"/>
      <c r="PXO76" s="26"/>
      <c r="PXP76" s="22"/>
      <c r="PXQ76" s="167"/>
      <c r="PXR76" s="30"/>
      <c r="PXS76" s="25"/>
      <c r="PXT76" s="178"/>
      <c r="PXU76" s="26"/>
      <c r="PXV76" s="26"/>
      <c r="PXW76" s="26"/>
      <c r="PXX76" s="26"/>
      <c r="PXY76" s="26"/>
      <c r="PXZ76" s="26"/>
      <c r="PYA76" s="58"/>
      <c r="PYB76" s="26"/>
      <c r="PYC76" s="26"/>
      <c r="PYD76" s="26"/>
      <c r="PYE76" s="26"/>
      <c r="PYF76" s="22"/>
      <c r="PYG76" s="167"/>
      <c r="PYH76" s="30"/>
      <c r="PYI76" s="25"/>
      <c r="PYJ76" s="178"/>
      <c r="PYK76" s="26"/>
      <c r="PYL76" s="26"/>
      <c r="PYM76" s="26"/>
      <c r="PYN76" s="26"/>
      <c r="PYO76" s="26"/>
      <c r="PYP76" s="26"/>
      <c r="PYQ76" s="58"/>
      <c r="PYR76" s="26"/>
      <c r="PYS76" s="26"/>
      <c r="PYT76" s="26"/>
      <c r="PYU76" s="26"/>
      <c r="PYV76" s="22"/>
      <c r="PYW76" s="167"/>
      <c r="PYX76" s="30"/>
      <c r="PYY76" s="25"/>
      <c r="PYZ76" s="178"/>
      <c r="PZA76" s="26"/>
      <c r="PZB76" s="26"/>
      <c r="PZC76" s="26"/>
      <c r="PZD76" s="26"/>
      <c r="PZE76" s="26"/>
      <c r="PZF76" s="26"/>
      <c r="PZG76" s="58"/>
      <c r="PZH76" s="26"/>
      <c r="PZI76" s="26"/>
      <c r="PZJ76" s="26"/>
      <c r="PZK76" s="26"/>
      <c r="PZL76" s="22"/>
      <c r="PZM76" s="167"/>
      <c r="PZN76" s="30"/>
      <c r="PZO76" s="25"/>
      <c r="PZP76" s="178"/>
      <c r="PZQ76" s="26"/>
      <c r="PZR76" s="26"/>
      <c r="PZS76" s="26"/>
      <c r="PZT76" s="26"/>
      <c r="PZU76" s="26"/>
      <c r="PZV76" s="26"/>
      <c r="PZW76" s="58"/>
      <c r="PZX76" s="26"/>
      <c r="PZY76" s="26"/>
      <c r="PZZ76" s="26"/>
      <c r="QAA76" s="26"/>
      <c r="QAB76" s="22"/>
      <c r="QAC76" s="167"/>
      <c r="QAD76" s="30"/>
      <c r="QAE76" s="25"/>
      <c r="QAF76" s="178"/>
      <c r="QAG76" s="26"/>
      <c r="QAH76" s="26"/>
      <c r="QAI76" s="26"/>
      <c r="QAJ76" s="26"/>
      <c r="QAK76" s="26"/>
      <c r="QAL76" s="26"/>
      <c r="QAM76" s="58"/>
      <c r="QAN76" s="26"/>
      <c r="QAO76" s="26"/>
      <c r="QAP76" s="26"/>
      <c r="QAQ76" s="26"/>
      <c r="QAR76" s="22"/>
      <c r="QAS76" s="167"/>
      <c r="QAT76" s="30"/>
      <c r="QAU76" s="25"/>
      <c r="QAV76" s="178"/>
      <c r="QAW76" s="26"/>
      <c r="QAX76" s="26"/>
      <c r="QAY76" s="26"/>
      <c r="QAZ76" s="26"/>
      <c r="QBA76" s="26"/>
      <c r="QBB76" s="26"/>
      <c r="QBC76" s="58"/>
      <c r="QBD76" s="26"/>
      <c r="QBE76" s="26"/>
      <c r="QBF76" s="26"/>
      <c r="QBG76" s="26"/>
      <c r="QBH76" s="22"/>
      <c r="QBI76" s="167"/>
      <c r="QBJ76" s="30"/>
      <c r="QBK76" s="25"/>
      <c r="QBL76" s="178"/>
      <c r="QBM76" s="26"/>
      <c r="QBN76" s="26"/>
      <c r="QBO76" s="26"/>
      <c r="QBP76" s="26"/>
      <c r="QBQ76" s="26"/>
      <c r="QBR76" s="26"/>
      <c r="QBS76" s="58"/>
      <c r="QBT76" s="26"/>
      <c r="QBU76" s="26"/>
      <c r="QBV76" s="26"/>
      <c r="QBW76" s="26"/>
      <c r="QBX76" s="22"/>
      <c r="QBY76" s="167"/>
      <c r="QBZ76" s="30"/>
      <c r="QCA76" s="25"/>
      <c r="QCB76" s="178"/>
      <c r="QCC76" s="26"/>
      <c r="QCD76" s="26"/>
      <c r="QCE76" s="26"/>
      <c r="QCF76" s="26"/>
      <c r="QCG76" s="26"/>
      <c r="QCH76" s="26"/>
      <c r="QCI76" s="58"/>
      <c r="QCJ76" s="26"/>
      <c r="QCK76" s="26"/>
      <c r="QCL76" s="26"/>
      <c r="QCM76" s="26"/>
      <c r="QCN76" s="22"/>
      <c r="QCO76" s="167"/>
      <c r="QCP76" s="30"/>
      <c r="QCQ76" s="25"/>
      <c r="QCR76" s="178"/>
      <c r="QCS76" s="26"/>
      <c r="QCT76" s="26"/>
      <c r="QCU76" s="26"/>
      <c r="QCV76" s="26"/>
      <c r="QCW76" s="26"/>
      <c r="QCX76" s="26"/>
      <c r="QCY76" s="58"/>
      <c r="QCZ76" s="26"/>
      <c r="QDA76" s="26"/>
      <c r="QDB76" s="26"/>
      <c r="QDC76" s="26"/>
      <c r="QDD76" s="22"/>
      <c r="QDE76" s="167"/>
      <c r="QDF76" s="30"/>
      <c r="QDG76" s="25"/>
      <c r="QDH76" s="178"/>
      <c r="QDI76" s="26"/>
      <c r="QDJ76" s="26"/>
      <c r="QDK76" s="26"/>
      <c r="QDL76" s="26"/>
      <c r="QDM76" s="26"/>
      <c r="QDN76" s="26"/>
      <c r="QDO76" s="58"/>
      <c r="QDP76" s="26"/>
      <c r="QDQ76" s="26"/>
      <c r="QDR76" s="26"/>
      <c r="QDS76" s="26"/>
      <c r="QDT76" s="22"/>
      <c r="QDU76" s="167"/>
      <c r="QDV76" s="30"/>
      <c r="QDW76" s="25"/>
      <c r="QDX76" s="178"/>
      <c r="QDY76" s="26"/>
      <c r="QDZ76" s="26"/>
      <c r="QEA76" s="26"/>
      <c r="QEB76" s="26"/>
      <c r="QEC76" s="26"/>
      <c r="QED76" s="26"/>
      <c r="QEE76" s="58"/>
      <c r="QEF76" s="26"/>
      <c r="QEG76" s="26"/>
      <c r="QEH76" s="26"/>
      <c r="QEI76" s="26"/>
      <c r="QEJ76" s="22"/>
      <c r="QEK76" s="167"/>
      <c r="QEL76" s="30"/>
      <c r="QEM76" s="25"/>
      <c r="QEN76" s="178"/>
      <c r="QEO76" s="26"/>
      <c r="QEP76" s="26"/>
      <c r="QEQ76" s="26"/>
      <c r="QER76" s="26"/>
      <c r="QES76" s="26"/>
      <c r="QET76" s="26"/>
      <c r="QEU76" s="58"/>
      <c r="QEV76" s="26"/>
      <c r="QEW76" s="26"/>
      <c r="QEX76" s="26"/>
      <c r="QEY76" s="26"/>
      <c r="QEZ76" s="22"/>
      <c r="QFA76" s="167"/>
      <c r="QFB76" s="30"/>
      <c r="QFC76" s="25"/>
      <c r="QFD76" s="178"/>
      <c r="QFE76" s="26"/>
      <c r="QFF76" s="26"/>
      <c r="QFG76" s="26"/>
      <c r="QFH76" s="26"/>
      <c r="QFI76" s="26"/>
      <c r="QFJ76" s="26"/>
      <c r="QFK76" s="58"/>
      <c r="QFL76" s="26"/>
      <c r="QFM76" s="26"/>
      <c r="QFN76" s="26"/>
      <c r="QFO76" s="26"/>
      <c r="QFP76" s="22"/>
      <c r="QFQ76" s="167"/>
      <c r="QFR76" s="30"/>
      <c r="QFS76" s="25"/>
      <c r="QFT76" s="178"/>
      <c r="QFU76" s="26"/>
      <c r="QFV76" s="26"/>
      <c r="QFW76" s="26"/>
      <c r="QFX76" s="26"/>
      <c r="QFY76" s="26"/>
      <c r="QFZ76" s="26"/>
      <c r="QGA76" s="58"/>
      <c r="QGB76" s="26"/>
      <c r="QGC76" s="26"/>
      <c r="QGD76" s="26"/>
      <c r="QGE76" s="26"/>
      <c r="QGF76" s="22"/>
      <c r="QGG76" s="167"/>
      <c r="QGH76" s="30"/>
      <c r="QGI76" s="25"/>
      <c r="QGJ76" s="178"/>
      <c r="QGK76" s="26"/>
      <c r="QGL76" s="26"/>
      <c r="QGM76" s="26"/>
      <c r="QGN76" s="26"/>
      <c r="QGO76" s="26"/>
      <c r="QGP76" s="26"/>
      <c r="QGQ76" s="58"/>
      <c r="QGR76" s="26"/>
      <c r="QGS76" s="26"/>
      <c r="QGT76" s="26"/>
      <c r="QGU76" s="26"/>
      <c r="QGV76" s="22"/>
      <c r="QGW76" s="167"/>
      <c r="QGX76" s="30"/>
      <c r="QGY76" s="25"/>
      <c r="QGZ76" s="178"/>
      <c r="QHA76" s="26"/>
      <c r="QHB76" s="26"/>
      <c r="QHC76" s="26"/>
      <c r="QHD76" s="26"/>
      <c r="QHE76" s="26"/>
      <c r="QHF76" s="26"/>
      <c r="QHG76" s="58"/>
      <c r="QHH76" s="26"/>
      <c r="QHI76" s="26"/>
      <c r="QHJ76" s="26"/>
      <c r="QHK76" s="26"/>
      <c r="QHL76" s="22"/>
      <c r="QHM76" s="167"/>
      <c r="QHN76" s="30"/>
      <c r="QHO76" s="25"/>
      <c r="QHP76" s="178"/>
      <c r="QHQ76" s="26"/>
      <c r="QHR76" s="26"/>
      <c r="QHS76" s="26"/>
      <c r="QHT76" s="26"/>
      <c r="QHU76" s="26"/>
      <c r="QHV76" s="26"/>
      <c r="QHW76" s="58"/>
      <c r="QHX76" s="26"/>
      <c r="QHY76" s="26"/>
      <c r="QHZ76" s="26"/>
      <c r="QIA76" s="26"/>
      <c r="QIB76" s="22"/>
      <c r="QIC76" s="167"/>
      <c r="QID76" s="30"/>
      <c r="QIE76" s="25"/>
      <c r="QIF76" s="178"/>
      <c r="QIG76" s="26"/>
      <c r="QIH76" s="26"/>
      <c r="QII76" s="26"/>
      <c r="QIJ76" s="26"/>
      <c r="QIK76" s="26"/>
      <c r="QIL76" s="26"/>
      <c r="QIM76" s="58"/>
      <c r="QIN76" s="26"/>
      <c r="QIO76" s="26"/>
      <c r="QIP76" s="26"/>
      <c r="QIQ76" s="26"/>
      <c r="QIR76" s="22"/>
      <c r="QIS76" s="167"/>
      <c r="QIT76" s="30"/>
      <c r="QIU76" s="25"/>
      <c r="QIV76" s="178"/>
      <c r="QIW76" s="26"/>
      <c r="QIX76" s="26"/>
      <c r="QIY76" s="26"/>
      <c r="QIZ76" s="26"/>
      <c r="QJA76" s="26"/>
      <c r="QJB76" s="26"/>
      <c r="QJC76" s="58"/>
      <c r="QJD76" s="26"/>
      <c r="QJE76" s="26"/>
      <c r="QJF76" s="26"/>
      <c r="QJG76" s="26"/>
      <c r="QJH76" s="22"/>
      <c r="QJI76" s="167"/>
      <c r="QJJ76" s="30"/>
      <c r="QJK76" s="25"/>
      <c r="QJL76" s="178"/>
      <c r="QJM76" s="26"/>
      <c r="QJN76" s="26"/>
      <c r="QJO76" s="26"/>
      <c r="QJP76" s="26"/>
      <c r="QJQ76" s="26"/>
      <c r="QJR76" s="26"/>
      <c r="QJS76" s="58"/>
      <c r="QJT76" s="26"/>
      <c r="QJU76" s="26"/>
      <c r="QJV76" s="26"/>
      <c r="QJW76" s="26"/>
      <c r="QJX76" s="22"/>
      <c r="QJY76" s="167"/>
      <c r="QJZ76" s="30"/>
      <c r="QKA76" s="25"/>
      <c r="QKB76" s="178"/>
      <c r="QKC76" s="26"/>
      <c r="QKD76" s="26"/>
      <c r="QKE76" s="26"/>
      <c r="QKF76" s="26"/>
      <c r="QKG76" s="26"/>
      <c r="QKH76" s="26"/>
      <c r="QKI76" s="58"/>
      <c r="QKJ76" s="26"/>
      <c r="QKK76" s="26"/>
      <c r="QKL76" s="26"/>
      <c r="QKM76" s="26"/>
      <c r="QKN76" s="22"/>
      <c r="QKO76" s="167"/>
      <c r="QKP76" s="30"/>
      <c r="QKQ76" s="25"/>
      <c r="QKR76" s="178"/>
      <c r="QKS76" s="26"/>
      <c r="QKT76" s="26"/>
      <c r="QKU76" s="26"/>
      <c r="QKV76" s="26"/>
      <c r="QKW76" s="26"/>
      <c r="QKX76" s="26"/>
      <c r="QKY76" s="58"/>
      <c r="QKZ76" s="26"/>
      <c r="QLA76" s="26"/>
      <c r="QLB76" s="26"/>
      <c r="QLC76" s="26"/>
      <c r="QLD76" s="22"/>
      <c r="QLE76" s="167"/>
      <c r="QLF76" s="30"/>
      <c r="QLG76" s="25"/>
      <c r="QLH76" s="178"/>
      <c r="QLI76" s="26"/>
      <c r="QLJ76" s="26"/>
      <c r="QLK76" s="26"/>
      <c r="QLL76" s="26"/>
      <c r="QLM76" s="26"/>
      <c r="QLN76" s="26"/>
      <c r="QLO76" s="58"/>
      <c r="QLP76" s="26"/>
      <c r="QLQ76" s="26"/>
      <c r="QLR76" s="26"/>
      <c r="QLS76" s="26"/>
      <c r="QLT76" s="22"/>
      <c r="QLU76" s="167"/>
      <c r="QLV76" s="30"/>
      <c r="QLW76" s="25"/>
      <c r="QLX76" s="178"/>
      <c r="QLY76" s="26"/>
      <c r="QLZ76" s="26"/>
      <c r="QMA76" s="26"/>
      <c r="QMB76" s="26"/>
      <c r="QMC76" s="26"/>
      <c r="QMD76" s="26"/>
      <c r="QME76" s="58"/>
      <c r="QMF76" s="26"/>
      <c r="QMG76" s="26"/>
      <c r="QMH76" s="26"/>
      <c r="QMI76" s="26"/>
      <c r="QMJ76" s="22"/>
      <c r="QMK76" s="167"/>
      <c r="QML76" s="30"/>
      <c r="QMM76" s="25"/>
      <c r="QMN76" s="178"/>
      <c r="QMO76" s="26"/>
      <c r="QMP76" s="26"/>
      <c r="QMQ76" s="26"/>
      <c r="QMR76" s="26"/>
      <c r="QMS76" s="26"/>
      <c r="QMT76" s="26"/>
      <c r="QMU76" s="58"/>
      <c r="QMV76" s="26"/>
      <c r="QMW76" s="26"/>
      <c r="QMX76" s="26"/>
      <c r="QMY76" s="26"/>
      <c r="QMZ76" s="22"/>
      <c r="QNA76" s="167"/>
      <c r="QNB76" s="30"/>
      <c r="QNC76" s="25"/>
      <c r="QND76" s="178"/>
      <c r="QNE76" s="26"/>
      <c r="QNF76" s="26"/>
      <c r="QNG76" s="26"/>
      <c r="QNH76" s="26"/>
      <c r="QNI76" s="26"/>
      <c r="QNJ76" s="26"/>
      <c r="QNK76" s="58"/>
      <c r="QNL76" s="26"/>
      <c r="QNM76" s="26"/>
      <c r="QNN76" s="26"/>
      <c r="QNO76" s="26"/>
      <c r="QNP76" s="22"/>
      <c r="QNQ76" s="167"/>
      <c r="QNR76" s="30"/>
      <c r="QNS76" s="25"/>
      <c r="QNT76" s="178"/>
      <c r="QNU76" s="26"/>
      <c r="QNV76" s="26"/>
      <c r="QNW76" s="26"/>
      <c r="QNX76" s="26"/>
      <c r="QNY76" s="26"/>
      <c r="QNZ76" s="26"/>
      <c r="QOA76" s="58"/>
      <c r="QOB76" s="26"/>
      <c r="QOC76" s="26"/>
      <c r="QOD76" s="26"/>
      <c r="QOE76" s="26"/>
      <c r="QOF76" s="22"/>
      <c r="QOG76" s="167"/>
      <c r="QOH76" s="30"/>
      <c r="QOI76" s="25"/>
      <c r="QOJ76" s="178"/>
      <c r="QOK76" s="26"/>
      <c r="QOL76" s="26"/>
      <c r="QOM76" s="26"/>
      <c r="QON76" s="26"/>
      <c r="QOO76" s="26"/>
      <c r="QOP76" s="26"/>
      <c r="QOQ76" s="58"/>
      <c r="QOR76" s="26"/>
      <c r="QOS76" s="26"/>
      <c r="QOT76" s="26"/>
      <c r="QOU76" s="26"/>
      <c r="QOV76" s="22"/>
      <c r="QOW76" s="167"/>
      <c r="QOX76" s="30"/>
      <c r="QOY76" s="25"/>
      <c r="QOZ76" s="178"/>
      <c r="QPA76" s="26"/>
      <c r="QPB76" s="26"/>
      <c r="QPC76" s="26"/>
      <c r="QPD76" s="26"/>
      <c r="QPE76" s="26"/>
      <c r="QPF76" s="26"/>
      <c r="QPG76" s="58"/>
      <c r="QPH76" s="26"/>
      <c r="QPI76" s="26"/>
      <c r="QPJ76" s="26"/>
      <c r="QPK76" s="26"/>
      <c r="QPL76" s="22"/>
      <c r="QPM76" s="167"/>
      <c r="QPN76" s="30"/>
      <c r="QPO76" s="25"/>
      <c r="QPP76" s="178"/>
      <c r="QPQ76" s="26"/>
      <c r="QPR76" s="26"/>
      <c r="QPS76" s="26"/>
      <c r="QPT76" s="26"/>
      <c r="QPU76" s="26"/>
      <c r="QPV76" s="26"/>
      <c r="QPW76" s="58"/>
      <c r="QPX76" s="26"/>
      <c r="QPY76" s="26"/>
      <c r="QPZ76" s="26"/>
      <c r="QQA76" s="26"/>
      <c r="QQB76" s="22"/>
      <c r="QQC76" s="167"/>
      <c r="QQD76" s="30"/>
      <c r="QQE76" s="25"/>
      <c r="QQF76" s="178"/>
      <c r="QQG76" s="26"/>
      <c r="QQH76" s="26"/>
      <c r="QQI76" s="26"/>
      <c r="QQJ76" s="26"/>
      <c r="QQK76" s="26"/>
      <c r="QQL76" s="26"/>
      <c r="QQM76" s="58"/>
      <c r="QQN76" s="26"/>
      <c r="QQO76" s="26"/>
      <c r="QQP76" s="26"/>
      <c r="QQQ76" s="26"/>
      <c r="QQR76" s="22"/>
      <c r="QQS76" s="167"/>
      <c r="QQT76" s="30"/>
      <c r="QQU76" s="25"/>
      <c r="QQV76" s="178"/>
      <c r="QQW76" s="26"/>
      <c r="QQX76" s="26"/>
      <c r="QQY76" s="26"/>
      <c r="QQZ76" s="26"/>
      <c r="QRA76" s="26"/>
      <c r="QRB76" s="26"/>
      <c r="QRC76" s="58"/>
      <c r="QRD76" s="26"/>
      <c r="QRE76" s="26"/>
      <c r="QRF76" s="26"/>
      <c r="QRG76" s="26"/>
      <c r="QRH76" s="22"/>
      <c r="QRI76" s="167"/>
      <c r="QRJ76" s="30"/>
      <c r="QRK76" s="25"/>
      <c r="QRL76" s="178"/>
      <c r="QRM76" s="26"/>
      <c r="QRN76" s="26"/>
      <c r="QRO76" s="26"/>
      <c r="QRP76" s="26"/>
      <c r="QRQ76" s="26"/>
      <c r="QRR76" s="26"/>
      <c r="QRS76" s="58"/>
      <c r="QRT76" s="26"/>
      <c r="QRU76" s="26"/>
      <c r="QRV76" s="26"/>
      <c r="QRW76" s="26"/>
      <c r="QRX76" s="22"/>
      <c r="QRY76" s="167"/>
      <c r="QRZ76" s="30"/>
      <c r="QSA76" s="25"/>
      <c r="QSB76" s="178"/>
      <c r="QSC76" s="26"/>
      <c r="QSD76" s="26"/>
      <c r="QSE76" s="26"/>
      <c r="QSF76" s="26"/>
      <c r="QSG76" s="26"/>
      <c r="QSH76" s="26"/>
      <c r="QSI76" s="58"/>
      <c r="QSJ76" s="26"/>
      <c r="QSK76" s="26"/>
      <c r="QSL76" s="26"/>
      <c r="QSM76" s="26"/>
      <c r="QSN76" s="22"/>
      <c r="QSO76" s="167"/>
      <c r="QSP76" s="30"/>
      <c r="QSQ76" s="25"/>
      <c r="QSR76" s="178"/>
      <c r="QSS76" s="26"/>
      <c r="QST76" s="26"/>
      <c r="QSU76" s="26"/>
      <c r="QSV76" s="26"/>
      <c r="QSW76" s="26"/>
      <c r="QSX76" s="26"/>
      <c r="QSY76" s="58"/>
      <c r="QSZ76" s="26"/>
      <c r="QTA76" s="26"/>
      <c r="QTB76" s="26"/>
      <c r="QTC76" s="26"/>
      <c r="QTD76" s="22"/>
      <c r="QTE76" s="167"/>
      <c r="QTF76" s="30"/>
      <c r="QTG76" s="25"/>
      <c r="QTH76" s="178"/>
      <c r="QTI76" s="26"/>
      <c r="QTJ76" s="26"/>
      <c r="QTK76" s="26"/>
      <c r="QTL76" s="26"/>
      <c r="QTM76" s="26"/>
      <c r="QTN76" s="26"/>
      <c r="QTO76" s="58"/>
      <c r="QTP76" s="26"/>
      <c r="QTQ76" s="26"/>
      <c r="QTR76" s="26"/>
      <c r="QTS76" s="26"/>
      <c r="QTT76" s="22"/>
      <c r="QTU76" s="167"/>
      <c r="QTV76" s="30"/>
      <c r="QTW76" s="25"/>
      <c r="QTX76" s="178"/>
      <c r="QTY76" s="26"/>
      <c r="QTZ76" s="26"/>
      <c r="QUA76" s="26"/>
      <c r="QUB76" s="26"/>
      <c r="QUC76" s="26"/>
      <c r="QUD76" s="26"/>
      <c r="QUE76" s="58"/>
      <c r="QUF76" s="26"/>
      <c r="QUG76" s="26"/>
      <c r="QUH76" s="26"/>
      <c r="QUI76" s="26"/>
      <c r="QUJ76" s="22"/>
      <c r="QUK76" s="167"/>
      <c r="QUL76" s="30"/>
      <c r="QUM76" s="25"/>
      <c r="QUN76" s="178"/>
      <c r="QUO76" s="26"/>
      <c r="QUP76" s="26"/>
      <c r="QUQ76" s="26"/>
      <c r="QUR76" s="26"/>
      <c r="QUS76" s="26"/>
      <c r="QUT76" s="26"/>
      <c r="QUU76" s="58"/>
      <c r="QUV76" s="26"/>
      <c r="QUW76" s="26"/>
      <c r="QUX76" s="26"/>
      <c r="QUY76" s="26"/>
      <c r="QUZ76" s="22"/>
      <c r="QVA76" s="167"/>
      <c r="QVB76" s="30"/>
      <c r="QVC76" s="25"/>
      <c r="QVD76" s="178"/>
      <c r="QVE76" s="26"/>
      <c r="QVF76" s="26"/>
      <c r="QVG76" s="26"/>
      <c r="QVH76" s="26"/>
      <c r="QVI76" s="26"/>
      <c r="QVJ76" s="26"/>
      <c r="QVK76" s="58"/>
      <c r="QVL76" s="26"/>
      <c r="QVM76" s="26"/>
      <c r="QVN76" s="26"/>
      <c r="QVO76" s="26"/>
      <c r="QVP76" s="22"/>
      <c r="QVQ76" s="167"/>
      <c r="QVR76" s="30"/>
      <c r="QVS76" s="25"/>
      <c r="QVT76" s="178"/>
      <c r="QVU76" s="26"/>
      <c r="QVV76" s="26"/>
      <c r="QVW76" s="26"/>
      <c r="QVX76" s="26"/>
      <c r="QVY76" s="26"/>
      <c r="QVZ76" s="26"/>
      <c r="QWA76" s="58"/>
      <c r="QWB76" s="26"/>
      <c r="QWC76" s="26"/>
      <c r="QWD76" s="26"/>
      <c r="QWE76" s="26"/>
      <c r="QWF76" s="22"/>
      <c r="QWG76" s="167"/>
      <c r="QWH76" s="30"/>
      <c r="QWI76" s="25"/>
      <c r="QWJ76" s="178"/>
      <c r="QWK76" s="26"/>
      <c r="QWL76" s="26"/>
      <c r="QWM76" s="26"/>
      <c r="QWN76" s="26"/>
      <c r="QWO76" s="26"/>
      <c r="QWP76" s="26"/>
      <c r="QWQ76" s="58"/>
      <c r="QWR76" s="26"/>
      <c r="QWS76" s="26"/>
      <c r="QWT76" s="26"/>
      <c r="QWU76" s="26"/>
      <c r="QWV76" s="22"/>
      <c r="QWW76" s="167"/>
      <c r="QWX76" s="30"/>
      <c r="QWY76" s="25"/>
      <c r="QWZ76" s="178"/>
      <c r="QXA76" s="26"/>
      <c r="QXB76" s="26"/>
      <c r="QXC76" s="26"/>
      <c r="QXD76" s="26"/>
      <c r="QXE76" s="26"/>
      <c r="QXF76" s="26"/>
      <c r="QXG76" s="58"/>
      <c r="QXH76" s="26"/>
      <c r="QXI76" s="26"/>
      <c r="QXJ76" s="26"/>
      <c r="QXK76" s="26"/>
      <c r="QXL76" s="22"/>
      <c r="QXM76" s="167"/>
      <c r="QXN76" s="30"/>
      <c r="QXO76" s="25"/>
      <c r="QXP76" s="178"/>
      <c r="QXQ76" s="26"/>
      <c r="QXR76" s="26"/>
      <c r="QXS76" s="26"/>
      <c r="QXT76" s="26"/>
      <c r="QXU76" s="26"/>
      <c r="QXV76" s="26"/>
      <c r="QXW76" s="58"/>
      <c r="QXX76" s="26"/>
      <c r="QXY76" s="26"/>
      <c r="QXZ76" s="26"/>
      <c r="QYA76" s="26"/>
      <c r="QYB76" s="22"/>
      <c r="QYC76" s="167"/>
      <c r="QYD76" s="30"/>
      <c r="QYE76" s="25"/>
      <c r="QYF76" s="178"/>
      <c r="QYG76" s="26"/>
      <c r="QYH76" s="26"/>
      <c r="QYI76" s="26"/>
      <c r="QYJ76" s="26"/>
      <c r="QYK76" s="26"/>
      <c r="QYL76" s="26"/>
      <c r="QYM76" s="58"/>
      <c r="QYN76" s="26"/>
      <c r="QYO76" s="26"/>
      <c r="QYP76" s="26"/>
      <c r="QYQ76" s="26"/>
      <c r="QYR76" s="22"/>
      <c r="QYS76" s="167"/>
      <c r="QYT76" s="30"/>
      <c r="QYU76" s="25"/>
      <c r="QYV76" s="178"/>
      <c r="QYW76" s="26"/>
      <c r="QYX76" s="26"/>
      <c r="QYY76" s="26"/>
      <c r="QYZ76" s="26"/>
      <c r="QZA76" s="26"/>
      <c r="QZB76" s="26"/>
      <c r="QZC76" s="58"/>
      <c r="QZD76" s="26"/>
      <c r="QZE76" s="26"/>
      <c r="QZF76" s="26"/>
      <c r="QZG76" s="26"/>
      <c r="QZH76" s="22"/>
      <c r="QZI76" s="167"/>
      <c r="QZJ76" s="30"/>
      <c r="QZK76" s="25"/>
      <c r="QZL76" s="178"/>
      <c r="QZM76" s="26"/>
      <c r="QZN76" s="26"/>
      <c r="QZO76" s="26"/>
      <c r="QZP76" s="26"/>
      <c r="QZQ76" s="26"/>
      <c r="QZR76" s="26"/>
      <c r="QZS76" s="58"/>
      <c r="QZT76" s="26"/>
      <c r="QZU76" s="26"/>
      <c r="QZV76" s="26"/>
      <c r="QZW76" s="26"/>
      <c r="QZX76" s="22"/>
      <c r="QZY76" s="167"/>
      <c r="QZZ76" s="30"/>
      <c r="RAA76" s="25"/>
      <c r="RAB76" s="178"/>
      <c r="RAC76" s="26"/>
      <c r="RAD76" s="26"/>
      <c r="RAE76" s="26"/>
      <c r="RAF76" s="26"/>
      <c r="RAG76" s="26"/>
      <c r="RAH76" s="26"/>
      <c r="RAI76" s="58"/>
      <c r="RAJ76" s="26"/>
      <c r="RAK76" s="26"/>
      <c r="RAL76" s="26"/>
      <c r="RAM76" s="26"/>
      <c r="RAN76" s="22"/>
      <c r="RAO76" s="167"/>
      <c r="RAP76" s="30"/>
      <c r="RAQ76" s="25"/>
      <c r="RAR76" s="178"/>
      <c r="RAS76" s="26"/>
      <c r="RAT76" s="26"/>
      <c r="RAU76" s="26"/>
      <c r="RAV76" s="26"/>
      <c r="RAW76" s="26"/>
      <c r="RAX76" s="26"/>
      <c r="RAY76" s="58"/>
      <c r="RAZ76" s="26"/>
      <c r="RBA76" s="26"/>
      <c r="RBB76" s="26"/>
      <c r="RBC76" s="26"/>
      <c r="RBD76" s="22"/>
      <c r="RBE76" s="167"/>
      <c r="RBF76" s="30"/>
      <c r="RBG76" s="25"/>
      <c r="RBH76" s="178"/>
      <c r="RBI76" s="26"/>
      <c r="RBJ76" s="26"/>
      <c r="RBK76" s="26"/>
      <c r="RBL76" s="26"/>
      <c r="RBM76" s="26"/>
      <c r="RBN76" s="26"/>
      <c r="RBO76" s="58"/>
      <c r="RBP76" s="26"/>
      <c r="RBQ76" s="26"/>
      <c r="RBR76" s="26"/>
      <c r="RBS76" s="26"/>
      <c r="RBT76" s="22"/>
      <c r="RBU76" s="167"/>
      <c r="RBV76" s="30"/>
      <c r="RBW76" s="25"/>
      <c r="RBX76" s="178"/>
      <c r="RBY76" s="26"/>
      <c r="RBZ76" s="26"/>
      <c r="RCA76" s="26"/>
      <c r="RCB76" s="26"/>
      <c r="RCC76" s="26"/>
      <c r="RCD76" s="26"/>
      <c r="RCE76" s="58"/>
      <c r="RCF76" s="26"/>
      <c r="RCG76" s="26"/>
      <c r="RCH76" s="26"/>
      <c r="RCI76" s="26"/>
      <c r="RCJ76" s="22"/>
      <c r="RCK76" s="167"/>
      <c r="RCL76" s="30"/>
      <c r="RCM76" s="25"/>
      <c r="RCN76" s="178"/>
      <c r="RCO76" s="26"/>
      <c r="RCP76" s="26"/>
      <c r="RCQ76" s="26"/>
      <c r="RCR76" s="26"/>
      <c r="RCS76" s="26"/>
      <c r="RCT76" s="26"/>
      <c r="RCU76" s="58"/>
      <c r="RCV76" s="26"/>
      <c r="RCW76" s="26"/>
      <c r="RCX76" s="26"/>
      <c r="RCY76" s="26"/>
      <c r="RCZ76" s="22"/>
      <c r="RDA76" s="167"/>
      <c r="RDB76" s="30"/>
      <c r="RDC76" s="25"/>
      <c r="RDD76" s="178"/>
      <c r="RDE76" s="26"/>
      <c r="RDF76" s="26"/>
      <c r="RDG76" s="26"/>
      <c r="RDH76" s="26"/>
      <c r="RDI76" s="26"/>
      <c r="RDJ76" s="26"/>
      <c r="RDK76" s="58"/>
      <c r="RDL76" s="26"/>
      <c r="RDM76" s="26"/>
      <c r="RDN76" s="26"/>
      <c r="RDO76" s="26"/>
      <c r="RDP76" s="22"/>
      <c r="RDQ76" s="167"/>
      <c r="RDR76" s="30"/>
      <c r="RDS76" s="25"/>
      <c r="RDT76" s="178"/>
      <c r="RDU76" s="26"/>
      <c r="RDV76" s="26"/>
      <c r="RDW76" s="26"/>
      <c r="RDX76" s="26"/>
      <c r="RDY76" s="26"/>
      <c r="RDZ76" s="26"/>
      <c r="REA76" s="58"/>
      <c r="REB76" s="26"/>
      <c r="REC76" s="26"/>
      <c r="RED76" s="26"/>
      <c r="REE76" s="26"/>
      <c r="REF76" s="22"/>
      <c r="REG76" s="167"/>
      <c r="REH76" s="30"/>
      <c r="REI76" s="25"/>
      <c r="REJ76" s="178"/>
      <c r="REK76" s="26"/>
      <c r="REL76" s="26"/>
      <c r="REM76" s="26"/>
      <c r="REN76" s="26"/>
      <c r="REO76" s="26"/>
      <c r="REP76" s="26"/>
      <c r="REQ76" s="58"/>
      <c r="RER76" s="26"/>
      <c r="RES76" s="26"/>
      <c r="RET76" s="26"/>
      <c r="REU76" s="26"/>
      <c r="REV76" s="22"/>
      <c r="REW76" s="167"/>
      <c r="REX76" s="30"/>
      <c r="REY76" s="25"/>
      <c r="REZ76" s="178"/>
      <c r="RFA76" s="26"/>
      <c r="RFB76" s="26"/>
      <c r="RFC76" s="26"/>
      <c r="RFD76" s="26"/>
      <c r="RFE76" s="26"/>
      <c r="RFF76" s="26"/>
      <c r="RFG76" s="58"/>
      <c r="RFH76" s="26"/>
      <c r="RFI76" s="26"/>
      <c r="RFJ76" s="26"/>
      <c r="RFK76" s="26"/>
      <c r="RFL76" s="22"/>
      <c r="RFM76" s="167"/>
      <c r="RFN76" s="30"/>
      <c r="RFO76" s="25"/>
      <c r="RFP76" s="178"/>
      <c r="RFQ76" s="26"/>
      <c r="RFR76" s="26"/>
      <c r="RFS76" s="26"/>
      <c r="RFT76" s="26"/>
      <c r="RFU76" s="26"/>
      <c r="RFV76" s="26"/>
      <c r="RFW76" s="58"/>
      <c r="RFX76" s="26"/>
      <c r="RFY76" s="26"/>
      <c r="RFZ76" s="26"/>
      <c r="RGA76" s="26"/>
      <c r="RGB76" s="22"/>
      <c r="RGC76" s="167"/>
      <c r="RGD76" s="30"/>
      <c r="RGE76" s="25"/>
      <c r="RGF76" s="178"/>
      <c r="RGG76" s="26"/>
      <c r="RGH76" s="26"/>
      <c r="RGI76" s="26"/>
      <c r="RGJ76" s="26"/>
      <c r="RGK76" s="26"/>
      <c r="RGL76" s="26"/>
      <c r="RGM76" s="58"/>
      <c r="RGN76" s="26"/>
      <c r="RGO76" s="26"/>
      <c r="RGP76" s="26"/>
      <c r="RGQ76" s="26"/>
      <c r="RGR76" s="22"/>
      <c r="RGS76" s="167"/>
      <c r="RGT76" s="30"/>
      <c r="RGU76" s="25"/>
      <c r="RGV76" s="178"/>
      <c r="RGW76" s="26"/>
      <c r="RGX76" s="26"/>
      <c r="RGY76" s="26"/>
      <c r="RGZ76" s="26"/>
      <c r="RHA76" s="26"/>
      <c r="RHB76" s="26"/>
      <c r="RHC76" s="58"/>
      <c r="RHD76" s="26"/>
      <c r="RHE76" s="26"/>
      <c r="RHF76" s="26"/>
      <c r="RHG76" s="26"/>
      <c r="RHH76" s="22"/>
      <c r="RHI76" s="167"/>
      <c r="RHJ76" s="30"/>
      <c r="RHK76" s="25"/>
      <c r="RHL76" s="178"/>
      <c r="RHM76" s="26"/>
      <c r="RHN76" s="26"/>
      <c r="RHO76" s="26"/>
      <c r="RHP76" s="26"/>
      <c r="RHQ76" s="26"/>
      <c r="RHR76" s="26"/>
      <c r="RHS76" s="58"/>
      <c r="RHT76" s="26"/>
      <c r="RHU76" s="26"/>
      <c r="RHV76" s="26"/>
      <c r="RHW76" s="26"/>
      <c r="RHX76" s="22"/>
      <c r="RHY76" s="167"/>
      <c r="RHZ76" s="30"/>
      <c r="RIA76" s="25"/>
      <c r="RIB76" s="178"/>
      <c r="RIC76" s="26"/>
      <c r="RID76" s="26"/>
      <c r="RIE76" s="26"/>
      <c r="RIF76" s="26"/>
      <c r="RIG76" s="26"/>
      <c r="RIH76" s="26"/>
      <c r="RII76" s="58"/>
      <c r="RIJ76" s="26"/>
      <c r="RIK76" s="26"/>
      <c r="RIL76" s="26"/>
      <c r="RIM76" s="26"/>
      <c r="RIN76" s="22"/>
      <c r="RIO76" s="167"/>
      <c r="RIP76" s="30"/>
      <c r="RIQ76" s="25"/>
      <c r="RIR76" s="178"/>
      <c r="RIS76" s="26"/>
      <c r="RIT76" s="26"/>
      <c r="RIU76" s="26"/>
      <c r="RIV76" s="26"/>
      <c r="RIW76" s="26"/>
      <c r="RIX76" s="26"/>
      <c r="RIY76" s="58"/>
      <c r="RIZ76" s="26"/>
      <c r="RJA76" s="26"/>
      <c r="RJB76" s="26"/>
      <c r="RJC76" s="26"/>
      <c r="RJD76" s="22"/>
      <c r="RJE76" s="167"/>
      <c r="RJF76" s="30"/>
      <c r="RJG76" s="25"/>
      <c r="RJH76" s="178"/>
      <c r="RJI76" s="26"/>
      <c r="RJJ76" s="26"/>
      <c r="RJK76" s="26"/>
      <c r="RJL76" s="26"/>
      <c r="RJM76" s="26"/>
      <c r="RJN76" s="26"/>
      <c r="RJO76" s="58"/>
      <c r="RJP76" s="26"/>
      <c r="RJQ76" s="26"/>
      <c r="RJR76" s="26"/>
      <c r="RJS76" s="26"/>
      <c r="RJT76" s="22"/>
      <c r="RJU76" s="167"/>
      <c r="RJV76" s="30"/>
      <c r="RJW76" s="25"/>
      <c r="RJX76" s="178"/>
      <c r="RJY76" s="26"/>
      <c r="RJZ76" s="26"/>
      <c r="RKA76" s="26"/>
      <c r="RKB76" s="26"/>
      <c r="RKC76" s="26"/>
      <c r="RKD76" s="26"/>
      <c r="RKE76" s="58"/>
      <c r="RKF76" s="26"/>
      <c r="RKG76" s="26"/>
      <c r="RKH76" s="26"/>
      <c r="RKI76" s="26"/>
      <c r="RKJ76" s="22"/>
      <c r="RKK76" s="167"/>
      <c r="RKL76" s="30"/>
      <c r="RKM76" s="25"/>
      <c r="RKN76" s="178"/>
      <c r="RKO76" s="26"/>
      <c r="RKP76" s="26"/>
      <c r="RKQ76" s="26"/>
      <c r="RKR76" s="26"/>
      <c r="RKS76" s="26"/>
      <c r="RKT76" s="26"/>
      <c r="RKU76" s="58"/>
      <c r="RKV76" s="26"/>
      <c r="RKW76" s="26"/>
      <c r="RKX76" s="26"/>
      <c r="RKY76" s="26"/>
      <c r="RKZ76" s="22"/>
      <c r="RLA76" s="167"/>
      <c r="RLB76" s="30"/>
      <c r="RLC76" s="25"/>
      <c r="RLD76" s="178"/>
      <c r="RLE76" s="26"/>
      <c r="RLF76" s="26"/>
      <c r="RLG76" s="26"/>
      <c r="RLH76" s="26"/>
      <c r="RLI76" s="26"/>
      <c r="RLJ76" s="26"/>
      <c r="RLK76" s="58"/>
      <c r="RLL76" s="26"/>
      <c r="RLM76" s="26"/>
      <c r="RLN76" s="26"/>
      <c r="RLO76" s="26"/>
      <c r="RLP76" s="22"/>
      <c r="RLQ76" s="167"/>
      <c r="RLR76" s="30"/>
      <c r="RLS76" s="25"/>
      <c r="RLT76" s="178"/>
      <c r="RLU76" s="26"/>
      <c r="RLV76" s="26"/>
      <c r="RLW76" s="26"/>
      <c r="RLX76" s="26"/>
      <c r="RLY76" s="26"/>
      <c r="RLZ76" s="26"/>
      <c r="RMA76" s="58"/>
      <c r="RMB76" s="26"/>
      <c r="RMC76" s="26"/>
      <c r="RMD76" s="26"/>
      <c r="RME76" s="26"/>
      <c r="RMF76" s="22"/>
      <c r="RMG76" s="167"/>
      <c r="RMH76" s="30"/>
      <c r="RMI76" s="25"/>
      <c r="RMJ76" s="178"/>
      <c r="RMK76" s="26"/>
      <c r="RML76" s="26"/>
      <c r="RMM76" s="26"/>
      <c r="RMN76" s="26"/>
      <c r="RMO76" s="26"/>
      <c r="RMP76" s="26"/>
      <c r="RMQ76" s="58"/>
      <c r="RMR76" s="26"/>
      <c r="RMS76" s="26"/>
      <c r="RMT76" s="26"/>
      <c r="RMU76" s="26"/>
      <c r="RMV76" s="22"/>
      <c r="RMW76" s="167"/>
      <c r="RMX76" s="30"/>
      <c r="RMY76" s="25"/>
      <c r="RMZ76" s="178"/>
      <c r="RNA76" s="26"/>
      <c r="RNB76" s="26"/>
      <c r="RNC76" s="26"/>
      <c r="RND76" s="26"/>
      <c r="RNE76" s="26"/>
      <c r="RNF76" s="26"/>
      <c r="RNG76" s="58"/>
      <c r="RNH76" s="26"/>
      <c r="RNI76" s="26"/>
      <c r="RNJ76" s="26"/>
      <c r="RNK76" s="26"/>
      <c r="RNL76" s="22"/>
      <c r="RNM76" s="167"/>
      <c r="RNN76" s="30"/>
      <c r="RNO76" s="25"/>
      <c r="RNP76" s="178"/>
      <c r="RNQ76" s="26"/>
      <c r="RNR76" s="26"/>
      <c r="RNS76" s="26"/>
      <c r="RNT76" s="26"/>
      <c r="RNU76" s="26"/>
      <c r="RNV76" s="26"/>
      <c r="RNW76" s="58"/>
      <c r="RNX76" s="26"/>
      <c r="RNY76" s="26"/>
      <c r="RNZ76" s="26"/>
      <c r="ROA76" s="26"/>
      <c r="ROB76" s="22"/>
      <c r="ROC76" s="167"/>
      <c r="ROD76" s="30"/>
      <c r="ROE76" s="25"/>
      <c r="ROF76" s="178"/>
      <c r="ROG76" s="26"/>
      <c r="ROH76" s="26"/>
      <c r="ROI76" s="26"/>
      <c r="ROJ76" s="26"/>
      <c r="ROK76" s="26"/>
      <c r="ROL76" s="26"/>
      <c r="ROM76" s="58"/>
      <c r="RON76" s="26"/>
      <c r="ROO76" s="26"/>
      <c r="ROP76" s="26"/>
      <c r="ROQ76" s="26"/>
      <c r="ROR76" s="22"/>
      <c r="ROS76" s="167"/>
      <c r="ROT76" s="30"/>
      <c r="ROU76" s="25"/>
      <c r="ROV76" s="178"/>
      <c r="ROW76" s="26"/>
      <c r="ROX76" s="26"/>
      <c r="ROY76" s="26"/>
      <c r="ROZ76" s="26"/>
      <c r="RPA76" s="26"/>
      <c r="RPB76" s="26"/>
      <c r="RPC76" s="58"/>
      <c r="RPD76" s="26"/>
      <c r="RPE76" s="26"/>
      <c r="RPF76" s="26"/>
      <c r="RPG76" s="26"/>
      <c r="RPH76" s="22"/>
      <c r="RPI76" s="167"/>
      <c r="RPJ76" s="30"/>
      <c r="RPK76" s="25"/>
      <c r="RPL76" s="178"/>
      <c r="RPM76" s="26"/>
      <c r="RPN76" s="26"/>
      <c r="RPO76" s="26"/>
      <c r="RPP76" s="26"/>
      <c r="RPQ76" s="26"/>
      <c r="RPR76" s="26"/>
      <c r="RPS76" s="58"/>
      <c r="RPT76" s="26"/>
      <c r="RPU76" s="26"/>
      <c r="RPV76" s="26"/>
      <c r="RPW76" s="26"/>
      <c r="RPX76" s="22"/>
      <c r="RPY76" s="167"/>
      <c r="RPZ76" s="30"/>
      <c r="RQA76" s="25"/>
      <c r="RQB76" s="178"/>
      <c r="RQC76" s="26"/>
      <c r="RQD76" s="26"/>
      <c r="RQE76" s="26"/>
      <c r="RQF76" s="26"/>
      <c r="RQG76" s="26"/>
      <c r="RQH76" s="26"/>
      <c r="RQI76" s="58"/>
      <c r="RQJ76" s="26"/>
      <c r="RQK76" s="26"/>
      <c r="RQL76" s="26"/>
      <c r="RQM76" s="26"/>
      <c r="RQN76" s="22"/>
      <c r="RQO76" s="167"/>
      <c r="RQP76" s="30"/>
      <c r="RQQ76" s="25"/>
      <c r="RQR76" s="178"/>
      <c r="RQS76" s="26"/>
      <c r="RQT76" s="26"/>
      <c r="RQU76" s="26"/>
      <c r="RQV76" s="26"/>
      <c r="RQW76" s="26"/>
      <c r="RQX76" s="26"/>
      <c r="RQY76" s="58"/>
      <c r="RQZ76" s="26"/>
      <c r="RRA76" s="26"/>
      <c r="RRB76" s="26"/>
      <c r="RRC76" s="26"/>
      <c r="RRD76" s="22"/>
      <c r="RRE76" s="167"/>
      <c r="RRF76" s="30"/>
      <c r="RRG76" s="25"/>
      <c r="RRH76" s="178"/>
      <c r="RRI76" s="26"/>
      <c r="RRJ76" s="26"/>
      <c r="RRK76" s="26"/>
      <c r="RRL76" s="26"/>
      <c r="RRM76" s="26"/>
      <c r="RRN76" s="26"/>
      <c r="RRO76" s="58"/>
      <c r="RRP76" s="26"/>
      <c r="RRQ76" s="26"/>
      <c r="RRR76" s="26"/>
      <c r="RRS76" s="26"/>
      <c r="RRT76" s="22"/>
      <c r="RRU76" s="167"/>
      <c r="RRV76" s="30"/>
      <c r="RRW76" s="25"/>
      <c r="RRX76" s="178"/>
      <c r="RRY76" s="26"/>
      <c r="RRZ76" s="26"/>
      <c r="RSA76" s="26"/>
      <c r="RSB76" s="26"/>
      <c r="RSC76" s="26"/>
      <c r="RSD76" s="26"/>
      <c r="RSE76" s="58"/>
      <c r="RSF76" s="26"/>
      <c r="RSG76" s="26"/>
      <c r="RSH76" s="26"/>
      <c r="RSI76" s="26"/>
      <c r="RSJ76" s="22"/>
      <c r="RSK76" s="167"/>
      <c r="RSL76" s="30"/>
      <c r="RSM76" s="25"/>
      <c r="RSN76" s="178"/>
      <c r="RSO76" s="26"/>
      <c r="RSP76" s="26"/>
      <c r="RSQ76" s="26"/>
      <c r="RSR76" s="26"/>
      <c r="RSS76" s="26"/>
      <c r="RST76" s="26"/>
      <c r="RSU76" s="58"/>
      <c r="RSV76" s="26"/>
      <c r="RSW76" s="26"/>
      <c r="RSX76" s="26"/>
      <c r="RSY76" s="26"/>
      <c r="RSZ76" s="22"/>
      <c r="RTA76" s="167"/>
      <c r="RTB76" s="30"/>
      <c r="RTC76" s="25"/>
      <c r="RTD76" s="178"/>
      <c r="RTE76" s="26"/>
      <c r="RTF76" s="26"/>
      <c r="RTG76" s="26"/>
      <c r="RTH76" s="26"/>
      <c r="RTI76" s="26"/>
      <c r="RTJ76" s="26"/>
      <c r="RTK76" s="58"/>
      <c r="RTL76" s="26"/>
      <c r="RTM76" s="26"/>
      <c r="RTN76" s="26"/>
      <c r="RTO76" s="26"/>
      <c r="RTP76" s="22"/>
      <c r="RTQ76" s="167"/>
      <c r="RTR76" s="30"/>
      <c r="RTS76" s="25"/>
      <c r="RTT76" s="178"/>
      <c r="RTU76" s="26"/>
      <c r="RTV76" s="26"/>
      <c r="RTW76" s="26"/>
      <c r="RTX76" s="26"/>
      <c r="RTY76" s="26"/>
      <c r="RTZ76" s="26"/>
      <c r="RUA76" s="58"/>
      <c r="RUB76" s="26"/>
      <c r="RUC76" s="26"/>
      <c r="RUD76" s="26"/>
      <c r="RUE76" s="26"/>
      <c r="RUF76" s="22"/>
      <c r="RUG76" s="167"/>
      <c r="RUH76" s="30"/>
      <c r="RUI76" s="25"/>
      <c r="RUJ76" s="178"/>
      <c r="RUK76" s="26"/>
      <c r="RUL76" s="26"/>
      <c r="RUM76" s="26"/>
      <c r="RUN76" s="26"/>
      <c r="RUO76" s="26"/>
      <c r="RUP76" s="26"/>
      <c r="RUQ76" s="58"/>
      <c r="RUR76" s="26"/>
      <c r="RUS76" s="26"/>
      <c r="RUT76" s="26"/>
      <c r="RUU76" s="26"/>
      <c r="RUV76" s="22"/>
      <c r="RUW76" s="167"/>
      <c r="RUX76" s="30"/>
      <c r="RUY76" s="25"/>
      <c r="RUZ76" s="178"/>
      <c r="RVA76" s="26"/>
      <c r="RVB76" s="26"/>
      <c r="RVC76" s="26"/>
      <c r="RVD76" s="26"/>
      <c r="RVE76" s="26"/>
      <c r="RVF76" s="26"/>
      <c r="RVG76" s="58"/>
      <c r="RVH76" s="26"/>
      <c r="RVI76" s="26"/>
      <c r="RVJ76" s="26"/>
      <c r="RVK76" s="26"/>
      <c r="RVL76" s="22"/>
      <c r="RVM76" s="167"/>
      <c r="RVN76" s="30"/>
      <c r="RVO76" s="25"/>
      <c r="RVP76" s="178"/>
      <c r="RVQ76" s="26"/>
      <c r="RVR76" s="26"/>
      <c r="RVS76" s="26"/>
      <c r="RVT76" s="26"/>
      <c r="RVU76" s="26"/>
      <c r="RVV76" s="26"/>
      <c r="RVW76" s="58"/>
      <c r="RVX76" s="26"/>
      <c r="RVY76" s="26"/>
      <c r="RVZ76" s="26"/>
      <c r="RWA76" s="26"/>
      <c r="RWB76" s="22"/>
      <c r="RWC76" s="167"/>
      <c r="RWD76" s="30"/>
      <c r="RWE76" s="25"/>
      <c r="RWF76" s="178"/>
      <c r="RWG76" s="26"/>
      <c r="RWH76" s="26"/>
      <c r="RWI76" s="26"/>
      <c r="RWJ76" s="26"/>
      <c r="RWK76" s="26"/>
      <c r="RWL76" s="26"/>
      <c r="RWM76" s="58"/>
      <c r="RWN76" s="26"/>
      <c r="RWO76" s="26"/>
      <c r="RWP76" s="26"/>
      <c r="RWQ76" s="26"/>
      <c r="RWR76" s="22"/>
      <c r="RWS76" s="167"/>
      <c r="RWT76" s="30"/>
      <c r="RWU76" s="25"/>
      <c r="RWV76" s="178"/>
      <c r="RWW76" s="26"/>
      <c r="RWX76" s="26"/>
      <c r="RWY76" s="26"/>
      <c r="RWZ76" s="26"/>
      <c r="RXA76" s="26"/>
      <c r="RXB76" s="26"/>
      <c r="RXC76" s="58"/>
      <c r="RXD76" s="26"/>
      <c r="RXE76" s="26"/>
      <c r="RXF76" s="26"/>
      <c r="RXG76" s="26"/>
      <c r="RXH76" s="22"/>
      <c r="RXI76" s="167"/>
      <c r="RXJ76" s="30"/>
      <c r="RXK76" s="25"/>
      <c r="RXL76" s="178"/>
      <c r="RXM76" s="26"/>
      <c r="RXN76" s="26"/>
      <c r="RXO76" s="26"/>
      <c r="RXP76" s="26"/>
      <c r="RXQ76" s="26"/>
      <c r="RXR76" s="26"/>
      <c r="RXS76" s="58"/>
      <c r="RXT76" s="26"/>
      <c r="RXU76" s="26"/>
      <c r="RXV76" s="26"/>
      <c r="RXW76" s="26"/>
      <c r="RXX76" s="22"/>
      <c r="RXY76" s="167"/>
      <c r="RXZ76" s="30"/>
      <c r="RYA76" s="25"/>
      <c r="RYB76" s="178"/>
      <c r="RYC76" s="26"/>
      <c r="RYD76" s="26"/>
      <c r="RYE76" s="26"/>
      <c r="RYF76" s="26"/>
      <c r="RYG76" s="26"/>
      <c r="RYH76" s="26"/>
      <c r="RYI76" s="58"/>
      <c r="RYJ76" s="26"/>
      <c r="RYK76" s="26"/>
      <c r="RYL76" s="26"/>
      <c r="RYM76" s="26"/>
      <c r="RYN76" s="22"/>
      <c r="RYO76" s="167"/>
      <c r="RYP76" s="30"/>
      <c r="RYQ76" s="25"/>
      <c r="RYR76" s="178"/>
      <c r="RYS76" s="26"/>
      <c r="RYT76" s="26"/>
      <c r="RYU76" s="26"/>
      <c r="RYV76" s="26"/>
      <c r="RYW76" s="26"/>
      <c r="RYX76" s="26"/>
      <c r="RYY76" s="58"/>
      <c r="RYZ76" s="26"/>
      <c r="RZA76" s="26"/>
      <c r="RZB76" s="26"/>
      <c r="RZC76" s="26"/>
      <c r="RZD76" s="22"/>
      <c r="RZE76" s="167"/>
      <c r="RZF76" s="30"/>
      <c r="RZG76" s="25"/>
      <c r="RZH76" s="178"/>
      <c r="RZI76" s="26"/>
      <c r="RZJ76" s="26"/>
      <c r="RZK76" s="26"/>
      <c r="RZL76" s="26"/>
      <c r="RZM76" s="26"/>
      <c r="RZN76" s="26"/>
      <c r="RZO76" s="58"/>
      <c r="RZP76" s="26"/>
      <c r="RZQ76" s="26"/>
      <c r="RZR76" s="26"/>
      <c r="RZS76" s="26"/>
      <c r="RZT76" s="22"/>
      <c r="RZU76" s="167"/>
      <c r="RZV76" s="30"/>
      <c r="RZW76" s="25"/>
      <c r="RZX76" s="178"/>
      <c r="RZY76" s="26"/>
      <c r="RZZ76" s="26"/>
      <c r="SAA76" s="26"/>
      <c r="SAB76" s="26"/>
      <c r="SAC76" s="26"/>
      <c r="SAD76" s="26"/>
      <c r="SAE76" s="58"/>
      <c r="SAF76" s="26"/>
      <c r="SAG76" s="26"/>
      <c r="SAH76" s="26"/>
      <c r="SAI76" s="26"/>
      <c r="SAJ76" s="22"/>
      <c r="SAK76" s="167"/>
      <c r="SAL76" s="30"/>
      <c r="SAM76" s="25"/>
      <c r="SAN76" s="178"/>
      <c r="SAO76" s="26"/>
      <c r="SAP76" s="26"/>
      <c r="SAQ76" s="26"/>
      <c r="SAR76" s="26"/>
      <c r="SAS76" s="26"/>
      <c r="SAT76" s="26"/>
      <c r="SAU76" s="58"/>
      <c r="SAV76" s="26"/>
      <c r="SAW76" s="26"/>
      <c r="SAX76" s="26"/>
      <c r="SAY76" s="26"/>
      <c r="SAZ76" s="22"/>
      <c r="SBA76" s="167"/>
      <c r="SBB76" s="30"/>
      <c r="SBC76" s="25"/>
      <c r="SBD76" s="178"/>
      <c r="SBE76" s="26"/>
      <c r="SBF76" s="26"/>
      <c r="SBG76" s="26"/>
      <c r="SBH76" s="26"/>
      <c r="SBI76" s="26"/>
      <c r="SBJ76" s="26"/>
      <c r="SBK76" s="58"/>
      <c r="SBL76" s="26"/>
      <c r="SBM76" s="26"/>
      <c r="SBN76" s="26"/>
      <c r="SBO76" s="26"/>
      <c r="SBP76" s="22"/>
      <c r="SBQ76" s="167"/>
      <c r="SBR76" s="30"/>
      <c r="SBS76" s="25"/>
      <c r="SBT76" s="178"/>
      <c r="SBU76" s="26"/>
      <c r="SBV76" s="26"/>
      <c r="SBW76" s="26"/>
      <c r="SBX76" s="26"/>
      <c r="SBY76" s="26"/>
      <c r="SBZ76" s="26"/>
      <c r="SCA76" s="58"/>
      <c r="SCB76" s="26"/>
      <c r="SCC76" s="26"/>
      <c r="SCD76" s="26"/>
      <c r="SCE76" s="26"/>
      <c r="SCF76" s="22"/>
      <c r="SCG76" s="167"/>
      <c r="SCH76" s="30"/>
      <c r="SCI76" s="25"/>
      <c r="SCJ76" s="178"/>
      <c r="SCK76" s="26"/>
      <c r="SCL76" s="26"/>
      <c r="SCM76" s="26"/>
      <c r="SCN76" s="26"/>
      <c r="SCO76" s="26"/>
      <c r="SCP76" s="26"/>
      <c r="SCQ76" s="58"/>
      <c r="SCR76" s="26"/>
      <c r="SCS76" s="26"/>
      <c r="SCT76" s="26"/>
      <c r="SCU76" s="26"/>
      <c r="SCV76" s="22"/>
      <c r="SCW76" s="167"/>
      <c r="SCX76" s="30"/>
      <c r="SCY76" s="25"/>
      <c r="SCZ76" s="178"/>
      <c r="SDA76" s="26"/>
      <c r="SDB76" s="26"/>
      <c r="SDC76" s="26"/>
      <c r="SDD76" s="26"/>
      <c r="SDE76" s="26"/>
      <c r="SDF76" s="26"/>
      <c r="SDG76" s="58"/>
      <c r="SDH76" s="26"/>
      <c r="SDI76" s="26"/>
      <c r="SDJ76" s="26"/>
      <c r="SDK76" s="26"/>
      <c r="SDL76" s="22"/>
      <c r="SDM76" s="167"/>
      <c r="SDN76" s="30"/>
      <c r="SDO76" s="25"/>
      <c r="SDP76" s="178"/>
      <c r="SDQ76" s="26"/>
      <c r="SDR76" s="26"/>
      <c r="SDS76" s="26"/>
      <c r="SDT76" s="26"/>
      <c r="SDU76" s="26"/>
      <c r="SDV76" s="26"/>
      <c r="SDW76" s="58"/>
      <c r="SDX76" s="26"/>
      <c r="SDY76" s="26"/>
      <c r="SDZ76" s="26"/>
      <c r="SEA76" s="26"/>
      <c r="SEB76" s="22"/>
      <c r="SEC76" s="167"/>
      <c r="SED76" s="30"/>
      <c r="SEE76" s="25"/>
      <c r="SEF76" s="178"/>
      <c r="SEG76" s="26"/>
      <c r="SEH76" s="26"/>
      <c r="SEI76" s="26"/>
      <c r="SEJ76" s="26"/>
      <c r="SEK76" s="26"/>
      <c r="SEL76" s="26"/>
      <c r="SEM76" s="58"/>
      <c r="SEN76" s="26"/>
      <c r="SEO76" s="26"/>
      <c r="SEP76" s="26"/>
      <c r="SEQ76" s="26"/>
      <c r="SER76" s="22"/>
      <c r="SES76" s="167"/>
      <c r="SET76" s="30"/>
      <c r="SEU76" s="25"/>
      <c r="SEV76" s="178"/>
      <c r="SEW76" s="26"/>
      <c r="SEX76" s="26"/>
      <c r="SEY76" s="26"/>
      <c r="SEZ76" s="26"/>
      <c r="SFA76" s="26"/>
      <c r="SFB76" s="26"/>
      <c r="SFC76" s="58"/>
      <c r="SFD76" s="26"/>
      <c r="SFE76" s="26"/>
      <c r="SFF76" s="26"/>
      <c r="SFG76" s="26"/>
      <c r="SFH76" s="22"/>
      <c r="SFI76" s="167"/>
      <c r="SFJ76" s="30"/>
      <c r="SFK76" s="25"/>
      <c r="SFL76" s="178"/>
      <c r="SFM76" s="26"/>
      <c r="SFN76" s="26"/>
      <c r="SFO76" s="26"/>
      <c r="SFP76" s="26"/>
      <c r="SFQ76" s="26"/>
      <c r="SFR76" s="26"/>
      <c r="SFS76" s="58"/>
      <c r="SFT76" s="26"/>
      <c r="SFU76" s="26"/>
      <c r="SFV76" s="26"/>
      <c r="SFW76" s="26"/>
      <c r="SFX76" s="22"/>
      <c r="SFY76" s="167"/>
      <c r="SFZ76" s="30"/>
      <c r="SGA76" s="25"/>
      <c r="SGB76" s="178"/>
      <c r="SGC76" s="26"/>
      <c r="SGD76" s="26"/>
      <c r="SGE76" s="26"/>
      <c r="SGF76" s="26"/>
      <c r="SGG76" s="26"/>
      <c r="SGH76" s="26"/>
      <c r="SGI76" s="58"/>
      <c r="SGJ76" s="26"/>
      <c r="SGK76" s="26"/>
      <c r="SGL76" s="26"/>
      <c r="SGM76" s="26"/>
      <c r="SGN76" s="22"/>
      <c r="SGO76" s="167"/>
      <c r="SGP76" s="30"/>
      <c r="SGQ76" s="25"/>
      <c r="SGR76" s="178"/>
      <c r="SGS76" s="26"/>
      <c r="SGT76" s="26"/>
      <c r="SGU76" s="26"/>
      <c r="SGV76" s="26"/>
      <c r="SGW76" s="26"/>
      <c r="SGX76" s="26"/>
      <c r="SGY76" s="58"/>
      <c r="SGZ76" s="26"/>
      <c r="SHA76" s="26"/>
      <c r="SHB76" s="26"/>
      <c r="SHC76" s="26"/>
      <c r="SHD76" s="22"/>
      <c r="SHE76" s="167"/>
      <c r="SHF76" s="30"/>
      <c r="SHG76" s="25"/>
      <c r="SHH76" s="178"/>
      <c r="SHI76" s="26"/>
      <c r="SHJ76" s="26"/>
      <c r="SHK76" s="26"/>
      <c r="SHL76" s="26"/>
      <c r="SHM76" s="26"/>
      <c r="SHN76" s="26"/>
      <c r="SHO76" s="58"/>
      <c r="SHP76" s="26"/>
      <c r="SHQ76" s="26"/>
      <c r="SHR76" s="26"/>
      <c r="SHS76" s="26"/>
      <c r="SHT76" s="22"/>
      <c r="SHU76" s="167"/>
      <c r="SHV76" s="30"/>
      <c r="SHW76" s="25"/>
      <c r="SHX76" s="178"/>
      <c r="SHY76" s="26"/>
      <c r="SHZ76" s="26"/>
      <c r="SIA76" s="26"/>
      <c r="SIB76" s="26"/>
      <c r="SIC76" s="26"/>
      <c r="SID76" s="26"/>
      <c r="SIE76" s="58"/>
      <c r="SIF76" s="26"/>
      <c r="SIG76" s="26"/>
      <c r="SIH76" s="26"/>
      <c r="SII76" s="26"/>
      <c r="SIJ76" s="22"/>
      <c r="SIK76" s="167"/>
      <c r="SIL76" s="30"/>
      <c r="SIM76" s="25"/>
      <c r="SIN76" s="178"/>
      <c r="SIO76" s="26"/>
      <c r="SIP76" s="26"/>
      <c r="SIQ76" s="26"/>
      <c r="SIR76" s="26"/>
      <c r="SIS76" s="26"/>
      <c r="SIT76" s="26"/>
      <c r="SIU76" s="58"/>
      <c r="SIV76" s="26"/>
      <c r="SIW76" s="26"/>
      <c r="SIX76" s="26"/>
      <c r="SIY76" s="26"/>
      <c r="SIZ76" s="22"/>
      <c r="SJA76" s="167"/>
      <c r="SJB76" s="30"/>
      <c r="SJC76" s="25"/>
      <c r="SJD76" s="178"/>
      <c r="SJE76" s="26"/>
      <c r="SJF76" s="26"/>
      <c r="SJG76" s="26"/>
      <c r="SJH76" s="26"/>
      <c r="SJI76" s="26"/>
      <c r="SJJ76" s="26"/>
      <c r="SJK76" s="58"/>
      <c r="SJL76" s="26"/>
      <c r="SJM76" s="26"/>
      <c r="SJN76" s="26"/>
      <c r="SJO76" s="26"/>
      <c r="SJP76" s="22"/>
      <c r="SJQ76" s="167"/>
      <c r="SJR76" s="30"/>
      <c r="SJS76" s="25"/>
      <c r="SJT76" s="178"/>
      <c r="SJU76" s="26"/>
      <c r="SJV76" s="26"/>
      <c r="SJW76" s="26"/>
      <c r="SJX76" s="26"/>
      <c r="SJY76" s="26"/>
      <c r="SJZ76" s="26"/>
      <c r="SKA76" s="58"/>
      <c r="SKB76" s="26"/>
      <c r="SKC76" s="26"/>
      <c r="SKD76" s="26"/>
      <c r="SKE76" s="26"/>
      <c r="SKF76" s="22"/>
      <c r="SKG76" s="167"/>
      <c r="SKH76" s="30"/>
      <c r="SKI76" s="25"/>
      <c r="SKJ76" s="178"/>
      <c r="SKK76" s="26"/>
      <c r="SKL76" s="26"/>
      <c r="SKM76" s="26"/>
      <c r="SKN76" s="26"/>
      <c r="SKO76" s="26"/>
      <c r="SKP76" s="26"/>
      <c r="SKQ76" s="58"/>
      <c r="SKR76" s="26"/>
      <c r="SKS76" s="26"/>
      <c r="SKT76" s="26"/>
      <c r="SKU76" s="26"/>
      <c r="SKV76" s="22"/>
      <c r="SKW76" s="167"/>
      <c r="SKX76" s="30"/>
      <c r="SKY76" s="25"/>
      <c r="SKZ76" s="178"/>
      <c r="SLA76" s="26"/>
      <c r="SLB76" s="26"/>
      <c r="SLC76" s="26"/>
      <c r="SLD76" s="26"/>
      <c r="SLE76" s="26"/>
      <c r="SLF76" s="26"/>
      <c r="SLG76" s="58"/>
      <c r="SLH76" s="26"/>
      <c r="SLI76" s="26"/>
      <c r="SLJ76" s="26"/>
      <c r="SLK76" s="26"/>
      <c r="SLL76" s="22"/>
      <c r="SLM76" s="167"/>
      <c r="SLN76" s="30"/>
      <c r="SLO76" s="25"/>
      <c r="SLP76" s="178"/>
      <c r="SLQ76" s="26"/>
      <c r="SLR76" s="26"/>
      <c r="SLS76" s="26"/>
      <c r="SLT76" s="26"/>
      <c r="SLU76" s="26"/>
      <c r="SLV76" s="26"/>
      <c r="SLW76" s="58"/>
      <c r="SLX76" s="26"/>
      <c r="SLY76" s="26"/>
      <c r="SLZ76" s="26"/>
      <c r="SMA76" s="26"/>
      <c r="SMB76" s="22"/>
      <c r="SMC76" s="167"/>
      <c r="SMD76" s="30"/>
      <c r="SME76" s="25"/>
      <c r="SMF76" s="178"/>
      <c r="SMG76" s="26"/>
      <c r="SMH76" s="26"/>
      <c r="SMI76" s="26"/>
      <c r="SMJ76" s="26"/>
      <c r="SMK76" s="26"/>
      <c r="SML76" s="26"/>
      <c r="SMM76" s="58"/>
      <c r="SMN76" s="26"/>
      <c r="SMO76" s="26"/>
      <c r="SMP76" s="26"/>
      <c r="SMQ76" s="26"/>
      <c r="SMR76" s="22"/>
      <c r="SMS76" s="167"/>
      <c r="SMT76" s="30"/>
      <c r="SMU76" s="25"/>
      <c r="SMV76" s="178"/>
      <c r="SMW76" s="26"/>
      <c r="SMX76" s="26"/>
      <c r="SMY76" s="26"/>
      <c r="SMZ76" s="26"/>
      <c r="SNA76" s="26"/>
      <c r="SNB76" s="26"/>
      <c r="SNC76" s="58"/>
      <c r="SND76" s="26"/>
      <c r="SNE76" s="26"/>
      <c r="SNF76" s="26"/>
      <c r="SNG76" s="26"/>
      <c r="SNH76" s="22"/>
      <c r="SNI76" s="167"/>
      <c r="SNJ76" s="30"/>
      <c r="SNK76" s="25"/>
      <c r="SNL76" s="178"/>
      <c r="SNM76" s="26"/>
      <c r="SNN76" s="26"/>
      <c r="SNO76" s="26"/>
      <c r="SNP76" s="26"/>
      <c r="SNQ76" s="26"/>
      <c r="SNR76" s="26"/>
      <c r="SNS76" s="58"/>
      <c r="SNT76" s="26"/>
      <c r="SNU76" s="26"/>
      <c r="SNV76" s="26"/>
      <c r="SNW76" s="26"/>
      <c r="SNX76" s="22"/>
      <c r="SNY76" s="167"/>
      <c r="SNZ76" s="30"/>
      <c r="SOA76" s="25"/>
      <c r="SOB76" s="178"/>
      <c r="SOC76" s="26"/>
      <c r="SOD76" s="26"/>
      <c r="SOE76" s="26"/>
      <c r="SOF76" s="26"/>
      <c r="SOG76" s="26"/>
      <c r="SOH76" s="26"/>
      <c r="SOI76" s="58"/>
      <c r="SOJ76" s="26"/>
      <c r="SOK76" s="26"/>
      <c r="SOL76" s="26"/>
      <c r="SOM76" s="26"/>
      <c r="SON76" s="22"/>
      <c r="SOO76" s="167"/>
      <c r="SOP76" s="30"/>
      <c r="SOQ76" s="25"/>
      <c r="SOR76" s="178"/>
      <c r="SOS76" s="26"/>
      <c r="SOT76" s="26"/>
      <c r="SOU76" s="26"/>
      <c r="SOV76" s="26"/>
      <c r="SOW76" s="26"/>
      <c r="SOX76" s="26"/>
      <c r="SOY76" s="58"/>
      <c r="SOZ76" s="26"/>
      <c r="SPA76" s="26"/>
      <c r="SPB76" s="26"/>
      <c r="SPC76" s="26"/>
      <c r="SPD76" s="22"/>
      <c r="SPE76" s="167"/>
      <c r="SPF76" s="30"/>
      <c r="SPG76" s="25"/>
      <c r="SPH76" s="178"/>
      <c r="SPI76" s="26"/>
      <c r="SPJ76" s="26"/>
      <c r="SPK76" s="26"/>
      <c r="SPL76" s="26"/>
      <c r="SPM76" s="26"/>
      <c r="SPN76" s="26"/>
      <c r="SPO76" s="58"/>
      <c r="SPP76" s="26"/>
      <c r="SPQ76" s="26"/>
      <c r="SPR76" s="26"/>
      <c r="SPS76" s="26"/>
      <c r="SPT76" s="22"/>
      <c r="SPU76" s="167"/>
      <c r="SPV76" s="30"/>
      <c r="SPW76" s="25"/>
      <c r="SPX76" s="178"/>
      <c r="SPY76" s="26"/>
      <c r="SPZ76" s="26"/>
      <c r="SQA76" s="26"/>
      <c r="SQB76" s="26"/>
      <c r="SQC76" s="26"/>
      <c r="SQD76" s="26"/>
      <c r="SQE76" s="58"/>
      <c r="SQF76" s="26"/>
      <c r="SQG76" s="26"/>
      <c r="SQH76" s="26"/>
      <c r="SQI76" s="26"/>
      <c r="SQJ76" s="22"/>
      <c r="SQK76" s="167"/>
      <c r="SQL76" s="30"/>
      <c r="SQM76" s="25"/>
      <c r="SQN76" s="178"/>
      <c r="SQO76" s="26"/>
      <c r="SQP76" s="26"/>
      <c r="SQQ76" s="26"/>
      <c r="SQR76" s="26"/>
      <c r="SQS76" s="26"/>
      <c r="SQT76" s="26"/>
      <c r="SQU76" s="58"/>
      <c r="SQV76" s="26"/>
      <c r="SQW76" s="26"/>
      <c r="SQX76" s="26"/>
      <c r="SQY76" s="26"/>
      <c r="SQZ76" s="22"/>
      <c r="SRA76" s="167"/>
      <c r="SRB76" s="30"/>
      <c r="SRC76" s="25"/>
      <c r="SRD76" s="178"/>
      <c r="SRE76" s="26"/>
      <c r="SRF76" s="26"/>
      <c r="SRG76" s="26"/>
      <c r="SRH76" s="26"/>
      <c r="SRI76" s="26"/>
      <c r="SRJ76" s="26"/>
      <c r="SRK76" s="58"/>
      <c r="SRL76" s="26"/>
      <c r="SRM76" s="26"/>
      <c r="SRN76" s="26"/>
      <c r="SRO76" s="26"/>
      <c r="SRP76" s="22"/>
      <c r="SRQ76" s="167"/>
      <c r="SRR76" s="30"/>
      <c r="SRS76" s="25"/>
      <c r="SRT76" s="178"/>
      <c r="SRU76" s="26"/>
      <c r="SRV76" s="26"/>
      <c r="SRW76" s="26"/>
      <c r="SRX76" s="26"/>
      <c r="SRY76" s="26"/>
      <c r="SRZ76" s="26"/>
      <c r="SSA76" s="58"/>
      <c r="SSB76" s="26"/>
      <c r="SSC76" s="26"/>
      <c r="SSD76" s="26"/>
      <c r="SSE76" s="26"/>
      <c r="SSF76" s="22"/>
      <c r="SSG76" s="167"/>
      <c r="SSH76" s="30"/>
      <c r="SSI76" s="25"/>
      <c r="SSJ76" s="178"/>
      <c r="SSK76" s="26"/>
      <c r="SSL76" s="26"/>
      <c r="SSM76" s="26"/>
      <c r="SSN76" s="26"/>
      <c r="SSO76" s="26"/>
      <c r="SSP76" s="26"/>
      <c r="SSQ76" s="58"/>
      <c r="SSR76" s="26"/>
      <c r="SSS76" s="26"/>
      <c r="SST76" s="26"/>
      <c r="SSU76" s="26"/>
      <c r="SSV76" s="22"/>
      <c r="SSW76" s="167"/>
      <c r="SSX76" s="30"/>
      <c r="SSY76" s="25"/>
      <c r="SSZ76" s="178"/>
      <c r="STA76" s="26"/>
      <c r="STB76" s="26"/>
      <c r="STC76" s="26"/>
      <c r="STD76" s="26"/>
      <c r="STE76" s="26"/>
      <c r="STF76" s="26"/>
      <c r="STG76" s="58"/>
      <c r="STH76" s="26"/>
      <c r="STI76" s="26"/>
      <c r="STJ76" s="26"/>
      <c r="STK76" s="26"/>
      <c r="STL76" s="22"/>
      <c r="STM76" s="167"/>
      <c r="STN76" s="30"/>
      <c r="STO76" s="25"/>
      <c r="STP76" s="178"/>
      <c r="STQ76" s="26"/>
      <c r="STR76" s="26"/>
      <c r="STS76" s="26"/>
      <c r="STT76" s="26"/>
      <c r="STU76" s="26"/>
      <c r="STV76" s="26"/>
      <c r="STW76" s="58"/>
      <c r="STX76" s="26"/>
      <c r="STY76" s="26"/>
      <c r="STZ76" s="26"/>
      <c r="SUA76" s="26"/>
      <c r="SUB76" s="22"/>
      <c r="SUC76" s="167"/>
      <c r="SUD76" s="30"/>
      <c r="SUE76" s="25"/>
      <c r="SUF76" s="178"/>
      <c r="SUG76" s="26"/>
      <c r="SUH76" s="26"/>
      <c r="SUI76" s="26"/>
      <c r="SUJ76" s="26"/>
      <c r="SUK76" s="26"/>
      <c r="SUL76" s="26"/>
      <c r="SUM76" s="58"/>
      <c r="SUN76" s="26"/>
      <c r="SUO76" s="26"/>
      <c r="SUP76" s="26"/>
      <c r="SUQ76" s="26"/>
      <c r="SUR76" s="22"/>
      <c r="SUS76" s="167"/>
      <c r="SUT76" s="30"/>
      <c r="SUU76" s="25"/>
      <c r="SUV76" s="178"/>
      <c r="SUW76" s="26"/>
      <c r="SUX76" s="26"/>
      <c r="SUY76" s="26"/>
      <c r="SUZ76" s="26"/>
      <c r="SVA76" s="26"/>
      <c r="SVB76" s="26"/>
      <c r="SVC76" s="58"/>
      <c r="SVD76" s="26"/>
      <c r="SVE76" s="26"/>
      <c r="SVF76" s="26"/>
      <c r="SVG76" s="26"/>
      <c r="SVH76" s="22"/>
      <c r="SVI76" s="167"/>
      <c r="SVJ76" s="30"/>
      <c r="SVK76" s="25"/>
      <c r="SVL76" s="178"/>
      <c r="SVM76" s="26"/>
      <c r="SVN76" s="26"/>
      <c r="SVO76" s="26"/>
      <c r="SVP76" s="26"/>
      <c r="SVQ76" s="26"/>
      <c r="SVR76" s="26"/>
      <c r="SVS76" s="58"/>
      <c r="SVT76" s="26"/>
      <c r="SVU76" s="26"/>
      <c r="SVV76" s="26"/>
      <c r="SVW76" s="26"/>
      <c r="SVX76" s="22"/>
      <c r="SVY76" s="167"/>
      <c r="SVZ76" s="30"/>
      <c r="SWA76" s="25"/>
      <c r="SWB76" s="178"/>
      <c r="SWC76" s="26"/>
      <c r="SWD76" s="26"/>
      <c r="SWE76" s="26"/>
      <c r="SWF76" s="26"/>
      <c r="SWG76" s="26"/>
      <c r="SWH76" s="26"/>
      <c r="SWI76" s="58"/>
      <c r="SWJ76" s="26"/>
      <c r="SWK76" s="26"/>
      <c r="SWL76" s="26"/>
      <c r="SWM76" s="26"/>
      <c r="SWN76" s="22"/>
      <c r="SWO76" s="167"/>
      <c r="SWP76" s="30"/>
      <c r="SWQ76" s="25"/>
      <c r="SWR76" s="178"/>
      <c r="SWS76" s="26"/>
      <c r="SWT76" s="26"/>
      <c r="SWU76" s="26"/>
      <c r="SWV76" s="26"/>
      <c r="SWW76" s="26"/>
      <c r="SWX76" s="26"/>
      <c r="SWY76" s="58"/>
      <c r="SWZ76" s="26"/>
      <c r="SXA76" s="26"/>
      <c r="SXB76" s="26"/>
      <c r="SXC76" s="26"/>
      <c r="SXD76" s="22"/>
      <c r="SXE76" s="167"/>
      <c r="SXF76" s="30"/>
      <c r="SXG76" s="25"/>
      <c r="SXH76" s="178"/>
      <c r="SXI76" s="26"/>
      <c r="SXJ76" s="26"/>
      <c r="SXK76" s="26"/>
      <c r="SXL76" s="26"/>
      <c r="SXM76" s="26"/>
      <c r="SXN76" s="26"/>
      <c r="SXO76" s="58"/>
      <c r="SXP76" s="26"/>
      <c r="SXQ76" s="26"/>
      <c r="SXR76" s="26"/>
      <c r="SXS76" s="26"/>
      <c r="SXT76" s="22"/>
      <c r="SXU76" s="167"/>
      <c r="SXV76" s="30"/>
      <c r="SXW76" s="25"/>
      <c r="SXX76" s="178"/>
      <c r="SXY76" s="26"/>
      <c r="SXZ76" s="26"/>
      <c r="SYA76" s="26"/>
      <c r="SYB76" s="26"/>
      <c r="SYC76" s="26"/>
      <c r="SYD76" s="26"/>
      <c r="SYE76" s="58"/>
      <c r="SYF76" s="26"/>
      <c r="SYG76" s="26"/>
      <c r="SYH76" s="26"/>
      <c r="SYI76" s="26"/>
      <c r="SYJ76" s="22"/>
      <c r="SYK76" s="167"/>
      <c r="SYL76" s="30"/>
      <c r="SYM76" s="25"/>
      <c r="SYN76" s="178"/>
      <c r="SYO76" s="26"/>
      <c r="SYP76" s="26"/>
      <c r="SYQ76" s="26"/>
      <c r="SYR76" s="26"/>
      <c r="SYS76" s="26"/>
      <c r="SYT76" s="26"/>
      <c r="SYU76" s="58"/>
      <c r="SYV76" s="26"/>
      <c r="SYW76" s="26"/>
      <c r="SYX76" s="26"/>
      <c r="SYY76" s="26"/>
      <c r="SYZ76" s="22"/>
      <c r="SZA76" s="167"/>
      <c r="SZB76" s="30"/>
      <c r="SZC76" s="25"/>
      <c r="SZD76" s="178"/>
      <c r="SZE76" s="26"/>
      <c r="SZF76" s="26"/>
      <c r="SZG76" s="26"/>
      <c r="SZH76" s="26"/>
      <c r="SZI76" s="26"/>
      <c r="SZJ76" s="26"/>
      <c r="SZK76" s="58"/>
      <c r="SZL76" s="26"/>
      <c r="SZM76" s="26"/>
      <c r="SZN76" s="26"/>
      <c r="SZO76" s="26"/>
      <c r="SZP76" s="22"/>
      <c r="SZQ76" s="167"/>
      <c r="SZR76" s="30"/>
      <c r="SZS76" s="25"/>
      <c r="SZT76" s="178"/>
      <c r="SZU76" s="26"/>
      <c r="SZV76" s="26"/>
      <c r="SZW76" s="26"/>
      <c r="SZX76" s="26"/>
      <c r="SZY76" s="26"/>
      <c r="SZZ76" s="26"/>
      <c r="TAA76" s="58"/>
      <c r="TAB76" s="26"/>
      <c r="TAC76" s="26"/>
      <c r="TAD76" s="26"/>
      <c r="TAE76" s="26"/>
      <c r="TAF76" s="22"/>
      <c r="TAG76" s="167"/>
      <c r="TAH76" s="30"/>
      <c r="TAI76" s="25"/>
      <c r="TAJ76" s="178"/>
      <c r="TAK76" s="26"/>
      <c r="TAL76" s="26"/>
      <c r="TAM76" s="26"/>
      <c r="TAN76" s="26"/>
      <c r="TAO76" s="26"/>
      <c r="TAP76" s="26"/>
      <c r="TAQ76" s="58"/>
      <c r="TAR76" s="26"/>
      <c r="TAS76" s="26"/>
      <c r="TAT76" s="26"/>
      <c r="TAU76" s="26"/>
      <c r="TAV76" s="22"/>
      <c r="TAW76" s="167"/>
      <c r="TAX76" s="30"/>
      <c r="TAY76" s="25"/>
      <c r="TAZ76" s="178"/>
      <c r="TBA76" s="26"/>
      <c r="TBB76" s="26"/>
      <c r="TBC76" s="26"/>
      <c r="TBD76" s="26"/>
      <c r="TBE76" s="26"/>
      <c r="TBF76" s="26"/>
      <c r="TBG76" s="58"/>
      <c r="TBH76" s="26"/>
      <c r="TBI76" s="26"/>
      <c r="TBJ76" s="26"/>
      <c r="TBK76" s="26"/>
      <c r="TBL76" s="22"/>
      <c r="TBM76" s="167"/>
      <c r="TBN76" s="30"/>
      <c r="TBO76" s="25"/>
      <c r="TBP76" s="178"/>
      <c r="TBQ76" s="26"/>
      <c r="TBR76" s="26"/>
      <c r="TBS76" s="26"/>
      <c r="TBT76" s="26"/>
      <c r="TBU76" s="26"/>
      <c r="TBV76" s="26"/>
      <c r="TBW76" s="58"/>
      <c r="TBX76" s="26"/>
      <c r="TBY76" s="26"/>
      <c r="TBZ76" s="26"/>
      <c r="TCA76" s="26"/>
      <c r="TCB76" s="22"/>
      <c r="TCC76" s="167"/>
      <c r="TCD76" s="30"/>
      <c r="TCE76" s="25"/>
      <c r="TCF76" s="178"/>
      <c r="TCG76" s="26"/>
      <c r="TCH76" s="26"/>
      <c r="TCI76" s="26"/>
      <c r="TCJ76" s="26"/>
      <c r="TCK76" s="26"/>
      <c r="TCL76" s="26"/>
      <c r="TCM76" s="58"/>
      <c r="TCN76" s="26"/>
      <c r="TCO76" s="26"/>
      <c r="TCP76" s="26"/>
      <c r="TCQ76" s="26"/>
      <c r="TCR76" s="22"/>
      <c r="TCS76" s="167"/>
      <c r="TCT76" s="30"/>
      <c r="TCU76" s="25"/>
      <c r="TCV76" s="178"/>
      <c r="TCW76" s="26"/>
      <c r="TCX76" s="26"/>
      <c r="TCY76" s="26"/>
      <c r="TCZ76" s="26"/>
      <c r="TDA76" s="26"/>
      <c r="TDB76" s="26"/>
      <c r="TDC76" s="58"/>
      <c r="TDD76" s="26"/>
      <c r="TDE76" s="26"/>
      <c r="TDF76" s="26"/>
      <c r="TDG76" s="26"/>
      <c r="TDH76" s="22"/>
      <c r="TDI76" s="167"/>
      <c r="TDJ76" s="30"/>
      <c r="TDK76" s="25"/>
      <c r="TDL76" s="178"/>
      <c r="TDM76" s="26"/>
      <c r="TDN76" s="26"/>
      <c r="TDO76" s="26"/>
      <c r="TDP76" s="26"/>
      <c r="TDQ76" s="26"/>
      <c r="TDR76" s="26"/>
      <c r="TDS76" s="58"/>
      <c r="TDT76" s="26"/>
      <c r="TDU76" s="26"/>
      <c r="TDV76" s="26"/>
      <c r="TDW76" s="26"/>
      <c r="TDX76" s="22"/>
      <c r="TDY76" s="167"/>
      <c r="TDZ76" s="30"/>
      <c r="TEA76" s="25"/>
      <c r="TEB76" s="178"/>
      <c r="TEC76" s="26"/>
      <c r="TED76" s="26"/>
      <c r="TEE76" s="26"/>
      <c r="TEF76" s="26"/>
      <c r="TEG76" s="26"/>
      <c r="TEH76" s="26"/>
      <c r="TEI76" s="58"/>
      <c r="TEJ76" s="26"/>
      <c r="TEK76" s="26"/>
      <c r="TEL76" s="26"/>
      <c r="TEM76" s="26"/>
      <c r="TEN76" s="22"/>
      <c r="TEO76" s="167"/>
      <c r="TEP76" s="30"/>
      <c r="TEQ76" s="25"/>
      <c r="TER76" s="178"/>
      <c r="TES76" s="26"/>
      <c r="TET76" s="26"/>
      <c r="TEU76" s="26"/>
      <c r="TEV76" s="26"/>
      <c r="TEW76" s="26"/>
      <c r="TEX76" s="26"/>
      <c r="TEY76" s="58"/>
      <c r="TEZ76" s="26"/>
      <c r="TFA76" s="26"/>
      <c r="TFB76" s="26"/>
      <c r="TFC76" s="26"/>
      <c r="TFD76" s="22"/>
      <c r="TFE76" s="167"/>
      <c r="TFF76" s="30"/>
      <c r="TFG76" s="25"/>
      <c r="TFH76" s="178"/>
      <c r="TFI76" s="26"/>
      <c r="TFJ76" s="26"/>
      <c r="TFK76" s="26"/>
      <c r="TFL76" s="26"/>
      <c r="TFM76" s="26"/>
      <c r="TFN76" s="26"/>
      <c r="TFO76" s="58"/>
      <c r="TFP76" s="26"/>
      <c r="TFQ76" s="26"/>
      <c r="TFR76" s="26"/>
      <c r="TFS76" s="26"/>
      <c r="TFT76" s="22"/>
      <c r="TFU76" s="167"/>
      <c r="TFV76" s="30"/>
      <c r="TFW76" s="25"/>
      <c r="TFX76" s="178"/>
      <c r="TFY76" s="26"/>
      <c r="TFZ76" s="26"/>
      <c r="TGA76" s="26"/>
      <c r="TGB76" s="26"/>
      <c r="TGC76" s="26"/>
      <c r="TGD76" s="26"/>
      <c r="TGE76" s="58"/>
      <c r="TGF76" s="26"/>
      <c r="TGG76" s="26"/>
      <c r="TGH76" s="26"/>
      <c r="TGI76" s="26"/>
      <c r="TGJ76" s="22"/>
      <c r="TGK76" s="167"/>
      <c r="TGL76" s="30"/>
      <c r="TGM76" s="25"/>
      <c r="TGN76" s="178"/>
      <c r="TGO76" s="26"/>
      <c r="TGP76" s="26"/>
      <c r="TGQ76" s="26"/>
      <c r="TGR76" s="26"/>
      <c r="TGS76" s="26"/>
      <c r="TGT76" s="26"/>
      <c r="TGU76" s="58"/>
      <c r="TGV76" s="26"/>
      <c r="TGW76" s="26"/>
      <c r="TGX76" s="26"/>
      <c r="TGY76" s="26"/>
      <c r="TGZ76" s="22"/>
      <c r="THA76" s="167"/>
      <c r="THB76" s="30"/>
      <c r="THC76" s="25"/>
      <c r="THD76" s="178"/>
      <c r="THE76" s="26"/>
      <c r="THF76" s="26"/>
      <c r="THG76" s="26"/>
      <c r="THH76" s="26"/>
      <c r="THI76" s="26"/>
      <c r="THJ76" s="26"/>
      <c r="THK76" s="58"/>
      <c r="THL76" s="26"/>
      <c r="THM76" s="26"/>
      <c r="THN76" s="26"/>
      <c r="THO76" s="26"/>
      <c r="THP76" s="22"/>
      <c r="THQ76" s="167"/>
      <c r="THR76" s="30"/>
      <c r="THS76" s="25"/>
      <c r="THT76" s="178"/>
      <c r="THU76" s="26"/>
      <c r="THV76" s="26"/>
      <c r="THW76" s="26"/>
      <c r="THX76" s="26"/>
      <c r="THY76" s="26"/>
      <c r="THZ76" s="26"/>
      <c r="TIA76" s="58"/>
      <c r="TIB76" s="26"/>
      <c r="TIC76" s="26"/>
      <c r="TID76" s="26"/>
      <c r="TIE76" s="26"/>
      <c r="TIF76" s="22"/>
      <c r="TIG76" s="167"/>
      <c r="TIH76" s="30"/>
      <c r="TII76" s="25"/>
      <c r="TIJ76" s="178"/>
      <c r="TIK76" s="26"/>
      <c r="TIL76" s="26"/>
      <c r="TIM76" s="26"/>
      <c r="TIN76" s="26"/>
      <c r="TIO76" s="26"/>
      <c r="TIP76" s="26"/>
      <c r="TIQ76" s="58"/>
      <c r="TIR76" s="26"/>
      <c r="TIS76" s="26"/>
      <c r="TIT76" s="26"/>
      <c r="TIU76" s="26"/>
      <c r="TIV76" s="22"/>
      <c r="TIW76" s="167"/>
      <c r="TIX76" s="30"/>
      <c r="TIY76" s="25"/>
      <c r="TIZ76" s="178"/>
      <c r="TJA76" s="26"/>
      <c r="TJB76" s="26"/>
      <c r="TJC76" s="26"/>
      <c r="TJD76" s="26"/>
      <c r="TJE76" s="26"/>
      <c r="TJF76" s="26"/>
      <c r="TJG76" s="58"/>
      <c r="TJH76" s="26"/>
      <c r="TJI76" s="26"/>
      <c r="TJJ76" s="26"/>
      <c r="TJK76" s="26"/>
      <c r="TJL76" s="22"/>
      <c r="TJM76" s="167"/>
      <c r="TJN76" s="30"/>
      <c r="TJO76" s="25"/>
      <c r="TJP76" s="178"/>
      <c r="TJQ76" s="26"/>
      <c r="TJR76" s="26"/>
      <c r="TJS76" s="26"/>
      <c r="TJT76" s="26"/>
      <c r="TJU76" s="26"/>
      <c r="TJV76" s="26"/>
      <c r="TJW76" s="58"/>
      <c r="TJX76" s="26"/>
      <c r="TJY76" s="26"/>
      <c r="TJZ76" s="26"/>
      <c r="TKA76" s="26"/>
      <c r="TKB76" s="22"/>
      <c r="TKC76" s="167"/>
      <c r="TKD76" s="30"/>
      <c r="TKE76" s="25"/>
      <c r="TKF76" s="178"/>
      <c r="TKG76" s="26"/>
      <c r="TKH76" s="26"/>
      <c r="TKI76" s="26"/>
      <c r="TKJ76" s="26"/>
      <c r="TKK76" s="26"/>
      <c r="TKL76" s="26"/>
      <c r="TKM76" s="58"/>
      <c r="TKN76" s="26"/>
      <c r="TKO76" s="26"/>
      <c r="TKP76" s="26"/>
      <c r="TKQ76" s="26"/>
      <c r="TKR76" s="22"/>
      <c r="TKS76" s="167"/>
      <c r="TKT76" s="30"/>
      <c r="TKU76" s="25"/>
      <c r="TKV76" s="178"/>
      <c r="TKW76" s="26"/>
      <c r="TKX76" s="26"/>
      <c r="TKY76" s="26"/>
      <c r="TKZ76" s="26"/>
      <c r="TLA76" s="26"/>
      <c r="TLB76" s="26"/>
      <c r="TLC76" s="58"/>
      <c r="TLD76" s="26"/>
      <c r="TLE76" s="26"/>
      <c r="TLF76" s="26"/>
      <c r="TLG76" s="26"/>
      <c r="TLH76" s="22"/>
      <c r="TLI76" s="167"/>
      <c r="TLJ76" s="30"/>
      <c r="TLK76" s="25"/>
      <c r="TLL76" s="178"/>
      <c r="TLM76" s="26"/>
      <c r="TLN76" s="26"/>
      <c r="TLO76" s="26"/>
      <c r="TLP76" s="26"/>
      <c r="TLQ76" s="26"/>
      <c r="TLR76" s="26"/>
      <c r="TLS76" s="58"/>
      <c r="TLT76" s="26"/>
      <c r="TLU76" s="26"/>
      <c r="TLV76" s="26"/>
      <c r="TLW76" s="26"/>
      <c r="TLX76" s="22"/>
      <c r="TLY76" s="167"/>
      <c r="TLZ76" s="30"/>
      <c r="TMA76" s="25"/>
      <c r="TMB76" s="178"/>
      <c r="TMC76" s="26"/>
      <c r="TMD76" s="26"/>
      <c r="TME76" s="26"/>
      <c r="TMF76" s="26"/>
      <c r="TMG76" s="26"/>
      <c r="TMH76" s="26"/>
      <c r="TMI76" s="58"/>
      <c r="TMJ76" s="26"/>
      <c r="TMK76" s="26"/>
      <c r="TML76" s="26"/>
      <c r="TMM76" s="26"/>
      <c r="TMN76" s="22"/>
      <c r="TMO76" s="167"/>
      <c r="TMP76" s="30"/>
      <c r="TMQ76" s="25"/>
      <c r="TMR76" s="178"/>
      <c r="TMS76" s="26"/>
      <c r="TMT76" s="26"/>
      <c r="TMU76" s="26"/>
      <c r="TMV76" s="26"/>
      <c r="TMW76" s="26"/>
      <c r="TMX76" s="26"/>
      <c r="TMY76" s="58"/>
      <c r="TMZ76" s="26"/>
      <c r="TNA76" s="26"/>
      <c r="TNB76" s="26"/>
      <c r="TNC76" s="26"/>
      <c r="TND76" s="22"/>
      <c r="TNE76" s="167"/>
      <c r="TNF76" s="30"/>
      <c r="TNG76" s="25"/>
      <c r="TNH76" s="178"/>
      <c r="TNI76" s="26"/>
      <c r="TNJ76" s="26"/>
      <c r="TNK76" s="26"/>
      <c r="TNL76" s="26"/>
      <c r="TNM76" s="26"/>
      <c r="TNN76" s="26"/>
      <c r="TNO76" s="58"/>
      <c r="TNP76" s="26"/>
      <c r="TNQ76" s="26"/>
      <c r="TNR76" s="26"/>
      <c r="TNS76" s="26"/>
      <c r="TNT76" s="22"/>
      <c r="TNU76" s="167"/>
      <c r="TNV76" s="30"/>
      <c r="TNW76" s="25"/>
      <c r="TNX76" s="178"/>
      <c r="TNY76" s="26"/>
      <c r="TNZ76" s="26"/>
      <c r="TOA76" s="26"/>
      <c r="TOB76" s="26"/>
      <c r="TOC76" s="26"/>
      <c r="TOD76" s="26"/>
      <c r="TOE76" s="58"/>
      <c r="TOF76" s="26"/>
      <c r="TOG76" s="26"/>
      <c r="TOH76" s="26"/>
      <c r="TOI76" s="26"/>
      <c r="TOJ76" s="22"/>
      <c r="TOK76" s="167"/>
      <c r="TOL76" s="30"/>
      <c r="TOM76" s="25"/>
      <c r="TON76" s="178"/>
      <c r="TOO76" s="26"/>
      <c r="TOP76" s="26"/>
      <c r="TOQ76" s="26"/>
      <c r="TOR76" s="26"/>
      <c r="TOS76" s="26"/>
      <c r="TOT76" s="26"/>
      <c r="TOU76" s="58"/>
      <c r="TOV76" s="26"/>
      <c r="TOW76" s="26"/>
      <c r="TOX76" s="26"/>
      <c r="TOY76" s="26"/>
      <c r="TOZ76" s="22"/>
      <c r="TPA76" s="167"/>
      <c r="TPB76" s="30"/>
      <c r="TPC76" s="25"/>
      <c r="TPD76" s="178"/>
      <c r="TPE76" s="26"/>
      <c r="TPF76" s="26"/>
      <c r="TPG76" s="26"/>
      <c r="TPH76" s="26"/>
      <c r="TPI76" s="26"/>
      <c r="TPJ76" s="26"/>
      <c r="TPK76" s="58"/>
      <c r="TPL76" s="26"/>
      <c r="TPM76" s="26"/>
      <c r="TPN76" s="26"/>
      <c r="TPO76" s="26"/>
      <c r="TPP76" s="22"/>
      <c r="TPQ76" s="167"/>
      <c r="TPR76" s="30"/>
      <c r="TPS76" s="25"/>
      <c r="TPT76" s="178"/>
      <c r="TPU76" s="26"/>
      <c r="TPV76" s="26"/>
      <c r="TPW76" s="26"/>
      <c r="TPX76" s="26"/>
      <c r="TPY76" s="26"/>
      <c r="TPZ76" s="26"/>
      <c r="TQA76" s="58"/>
      <c r="TQB76" s="26"/>
      <c r="TQC76" s="26"/>
      <c r="TQD76" s="26"/>
      <c r="TQE76" s="26"/>
      <c r="TQF76" s="22"/>
      <c r="TQG76" s="167"/>
      <c r="TQH76" s="30"/>
      <c r="TQI76" s="25"/>
      <c r="TQJ76" s="178"/>
      <c r="TQK76" s="26"/>
      <c r="TQL76" s="26"/>
      <c r="TQM76" s="26"/>
      <c r="TQN76" s="26"/>
      <c r="TQO76" s="26"/>
      <c r="TQP76" s="26"/>
      <c r="TQQ76" s="58"/>
      <c r="TQR76" s="26"/>
      <c r="TQS76" s="26"/>
      <c r="TQT76" s="26"/>
      <c r="TQU76" s="26"/>
      <c r="TQV76" s="22"/>
      <c r="TQW76" s="167"/>
      <c r="TQX76" s="30"/>
      <c r="TQY76" s="25"/>
      <c r="TQZ76" s="178"/>
      <c r="TRA76" s="26"/>
      <c r="TRB76" s="26"/>
      <c r="TRC76" s="26"/>
      <c r="TRD76" s="26"/>
      <c r="TRE76" s="26"/>
      <c r="TRF76" s="26"/>
      <c r="TRG76" s="58"/>
      <c r="TRH76" s="26"/>
      <c r="TRI76" s="26"/>
      <c r="TRJ76" s="26"/>
      <c r="TRK76" s="26"/>
      <c r="TRL76" s="22"/>
      <c r="TRM76" s="167"/>
      <c r="TRN76" s="30"/>
      <c r="TRO76" s="25"/>
      <c r="TRP76" s="178"/>
      <c r="TRQ76" s="26"/>
      <c r="TRR76" s="26"/>
      <c r="TRS76" s="26"/>
      <c r="TRT76" s="26"/>
      <c r="TRU76" s="26"/>
      <c r="TRV76" s="26"/>
      <c r="TRW76" s="58"/>
      <c r="TRX76" s="26"/>
      <c r="TRY76" s="26"/>
      <c r="TRZ76" s="26"/>
      <c r="TSA76" s="26"/>
      <c r="TSB76" s="22"/>
      <c r="TSC76" s="167"/>
      <c r="TSD76" s="30"/>
      <c r="TSE76" s="25"/>
      <c r="TSF76" s="178"/>
      <c r="TSG76" s="26"/>
      <c r="TSH76" s="26"/>
      <c r="TSI76" s="26"/>
      <c r="TSJ76" s="26"/>
      <c r="TSK76" s="26"/>
      <c r="TSL76" s="26"/>
      <c r="TSM76" s="58"/>
      <c r="TSN76" s="26"/>
      <c r="TSO76" s="26"/>
      <c r="TSP76" s="26"/>
      <c r="TSQ76" s="26"/>
      <c r="TSR76" s="22"/>
      <c r="TSS76" s="167"/>
      <c r="TST76" s="30"/>
      <c r="TSU76" s="25"/>
      <c r="TSV76" s="178"/>
      <c r="TSW76" s="26"/>
      <c r="TSX76" s="26"/>
      <c r="TSY76" s="26"/>
      <c r="TSZ76" s="26"/>
      <c r="TTA76" s="26"/>
      <c r="TTB76" s="26"/>
      <c r="TTC76" s="58"/>
      <c r="TTD76" s="26"/>
      <c r="TTE76" s="26"/>
      <c r="TTF76" s="26"/>
      <c r="TTG76" s="26"/>
      <c r="TTH76" s="22"/>
      <c r="TTI76" s="167"/>
      <c r="TTJ76" s="30"/>
      <c r="TTK76" s="25"/>
      <c r="TTL76" s="178"/>
      <c r="TTM76" s="26"/>
      <c r="TTN76" s="26"/>
      <c r="TTO76" s="26"/>
      <c r="TTP76" s="26"/>
      <c r="TTQ76" s="26"/>
      <c r="TTR76" s="26"/>
      <c r="TTS76" s="58"/>
      <c r="TTT76" s="26"/>
      <c r="TTU76" s="26"/>
      <c r="TTV76" s="26"/>
      <c r="TTW76" s="26"/>
      <c r="TTX76" s="22"/>
      <c r="TTY76" s="167"/>
      <c r="TTZ76" s="30"/>
      <c r="TUA76" s="25"/>
      <c r="TUB76" s="178"/>
      <c r="TUC76" s="26"/>
      <c r="TUD76" s="26"/>
      <c r="TUE76" s="26"/>
      <c r="TUF76" s="26"/>
      <c r="TUG76" s="26"/>
      <c r="TUH76" s="26"/>
      <c r="TUI76" s="58"/>
      <c r="TUJ76" s="26"/>
      <c r="TUK76" s="26"/>
      <c r="TUL76" s="26"/>
      <c r="TUM76" s="26"/>
      <c r="TUN76" s="22"/>
      <c r="TUO76" s="167"/>
      <c r="TUP76" s="30"/>
      <c r="TUQ76" s="25"/>
      <c r="TUR76" s="178"/>
      <c r="TUS76" s="26"/>
      <c r="TUT76" s="26"/>
      <c r="TUU76" s="26"/>
      <c r="TUV76" s="26"/>
      <c r="TUW76" s="26"/>
      <c r="TUX76" s="26"/>
      <c r="TUY76" s="58"/>
      <c r="TUZ76" s="26"/>
      <c r="TVA76" s="26"/>
      <c r="TVB76" s="26"/>
      <c r="TVC76" s="26"/>
      <c r="TVD76" s="22"/>
      <c r="TVE76" s="167"/>
      <c r="TVF76" s="30"/>
      <c r="TVG76" s="25"/>
      <c r="TVH76" s="178"/>
      <c r="TVI76" s="26"/>
      <c r="TVJ76" s="26"/>
      <c r="TVK76" s="26"/>
      <c r="TVL76" s="26"/>
      <c r="TVM76" s="26"/>
      <c r="TVN76" s="26"/>
      <c r="TVO76" s="58"/>
      <c r="TVP76" s="26"/>
      <c r="TVQ76" s="26"/>
      <c r="TVR76" s="26"/>
      <c r="TVS76" s="26"/>
      <c r="TVT76" s="22"/>
      <c r="TVU76" s="167"/>
      <c r="TVV76" s="30"/>
      <c r="TVW76" s="25"/>
      <c r="TVX76" s="178"/>
      <c r="TVY76" s="26"/>
      <c r="TVZ76" s="26"/>
      <c r="TWA76" s="26"/>
      <c r="TWB76" s="26"/>
      <c r="TWC76" s="26"/>
      <c r="TWD76" s="26"/>
      <c r="TWE76" s="58"/>
      <c r="TWF76" s="26"/>
      <c r="TWG76" s="26"/>
      <c r="TWH76" s="26"/>
      <c r="TWI76" s="26"/>
      <c r="TWJ76" s="22"/>
      <c r="TWK76" s="167"/>
      <c r="TWL76" s="30"/>
      <c r="TWM76" s="25"/>
      <c r="TWN76" s="178"/>
      <c r="TWO76" s="26"/>
      <c r="TWP76" s="26"/>
      <c r="TWQ76" s="26"/>
      <c r="TWR76" s="26"/>
      <c r="TWS76" s="26"/>
      <c r="TWT76" s="26"/>
      <c r="TWU76" s="58"/>
      <c r="TWV76" s="26"/>
      <c r="TWW76" s="26"/>
      <c r="TWX76" s="26"/>
      <c r="TWY76" s="26"/>
      <c r="TWZ76" s="22"/>
      <c r="TXA76" s="167"/>
      <c r="TXB76" s="30"/>
      <c r="TXC76" s="25"/>
      <c r="TXD76" s="178"/>
      <c r="TXE76" s="26"/>
      <c r="TXF76" s="26"/>
      <c r="TXG76" s="26"/>
      <c r="TXH76" s="26"/>
      <c r="TXI76" s="26"/>
      <c r="TXJ76" s="26"/>
      <c r="TXK76" s="58"/>
      <c r="TXL76" s="26"/>
      <c r="TXM76" s="26"/>
      <c r="TXN76" s="26"/>
      <c r="TXO76" s="26"/>
      <c r="TXP76" s="22"/>
      <c r="TXQ76" s="167"/>
      <c r="TXR76" s="30"/>
      <c r="TXS76" s="25"/>
      <c r="TXT76" s="178"/>
      <c r="TXU76" s="26"/>
      <c r="TXV76" s="26"/>
      <c r="TXW76" s="26"/>
      <c r="TXX76" s="26"/>
      <c r="TXY76" s="26"/>
      <c r="TXZ76" s="26"/>
      <c r="TYA76" s="58"/>
      <c r="TYB76" s="26"/>
      <c r="TYC76" s="26"/>
      <c r="TYD76" s="26"/>
      <c r="TYE76" s="26"/>
      <c r="TYF76" s="22"/>
      <c r="TYG76" s="167"/>
      <c r="TYH76" s="30"/>
      <c r="TYI76" s="25"/>
      <c r="TYJ76" s="178"/>
      <c r="TYK76" s="26"/>
      <c r="TYL76" s="26"/>
      <c r="TYM76" s="26"/>
      <c r="TYN76" s="26"/>
      <c r="TYO76" s="26"/>
      <c r="TYP76" s="26"/>
      <c r="TYQ76" s="58"/>
      <c r="TYR76" s="26"/>
      <c r="TYS76" s="26"/>
      <c r="TYT76" s="26"/>
      <c r="TYU76" s="26"/>
      <c r="TYV76" s="22"/>
      <c r="TYW76" s="167"/>
      <c r="TYX76" s="30"/>
      <c r="TYY76" s="25"/>
      <c r="TYZ76" s="178"/>
      <c r="TZA76" s="26"/>
      <c r="TZB76" s="26"/>
      <c r="TZC76" s="26"/>
      <c r="TZD76" s="26"/>
      <c r="TZE76" s="26"/>
      <c r="TZF76" s="26"/>
      <c r="TZG76" s="58"/>
      <c r="TZH76" s="26"/>
      <c r="TZI76" s="26"/>
      <c r="TZJ76" s="26"/>
      <c r="TZK76" s="26"/>
      <c r="TZL76" s="22"/>
      <c r="TZM76" s="167"/>
      <c r="TZN76" s="30"/>
      <c r="TZO76" s="25"/>
      <c r="TZP76" s="178"/>
      <c r="TZQ76" s="26"/>
      <c r="TZR76" s="26"/>
      <c r="TZS76" s="26"/>
      <c r="TZT76" s="26"/>
      <c r="TZU76" s="26"/>
      <c r="TZV76" s="26"/>
      <c r="TZW76" s="58"/>
      <c r="TZX76" s="26"/>
      <c r="TZY76" s="26"/>
      <c r="TZZ76" s="26"/>
      <c r="UAA76" s="26"/>
      <c r="UAB76" s="22"/>
      <c r="UAC76" s="167"/>
      <c r="UAD76" s="30"/>
      <c r="UAE76" s="25"/>
      <c r="UAF76" s="178"/>
      <c r="UAG76" s="26"/>
      <c r="UAH76" s="26"/>
      <c r="UAI76" s="26"/>
      <c r="UAJ76" s="26"/>
      <c r="UAK76" s="26"/>
      <c r="UAL76" s="26"/>
      <c r="UAM76" s="58"/>
      <c r="UAN76" s="26"/>
      <c r="UAO76" s="26"/>
      <c r="UAP76" s="26"/>
      <c r="UAQ76" s="26"/>
      <c r="UAR76" s="22"/>
      <c r="UAS76" s="167"/>
      <c r="UAT76" s="30"/>
      <c r="UAU76" s="25"/>
      <c r="UAV76" s="178"/>
      <c r="UAW76" s="26"/>
      <c r="UAX76" s="26"/>
      <c r="UAY76" s="26"/>
      <c r="UAZ76" s="26"/>
      <c r="UBA76" s="26"/>
      <c r="UBB76" s="26"/>
      <c r="UBC76" s="58"/>
      <c r="UBD76" s="26"/>
      <c r="UBE76" s="26"/>
      <c r="UBF76" s="26"/>
      <c r="UBG76" s="26"/>
      <c r="UBH76" s="22"/>
      <c r="UBI76" s="167"/>
      <c r="UBJ76" s="30"/>
      <c r="UBK76" s="25"/>
      <c r="UBL76" s="178"/>
      <c r="UBM76" s="26"/>
      <c r="UBN76" s="26"/>
      <c r="UBO76" s="26"/>
      <c r="UBP76" s="26"/>
      <c r="UBQ76" s="26"/>
      <c r="UBR76" s="26"/>
      <c r="UBS76" s="58"/>
      <c r="UBT76" s="26"/>
      <c r="UBU76" s="26"/>
      <c r="UBV76" s="26"/>
      <c r="UBW76" s="26"/>
      <c r="UBX76" s="22"/>
      <c r="UBY76" s="167"/>
      <c r="UBZ76" s="30"/>
      <c r="UCA76" s="25"/>
      <c r="UCB76" s="178"/>
      <c r="UCC76" s="26"/>
      <c r="UCD76" s="26"/>
      <c r="UCE76" s="26"/>
      <c r="UCF76" s="26"/>
      <c r="UCG76" s="26"/>
      <c r="UCH76" s="26"/>
      <c r="UCI76" s="58"/>
      <c r="UCJ76" s="26"/>
      <c r="UCK76" s="26"/>
      <c r="UCL76" s="26"/>
      <c r="UCM76" s="26"/>
      <c r="UCN76" s="22"/>
      <c r="UCO76" s="167"/>
      <c r="UCP76" s="30"/>
      <c r="UCQ76" s="25"/>
      <c r="UCR76" s="178"/>
      <c r="UCS76" s="26"/>
      <c r="UCT76" s="26"/>
      <c r="UCU76" s="26"/>
      <c r="UCV76" s="26"/>
      <c r="UCW76" s="26"/>
      <c r="UCX76" s="26"/>
      <c r="UCY76" s="58"/>
      <c r="UCZ76" s="26"/>
      <c r="UDA76" s="26"/>
      <c r="UDB76" s="26"/>
      <c r="UDC76" s="26"/>
      <c r="UDD76" s="22"/>
      <c r="UDE76" s="167"/>
      <c r="UDF76" s="30"/>
      <c r="UDG76" s="25"/>
      <c r="UDH76" s="178"/>
      <c r="UDI76" s="26"/>
      <c r="UDJ76" s="26"/>
      <c r="UDK76" s="26"/>
      <c r="UDL76" s="26"/>
      <c r="UDM76" s="26"/>
      <c r="UDN76" s="26"/>
      <c r="UDO76" s="58"/>
      <c r="UDP76" s="26"/>
      <c r="UDQ76" s="26"/>
      <c r="UDR76" s="26"/>
      <c r="UDS76" s="26"/>
      <c r="UDT76" s="22"/>
      <c r="UDU76" s="167"/>
      <c r="UDV76" s="30"/>
      <c r="UDW76" s="25"/>
      <c r="UDX76" s="178"/>
      <c r="UDY76" s="26"/>
      <c r="UDZ76" s="26"/>
      <c r="UEA76" s="26"/>
      <c r="UEB76" s="26"/>
      <c r="UEC76" s="26"/>
      <c r="UED76" s="26"/>
      <c r="UEE76" s="58"/>
      <c r="UEF76" s="26"/>
      <c r="UEG76" s="26"/>
      <c r="UEH76" s="26"/>
      <c r="UEI76" s="26"/>
      <c r="UEJ76" s="22"/>
      <c r="UEK76" s="167"/>
      <c r="UEL76" s="30"/>
      <c r="UEM76" s="25"/>
      <c r="UEN76" s="178"/>
      <c r="UEO76" s="26"/>
      <c r="UEP76" s="26"/>
      <c r="UEQ76" s="26"/>
      <c r="UER76" s="26"/>
      <c r="UES76" s="26"/>
      <c r="UET76" s="26"/>
      <c r="UEU76" s="58"/>
      <c r="UEV76" s="26"/>
      <c r="UEW76" s="26"/>
      <c r="UEX76" s="26"/>
      <c r="UEY76" s="26"/>
      <c r="UEZ76" s="22"/>
      <c r="UFA76" s="167"/>
      <c r="UFB76" s="30"/>
      <c r="UFC76" s="25"/>
      <c r="UFD76" s="178"/>
      <c r="UFE76" s="26"/>
      <c r="UFF76" s="26"/>
      <c r="UFG76" s="26"/>
      <c r="UFH76" s="26"/>
      <c r="UFI76" s="26"/>
      <c r="UFJ76" s="26"/>
      <c r="UFK76" s="58"/>
      <c r="UFL76" s="26"/>
      <c r="UFM76" s="26"/>
      <c r="UFN76" s="26"/>
      <c r="UFO76" s="26"/>
      <c r="UFP76" s="22"/>
      <c r="UFQ76" s="167"/>
      <c r="UFR76" s="30"/>
      <c r="UFS76" s="25"/>
      <c r="UFT76" s="178"/>
      <c r="UFU76" s="26"/>
      <c r="UFV76" s="26"/>
      <c r="UFW76" s="26"/>
      <c r="UFX76" s="26"/>
      <c r="UFY76" s="26"/>
      <c r="UFZ76" s="26"/>
      <c r="UGA76" s="58"/>
      <c r="UGB76" s="26"/>
      <c r="UGC76" s="26"/>
      <c r="UGD76" s="26"/>
      <c r="UGE76" s="26"/>
      <c r="UGF76" s="22"/>
      <c r="UGG76" s="167"/>
      <c r="UGH76" s="30"/>
      <c r="UGI76" s="25"/>
      <c r="UGJ76" s="178"/>
      <c r="UGK76" s="26"/>
      <c r="UGL76" s="26"/>
      <c r="UGM76" s="26"/>
      <c r="UGN76" s="26"/>
      <c r="UGO76" s="26"/>
      <c r="UGP76" s="26"/>
      <c r="UGQ76" s="58"/>
      <c r="UGR76" s="26"/>
      <c r="UGS76" s="26"/>
      <c r="UGT76" s="26"/>
      <c r="UGU76" s="26"/>
      <c r="UGV76" s="22"/>
      <c r="UGW76" s="167"/>
      <c r="UGX76" s="30"/>
      <c r="UGY76" s="25"/>
      <c r="UGZ76" s="178"/>
      <c r="UHA76" s="26"/>
      <c r="UHB76" s="26"/>
      <c r="UHC76" s="26"/>
      <c r="UHD76" s="26"/>
      <c r="UHE76" s="26"/>
      <c r="UHF76" s="26"/>
      <c r="UHG76" s="58"/>
      <c r="UHH76" s="26"/>
      <c r="UHI76" s="26"/>
      <c r="UHJ76" s="26"/>
      <c r="UHK76" s="26"/>
      <c r="UHL76" s="22"/>
      <c r="UHM76" s="167"/>
      <c r="UHN76" s="30"/>
      <c r="UHO76" s="25"/>
      <c r="UHP76" s="178"/>
      <c r="UHQ76" s="26"/>
      <c r="UHR76" s="26"/>
      <c r="UHS76" s="26"/>
      <c r="UHT76" s="26"/>
      <c r="UHU76" s="26"/>
      <c r="UHV76" s="26"/>
      <c r="UHW76" s="58"/>
      <c r="UHX76" s="26"/>
      <c r="UHY76" s="26"/>
      <c r="UHZ76" s="26"/>
      <c r="UIA76" s="26"/>
      <c r="UIB76" s="22"/>
      <c r="UIC76" s="167"/>
      <c r="UID76" s="30"/>
      <c r="UIE76" s="25"/>
      <c r="UIF76" s="178"/>
      <c r="UIG76" s="26"/>
      <c r="UIH76" s="26"/>
      <c r="UII76" s="26"/>
      <c r="UIJ76" s="26"/>
      <c r="UIK76" s="26"/>
      <c r="UIL76" s="26"/>
      <c r="UIM76" s="58"/>
      <c r="UIN76" s="26"/>
      <c r="UIO76" s="26"/>
      <c r="UIP76" s="26"/>
      <c r="UIQ76" s="26"/>
      <c r="UIR76" s="22"/>
      <c r="UIS76" s="167"/>
      <c r="UIT76" s="30"/>
      <c r="UIU76" s="25"/>
      <c r="UIV76" s="178"/>
      <c r="UIW76" s="26"/>
      <c r="UIX76" s="26"/>
      <c r="UIY76" s="26"/>
      <c r="UIZ76" s="26"/>
      <c r="UJA76" s="26"/>
      <c r="UJB76" s="26"/>
      <c r="UJC76" s="58"/>
      <c r="UJD76" s="26"/>
      <c r="UJE76" s="26"/>
      <c r="UJF76" s="26"/>
      <c r="UJG76" s="26"/>
      <c r="UJH76" s="22"/>
      <c r="UJI76" s="167"/>
      <c r="UJJ76" s="30"/>
      <c r="UJK76" s="25"/>
      <c r="UJL76" s="178"/>
      <c r="UJM76" s="26"/>
      <c r="UJN76" s="26"/>
      <c r="UJO76" s="26"/>
      <c r="UJP76" s="26"/>
      <c r="UJQ76" s="26"/>
      <c r="UJR76" s="26"/>
      <c r="UJS76" s="58"/>
      <c r="UJT76" s="26"/>
      <c r="UJU76" s="26"/>
      <c r="UJV76" s="26"/>
      <c r="UJW76" s="26"/>
      <c r="UJX76" s="22"/>
      <c r="UJY76" s="167"/>
      <c r="UJZ76" s="30"/>
      <c r="UKA76" s="25"/>
      <c r="UKB76" s="178"/>
      <c r="UKC76" s="26"/>
      <c r="UKD76" s="26"/>
      <c r="UKE76" s="26"/>
      <c r="UKF76" s="26"/>
      <c r="UKG76" s="26"/>
      <c r="UKH76" s="26"/>
      <c r="UKI76" s="58"/>
      <c r="UKJ76" s="26"/>
      <c r="UKK76" s="26"/>
      <c r="UKL76" s="26"/>
      <c r="UKM76" s="26"/>
      <c r="UKN76" s="22"/>
      <c r="UKO76" s="167"/>
      <c r="UKP76" s="30"/>
      <c r="UKQ76" s="25"/>
      <c r="UKR76" s="178"/>
      <c r="UKS76" s="26"/>
      <c r="UKT76" s="26"/>
      <c r="UKU76" s="26"/>
      <c r="UKV76" s="26"/>
      <c r="UKW76" s="26"/>
      <c r="UKX76" s="26"/>
      <c r="UKY76" s="58"/>
      <c r="UKZ76" s="26"/>
      <c r="ULA76" s="26"/>
      <c r="ULB76" s="26"/>
      <c r="ULC76" s="26"/>
      <c r="ULD76" s="22"/>
      <c r="ULE76" s="167"/>
      <c r="ULF76" s="30"/>
      <c r="ULG76" s="25"/>
      <c r="ULH76" s="178"/>
      <c r="ULI76" s="26"/>
      <c r="ULJ76" s="26"/>
      <c r="ULK76" s="26"/>
      <c r="ULL76" s="26"/>
      <c r="ULM76" s="26"/>
      <c r="ULN76" s="26"/>
      <c r="ULO76" s="58"/>
      <c r="ULP76" s="26"/>
      <c r="ULQ76" s="26"/>
      <c r="ULR76" s="26"/>
      <c r="ULS76" s="26"/>
      <c r="ULT76" s="22"/>
      <c r="ULU76" s="167"/>
      <c r="ULV76" s="30"/>
      <c r="ULW76" s="25"/>
      <c r="ULX76" s="178"/>
      <c r="ULY76" s="26"/>
      <c r="ULZ76" s="26"/>
      <c r="UMA76" s="26"/>
      <c r="UMB76" s="26"/>
      <c r="UMC76" s="26"/>
      <c r="UMD76" s="26"/>
      <c r="UME76" s="58"/>
      <c r="UMF76" s="26"/>
      <c r="UMG76" s="26"/>
      <c r="UMH76" s="26"/>
      <c r="UMI76" s="26"/>
      <c r="UMJ76" s="22"/>
      <c r="UMK76" s="167"/>
      <c r="UML76" s="30"/>
      <c r="UMM76" s="25"/>
      <c r="UMN76" s="178"/>
      <c r="UMO76" s="26"/>
      <c r="UMP76" s="26"/>
      <c r="UMQ76" s="26"/>
      <c r="UMR76" s="26"/>
      <c r="UMS76" s="26"/>
      <c r="UMT76" s="26"/>
      <c r="UMU76" s="58"/>
      <c r="UMV76" s="26"/>
      <c r="UMW76" s="26"/>
      <c r="UMX76" s="26"/>
      <c r="UMY76" s="26"/>
      <c r="UMZ76" s="22"/>
      <c r="UNA76" s="167"/>
      <c r="UNB76" s="30"/>
      <c r="UNC76" s="25"/>
      <c r="UND76" s="178"/>
      <c r="UNE76" s="26"/>
      <c r="UNF76" s="26"/>
      <c r="UNG76" s="26"/>
      <c r="UNH76" s="26"/>
      <c r="UNI76" s="26"/>
      <c r="UNJ76" s="26"/>
      <c r="UNK76" s="58"/>
      <c r="UNL76" s="26"/>
      <c r="UNM76" s="26"/>
      <c r="UNN76" s="26"/>
      <c r="UNO76" s="26"/>
      <c r="UNP76" s="22"/>
      <c r="UNQ76" s="167"/>
      <c r="UNR76" s="30"/>
      <c r="UNS76" s="25"/>
      <c r="UNT76" s="178"/>
      <c r="UNU76" s="26"/>
      <c r="UNV76" s="26"/>
      <c r="UNW76" s="26"/>
      <c r="UNX76" s="26"/>
      <c r="UNY76" s="26"/>
      <c r="UNZ76" s="26"/>
      <c r="UOA76" s="58"/>
      <c r="UOB76" s="26"/>
      <c r="UOC76" s="26"/>
      <c r="UOD76" s="26"/>
      <c r="UOE76" s="26"/>
      <c r="UOF76" s="22"/>
      <c r="UOG76" s="167"/>
      <c r="UOH76" s="30"/>
      <c r="UOI76" s="25"/>
      <c r="UOJ76" s="178"/>
      <c r="UOK76" s="26"/>
      <c r="UOL76" s="26"/>
      <c r="UOM76" s="26"/>
      <c r="UON76" s="26"/>
      <c r="UOO76" s="26"/>
      <c r="UOP76" s="26"/>
      <c r="UOQ76" s="58"/>
      <c r="UOR76" s="26"/>
      <c r="UOS76" s="26"/>
      <c r="UOT76" s="26"/>
      <c r="UOU76" s="26"/>
      <c r="UOV76" s="22"/>
      <c r="UOW76" s="167"/>
      <c r="UOX76" s="30"/>
      <c r="UOY76" s="25"/>
      <c r="UOZ76" s="178"/>
      <c r="UPA76" s="26"/>
      <c r="UPB76" s="26"/>
      <c r="UPC76" s="26"/>
      <c r="UPD76" s="26"/>
      <c r="UPE76" s="26"/>
      <c r="UPF76" s="26"/>
      <c r="UPG76" s="58"/>
      <c r="UPH76" s="26"/>
      <c r="UPI76" s="26"/>
      <c r="UPJ76" s="26"/>
      <c r="UPK76" s="26"/>
      <c r="UPL76" s="22"/>
      <c r="UPM76" s="167"/>
      <c r="UPN76" s="30"/>
      <c r="UPO76" s="25"/>
      <c r="UPP76" s="178"/>
      <c r="UPQ76" s="26"/>
      <c r="UPR76" s="26"/>
      <c r="UPS76" s="26"/>
      <c r="UPT76" s="26"/>
      <c r="UPU76" s="26"/>
      <c r="UPV76" s="26"/>
      <c r="UPW76" s="58"/>
      <c r="UPX76" s="26"/>
      <c r="UPY76" s="26"/>
      <c r="UPZ76" s="26"/>
      <c r="UQA76" s="26"/>
      <c r="UQB76" s="22"/>
      <c r="UQC76" s="167"/>
      <c r="UQD76" s="30"/>
      <c r="UQE76" s="25"/>
      <c r="UQF76" s="178"/>
      <c r="UQG76" s="26"/>
      <c r="UQH76" s="26"/>
      <c r="UQI76" s="26"/>
      <c r="UQJ76" s="26"/>
      <c r="UQK76" s="26"/>
      <c r="UQL76" s="26"/>
      <c r="UQM76" s="58"/>
      <c r="UQN76" s="26"/>
      <c r="UQO76" s="26"/>
      <c r="UQP76" s="26"/>
      <c r="UQQ76" s="26"/>
      <c r="UQR76" s="22"/>
      <c r="UQS76" s="167"/>
      <c r="UQT76" s="30"/>
      <c r="UQU76" s="25"/>
      <c r="UQV76" s="178"/>
      <c r="UQW76" s="26"/>
      <c r="UQX76" s="26"/>
      <c r="UQY76" s="26"/>
      <c r="UQZ76" s="26"/>
      <c r="URA76" s="26"/>
      <c r="URB76" s="26"/>
      <c r="URC76" s="58"/>
      <c r="URD76" s="26"/>
      <c r="URE76" s="26"/>
      <c r="URF76" s="26"/>
      <c r="URG76" s="26"/>
      <c r="URH76" s="22"/>
      <c r="URI76" s="167"/>
      <c r="URJ76" s="30"/>
      <c r="URK76" s="25"/>
      <c r="URL76" s="178"/>
      <c r="URM76" s="26"/>
      <c r="URN76" s="26"/>
      <c r="URO76" s="26"/>
      <c r="URP76" s="26"/>
      <c r="URQ76" s="26"/>
      <c r="URR76" s="26"/>
      <c r="URS76" s="58"/>
      <c r="URT76" s="26"/>
      <c r="URU76" s="26"/>
      <c r="URV76" s="26"/>
      <c r="URW76" s="26"/>
      <c r="URX76" s="22"/>
      <c r="URY76" s="167"/>
      <c r="URZ76" s="30"/>
      <c r="USA76" s="25"/>
      <c r="USB76" s="178"/>
      <c r="USC76" s="26"/>
      <c r="USD76" s="26"/>
      <c r="USE76" s="26"/>
      <c r="USF76" s="26"/>
      <c r="USG76" s="26"/>
      <c r="USH76" s="26"/>
      <c r="USI76" s="58"/>
      <c r="USJ76" s="26"/>
      <c r="USK76" s="26"/>
      <c r="USL76" s="26"/>
      <c r="USM76" s="26"/>
      <c r="USN76" s="22"/>
      <c r="USO76" s="167"/>
      <c r="USP76" s="30"/>
      <c r="USQ76" s="25"/>
      <c r="USR76" s="178"/>
      <c r="USS76" s="26"/>
      <c r="UST76" s="26"/>
      <c r="USU76" s="26"/>
      <c r="USV76" s="26"/>
      <c r="USW76" s="26"/>
      <c r="USX76" s="26"/>
      <c r="USY76" s="58"/>
      <c r="USZ76" s="26"/>
      <c r="UTA76" s="26"/>
      <c r="UTB76" s="26"/>
      <c r="UTC76" s="26"/>
      <c r="UTD76" s="22"/>
      <c r="UTE76" s="167"/>
      <c r="UTF76" s="30"/>
      <c r="UTG76" s="25"/>
      <c r="UTH76" s="178"/>
      <c r="UTI76" s="26"/>
      <c r="UTJ76" s="26"/>
      <c r="UTK76" s="26"/>
      <c r="UTL76" s="26"/>
      <c r="UTM76" s="26"/>
      <c r="UTN76" s="26"/>
      <c r="UTO76" s="58"/>
      <c r="UTP76" s="26"/>
      <c r="UTQ76" s="26"/>
      <c r="UTR76" s="26"/>
      <c r="UTS76" s="26"/>
      <c r="UTT76" s="22"/>
      <c r="UTU76" s="167"/>
      <c r="UTV76" s="30"/>
      <c r="UTW76" s="25"/>
      <c r="UTX76" s="178"/>
      <c r="UTY76" s="26"/>
      <c r="UTZ76" s="26"/>
      <c r="UUA76" s="26"/>
      <c r="UUB76" s="26"/>
      <c r="UUC76" s="26"/>
      <c r="UUD76" s="26"/>
      <c r="UUE76" s="58"/>
      <c r="UUF76" s="26"/>
      <c r="UUG76" s="26"/>
      <c r="UUH76" s="26"/>
      <c r="UUI76" s="26"/>
      <c r="UUJ76" s="22"/>
      <c r="UUK76" s="167"/>
      <c r="UUL76" s="30"/>
      <c r="UUM76" s="25"/>
      <c r="UUN76" s="178"/>
      <c r="UUO76" s="26"/>
      <c r="UUP76" s="26"/>
      <c r="UUQ76" s="26"/>
      <c r="UUR76" s="26"/>
      <c r="UUS76" s="26"/>
      <c r="UUT76" s="26"/>
      <c r="UUU76" s="58"/>
      <c r="UUV76" s="26"/>
      <c r="UUW76" s="26"/>
      <c r="UUX76" s="26"/>
      <c r="UUY76" s="26"/>
      <c r="UUZ76" s="22"/>
      <c r="UVA76" s="167"/>
      <c r="UVB76" s="30"/>
      <c r="UVC76" s="25"/>
      <c r="UVD76" s="178"/>
      <c r="UVE76" s="26"/>
      <c r="UVF76" s="26"/>
      <c r="UVG76" s="26"/>
      <c r="UVH76" s="26"/>
      <c r="UVI76" s="26"/>
      <c r="UVJ76" s="26"/>
      <c r="UVK76" s="58"/>
      <c r="UVL76" s="26"/>
      <c r="UVM76" s="26"/>
      <c r="UVN76" s="26"/>
      <c r="UVO76" s="26"/>
      <c r="UVP76" s="22"/>
      <c r="UVQ76" s="167"/>
      <c r="UVR76" s="30"/>
      <c r="UVS76" s="25"/>
      <c r="UVT76" s="178"/>
      <c r="UVU76" s="26"/>
      <c r="UVV76" s="26"/>
      <c r="UVW76" s="26"/>
      <c r="UVX76" s="26"/>
      <c r="UVY76" s="26"/>
      <c r="UVZ76" s="26"/>
      <c r="UWA76" s="58"/>
      <c r="UWB76" s="26"/>
      <c r="UWC76" s="26"/>
      <c r="UWD76" s="26"/>
      <c r="UWE76" s="26"/>
      <c r="UWF76" s="22"/>
      <c r="UWG76" s="167"/>
      <c r="UWH76" s="30"/>
      <c r="UWI76" s="25"/>
      <c r="UWJ76" s="178"/>
      <c r="UWK76" s="26"/>
      <c r="UWL76" s="26"/>
      <c r="UWM76" s="26"/>
      <c r="UWN76" s="26"/>
      <c r="UWO76" s="26"/>
      <c r="UWP76" s="26"/>
      <c r="UWQ76" s="58"/>
      <c r="UWR76" s="26"/>
      <c r="UWS76" s="26"/>
      <c r="UWT76" s="26"/>
      <c r="UWU76" s="26"/>
      <c r="UWV76" s="22"/>
      <c r="UWW76" s="167"/>
      <c r="UWX76" s="30"/>
      <c r="UWY76" s="25"/>
      <c r="UWZ76" s="178"/>
      <c r="UXA76" s="26"/>
      <c r="UXB76" s="26"/>
      <c r="UXC76" s="26"/>
      <c r="UXD76" s="26"/>
      <c r="UXE76" s="26"/>
      <c r="UXF76" s="26"/>
      <c r="UXG76" s="58"/>
      <c r="UXH76" s="26"/>
      <c r="UXI76" s="26"/>
      <c r="UXJ76" s="26"/>
      <c r="UXK76" s="26"/>
      <c r="UXL76" s="22"/>
      <c r="UXM76" s="167"/>
      <c r="UXN76" s="30"/>
      <c r="UXO76" s="25"/>
      <c r="UXP76" s="178"/>
      <c r="UXQ76" s="26"/>
      <c r="UXR76" s="26"/>
      <c r="UXS76" s="26"/>
      <c r="UXT76" s="26"/>
      <c r="UXU76" s="26"/>
      <c r="UXV76" s="26"/>
      <c r="UXW76" s="58"/>
      <c r="UXX76" s="26"/>
      <c r="UXY76" s="26"/>
      <c r="UXZ76" s="26"/>
      <c r="UYA76" s="26"/>
      <c r="UYB76" s="22"/>
      <c r="UYC76" s="167"/>
      <c r="UYD76" s="30"/>
      <c r="UYE76" s="25"/>
      <c r="UYF76" s="178"/>
      <c r="UYG76" s="26"/>
      <c r="UYH76" s="26"/>
      <c r="UYI76" s="26"/>
      <c r="UYJ76" s="26"/>
      <c r="UYK76" s="26"/>
      <c r="UYL76" s="26"/>
      <c r="UYM76" s="58"/>
      <c r="UYN76" s="26"/>
      <c r="UYO76" s="26"/>
      <c r="UYP76" s="26"/>
      <c r="UYQ76" s="26"/>
      <c r="UYR76" s="22"/>
      <c r="UYS76" s="167"/>
      <c r="UYT76" s="30"/>
      <c r="UYU76" s="25"/>
      <c r="UYV76" s="178"/>
      <c r="UYW76" s="26"/>
      <c r="UYX76" s="26"/>
      <c r="UYY76" s="26"/>
      <c r="UYZ76" s="26"/>
      <c r="UZA76" s="26"/>
      <c r="UZB76" s="26"/>
      <c r="UZC76" s="58"/>
      <c r="UZD76" s="26"/>
      <c r="UZE76" s="26"/>
      <c r="UZF76" s="26"/>
      <c r="UZG76" s="26"/>
      <c r="UZH76" s="22"/>
      <c r="UZI76" s="167"/>
      <c r="UZJ76" s="30"/>
      <c r="UZK76" s="25"/>
      <c r="UZL76" s="178"/>
      <c r="UZM76" s="26"/>
      <c r="UZN76" s="26"/>
      <c r="UZO76" s="26"/>
      <c r="UZP76" s="26"/>
      <c r="UZQ76" s="26"/>
      <c r="UZR76" s="26"/>
      <c r="UZS76" s="58"/>
      <c r="UZT76" s="26"/>
      <c r="UZU76" s="26"/>
      <c r="UZV76" s="26"/>
      <c r="UZW76" s="26"/>
      <c r="UZX76" s="22"/>
      <c r="UZY76" s="167"/>
      <c r="UZZ76" s="30"/>
      <c r="VAA76" s="25"/>
      <c r="VAB76" s="178"/>
      <c r="VAC76" s="26"/>
      <c r="VAD76" s="26"/>
      <c r="VAE76" s="26"/>
      <c r="VAF76" s="26"/>
      <c r="VAG76" s="26"/>
      <c r="VAH76" s="26"/>
      <c r="VAI76" s="58"/>
      <c r="VAJ76" s="26"/>
      <c r="VAK76" s="26"/>
      <c r="VAL76" s="26"/>
      <c r="VAM76" s="26"/>
      <c r="VAN76" s="22"/>
      <c r="VAO76" s="167"/>
      <c r="VAP76" s="30"/>
      <c r="VAQ76" s="25"/>
      <c r="VAR76" s="178"/>
      <c r="VAS76" s="26"/>
      <c r="VAT76" s="26"/>
      <c r="VAU76" s="26"/>
      <c r="VAV76" s="26"/>
      <c r="VAW76" s="26"/>
      <c r="VAX76" s="26"/>
      <c r="VAY76" s="58"/>
      <c r="VAZ76" s="26"/>
      <c r="VBA76" s="26"/>
      <c r="VBB76" s="26"/>
      <c r="VBC76" s="26"/>
      <c r="VBD76" s="22"/>
      <c r="VBE76" s="167"/>
      <c r="VBF76" s="30"/>
      <c r="VBG76" s="25"/>
      <c r="VBH76" s="178"/>
      <c r="VBI76" s="26"/>
      <c r="VBJ76" s="26"/>
      <c r="VBK76" s="26"/>
      <c r="VBL76" s="26"/>
      <c r="VBM76" s="26"/>
      <c r="VBN76" s="26"/>
      <c r="VBO76" s="58"/>
      <c r="VBP76" s="26"/>
      <c r="VBQ76" s="26"/>
      <c r="VBR76" s="26"/>
      <c r="VBS76" s="26"/>
      <c r="VBT76" s="22"/>
      <c r="VBU76" s="167"/>
      <c r="VBV76" s="30"/>
      <c r="VBW76" s="25"/>
      <c r="VBX76" s="178"/>
      <c r="VBY76" s="26"/>
      <c r="VBZ76" s="26"/>
      <c r="VCA76" s="26"/>
      <c r="VCB76" s="26"/>
      <c r="VCC76" s="26"/>
      <c r="VCD76" s="26"/>
      <c r="VCE76" s="58"/>
      <c r="VCF76" s="26"/>
      <c r="VCG76" s="26"/>
      <c r="VCH76" s="26"/>
      <c r="VCI76" s="26"/>
      <c r="VCJ76" s="22"/>
      <c r="VCK76" s="167"/>
      <c r="VCL76" s="30"/>
      <c r="VCM76" s="25"/>
      <c r="VCN76" s="178"/>
      <c r="VCO76" s="26"/>
      <c r="VCP76" s="26"/>
      <c r="VCQ76" s="26"/>
      <c r="VCR76" s="26"/>
      <c r="VCS76" s="26"/>
      <c r="VCT76" s="26"/>
      <c r="VCU76" s="58"/>
      <c r="VCV76" s="26"/>
      <c r="VCW76" s="26"/>
      <c r="VCX76" s="26"/>
      <c r="VCY76" s="26"/>
      <c r="VCZ76" s="22"/>
      <c r="VDA76" s="167"/>
      <c r="VDB76" s="30"/>
      <c r="VDC76" s="25"/>
      <c r="VDD76" s="178"/>
      <c r="VDE76" s="26"/>
      <c r="VDF76" s="26"/>
      <c r="VDG76" s="26"/>
      <c r="VDH76" s="26"/>
      <c r="VDI76" s="26"/>
      <c r="VDJ76" s="26"/>
      <c r="VDK76" s="58"/>
      <c r="VDL76" s="26"/>
      <c r="VDM76" s="26"/>
      <c r="VDN76" s="26"/>
      <c r="VDO76" s="26"/>
      <c r="VDP76" s="22"/>
      <c r="VDQ76" s="167"/>
      <c r="VDR76" s="30"/>
      <c r="VDS76" s="25"/>
      <c r="VDT76" s="178"/>
      <c r="VDU76" s="26"/>
      <c r="VDV76" s="26"/>
      <c r="VDW76" s="26"/>
      <c r="VDX76" s="26"/>
      <c r="VDY76" s="26"/>
      <c r="VDZ76" s="26"/>
      <c r="VEA76" s="58"/>
      <c r="VEB76" s="26"/>
      <c r="VEC76" s="26"/>
      <c r="VED76" s="26"/>
      <c r="VEE76" s="26"/>
      <c r="VEF76" s="22"/>
      <c r="VEG76" s="167"/>
      <c r="VEH76" s="30"/>
      <c r="VEI76" s="25"/>
      <c r="VEJ76" s="178"/>
      <c r="VEK76" s="26"/>
      <c r="VEL76" s="26"/>
      <c r="VEM76" s="26"/>
      <c r="VEN76" s="26"/>
      <c r="VEO76" s="26"/>
      <c r="VEP76" s="26"/>
      <c r="VEQ76" s="58"/>
      <c r="VER76" s="26"/>
      <c r="VES76" s="26"/>
      <c r="VET76" s="26"/>
      <c r="VEU76" s="26"/>
      <c r="VEV76" s="22"/>
      <c r="VEW76" s="167"/>
      <c r="VEX76" s="30"/>
      <c r="VEY76" s="25"/>
      <c r="VEZ76" s="178"/>
      <c r="VFA76" s="26"/>
      <c r="VFB76" s="26"/>
      <c r="VFC76" s="26"/>
      <c r="VFD76" s="26"/>
      <c r="VFE76" s="26"/>
      <c r="VFF76" s="26"/>
      <c r="VFG76" s="58"/>
      <c r="VFH76" s="26"/>
      <c r="VFI76" s="26"/>
      <c r="VFJ76" s="26"/>
      <c r="VFK76" s="26"/>
      <c r="VFL76" s="22"/>
      <c r="VFM76" s="167"/>
      <c r="VFN76" s="30"/>
      <c r="VFO76" s="25"/>
      <c r="VFP76" s="178"/>
      <c r="VFQ76" s="26"/>
      <c r="VFR76" s="26"/>
      <c r="VFS76" s="26"/>
      <c r="VFT76" s="26"/>
      <c r="VFU76" s="26"/>
      <c r="VFV76" s="26"/>
      <c r="VFW76" s="58"/>
      <c r="VFX76" s="26"/>
      <c r="VFY76" s="26"/>
      <c r="VFZ76" s="26"/>
      <c r="VGA76" s="26"/>
      <c r="VGB76" s="22"/>
      <c r="VGC76" s="167"/>
      <c r="VGD76" s="30"/>
      <c r="VGE76" s="25"/>
      <c r="VGF76" s="178"/>
      <c r="VGG76" s="26"/>
      <c r="VGH76" s="26"/>
      <c r="VGI76" s="26"/>
      <c r="VGJ76" s="26"/>
      <c r="VGK76" s="26"/>
      <c r="VGL76" s="26"/>
      <c r="VGM76" s="58"/>
      <c r="VGN76" s="26"/>
      <c r="VGO76" s="26"/>
      <c r="VGP76" s="26"/>
      <c r="VGQ76" s="26"/>
      <c r="VGR76" s="22"/>
      <c r="VGS76" s="167"/>
      <c r="VGT76" s="30"/>
      <c r="VGU76" s="25"/>
      <c r="VGV76" s="178"/>
      <c r="VGW76" s="26"/>
      <c r="VGX76" s="26"/>
      <c r="VGY76" s="26"/>
      <c r="VGZ76" s="26"/>
      <c r="VHA76" s="26"/>
      <c r="VHB76" s="26"/>
      <c r="VHC76" s="58"/>
      <c r="VHD76" s="26"/>
      <c r="VHE76" s="26"/>
      <c r="VHF76" s="26"/>
      <c r="VHG76" s="26"/>
      <c r="VHH76" s="22"/>
      <c r="VHI76" s="167"/>
      <c r="VHJ76" s="30"/>
      <c r="VHK76" s="25"/>
      <c r="VHL76" s="178"/>
      <c r="VHM76" s="26"/>
      <c r="VHN76" s="26"/>
      <c r="VHO76" s="26"/>
      <c r="VHP76" s="26"/>
      <c r="VHQ76" s="26"/>
      <c r="VHR76" s="26"/>
      <c r="VHS76" s="58"/>
      <c r="VHT76" s="26"/>
      <c r="VHU76" s="26"/>
      <c r="VHV76" s="26"/>
      <c r="VHW76" s="26"/>
      <c r="VHX76" s="22"/>
      <c r="VHY76" s="167"/>
      <c r="VHZ76" s="30"/>
      <c r="VIA76" s="25"/>
      <c r="VIB76" s="178"/>
      <c r="VIC76" s="26"/>
      <c r="VID76" s="26"/>
      <c r="VIE76" s="26"/>
      <c r="VIF76" s="26"/>
      <c r="VIG76" s="26"/>
      <c r="VIH76" s="26"/>
      <c r="VII76" s="58"/>
      <c r="VIJ76" s="26"/>
      <c r="VIK76" s="26"/>
      <c r="VIL76" s="26"/>
      <c r="VIM76" s="26"/>
      <c r="VIN76" s="22"/>
      <c r="VIO76" s="167"/>
      <c r="VIP76" s="30"/>
      <c r="VIQ76" s="25"/>
      <c r="VIR76" s="178"/>
      <c r="VIS76" s="26"/>
      <c r="VIT76" s="26"/>
      <c r="VIU76" s="26"/>
      <c r="VIV76" s="26"/>
      <c r="VIW76" s="26"/>
      <c r="VIX76" s="26"/>
      <c r="VIY76" s="58"/>
      <c r="VIZ76" s="26"/>
      <c r="VJA76" s="26"/>
      <c r="VJB76" s="26"/>
      <c r="VJC76" s="26"/>
      <c r="VJD76" s="22"/>
      <c r="VJE76" s="167"/>
      <c r="VJF76" s="30"/>
      <c r="VJG76" s="25"/>
      <c r="VJH76" s="178"/>
      <c r="VJI76" s="26"/>
      <c r="VJJ76" s="26"/>
      <c r="VJK76" s="26"/>
      <c r="VJL76" s="26"/>
      <c r="VJM76" s="26"/>
      <c r="VJN76" s="26"/>
      <c r="VJO76" s="58"/>
      <c r="VJP76" s="26"/>
      <c r="VJQ76" s="26"/>
      <c r="VJR76" s="26"/>
      <c r="VJS76" s="26"/>
      <c r="VJT76" s="22"/>
      <c r="VJU76" s="167"/>
      <c r="VJV76" s="30"/>
      <c r="VJW76" s="25"/>
      <c r="VJX76" s="178"/>
      <c r="VJY76" s="26"/>
      <c r="VJZ76" s="26"/>
      <c r="VKA76" s="26"/>
      <c r="VKB76" s="26"/>
      <c r="VKC76" s="26"/>
      <c r="VKD76" s="26"/>
      <c r="VKE76" s="58"/>
      <c r="VKF76" s="26"/>
      <c r="VKG76" s="26"/>
      <c r="VKH76" s="26"/>
      <c r="VKI76" s="26"/>
      <c r="VKJ76" s="22"/>
      <c r="VKK76" s="167"/>
      <c r="VKL76" s="30"/>
      <c r="VKM76" s="25"/>
      <c r="VKN76" s="178"/>
      <c r="VKO76" s="26"/>
      <c r="VKP76" s="26"/>
      <c r="VKQ76" s="26"/>
      <c r="VKR76" s="26"/>
      <c r="VKS76" s="26"/>
      <c r="VKT76" s="26"/>
      <c r="VKU76" s="58"/>
      <c r="VKV76" s="26"/>
      <c r="VKW76" s="26"/>
      <c r="VKX76" s="26"/>
      <c r="VKY76" s="26"/>
      <c r="VKZ76" s="22"/>
      <c r="VLA76" s="167"/>
      <c r="VLB76" s="30"/>
      <c r="VLC76" s="25"/>
      <c r="VLD76" s="178"/>
      <c r="VLE76" s="26"/>
      <c r="VLF76" s="26"/>
      <c r="VLG76" s="26"/>
      <c r="VLH76" s="26"/>
      <c r="VLI76" s="26"/>
      <c r="VLJ76" s="26"/>
      <c r="VLK76" s="58"/>
      <c r="VLL76" s="26"/>
      <c r="VLM76" s="26"/>
      <c r="VLN76" s="26"/>
      <c r="VLO76" s="26"/>
      <c r="VLP76" s="22"/>
      <c r="VLQ76" s="167"/>
      <c r="VLR76" s="30"/>
      <c r="VLS76" s="25"/>
      <c r="VLT76" s="178"/>
      <c r="VLU76" s="26"/>
      <c r="VLV76" s="26"/>
      <c r="VLW76" s="26"/>
      <c r="VLX76" s="26"/>
      <c r="VLY76" s="26"/>
      <c r="VLZ76" s="26"/>
      <c r="VMA76" s="58"/>
      <c r="VMB76" s="26"/>
      <c r="VMC76" s="26"/>
      <c r="VMD76" s="26"/>
      <c r="VME76" s="26"/>
      <c r="VMF76" s="22"/>
      <c r="VMG76" s="167"/>
      <c r="VMH76" s="30"/>
      <c r="VMI76" s="25"/>
      <c r="VMJ76" s="178"/>
      <c r="VMK76" s="26"/>
      <c r="VML76" s="26"/>
      <c r="VMM76" s="26"/>
      <c r="VMN76" s="26"/>
      <c r="VMO76" s="26"/>
      <c r="VMP76" s="26"/>
      <c r="VMQ76" s="58"/>
      <c r="VMR76" s="26"/>
      <c r="VMS76" s="26"/>
      <c r="VMT76" s="26"/>
      <c r="VMU76" s="26"/>
      <c r="VMV76" s="22"/>
      <c r="VMW76" s="167"/>
      <c r="VMX76" s="30"/>
      <c r="VMY76" s="25"/>
      <c r="VMZ76" s="178"/>
      <c r="VNA76" s="26"/>
      <c r="VNB76" s="26"/>
      <c r="VNC76" s="26"/>
      <c r="VND76" s="26"/>
      <c r="VNE76" s="26"/>
      <c r="VNF76" s="26"/>
      <c r="VNG76" s="58"/>
      <c r="VNH76" s="26"/>
      <c r="VNI76" s="26"/>
      <c r="VNJ76" s="26"/>
      <c r="VNK76" s="26"/>
      <c r="VNL76" s="22"/>
      <c r="VNM76" s="167"/>
      <c r="VNN76" s="30"/>
      <c r="VNO76" s="25"/>
      <c r="VNP76" s="178"/>
      <c r="VNQ76" s="26"/>
      <c r="VNR76" s="26"/>
      <c r="VNS76" s="26"/>
      <c r="VNT76" s="26"/>
      <c r="VNU76" s="26"/>
      <c r="VNV76" s="26"/>
      <c r="VNW76" s="58"/>
      <c r="VNX76" s="26"/>
      <c r="VNY76" s="26"/>
      <c r="VNZ76" s="26"/>
      <c r="VOA76" s="26"/>
      <c r="VOB76" s="22"/>
      <c r="VOC76" s="167"/>
      <c r="VOD76" s="30"/>
      <c r="VOE76" s="25"/>
      <c r="VOF76" s="178"/>
      <c r="VOG76" s="26"/>
      <c r="VOH76" s="26"/>
      <c r="VOI76" s="26"/>
      <c r="VOJ76" s="26"/>
      <c r="VOK76" s="26"/>
      <c r="VOL76" s="26"/>
      <c r="VOM76" s="58"/>
      <c r="VON76" s="26"/>
      <c r="VOO76" s="26"/>
      <c r="VOP76" s="26"/>
      <c r="VOQ76" s="26"/>
      <c r="VOR76" s="22"/>
      <c r="VOS76" s="167"/>
      <c r="VOT76" s="30"/>
      <c r="VOU76" s="25"/>
      <c r="VOV76" s="178"/>
      <c r="VOW76" s="26"/>
      <c r="VOX76" s="26"/>
      <c r="VOY76" s="26"/>
      <c r="VOZ76" s="26"/>
      <c r="VPA76" s="26"/>
      <c r="VPB76" s="26"/>
      <c r="VPC76" s="58"/>
      <c r="VPD76" s="26"/>
      <c r="VPE76" s="26"/>
      <c r="VPF76" s="26"/>
      <c r="VPG76" s="26"/>
      <c r="VPH76" s="22"/>
      <c r="VPI76" s="167"/>
      <c r="VPJ76" s="30"/>
      <c r="VPK76" s="25"/>
      <c r="VPL76" s="178"/>
      <c r="VPM76" s="26"/>
      <c r="VPN76" s="26"/>
      <c r="VPO76" s="26"/>
      <c r="VPP76" s="26"/>
      <c r="VPQ76" s="26"/>
      <c r="VPR76" s="26"/>
      <c r="VPS76" s="58"/>
      <c r="VPT76" s="26"/>
      <c r="VPU76" s="26"/>
      <c r="VPV76" s="26"/>
      <c r="VPW76" s="26"/>
      <c r="VPX76" s="22"/>
      <c r="VPY76" s="167"/>
      <c r="VPZ76" s="30"/>
      <c r="VQA76" s="25"/>
      <c r="VQB76" s="178"/>
      <c r="VQC76" s="26"/>
      <c r="VQD76" s="26"/>
      <c r="VQE76" s="26"/>
      <c r="VQF76" s="26"/>
      <c r="VQG76" s="26"/>
      <c r="VQH76" s="26"/>
      <c r="VQI76" s="58"/>
      <c r="VQJ76" s="26"/>
      <c r="VQK76" s="26"/>
      <c r="VQL76" s="26"/>
      <c r="VQM76" s="26"/>
      <c r="VQN76" s="22"/>
      <c r="VQO76" s="167"/>
      <c r="VQP76" s="30"/>
      <c r="VQQ76" s="25"/>
      <c r="VQR76" s="178"/>
      <c r="VQS76" s="26"/>
      <c r="VQT76" s="26"/>
      <c r="VQU76" s="26"/>
      <c r="VQV76" s="26"/>
      <c r="VQW76" s="26"/>
      <c r="VQX76" s="26"/>
      <c r="VQY76" s="58"/>
      <c r="VQZ76" s="26"/>
      <c r="VRA76" s="26"/>
      <c r="VRB76" s="26"/>
      <c r="VRC76" s="26"/>
      <c r="VRD76" s="22"/>
      <c r="VRE76" s="167"/>
      <c r="VRF76" s="30"/>
      <c r="VRG76" s="25"/>
      <c r="VRH76" s="178"/>
      <c r="VRI76" s="26"/>
      <c r="VRJ76" s="26"/>
      <c r="VRK76" s="26"/>
      <c r="VRL76" s="26"/>
      <c r="VRM76" s="26"/>
      <c r="VRN76" s="26"/>
      <c r="VRO76" s="58"/>
      <c r="VRP76" s="26"/>
      <c r="VRQ76" s="26"/>
      <c r="VRR76" s="26"/>
      <c r="VRS76" s="26"/>
      <c r="VRT76" s="22"/>
      <c r="VRU76" s="167"/>
      <c r="VRV76" s="30"/>
      <c r="VRW76" s="25"/>
      <c r="VRX76" s="178"/>
      <c r="VRY76" s="26"/>
      <c r="VRZ76" s="26"/>
      <c r="VSA76" s="26"/>
      <c r="VSB76" s="26"/>
      <c r="VSC76" s="26"/>
      <c r="VSD76" s="26"/>
      <c r="VSE76" s="58"/>
      <c r="VSF76" s="26"/>
      <c r="VSG76" s="26"/>
      <c r="VSH76" s="26"/>
      <c r="VSI76" s="26"/>
      <c r="VSJ76" s="22"/>
      <c r="VSK76" s="167"/>
      <c r="VSL76" s="30"/>
      <c r="VSM76" s="25"/>
      <c r="VSN76" s="178"/>
      <c r="VSO76" s="26"/>
      <c r="VSP76" s="26"/>
      <c r="VSQ76" s="26"/>
      <c r="VSR76" s="26"/>
      <c r="VSS76" s="26"/>
      <c r="VST76" s="26"/>
      <c r="VSU76" s="58"/>
      <c r="VSV76" s="26"/>
      <c r="VSW76" s="26"/>
      <c r="VSX76" s="26"/>
      <c r="VSY76" s="26"/>
      <c r="VSZ76" s="22"/>
      <c r="VTA76" s="167"/>
      <c r="VTB76" s="30"/>
      <c r="VTC76" s="25"/>
      <c r="VTD76" s="178"/>
      <c r="VTE76" s="26"/>
      <c r="VTF76" s="26"/>
      <c r="VTG76" s="26"/>
      <c r="VTH76" s="26"/>
      <c r="VTI76" s="26"/>
      <c r="VTJ76" s="26"/>
      <c r="VTK76" s="58"/>
      <c r="VTL76" s="26"/>
      <c r="VTM76" s="26"/>
      <c r="VTN76" s="26"/>
      <c r="VTO76" s="26"/>
      <c r="VTP76" s="22"/>
      <c r="VTQ76" s="167"/>
      <c r="VTR76" s="30"/>
      <c r="VTS76" s="25"/>
      <c r="VTT76" s="178"/>
      <c r="VTU76" s="26"/>
      <c r="VTV76" s="26"/>
      <c r="VTW76" s="26"/>
      <c r="VTX76" s="26"/>
      <c r="VTY76" s="26"/>
      <c r="VTZ76" s="26"/>
      <c r="VUA76" s="58"/>
      <c r="VUB76" s="26"/>
      <c r="VUC76" s="26"/>
      <c r="VUD76" s="26"/>
      <c r="VUE76" s="26"/>
      <c r="VUF76" s="22"/>
      <c r="VUG76" s="167"/>
      <c r="VUH76" s="30"/>
      <c r="VUI76" s="25"/>
      <c r="VUJ76" s="178"/>
      <c r="VUK76" s="26"/>
      <c r="VUL76" s="26"/>
      <c r="VUM76" s="26"/>
      <c r="VUN76" s="26"/>
      <c r="VUO76" s="26"/>
      <c r="VUP76" s="26"/>
      <c r="VUQ76" s="58"/>
      <c r="VUR76" s="26"/>
      <c r="VUS76" s="26"/>
      <c r="VUT76" s="26"/>
      <c r="VUU76" s="26"/>
      <c r="VUV76" s="22"/>
      <c r="VUW76" s="167"/>
      <c r="VUX76" s="30"/>
      <c r="VUY76" s="25"/>
      <c r="VUZ76" s="178"/>
      <c r="VVA76" s="26"/>
      <c r="VVB76" s="26"/>
      <c r="VVC76" s="26"/>
      <c r="VVD76" s="26"/>
      <c r="VVE76" s="26"/>
      <c r="VVF76" s="26"/>
      <c r="VVG76" s="58"/>
      <c r="VVH76" s="26"/>
      <c r="VVI76" s="26"/>
      <c r="VVJ76" s="26"/>
      <c r="VVK76" s="26"/>
      <c r="VVL76" s="22"/>
      <c r="VVM76" s="167"/>
      <c r="VVN76" s="30"/>
      <c r="VVO76" s="25"/>
      <c r="VVP76" s="178"/>
      <c r="VVQ76" s="26"/>
      <c r="VVR76" s="26"/>
      <c r="VVS76" s="26"/>
      <c r="VVT76" s="26"/>
      <c r="VVU76" s="26"/>
      <c r="VVV76" s="26"/>
      <c r="VVW76" s="58"/>
      <c r="VVX76" s="26"/>
      <c r="VVY76" s="26"/>
      <c r="VVZ76" s="26"/>
      <c r="VWA76" s="26"/>
      <c r="VWB76" s="22"/>
      <c r="VWC76" s="167"/>
      <c r="VWD76" s="30"/>
      <c r="VWE76" s="25"/>
      <c r="VWF76" s="178"/>
      <c r="VWG76" s="26"/>
      <c r="VWH76" s="26"/>
      <c r="VWI76" s="26"/>
      <c r="VWJ76" s="26"/>
      <c r="VWK76" s="26"/>
      <c r="VWL76" s="26"/>
      <c r="VWM76" s="58"/>
      <c r="VWN76" s="26"/>
      <c r="VWO76" s="26"/>
      <c r="VWP76" s="26"/>
      <c r="VWQ76" s="26"/>
      <c r="VWR76" s="22"/>
      <c r="VWS76" s="167"/>
      <c r="VWT76" s="30"/>
      <c r="VWU76" s="25"/>
      <c r="VWV76" s="178"/>
      <c r="VWW76" s="26"/>
      <c r="VWX76" s="26"/>
      <c r="VWY76" s="26"/>
      <c r="VWZ76" s="26"/>
      <c r="VXA76" s="26"/>
      <c r="VXB76" s="26"/>
      <c r="VXC76" s="58"/>
      <c r="VXD76" s="26"/>
      <c r="VXE76" s="26"/>
      <c r="VXF76" s="26"/>
      <c r="VXG76" s="26"/>
      <c r="VXH76" s="22"/>
      <c r="VXI76" s="167"/>
      <c r="VXJ76" s="30"/>
      <c r="VXK76" s="25"/>
      <c r="VXL76" s="178"/>
      <c r="VXM76" s="26"/>
      <c r="VXN76" s="26"/>
      <c r="VXO76" s="26"/>
      <c r="VXP76" s="26"/>
      <c r="VXQ76" s="26"/>
      <c r="VXR76" s="26"/>
      <c r="VXS76" s="58"/>
      <c r="VXT76" s="26"/>
      <c r="VXU76" s="26"/>
      <c r="VXV76" s="26"/>
      <c r="VXW76" s="26"/>
      <c r="VXX76" s="22"/>
      <c r="VXY76" s="167"/>
      <c r="VXZ76" s="30"/>
      <c r="VYA76" s="25"/>
      <c r="VYB76" s="178"/>
      <c r="VYC76" s="26"/>
      <c r="VYD76" s="26"/>
      <c r="VYE76" s="26"/>
      <c r="VYF76" s="26"/>
      <c r="VYG76" s="26"/>
      <c r="VYH76" s="26"/>
      <c r="VYI76" s="58"/>
      <c r="VYJ76" s="26"/>
      <c r="VYK76" s="26"/>
      <c r="VYL76" s="26"/>
      <c r="VYM76" s="26"/>
      <c r="VYN76" s="22"/>
      <c r="VYO76" s="167"/>
      <c r="VYP76" s="30"/>
      <c r="VYQ76" s="25"/>
      <c r="VYR76" s="178"/>
      <c r="VYS76" s="26"/>
      <c r="VYT76" s="26"/>
      <c r="VYU76" s="26"/>
      <c r="VYV76" s="26"/>
      <c r="VYW76" s="26"/>
      <c r="VYX76" s="26"/>
      <c r="VYY76" s="58"/>
      <c r="VYZ76" s="26"/>
      <c r="VZA76" s="26"/>
      <c r="VZB76" s="26"/>
      <c r="VZC76" s="26"/>
      <c r="VZD76" s="22"/>
      <c r="VZE76" s="167"/>
      <c r="VZF76" s="30"/>
      <c r="VZG76" s="25"/>
      <c r="VZH76" s="178"/>
      <c r="VZI76" s="26"/>
      <c r="VZJ76" s="26"/>
      <c r="VZK76" s="26"/>
      <c r="VZL76" s="26"/>
      <c r="VZM76" s="26"/>
      <c r="VZN76" s="26"/>
      <c r="VZO76" s="58"/>
      <c r="VZP76" s="26"/>
      <c r="VZQ76" s="26"/>
      <c r="VZR76" s="26"/>
      <c r="VZS76" s="26"/>
      <c r="VZT76" s="22"/>
      <c r="VZU76" s="167"/>
      <c r="VZV76" s="30"/>
      <c r="VZW76" s="25"/>
      <c r="VZX76" s="178"/>
      <c r="VZY76" s="26"/>
      <c r="VZZ76" s="26"/>
      <c r="WAA76" s="26"/>
      <c r="WAB76" s="26"/>
      <c r="WAC76" s="26"/>
      <c r="WAD76" s="26"/>
      <c r="WAE76" s="58"/>
      <c r="WAF76" s="26"/>
      <c r="WAG76" s="26"/>
      <c r="WAH76" s="26"/>
      <c r="WAI76" s="26"/>
      <c r="WAJ76" s="22"/>
      <c r="WAK76" s="167"/>
      <c r="WAL76" s="30"/>
      <c r="WAM76" s="25"/>
      <c r="WAN76" s="178"/>
      <c r="WAO76" s="26"/>
      <c r="WAP76" s="26"/>
      <c r="WAQ76" s="26"/>
      <c r="WAR76" s="26"/>
      <c r="WAS76" s="26"/>
      <c r="WAT76" s="26"/>
      <c r="WAU76" s="58"/>
      <c r="WAV76" s="26"/>
      <c r="WAW76" s="26"/>
      <c r="WAX76" s="26"/>
      <c r="WAY76" s="26"/>
      <c r="WAZ76" s="22"/>
      <c r="WBA76" s="167"/>
      <c r="WBB76" s="30"/>
      <c r="WBC76" s="25"/>
      <c r="WBD76" s="178"/>
      <c r="WBE76" s="26"/>
      <c r="WBF76" s="26"/>
      <c r="WBG76" s="26"/>
      <c r="WBH76" s="26"/>
      <c r="WBI76" s="26"/>
      <c r="WBJ76" s="26"/>
      <c r="WBK76" s="58"/>
      <c r="WBL76" s="26"/>
      <c r="WBM76" s="26"/>
      <c r="WBN76" s="26"/>
      <c r="WBO76" s="26"/>
      <c r="WBP76" s="22"/>
      <c r="WBQ76" s="167"/>
      <c r="WBR76" s="30"/>
      <c r="WBS76" s="25"/>
      <c r="WBT76" s="178"/>
      <c r="WBU76" s="26"/>
      <c r="WBV76" s="26"/>
      <c r="WBW76" s="26"/>
      <c r="WBX76" s="26"/>
      <c r="WBY76" s="26"/>
      <c r="WBZ76" s="26"/>
      <c r="WCA76" s="58"/>
      <c r="WCB76" s="26"/>
      <c r="WCC76" s="26"/>
      <c r="WCD76" s="26"/>
      <c r="WCE76" s="26"/>
      <c r="WCF76" s="22"/>
      <c r="WCG76" s="167"/>
      <c r="WCH76" s="30"/>
      <c r="WCI76" s="25"/>
      <c r="WCJ76" s="178"/>
      <c r="WCK76" s="26"/>
      <c r="WCL76" s="26"/>
      <c r="WCM76" s="26"/>
      <c r="WCN76" s="26"/>
      <c r="WCO76" s="26"/>
      <c r="WCP76" s="26"/>
      <c r="WCQ76" s="58"/>
      <c r="WCR76" s="26"/>
      <c r="WCS76" s="26"/>
      <c r="WCT76" s="26"/>
      <c r="WCU76" s="26"/>
      <c r="WCV76" s="22"/>
      <c r="WCW76" s="167"/>
      <c r="WCX76" s="30"/>
      <c r="WCY76" s="25"/>
      <c r="WCZ76" s="178"/>
      <c r="WDA76" s="26"/>
      <c r="WDB76" s="26"/>
      <c r="WDC76" s="26"/>
      <c r="WDD76" s="26"/>
      <c r="WDE76" s="26"/>
      <c r="WDF76" s="26"/>
      <c r="WDG76" s="58"/>
      <c r="WDH76" s="26"/>
      <c r="WDI76" s="26"/>
      <c r="WDJ76" s="26"/>
      <c r="WDK76" s="26"/>
      <c r="WDL76" s="22"/>
      <c r="WDM76" s="167"/>
      <c r="WDN76" s="30"/>
      <c r="WDO76" s="25"/>
      <c r="WDP76" s="178"/>
      <c r="WDQ76" s="26"/>
      <c r="WDR76" s="26"/>
      <c r="WDS76" s="26"/>
      <c r="WDT76" s="26"/>
      <c r="WDU76" s="26"/>
      <c r="WDV76" s="26"/>
      <c r="WDW76" s="58"/>
      <c r="WDX76" s="26"/>
      <c r="WDY76" s="26"/>
      <c r="WDZ76" s="26"/>
      <c r="WEA76" s="26"/>
      <c r="WEB76" s="22"/>
      <c r="WEC76" s="167"/>
      <c r="WED76" s="30"/>
      <c r="WEE76" s="25"/>
      <c r="WEF76" s="178"/>
      <c r="WEG76" s="26"/>
      <c r="WEH76" s="26"/>
      <c r="WEI76" s="26"/>
      <c r="WEJ76" s="26"/>
      <c r="WEK76" s="26"/>
      <c r="WEL76" s="26"/>
      <c r="WEM76" s="58"/>
      <c r="WEN76" s="26"/>
      <c r="WEO76" s="26"/>
      <c r="WEP76" s="26"/>
      <c r="WEQ76" s="26"/>
      <c r="WER76" s="22"/>
      <c r="WES76" s="167"/>
      <c r="WET76" s="30"/>
      <c r="WEU76" s="25"/>
      <c r="WEV76" s="178"/>
      <c r="WEW76" s="26"/>
      <c r="WEX76" s="26"/>
      <c r="WEY76" s="26"/>
      <c r="WEZ76" s="26"/>
      <c r="WFA76" s="26"/>
      <c r="WFB76" s="26"/>
      <c r="WFC76" s="58"/>
      <c r="WFD76" s="26"/>
      <c r="WFE76" s="26"/>
      <c r="WFF76" s="26"/>
      <c r="WFG76" s="26"/>
      <c r="WFH76" s="22"/>
      <c r="WFI76" s="167"/>
      <c r="WFJ76" s="30"/>
      <c r="WFK76" s="25"/>
      <c r="WFL76" s="178"/>
      <c r="WFM76" s="26"/>
      <c r="WFN76" s="26"/>
      <c r="WFO76" s="26"/>
      <c r="WFP76" s="26"/>
      <c r="WFQ76" s="26"/>
      <c r="WFR76" s="26"/>
      <c r="WFS76" s="58"/>
      <c r="WFT76" s="26"/>
      <c r="WFU76" s="26"/>
      <c r="WFV76" s="26"/>
      <c r="WFW76" s="26"/>
      <c r="WFX76" s="22"/>
      <c r="WFY76" s="167"/>
      <c r="WFZ76" s="30"/>
      <c r="WGA76" s="25"/>
      <c r="WGB76" s="178"/>
      <c r="WGC76" s="26"/>
      <c r="WGD76" s="26"/>
      <c r="WGE76" s="26"/>
      <c r="WGF76" s="26"/>
      <c r="WGG76" s="26"/>
      <c r="WGH76" s="26"/>
      <c r="WGI76" s="58"/>
      <c r="WGJ76" s="26"/>
      <c r="WGK76" s="26"/>
      <c r="WGL76" s="26"/>
      <c r="WGM76" s="26"/>
      <c r="WGN76" s="22"/>
      <c r="WGO76" s="167"/>
      <c r="WGP76" s="30"/>
      <c r="WGQ76" s="25"/>
      <c r="WGR76" s="178"/>
      <c r="WGS76" s="26"/>
      <c r="WGT76" s="26"/>
      <c r="WGU76" s="26"/>
      <c r="WGV76" s="26"/>
      <c r="WGW76" s="26"/>
      <c r="WGX76" s="26"/>
      <c r="WGY76" s="58"/>
      <c r="WGZ76" s="26"/>
      <c r="WHA76" s="26"/>
      <c r="WHB76" s="26"/>
      <c r="WHC76" s="26"/>
      <c r="WHD76" s="22"/>
      <c r="WHE76" s="167"/>
      <c r="WHF76" s="30"/>
      <c r="WHG76" s="25"/>
      <c r="WHH76" s="178"/>
      <c r="WHI76" s="26"/>
      <c r="WHJ76" s="26"/>
      <c r="WHK76" s="26"/>
      <c r="WHL76" s="26"/>
      <c r="WHM76" s="26"/>
      <c r="WHN76" s="26"/>
      <c r="WHO76" s="58"/>
      <c r="WHP76" s="26"/>
      <c r="WHQ76" s="26"/>
      <c r="WHR76" s="26"/>
      <c r="WHS76" s="26"/>
      <c r="WHT76" s="22"/>
      <c r="WHU76" s="167"/>
      <c r="WHV76" s="30"/>
      <c r="WHW76" s="25"/>
      <c r="WHX76" s="178"/>
      <c r="WHY76" s="26"/>
      <c r="WHZ76" s="26"/>
      <c r="WIA76" s="26"/>
      <c r="WIB76" s="26"/>
      <c r="WIC76" s="26"/>
      <c r="WID76" s="26"/>
      <c r="WIE76" s="58"/>
      <c r="WIF76" s="26"/>
      <c r="WIG76" s="26"/>
      <c r="WIH76" s="26"/>
      <c r="WII76" s="26"/>
      <c r="WIJ76" s="22"/>
      <c r="WIK76" s="167"/>
      <c r="WIL76" s="30"/>
      <c r="WIM76" s="25"/>
      <c r="WIN76" s="178"/>
      <c r="WIO76" s="26"/>
      <c r="WIP76" s="26"/>
      <c r="WIQ76" s="26"/>
      <c r="WIR76" s="26"/>
      <c r="WIS76" s="26"/>
      <c r="WIT76" s="26"/>
      <c r="WIU76" s="58"/>
      <c r="WIV76" s="26"/>
      <c r="WIW76" s="26"/>
      <c r="WIX76" s="26"/>
      <c r="WIY76" s="26"/>
      <c r="WIZ76" s="22"/>
      <c r="WJA76" s="167"/>
      <c r="WJB76" s="30"/>
      <c r="WJC76" s="25"/>
      <c r="WJD76" s="178"/>
      <c r="WJE76" s="26"/>
      <c r="WJF76" s="26"/>
      <c r="WJG76" s="26"/>
      <c r="WJH76" s="26"/>
      <c r="WJI76" s="26"/>
      <c r="WJJ76" s="26"/>
      <c r="WJK76" s="58"/>
      <c r="WJL76" s="26"/>
      <c r="WJM76" s="26"/>
      <c r="WJN76" s="26"/>
      <c r="WJO76" s="26"/>
      <c r="WJP76" s="22"/>
      <c r="WJQ76" s="167"/>
      <c r="WJR76" s="30"/>
      <c r="WJS76" s="25"/>
      <c r="WJT76" s="178"/>
      <c r="WJU76" s="26"/>
      <c r="WJV76" s="26"/>
      <c r="WJW76" s="26"/>
      <c r="WJX76" s="26"/>
      <c r="WJY76" s="26"/>
      <c r="WJZ76" s="26"/>
      <c r="WKA76" s="58"/>
      <c r="WKB76" s="26"/>
      <c r="WKC76" s="26"/>
      <c r="WKD76" s="26"/>
      <c r="WKE76" s="26"/>
      <c r="WKF76" s="22"/>
      <c r="WKG76" s="167"/>
      <c r="WKH76" s="30"/>
      <c r="WKI76" s="25"/>
      <c r="WKJ76" s="178"/>
      <c r="WKK76" s="26"/>
      <c r="WKL76" s="26"/>
      <c r="WKM76" s="26"/>
      <c r="WKN76" s="26"/>
      <c r="WKO76" s="26"/>
      <c r="WKP76" s="26"/>
      <c r="WKQ76" s="58"/>
      <c r="WKR76" s="26"/>
      <c r="WKS76" s="26"/>
      <c r="WKT76" s="26"/>
      <c r="WKU76" s="26"/>
      <c r="WKV76" s="22"/>
      <c r="WKW76" s="167"/>
      <c r="WKX76" s="30"/>
      <c r="WKY76" s="25"/>
      <c r="WKZ76" s="178"/>
      <c r="WLA76" s="26"/>
      <c r="WLB76" s="26"/>
      <c r="WLC76" s="26"/>
      <c r="WLD76" s="26"/>
      <c r="WLE76" s="26"/>
      <c r="WLF76" s="26"/>
      <c r="WLG76" s="58"/>
      <c r="WLH76" s="26"/>
      <c r="WLI76" s="26"/>
      <c r="WLJ76" s="26"/>
      <c r="WLK76" s="26"/>
      <c r="WLL76" s="22"/>
      <c r="WLM76" s="167"/>
      <c r="WLN76" s="30"/>
      <c r="WLO76" s="25"/>
      <c r="WLP76" s="178"/>
      <c r="WLQ76" s="26"/>
      <c r="WLR76" s="26"/>
      <c r="WLS76" s="26"/>
      <c r="WLT76" s="26"/>
      <c r="WLU76" s="26"/>
      <c r="WLV76" s="26"/>
      <c r="WLW76" s="58"/>
      <c r="WLX76" s="26"/>
      <c r="WLY76" s="26"/>
      <c r="WLZ76" s="26"/>
      <c r="WMA76" s="26"/>
      <c r="WMB76" s="22"/>
      <c r="WMC76" s="167"/>
      <c r="WMD76" s="30"/>
      <c r="WME76" s="25"/>
      <c r="WMF76" s="178"/>
      <c r="WMG76" s="26"/>
      <c r="WMH76" s="26"/>
      <c r="WMI76" s="26"/>
      <c r="WMJ76" s="26"/>
      <c r="WMK76" s="26"/>
      <c r="WML76" s="26"/>
      <c r="WMM76" s="58"/>
      <c r="WMN76" s="26"/>
      <c r="WMO76" s="26"/>
      <c r="WMP76" s="26"/>
      <c r="WMQ76" s="26"/>
      <c r="WMR76" s="22"/>
      <c r="WMS76" s="167"/>
      <c r="WMT76" s="30"/>
      <c r="WMU76" s="25"/>
      <c r="WMV76" s="178"/>
      <c r="WMW76" s="26"/>
      <c r="WMX76" s="26"/>
      <c r="WMY76" s="26"/>
      <c r="WMZ76" s="26"/>
      <c r="WNA76" s="26"/>
      <c r="WNB76" s="26"/>
      <c r="WNC76" s="58"/>
      <c r="WND76" s="26"/>
      <c r="WNE76" s="26"/>
      <c r="WNF76" s="26"/>
      <c r="WNG76" s="26"/>
      <c r="WNH76" s="22"/>
      <c r="WNI76" s="167"/>
      <c r="WNJ76" s="30"/>
      <c r="WNK76" s="25"/>
      <c r="WNL76" s="178"/>
      <c r="WNM76" s="26"/>
      <c r="WNN76" s="26"/>
      <c r="WNO76" s="26"/>
      <c r="WNP76" s="26"/>
      <c r="WNQ76" s="26"/>
      <c r="WNR76" s="26"/>
      <c r="WNS76" s="58"/>
      <c r="WNT76" s="26"/>
      <c r="WNU76" s="26"/>
      <c r="WNV76" s="26"/>
      <c r="WNW76" s="26"/>
      <c r="WNX76" s="22"/>
      <c r="WNY76" s="167"/>
      <c r="WNZ76" s="30"/>
      <c r="WOA76" s="25"/>
      <c r="WOB76" s="178"/>
      <c r="WOC76" s="26"/>
      <c r="WOD76" s="26"/>
      <c r="WOE76" s="26"/>
      <c r="WOF76" s="26"/>
      <c r="WOG76" s="26"/>
      <c r="WOH76" s="26"/>
      <c r="WOI76" s="58"/>
      <c r="WOJ76" s="26"/>
      <c r="WOK76" s="26"/>
      <c r="WOL76" s="26"/>
      <c r="WOM76" s="26"/>
      <c r="WON76" s="22"/>
      <c r="WOO76" s="167"/>
      <c r="WOP76" s="30"/>
      <c r="WOQ76" s="25"/>
      <c r="WOR76" s="178"/>
      <c r="WOS76" s="26"/>
      <c r="WOT76" s="26"/>
      <c r="WOU76" s="26"/>
      <c r="WOV76" s="26"/>
      <c r="WOW76" s="26"/>
      <c r="WOX76" s="26"/>
      <c r="WOY76" s="58"/>
      <c r="WOZ76" s="26"/>
      <c r="WPA76" s="26"/>
      <c r="WPB76" s="26"/>
      <c r="WPC76" s="26"/>
      <c r="WPD76" s="22"/>
      <c r="WPE76" s="167"/>
      <c r="WPF76" s="30"/>
      <c r="WPG76" s="25"/>
      <c r="WPH76" s="178"/>
      <c r="WPI76" s="26"/>
      <c r="WPJ76" s="26"/>
      <c r="WPK76" s="26"/>
      <c r="WPL76" s="26"/>
      <c r="WPM76" s="26"/>
      <c r="WPN76" s="26"/>
      <c r="WPO76" s="58"/>
      <c r="WPP76" s="26"/>
      <c r="WPQ76" s="26"/>
      <c r="WPR76" s="26"/>
      <c r="WPS76" s="26"/>
      <c r="WPT76" s="22"/>
      <c r="WPU76" s="167"/>
      <c r="WPV76" s="30"/>
      <c r="WPW76" s="25"/>
      <c r="WPX76" s="178"/>
      <c r="WPY76" s="26"/>
      <c r="WPZ76" s="26"/>
      <c r="WQA76" s="26"/>
      <c r="WQB76" s="26"/>
      <c r="WQC76" s="26"/>
      <c r="WQD76" s="26"/>
      <c r="WQE76" s="58"/>
      <c r="WQF76" s="26"/>
      <c r="WQG76" s="26"/>
      <c r="WQH76" s="26"/>
      <c r="WQI76" s="26"/>
      <c r="WQJ76" s="22"/>
      <c r="WQK76" s="167"/>
      <c r="WQL76" s="30"/>
      <c r="WQM76" s="25"/>
      <c r="WQN76" s="178"/>
      <c r="WQO76" s="26"/>
      <c r="WQP76" s="26"/>
      <c r="WQQ76" s="26"/>
      <c r="WQR76" s="26"/>
      <c r="WQS76" s="26"/>
      <c r="WQT76" s="26"/>
      <c r="WQU76" s="58"/>
      <c r="WQV76" s="26"/>
      <c r="WQW76" s="26"/>
      <c r="WQX76" s="26"/>
      <c r="WQY76" s="26"/>
      <c r="WQZ76" s="22"/>
      <c r="WRA76" s="167"/>
      <c r="WRB76" s="30"/>
      <c r="WRC76" s="25"/>
      <c r="WRD76" s="178"/>
      <c r="WRE76" s="26"/>
      <c r="WRF76" s="26"/>
      <c r="WRG76" s="26"/>
      <c r="WRH76" s="26"/>
      <c r="WRI76" s="26"/>
      <c r="WRJ76" s="26"/>
      <c r="WRK76" s="58"/>
      <c r="WRL76" s="26"/>
      <c r="WRM76" s="26"/>
      <c r="WRN76" s="26"/>
      <c r="WRO76" s="26"/>
      <c r="WRP76" s="22"/>
      <c r="WRQ76" s="167"/>
      <c r="WRR76" s="30"/>
      <c r="WRS76" s="25"/>
      <c r="WRT76" s="178"/>
      <c r="WRU76" s="26"/>
      <c r="WRV76" s="26"/>
      <c r="WRW76" s="26"/>
      <c r="WRX76" s="26"/>
      <c r="WRY76" s="26"/>
      <c r="WRZ76" s="26"/>
      <c r="WSA76" s="58"/>
      <c r="WSB76" s="26"/>
      <c r="WSC76" s="26"/>
      <c r="WSD76" s="26"/>
      <c r="WSE76" s="26"/>
      <c r="WSF76" s="22"/>
      <c r="WSG76" s="167"/>
      <c r="WSH76" s="30"/>
      <c r="WSI76" s="25"/>
      <c r="WSJ76" s="178"/>
      <c r="WSK76" s="26"/>
      <c r="WSL76" s="26"/>
      <c r="WSM76" s="26"/>
      <c r="WSN76" s="26"/>
      <c r="WSO76" s="26"/>
      <c r="WSP76" s="26"/>
      <c r="WSQ76" s="58"/>
      <c r="WSR76" s="26"/>
      <c r="WSS76" s="26"/>
      <c r="WST76" s="26"/>
      <c r="WSU76" s="26"/>
      <c r="WSV76" s="22"/>
      <c r="WSW76" s="167"/>
      <c r="WSX76" s="30"/>
      <c r="WSY76" s="25"/>
      <c r="WSZ76" s="178"/>
      <c r="WTA76" s="26"/>
      <c r="WTB76" s="26"/>
      <c r="WTC76" s="26"/>
      <c r="WTD76" s="26"/>
      <c r="WTE76" s="26"/>
      <c r="WTF76" s="26"/>
      <c r="WTG76" s="58"/>
      <c r="WTH76" s="26"/>
      <c r="WTI76" s="26"/>
      <c r="WTJ76" s="26"/>
      <c r="WTK76" s="26"/>
      <c r="WTL76" s="22"/>
      <c r="WTM76" s="167"/>
      <c r="WTN76" s="30"/>
      <c r="WTO76" s="25"/>
      <c r="WTP76" s="178"/>
      <c r="WTQ76" s="26"/>
      <c r="WTR76" s="26"/>
      <c r="WTS76" s="26"/>
      <c r="WTT76" s="26"/>
      <c r="WTU76" s="26"/>
      <c r="WTV76" s="26"/>
      <c r="WTW76" s="58"/>
      <c r="WTX76" s="26"/>
      <c r="WTY76" s="26"/>
      <c r="WTZ76" s="26"/>
      <c r="WUA76" s="26"/>
      <c r="WUB76" s="22"/>
      <c r="WUC76" s="167"/>
      <c r="WUD76" s="30"/>
      <c r="WUE76" s="25"/>
      <c r="WUF76" s="178"/>
      <c r="WUG76" s="26"/>
      <c r="WUH76" s="26"/>
      <c r="WUI76" s="26"/>
      <c r="WUJ76" s="26"/>
      <c r="WUK76" s="26"/>
      <c r="WUL76" s="26"/>
      <c r="WUM76" s="58"/>
      <c r="WUN76" s="26"/>
      <c r="WUO76" s="26"/>
      <c r="WUP76" s="26"/>
      <c r="WUQ76" s="26"/>
      <c r="WUR76" s="22"/>
      <c r="WUS76" s="167"/>
      <c r="WUT76" s="30"/>
      <c r="WUU76" s="25"/>
      <c r="WUV76" s="178"/>
      <c r="WUW76" s="26"/>
      <c r="WUX76" s="26"/>
      <c r="WUY76" s="26"/>
      <c r="WUZ76" s="26"/>
      <c r="WVA76" s="26"/>
      <c r="WVB76" s="26"/>
      <c r="WVC76" s="58"/>
      <c r="WVD76" s="26"/>
      <c r="WVE76" s="26"/>
      <c r="WVF76" s="26"/>
      <c r="WVG76" s="26"/>
      <c r="WVH76" s="22"/>
      <c r="WVI76" s="167"/>
      <c r="WVJ76" s="30"/>
      <c r="WVK76" s="25"/>
      <c r="WVL76" s="178"/>
      <c r="WVM76" s="26"/>
      <c r="WVN76" s="26"/>
      <c r="WVO76" s="26"/>
      <c r="WVP76" s="26"/>
      <c r="WVQ76" s="26"/>
      <c r="WVR76" s="26"/>
      <c r="WVS76" s="58"/>
      <c r="WVT76" s="26"/>
      <c r="WVU76" s="26"/>
      <c r="WVV76" s="26"/>
      <c r="WVW76" s="26"/>
      <c r="WVX76" s="22"/>
      <c r="WVY76" s="167"/>
      <c r="WVZ76" s="30"/>
      <c r="WWA76" s="25"/>
      <c r="WWB76" s="178"/>
      <c r="WWC76" s="26"/>
      <c r="WWD76" s="26"/>
      <c r="WWE76" s="26"/>
      <c r="WWF76" s="26"/>
      <c r="WWG76" s="26"/>
      <c r="WWH76" s="26"/>
      <c r="WWI76" s="58"/>
      <c r="WWJ76" s="26"/>
      <c r="WWK76" s="26"/>
      <c r="WWL76" s="26"/>
      <c r="WWM76" s="26"/>
      <c r="WWN76" s="22"/>
      <c r="WWO76" s="167"/>
      <c r="WWP76" s="30"/>
      <c r="WWQ76" s="25"/>
      <c r="WWR76" s="178"/>
      <c r="WWS76" s="26"/>
      <c r="WWT76" s="26"/>
      <c r="WWU76" s="26"/>
      <c r="WWV76" s="26"/>
      <c r="WWW76" s="26"/>
      <c r="WWX76" s="26"/>
      <c r="WWY76" s="58"/>
      <c r="WWZ76" s="26"/>
      <c r="WXA76" s="26"/>
      <c r="WXB76" s="26"/>
      <c r="WXC76" s="26"/>
      <c r="WXD76" s="22"/>
      <c r="WXE76" s="167"/>
      <c r="WXF76" s="30"/>
      <c r="WXG76" s="25"/>
      <c r="WXH76" s="178"/>
      <c r="WXI76" s="26"/>
      <c r="WXJ76" s="26"/>
      <c r="WXK76" s="26"/>
      <c r="WXL76" s="26"/>
      <c r="WXM76" s="26"/>
      <c r="WXN76" s="26"/>
      <c r="WXO76" s="58"/>
      <c r="WXP76" s="26"/>
      <c r="WXQ76" s="26"/>
      <c r="WXR76" s="26"/>
      <c r="WXS76" s="26"/>
      <c r="WXT76" s="22"/>
      <c r="WXU76" s="167"/>
      <c r="WXV76" s="30"/>
      <c r="WXW76" s="25"/>
      <c r="WXX76" s="178"/>
      <c r="WXY76" s="26"/>
      <c r="WXZ76" s="26"/>
      <c r="WYA76" s="26"/>
      <c r="WYB76" s="26"/>
      <c r="WYC76" s="26"/>
      <c r="WYD76" s="26"/>
      <c r="WYE76" s="58"/>
      <c r="WYF76" s="26"/>
      <c r="WYG76" s="26"/>
      <c r="WYH76" s="26"/>
      <c r="WYI76" s="26"/>
      <c r="WYJ76" s="22"/>
      <c r="WYK76" s="167"/>
      <c r="WYL76" s="30"/>
      <c r="WYM76" s="25"/>
      <c r="WYN76" s="178"/>
      <c r="WYO76" s="26"/>
      <c r="WYP76" s="26"/>
      <c r="WYQ76" s="26"/>
      <c r="WYR76" s="26"/>
      <c r="WYS76" s="26"/>
      <c r="WYT76" s="26"/>
      <c r="WYU76" s="58"/>
      <c r="WYV76" s="26"/>
      <c r="WYW76" s="26"/>
      <c r="WYX76" s="26"/>
      <c r="WYY76" s="26"/>
      <c r="WYZ76" s="22"/>
      <c r="WZA76" s="167"/>
      <c r="WZB76" s="30"/>
      <c r="WZC76" s="25"/>
      <c r="WZD76" s="178"/>
      <c r="WZE76" s="26"/>
      <c r="WZF76" s="26"/>
      <c r="WZG76" s="26"/>
      <c r="WZH76" s="26"/>
      <c r="WZI76" s="26"/>
      <c r="WZJ76" s="26"/>
      <c r="WZK76" s="58"/>
      <c r="WZL76" s="26"/>
      <c r="WZM76" s="26"/>
      <c r="WZN76" s="26"/>
      <c r="WZO76" s="26"/>
      <c r="WZP76" s="22"/>
      <c r="WZQ76" s="167"/>
      <c r="WZR76" s="30"/>
      <c r="WZS76" s="25"/>
      <c r="WZT76" s="178"/>
      <c r="WZU76" s="26"/>
      <c r="WZV76" s="26"/>
      <c r="WZW76" s="26"/>
      <c r="WZX76" s="26"/>
      <c r="WZY76" s="26"/>
      <c r="WZZ76" s="26"/>
      <c r="XAA76" s="58"/>
      <c r="XAB76" s="26"/>
      <c r="XAC76" s="26"/>
      <c r="XAD76" s="26"/>
      <c r="XAE76" s="26"/>
      <c r="XAF76" s="22"/>
      <c r="XAG76" s="167"/>
      <c r="XAH76" s="30"/>
      <c r="XAI76" s="25"/>
      <c r="XAJ76" s="178"/>
      <c r="XAK76" s="26"/>
      <c r="XAL76" s="26"/>
      <c r="XAM76" s="26"/>
      <c r="XAN76" s="26"/>
      <c r="XAO76" s="26"/>
      <c r="XAP76" s="26"/>
      <c r="XAQ76" s="58"/>
      <c r="XAR76" s="26"/>
      <c r="XAS76" s="26"/>
      <c r="XAT76" s="26"/>
      <c r="XAU76" s="26"/>
      <c r="XAV76" s="22"/>
      <c r="XAW76" s="167"/>
      <c r="XAX76" s="30"/>
      <c r="XAY76" s="25"/>
      <c r="XAZ76" s="178"/>
      <c r="XBA76" s="26"/>
      <c r="XBB76" s="26"/>
      <c r="XBC76" s="26"/>
      <c r="XBD76" s="26"/>
      <c r="XBE76" s="26"/>
      <c r="XBF76" s="26"/>
      <c r="XBG76" s="58"/>
      <c r="XBH76" s="26"/>
      <c r="XBI76" s="26"/>
      <c r="XBJ76" s="26"/>
      <c r="XBK76" s="26"/>
      <c r="XBL76" s="22"/>
      <c r="XBM76" s="167"/>
      <c r="XBN76" s="30"/>
      <c r="XBO76" s="25"/>
      <c r="XBP76" s="178"/>
      <c r="XBQ76" s="26"/>
      <c r="XBR76" s="26"/>
      <c r="XBS76" s="26"/>
      <c r="XBT76" s="26"/>
      <c r="XBU76" s="26"/>
      <c r="XBV76" s="26"/>
      <c r="XBW76" s="58"/>
      <c r="XBX76" s="26"/>
      <c r="XBY76" s="26"/>
      <c r="XBZ76" s="26"/>
      <c r="XCA76" s="26"/>
      <c r="XCB76" s="22"/>
      <c r="XCC76" s="167"/>
      <c r="XCD76" s="30"/>
      <c r="XCE76" s="25"/>
      <c r="XCF76" s="178"/>
      <c r="XCG76" s="26"/>
      <c r="XCH76" s="26"/>
      <c r="XCI76" s="26"/>
      <c r="XCJ76" s="26"/>
      <c r="XCK76" s="26"/>
      <c r="XCL76" s="26"/>
      <c r="XCM76" s="58"/>
      <c r="XCN76" s="26"/>
      <c r="XCO76" s="26"/>
      <c r="XCP76" s="26"/>
      <c r="XCQ76" s="26"/>
      <c r="XCR76" s="22"/>
      <c r="XCS76" s="167"/>
      <c r="XCT76" s="30"/>
      <c r="XCU76" s="25"/>
      <c r="XCV76" s="178"/>
      <c r="XCW76" s="26"/>
      <c r="XCX76" s="26"/>
      <c r="XCY76" s="26"/>
      <c r="XCZ76" s="26"/>
      <c r="XDA76" s="26"/>
      <c r="XDB76" s="26"/>
      <c r="XDC76" s="58"/>
      <c r="XDD76" s="26"/>
      <c r="XDE76" s="26"/>
      <c r="XDF76" s="26"/>
      <c r="XDG76" s="26"/>
      <c r="XDH76" s="22"/>
      <c r="XDI76" s="167"/>
      <c r="XDJ76" s="30"/>
      <c r="XDK76" s="25"/>
      <c r="XDL76" s="178"/>
      <c r="XDM76" s="26"/>
      <c r="XDN76" s="26"/>
      <c r="XDO76" s="26"/>
      <c r="XDP76" s="26"/>
      <c r="XDQ76" s="26"/>
      <c r="XDR76" s="26"/>
      <c r="XDS76" s="58"/>
      <c r="XDT76" s="26"/>
      <c r="XDU76" s="26"/>
      <c r="XDV76" s="26"/>
      <c r="XDW76" s="26"/>
      <c r="XDX76" s="22"/>
      <c r="XDY76" s="167"/>
      <c r="XDZ76" s="30"/>
      <c r="XEA76" s="25"/>
      <c r="XEB76" s="178"/>
      <c r="XEC76" s="26"/>
      <c r="XED76" s="26"/>
      <c r="XEE76" s="26"/>
      <c r="XEF76" s="26"/>
      <c r="XEG76" s="26"/>
      <c r="XEH76" s="26"/>
      <c r="XEI76" s="58"/>
      <c r="XEJ76" s="26"/>
      <c r="XEK76" s="26"/>
      <c r="XEL76" s="26"/>
      <c r="XEM76" s="26"/>
      <c r="XEN76" s="22"/>
      <c r="XEO76" s="167"/>
      <c r="XEP76" s="30"/>
      <c r="XEQ76" s="25"/>
      <c r="XER76" s="178"/>
      <c r="XES76" s="26"/>
      <c r="XET76" s="26"/>
      <c r="XEU76" s="26"/>
      <c r="XEV76" s="26"/>
      <c r="XEW76" s="26"/>
      <c r="XEX76" s="26"/>
      <c r="XEY76" s="58"/>
      <c r="XEZ76" s="26"/>
      <c r="XFA76" s="26"/>
      <c r="XFB76" s="26"/>
      <c r="XFC76" s="26"/>
      <c r="XFD76" s="22"/>
    </row>
    <row r="77" spans="1:16384" s="32" customFormat="1" ht="77.25" customHeight="1" thickBot="1" x14ac:dyDescent="0.25">
      <c r="A77" s="280"/>
      <c r="B77" s="231" t="s">
        <v>1493</v>
      </c>
      <c r="C77" s="25"/>
      <c r="D77" s="174"/>
      <c r="E77" s="25"/>
      <c r="F77" s="25"/>
      <c r="G77" s="25"/>
      <c r="H77" s="25"/>
      <c r="I77" s="25"/>
      <c r="J77" s="25"/>
      <c r="K77" s="58"/>
      <c r="L77" s="26"/>
      <c r="M77" s="26"/>
      <c r="N77" s="26"/>
      <c r="O77" s="26"/>
      <c r="P77" s="22"/>
      <c r="Q77" s="167"/>
      <c r="R77" s="30"/>
      <c r="S77" s="25"/>
      <c r="T77" s="178"/>
      <c r="U77" s="26"/>
      <c r="V77" s="26"/>
      <c r="W77" s="26"/>
      <c r="X77" s="26"/>
      <c r="Y77" s="26"/>
      <c r="Z77" s="26"/>
      <c r="AA77" s="58"/>
      <c r="AB77" s="26"/>
      <c r="AC77" s="26"/>
      <c r="AD77" s="26"/>
      <c r="AE77" s="26"/>
      <c r="AF77" s="22"/>
      <c r="AG77" s="167"/>
      <c r="AH77" s="30"/>
      <c r="AI77" s="25"/>
      <c r="AJ77" s="178"/>
      <c r="AK77" s="26"/>
      <c r="AL77" s="26"/>
      <c r="AM77" s="26"/>
      <c r="AN77" s="26"/>
      <c r="AO77" s="26"/>
      <c r="AP77" s="26"/>
      <c r="AQ77" s="58"/>
      <c r="AR77" s="26"/>
      <c r="AS77" s="26"/>
      <c r="AT77" s="26"/>
      <c r="AU77" s="26"/>
      <c r="AV77" s="22"/>
      <c r="AW77" s="167"/>
      <c r="AX77" s="30"/>
      <c r="AY77" s="25"/>
      <c r="AZ77" s="178"/>
      <c r="BA77" s="26"/>
      <c r="BB77" s="26"/>
      <c r="BC77" s="26"/>
      <c r="BD77" s="26"/>
      <c r="BE77" s="26"/>
      <c r="BF77" s="26"/>
      <c r="BG77" s="58"/>
      <c r="BH77" s="26"/>
      <c r="BI77" s="26"/>
      <c r="BJ77" s="26"/>
      <c r="BK77" s="26"/>
      <c r="BL77" s="22"/>
      <c r="BM77" s="167"/>
      <c r="BN77" s="30"/>
      <c r="BO77" s="25"/>
      <c r="BP77" s="178"/>
      <c r="BQ77" s="26"/>
      <c r="BR77" s="26"/>
      <c r="BS77" s="26"/>
      <c r="BT77" s="26"/>
      <c r="BU77" s="26"/>
      <c r="BV77" s="26"/>
      <c r="BW77" s="58"/>
      <c r="BX77" s="26"/>
      <c r="BY77" s="26"/>
      <c r="BZ77" s="26"/>
      <c r="CA77" s="26"/>
      <c r="CB77" s="22"/>
      <c r="CC77" s="167"/>
      <c r="CD77" s="30"/>
      <c r="CE77" s="25"/>
      <c r="CF77" s="178"/>
      <c r="CG77" s="26"/>
      <c r="CH77" s="26"/>
      <c r="CI77" s="26"/>
      <c r="CJ77" s="26"/>
      <c r="CK77" s="26"/>
      <c r="CL77" s="26"/>
      <c r="CM77" s="58"/>
      <c r="CN77" s="26"/>
      <c r="CO77" s="26"/>
      <c r="CP77" s="26"/>
      <c r="CQ77" s="26"/>
      <c r="CR77" s="22"/>
      <c r="CS77" s="167"/>
      <c r="CT77" s="30"/>
      <c r="CU77" s="25"/>
      <c r="CV77" s="178"/>
      <c r="CW77" s="26"/>
      <c r="CX77" s="26"/>
      <c r="CY77" s="26"/>
      <c r="CZ77" s="26"/>
      <c r="DA77" s="26"/>
      <c r="DB77" s="26"/>
      <c r="DC77" s="58"/>
      <c r="DD77" s="26"/>
      <c r="DE77" s="26"/>
      <c r="DF77" s="26"/>
      <c r="DG77" s="26"/>
      <c r="DH77" s="22"/>
      <c r="DI77" s="167"/>
      <c r="DJ77" s="30"/>
      <c r="DK77" s="25"/>
      <c r="DL77" s="178"/>
      <c r="DM77" s="26"/>
      <c r="DN77" s="26"/>
      <c r="DO77" s="26"/>
      <c r="DP77" s="26"/>
      <c r="DQ77" s="26"/>
      <c r="DR77" s="26"/>
      <c r="DS77" s="58"/>
      <c r="DT77" s="26"/>
      <c r="DU77" s="26"/>
      <c r="DV77" s="26"/>
      <c r="DW77" s="26"/>
      <c r="DX77" s="22"/>
      <c r="DY77" s="167"/>
      <c r="DZ77" s="30"/>
      <c r="EA77" s="25"/>
      <c r="EB77" s="178"/>
      <c r="EC77" s="26"/>
      <c r="ED77" s="26"/>
      <c r="EE77" s="26"/>
      <c r="EF77" s="26"/>
      <c r="EG77" s="26"/>
      <c r="EH77" s="26"/>
      <c r="EI77" s="58"/>
      <c r="EJ77" s="26"/>
      <c r="EK77" s="26"/>
      <c r="EL77" s="26"/>
      <c r="EM77" s="26"/>
      <c r="EN77" s="22"/>
      <c r="EO77" s="167"/>
      <c r="EP77" s="30"/>
      <c r="EQ77" s="25"/>
      <c r="ER77" s="178"/>
      <c r="ES77" s="26"/>
      <c r="ET77" s="26"/>
      <c r="EU77" s="26"/>
      <c r="EV77" s="26"/>
      <c r="EW77" s="26"/>
      <c r="EX77" s="26"/>
      <c r="EY77" s="58"/>
      <c r="EZ77" s="26"/>
      <c r="FA77" s="26"/>
      <c r="FB77" s="26"/>
      <c r="FC77" s="26"/>
      <c r="FD77" s="22"/>
      <c r="FE77" s="167"/>
      <c r="FF77" s="30"/>
      <c r="FG77" s="25"/>
      <c r="FH77" s="178"/>
      <c r="FI77" s="26"/>
      <c r="FJ77" s="26"/>
      <c r="FK77" s="26"/>
      <c r="FL77" s="26"/>
      <c r="FM77" s="26"/>
      <c r="FN77" s="26"/>
      <c r="FO77" s="58"/>
      <c r="FP77" s="26"/>
      <c r="FQ77" s="26"/>
      <c r="FR77" s="26"/>
      <c r="FS77" s="26"/>
      <c r="FT77" s="22"/>
      <c r="FU77" s="167"/>
      <c r="FV77" s="30"/>
      <c r="FW77" s="25"/>
      <c r="FX77" s="178"/>
      <c r="FY77" s="26"/>
      <c r="FZ77" s="26"/>
      <c r="GA77" s="26"/>
      <c r="GB77" s="26"/>
      <c r="GC77" s="26"/>
      <c r="GD77" s="26"/>
      <c r="GE77" s="58"/>
      <c r="GF77" s="26"/>
      <c r="GG77" s="26"/>
      <c r="GH77" s="26"/>
      <c r="GI77" s="26"/>
      <c r="GJ77" s="22"/>
      <c r="GK77" s="167"/>
      <c r="GL77" s="30"/>
      <c r="GM77" s="25"/>
      <c r="GN77" s="178"/>
      <c r="GO77" s="26"/>
      <c r="GP77" s="26"/>
      <c r="GQ77" s="26"/>
      <c r="GR77" s="26"/>
      <c r="GS77" s="26"/>
      <c r="GT77" s="26"/>
      <c r="GU77" s="58"/>
      <c r="GV77" s="26"/>
      <c r="GW77" s="26"/>
      <c r="GX77" s="26"/>
      <c r="GY77" s="26"/>
      <c r="GZ77" s="22"/>
      <c r="HA77" s="167"/>
      <c r="HB77" s="30"/>
      <c r="HC77" s="25"/>
      <c r="HD77" s="178"/>
      <c r="HE77" s="26"/>
      <c r="HF77" s="26"/>
      <c r="HG77" s="26"/>
      <c r="HH77" s="26"/>
      <c r="HI77" s="26"/>
      <c r="HJ77" s="26"/>
      <c r="HK77" s="58"/>
      <c r="HL77" s="26"/>
      <c r="HM77" s="26"/>
      <c r="HN77" s="26"/>
      <c r="HO77" s="26"/>
      <c r="HP77" s="22"/>
      <c r="HQ77" s="167"/>
      <c r="HR77" s="30"/>
      <c r="HS77" s="25"/>
      <c r="HT77" s="178"/>
      <c r="HU77" s="26"/>
      <c r="HV77" s="26"/>
      <c r="HW77" s="26"/>
      <c r="HX77" s="26"/>
      <c r="HY77" s="26"/>
      <c r="HZ77" s="26"/>
      <c r="IA77" s="58"/>
      <c r="IB77" s="26"/>
      <c r="IC77" s="26"/>
      <c r="ID77" s="26"/>
      <c r="IE77" s="26"/>
      <c r="IF77" s="22"/>
      <c r="IG77" s="167"/>
      <c r="IH77" s="30"/>
      <c r="II77" s="25"/>
      <c r="IJ77" s="178"/>
      <c r="IK77" s="26"/>
      <c r="IL77" s="26"/>
      <c r="IM77" s="26"/>
      <c r="IN77" s="26"/>
      <c r="IO77" s="26"/>
      <c r="IP77" s="26"/>
      <c r="IQ77" s="58"/>
      <c r="IR77" s="26"/>
      <c r="IS77" s="26"/>
      <c r="IT77" s="26"/>
      <c r="IU77" s="26"/>
      <c r="IV77" s="22"/>
      <c r="IW77" s="167"/>
      <c r="IX77" s="30"/>
      <c r="IY77" s="25"/>
      <c r="IZ77" s="178"/>
      <c r="JA77" s="26"/>
      <c r="JB77" s="26"/>
      <c r="JC77" s="26"/>
      <c r="JD77" s="26"/>
      <c r="JE77" s="26"/>
      <c r="JF77" s="26"/>
      <c r="JG77" s="58"/>
      <c r="JH77" s="26"/>
      <c r="JI77" s="26"/>
      <c r="JJ77" s="26"/>
      <c r="JK77" s="26"/>
      <c r="JL77" s="22"/>
      <c r="JM77" s="167"/>
      <c r="JN77" s="30"/>
      <c r="JO77" s="25"/>
      <c r="JP77" s="178"/>
      <c r="JQ77" s="26"/>
      <c r="JR77" s="26"/>
      <c r="JS77" s="26"/>
      <c r="JT77" s="26"/>
      <c r="JU77" s="26"/>
      <c r="JV77" s="26"/>
      <c r="JW77" s="58"/>
      <c r="JX77" s="26"/>
      <c r="JY77" s="26"/>
      <c r="JZ77" s="26"/>
      <c r="KA77" s="26"/>
      <c r="KB77" s="22"/>
      <c r="KC77" s="167"/>
      <c r="KD77" s="30"/>
      <c r="KE77" s="25"/>
      <c r="KF77" s="178"/>
      <c r="KG77" s="26"/>
      <c r="KH77" s="26"/>
      <c r="KI77" s="26"/>
      <c r="KJ77" s="26"/>
      <c r="KK77" s="26"/>
      <c r="KL77" s="26"/>
      <c r="KM77" s="58"/>
      <c r="KN77" s="26"/>
      <c r="KO77" s="26"/>
      <c r="KP77" s="26"/>
      <c r="KQ77" s="26"/>
      <c r="KR77" s="22"/>
      <c r="KS77" s="167"/>
      <c r="KT77" s="30"/>
      <c r="KU77" s="25"/>
      <c r="KV77" s="178"/>
      <c r="KW77" s="26"/>
      <c r="KX77" s="26"/>
      <c r="KY77" s="26"/>
      <c r="KZ77" s="26"/>
      <c r="LA77" s="26"/>
      <c r="LB77" s="26"/>
      <c r="LC77" s="58"/>
      <c r="LD77" s="26"/>
      <c r="LE77" s="26"/>
      <c r="LF77" s="26"/>
      <c r="LG77" s="26"/>
      <c r="LH77" s="22"/>
      <c r="LI77" s="167"/>
      <c r="LJ77" s="30"/>
      <c r="LK77" s="25"/>
      <c r="LL77" s="178"/>
      <c r="LM77" s="26"/>
      <c r="LN77" s="26"/>
      <c r="LO77" s="26"/>
      <c r="LP77" s="26"/>
      <c r="LQ77" s="26"/>
      <c r="LR77" s="26"/>
      <c r="LS77" s="58"/>
      <c r="LT77" s="26"/>
      <c r="LU77" s="26"/>
      <c r="LV77" s="26"/>
      <c r="LW77" s="26"/>
      <c r="LX77" s="22"/>
      <c r="LY77" s="167"/>
      <c r="LZ77" s="30"/>
      <c r="MA77" s="25"/>
      <c r="MB77" s="178"/>
      <c r="MC77" s="26"/>
      <c r="MD77" s="26"/>
      <c r="ME77" s="26"/>
      <c r="MF77" s="26"/>
      <c r="MG77" s="26"/>
      <c r="MH77" s="26"/>
      <c r="MI77" s="58"/>
      <c r="MJ77" s="26"/>
      <c r="MK77" s="26"/>
      <c r="ML77" s="26"/>
      <c r="MM77" s="26"/>
      <c r="MN77" s="22"/>
      <c r="MO77" s="167"/>
      <c r="MP77" s="30"/>
      <c r="MQ77" s="25"/>
      <c r="MR77" s="178"/>
      <c r="MS77" s="26"/>
      <c r="MT77" s="26"/>
      <c r="MU77" s="26"/>
      <c r="MV77" s="26"/>
      <c r="MW77" s="26"/>
      <c r="MX77" s="26"/>
      <c r="MY77" s="58"/>
      <c r="MZ77" s="26"/>
      <c r="NA77" s="26"/>
      <c r="NB77" s="26"/>
      <c r="NC77" s="26"/>
      <c r="ND77" s="22"/>
      <c r="NE77" s="167"/>
      <c r="NF77" s="30"/>
      <c r="NG77" s="25"/>
      <c r="NH77" s="178"/>
      <c r="NI77" s="26"/>
      <c r="NJ77" s="26"/>
      <c r="NK77" s="26"/>
      <c r="NL77" s="26"/>
      <c r="NM77" s="26"/>
      <c r="NN77" s="26"/>
      <c r="NO77" s="58"/>
      <c r="NP77" s="26"/>
      <c r="NQ77" s="26"/>
      <c r="NR77" s="26"/>
      <c r="NS77" s="26"/>
      <c r="NT77" s="22"/>
      <c r="NU77" s="167"/>
      <c r="NV77" s="30"/>
      <c r="NW77" s="25"/>
      <c r="NX77" s="178"/>
      <c r="NY77" s="26"/>
      <c r="NZ77" s="26"/>
      <c r="OA77" s="26"/>
      <c r="OB77" s="26"/>
      <c r="OC77" s="26"/>
      <c r="OD77" s="26"/>
      <c r="OE77" s="58"/>
      <c r="OF77" s="26"/>
      <c r="OG77" s="26"/>
      <c r="OH77" s="26"/>
      <c r="OI77" s="26"/>
      <c r="OJ77" s="22"/>
      <c r="OK77" s="167"/>
      <c r="OL77" s="30"/>
      <c r="OM77" s="25"/>
      <c r="ON77" s="178"/>
      <c r="OO77" s="26"/>
      <c r="OP77" s="26"/>
      <c r="OQ77" s="26"/>
      <c r="OR77" s="26"/>
      <c r="OS77" s="26"/>
      <c r="OT77" s="26"/>
      <c r="OU77" s="58"/>
      <c r="OV77" s="26"/>
      <c r="OW77" s="26"/>
      <c r="OX77" s="26"/>
      <c r="OY77" s="26"/>
      <c r="OZ77" s="22"/>
      <c r="PA77" s="167"/>
      <c r="PB77" s="30"/>
      <c r="PC77" s="25"/>
      <c r="PD77" s="178"/>
      <c r="PE77" s="26"/>
      <c r="PF77" s="26"/>
      <c r="PG77" s="26"/>
      <c r="PH77" s="26"/>
      <c r="PI77" s="26"/>
      <c r="PJ77" s="26"/>
      <c r="PK77" s="58"/>
      <c r="PL77" s="26"/>
      <c r="PM77" s="26"/>
      <c r="PN77" s="26"/>
      <c r="PO77" s="26"/>
      <c r="PP77" s="22"/>
      <c r="PQ77" s="167"/>
      <c r="PR77" s="30"/>
      <c r="PS77" s="25"/>
      <c r="PT77" s="178"/>
      <c r="PU77" s="26"/>
      <c r="PV77" s="26"/>
      <c r="PW77" s="26"/>
      <c r="PX77" s="26"/>
      <c r="PY77" s="26"/>
      <c r="PZ77" s="26"/>
      <c r="QA77" s="58"/>
      <c r="QB77" s="26"/>
      <c r="QC77" s="26"/>
      <c r="QD77" s="26"/>
      <c r="QE77" s="26"/>
      <c r="QF77" s="22"/>
      <c r="QG77" s="167"/>
      <c r="QH77" s="30"/>
      <c r="QI77" s="25"/>
      <c r="QJ77" s="178"/>
      <c r="QK77" s="26"/>
      <c r="QL77" s="26"/>
      <c r="QM77" s="26"/>
      <c r="QN77" s="26"/>
      <c r="QO77" s="26"/>
      <c r="QP77" s="26"/>
      <c r="QQ77" s="58"/>
      <c r="QR77" s="26"/>
      <c r="QS77" s="26"/>
      <c r="QT77" s="26"/>
      <c r="QU77" s="26"/>
      <c r="QV77" s="22"/>
      <c r="QW77" s="167"/>
      <c r="QX77" s="30"/>
      <c r="QY77" s="25"/>
      <c r="QZ77" s="178"/>
      <c r="RA77" s="26"/>
      <c r="RB77" s="26"/>
      <c r="RC77" s="26"/>
      <c r="RD77" s="26"/>
      <c r="RE77" s="26"/>
      <c r="RF77" s="26"/>
      <c r="RG77" s="58"/>
      <c r="RH77" s="26"/>
      <c r="RI77" s="26"/>
      <c r="RJ77" s="26"/>
      <c r="RK77" s="26"/>
      <c r="RL77" s="22"/>
      <c r="RM77" s="167"/>
      <c r="RN77" s="30"/>
      <c r="RO77" s="25"/>
      <c r="RP77" s="178"/>
      <c r="RQ77" s="26"/>
      <c r="RR77" s="26"/>
      <c r="RS77" s="26"/>
      <c r="RT77" s="26"/>
      <c r="RU77" s="26"/>
      <c r="RV77" s="26"/>
      <c r="RW77" s="58"/>
      <c r="RX77" s="26"/>
      <c r="RY77" s="26"/>
      <c r="RZ77" s="26"/>
      <c r="SA77" s="26"/>
      <c r="SB77" s="22"/>
      <c r="SC77" s="167"/>
      <c r="SD77" s="30"/>
      <c r="SE77" s="25"/>
      <c r="SF77" s="178"/>
      <c r="SG77" s="26"/>
      <c r="SH77" s="26"/>
      <c r="SI77" s="26"/>
      <c r="SJ77" s="26"/>
      <c r="SK77" s="26"/>
      <c r="SL77" s="26"/>
      <c r="SM77" s="58"/>
      <c r="SN77" s="26"/>
      <c r="SO77" s="26"/>
      <c r="SP77" s="26"/>
      <c r="SQ77" s="26"/>
      <c r="SR77" s="22"/>
      <c r="SS77" s="167"/>
      <c r="ST77" s="30"/>
      <c r="SU77" s="25"/>
      <c r="SV77" s="178"/>
      <c r="SW77" s="26"/>
      <c r="SX77" s="26"/>
      <c r="SY77" s="26"/>
      <c r="SZ77" s="26"/>
      <c r="TA77" s="26"/>
      <c r="TB77" s="26"/>
      <c r="TC77" s="58"/>
      <c r="TD77" s="26"/>
      <c r="TE77" s="26"/>
      <c r="TF77" s="26"/>
      <c r="TG77" s="26"/>
      <c r="TH77" s="22"/>
      <c r="TI77" s="167"/>
      <c r="TJ77" s="30"/>
      <c r="TK77" s="25"/>
      <c r="TL77" s="178"/>
      <c r="TM77" s="26"/>
      <c r="TN77" s="26"/>
      <c r="TO77" s="26"/>
      <c r="TP77" s="26"/>
      <c r="TQ77" s="26"/>
      <c r="TR77" s="26"/>
      <c r="TS77" s="58"/>
      <c r="TT77" s="26"/>
      <c r="TU77" s="26"/>
      <c r="TV77" s="26"/>
      <c r="TW77" s="26"/>
      <c r="TX77" s="22"/>
      <c r="TY77" s="167"/>
      <c r="TZ77" s="30"/>
      <c r="UA77" s="25"/>
      <c r="UB77" s="178"/>
      <c r="UC77" s="26"/>
      <c r="UD77" s="26"/>
      <c r="UE77" s="26"/>
      <c r="UF77" s="26"/>
      <c r="UG77" s="26"/>
      <c r="UH77" s="26"/>
      <c r="UI77" s="58"/>
      <c r="UJ77" s="26"/>
      <c r="UK77" s="26"/>
      <c r="UL77" s="26"/>
      <c r="UM77" s="26"/>
      <c r="UN77" s="22"/>
      <c r="UO77" s="167"/>
      <c r="UP77" s="30"/>
      <c r="UQ77" s="25"/>
      <c r="UR77" s="178"/>
      <c r="US77" s="26"/>
      <c r="UT77" s="26"/>
      <c r="UU77" s="26"/>
      <c r="UV77" s="26"/>
      <c r="UW77" s="26"/>
      <c r="UX77" s="26"/>
      <c r="UY77" s="58"/>
      <c r="UZ77" s="26"/>
      <c r="VA77" s="26"/>
      <c r="VB77" s="26"/>
      <c r="VC77" s="26"/>
      <c r="VD77" s="22"/>
      <c r="VE77" s="167"/>
      <c r="VF77" s="30"/>
      <c r="VG77" s="25"/>
      <c r="VH77" s="178"/>
      <c r="VI77" s="26"/>
      <c r="VJ77" s="26"/>
      <c r="VK77" s="26"/>
      <c r="VL77" s="26"/>
      <c r="VM77" s="26"/>
      <c r="VN77" s="26"/>
      <c r="VO77" s="58"/>
      <c r="VP77" s="26"/>
      <c r="VQ77" s="26"/>
      <c r="VR77" s="26"/>
      <c r="VS77" s="26"/>
      <c r="VT77" s="22"/>
      <c r="VU77" s="167"/>
      <c r="VV77" s="30"/>
      <c r="VW77" s="25"/>
      <c r="VX77" s="178"/>
      <c r="VY77" s="26"/>
      <c r="VZ77" s="26"/>
      <c r="WA77" s="26"/>
      <c r="WB77" s="26"/>
      <c r="WC77" s="26"/>
      <c r="WD77" s="26"/>
      <c r="WE77" s="58"/>
      <c r="WF77" s="26"/>
      <c r="WG77" s="26"/>
      <c r="WH77" s="26"/>
      <c r="WI77" s="26"/>
      <c r="WJ77" s="22"/>
      <c r="WK77" s="167"/>
      <c r="WL77" s="30"/>
      <c r="WM77" s="25"/>
      <c r="WN77" s="178"/>
      <c r="WO77" s="26"/>
      <c r="WP77" s="26"/>
      <c r="WQ77" s="26"/>
      <c r="WR77" s="26"/>
      <c r="WS77" s="26"/>
      <c r="WT77" s="26"/>
      <c r="WU77" s="58"/>
      <c r="WV77" s="26"/>
      <c r="WW77" s="26"/>
      <c r="WX77" s="26"/>
      <c r="WY77" s="26"/>
      <c r="WZ77" s="22"/>
      <c r="XA77" s="167"/>
      <c r="XB77" s="30"/>
      <c r="XC77" s="25"/>
      <c r="XD77" s="178"/>
      <c r="XE77" s="26"/>
      <c r="XF77" s="26"/>
      <c r="XG77" s="26"/>
      <c r="XH77" s="26"/>
      <c r="XI77" s="26"/>
      <c r="XJ77" s="26"/>
      <c r="XK77" s="58"/>
      <c r="XL77" s="26"/>
      <c r="XM77" s="26"/>
      <c r="XN77" s="26"/>
      <c r="XO77" s="26"/>
      <c r="XP77" s="22"/>
      <c r="XQ77" s="167"/>
      <c r="XR77" s="30"/>
      <c r="XS77" s="25"/>
      <c r="XT77" s="178"/>
      <c r="XU77" s="26"/>
      <c r="XV77" s="26"/>
      <c r="XW77" s="26"/>
      <c r="XX77" s="26"/>
      <c r="XY77" s="26"/>
      <c r="XZ77" s="26"/>
      <c r="YA77" s="58"/>
      <c r="YB77" s="26"/>
      <c r="YC77" s="26"/>
      <c r="YD77" s="26"/>
      <c r="YE77" s="26"/>
      <c r="YF77" s="22"/>
      <c r="YG77" s="167"/>
      <c r="YH77" s="30"/>
      <c r="YI77" s="25"/>
      <c r="YJ77" s="178"/>
      <c r="YK77" s="26"/>
      <c r="YL77" s="26"/>
      <c r="YM77" s="26"/>
      <c r="YN77" s="26"/>
      <c r="YO77" s="26"/>
      <c r="YP77" s="26"/>
      <c r="YQ77" s="58"/>
      <c r="YR77" s="26"/>
      <c r="YS77" s="26"/>
      <c r="YT77" s="26"/>
      <c r="YU77" s="26"/>
      <c r="YV77" s="22"/>
      <c r="YW77" s="167"/>
      <c r="YX77" s="30"/>
      <c r="YY77" s="25"/>
      <c r="YZ77" s="178"/>
      <c r="ZA77" s="26"/>
      <c r="ZB77" s="26"/>
      <c r="ZC77" s="26"/>
      <c r="ZD77" s="26"/>
      <c r="ZE77" s="26"/>
      <c r="ZF77" s="26"/>
      <c r="ZG77" s="58"/>
      <c r="ZH77" s="26"/>
      <c r="ZI77" s="26"/>
      <c r="ZJ77" s="26"/>
      <c r="ZK77" s="26"/>
      <c r="ZL77" s="22"/>
      <c r="ZM77" s="167"/>
      <c r="ZN77" s="30"/>
      <c r="ZO77" s="25"/>
      <c r="ZP77" s="178"/>
      <c r="ZQ77" s="26"/>
      <c r="ZR77" s="26"/>
      <c r="ZS77" s="26"/>
      <c r="ZT77" s="26"/>
      <c r="ZU77" s="26"/>
      <c r="ZV77" s="26"/>
      <c r="ZW77" s="58"/>
      <c r="ZX77" s="26"/>
      <c r="ZY77" s="26"/>
      <c r="ZZ77" s="26"/>
      <c r="AAA77" s="26"/>
      <c r="AAB77" s="22"/>
      <c r="AAC77" s="167"/>
      <c r="AAD77" s="30"/>
      <c r="AAE77" s="25"/>
      <c r="AAF77" s="178"/>
      <c r="AAG77" s="26"/>
      <c r="AAH77" s="26"/>
      <c r="AAI77" s="26"/>
      <c r="AAJ77" s="26"/>
      <c r="AAK77" s="26"/>
      <c r="AAL77" s="26"/>
      <c r="AAM77" s="58"/>
      <c r="AAN77" s="26"/>
      <c r="AAO77" s="26"/>
      <c r="AAP77" s="26"/>
      <c r="AAQ77" s="26"/>
      <c r="AAR77" s="22"/>
      <c r="AAS77" s="167"/>
      <c r="AAT77" s="30"/>
      <c r="AAU77" s="25"/>
      <c r="AAV77" s="178"/>
      <c r="AAW77" s="26"/>
      <c r="AAX77" s="26"/>
      <c r="AAY77" s="26"/>
      <c r="AAZ77" s="26"/>
      <c r="ABA77" s="26"/>
      <c r="ABB77" s="26"/>
      <c r="ABC77" s="58"/>
      <c r="ABD77" s="26"/>
      <c r="ABE77" s="26"/>
      <c r="ABF77" s="26"/>
      <c r="ABG77" s="26"/>
      <c r="ABH77" s="22"/>
      <c r="ABI77" s="167"/>
      <c r="ABJ77" s="30"/>
      <c r="ABK77" s="25"/>
      <c r="ABL77" s="178"/>
      <c r="ABM77" s="26"/>
      <c r="ABN77" s="26"/>
      <c r="ABO77" s="26"/>
      <c r="ABP77" s="26"/>
      <c r="ABQ77" s="26"/>
      <c r="ABR77" s="26"/>
      <c r="ABS77" s="58"/>
      <c r="ABT77" s="26"/>
      <c r="ABU77" s="26"/>
      <c r="ABV77" s="26"/>
      <c r="ABW77" s="26"/>
      <c r="ABX77" s="22"/>
      <c r="ABY77" s="167"/>
      <c r="ABZ77" s="30"/>
      <c r="ACA77" s="25"/>
      <c r="ACB77" s="178"/>
      <c r="ACC77" s="26"/>
      <c r="ACD77" s="26"/>
      <c r="ACE77" s="26"/>
      <c r="ACF77" s="26"/>
      <c r="ACG77" s="26"/>
      <c r="ACH77" s="26"/>
      <c r="ACI77" s="58"/>
      <c r="ACJ77" s="26"/>
      <c r="ACK77" s="26"/>
      <c r="ACL77" s="26"/>
      <c r="ACM77" s="26"/>
      <c r="ACN77" s="22"/>
      <c r="ACO77" s="167"/>
      <c r="ACP77" s="30"/>
      <c r="ACQ77" s="25"/>
      <c r="ACR77" s="178"/>
      <c r="ACS77" s="26"/>
      <c r="ACT77" s="26"/>
      <c r="ACU77" s="26"/>
      <c r="ACV77" s="26"/>
      <c r="ACW77" s="26"/>
      <c r="ACX77" s="26"/>
      <c r="ACY77" s="58"/>
      <c r="ACZ77" s="26"/>
      <c r="ADA77" s="26"/>
      <c r="ADB77" s="26"/>
      <c r="ADC77" s="26"/>
      <c r="ADD77" s="22"/>
      <c r="ADE77" s="167"/>
      <c r="ADF77" s="30"/>
      <c r="ADG77" s="25"/>
      <c r="ADH77" s="178"/>
      <c r="ADI77" s="26"/>
      <c r="ADJ77" s="26"/>
      <c r="ADK77" s="26"/>
      <c r="ADL77" s="26"/>
      <c r="ADM77" s="26"/>
      <c r="ADN77" s="26"/>
      <c r="ADO77" s="58"/>
      <c r="ADP77" s="26"/>
      <c r="ADQ77" s="26"/>
      <c r="ADR77" s="26"/>
      <c r="ADS77" s="26"/>
      <c r="ADT77" s="22"/>
      <c r="ADU77" s="167"/>
      <c r="ADV77" s="30"/>
      <c r="ADW77" s="25"/>
      <c r="ADX77" s="178"/>
      <c r="ADY77" s="26"/>
      <c r="ADZ77" s="26"/>
      <c r="AEA77" s="26"/>
      <c r="AEB77" s="26"/>
      <c r="AEC77" s="26"/>
      <c r="AED77" s="26"/>
      <c r="AEE77" s="58"/>
      <c r="AEF77" s="26"/>
      <c r="AEG77" s="26"/>
      <c r="AEH77" s="26"/>
      <c r="AEI77" s="26"/>
      <c r="AEJ77" s="22"/>
      <c r="AEK77" s="167"/>
      <c r="AEL77" s="30"/>
      <c r="AEM77" s="25"/>
      <c r="AEN77" s="178"/>
      <c r="AEO77" s="26"/>
      <c r="AEP77" s="26"/>
      <c r="AEQ77" s="26"/>
      <c r="AER77" s="26"/>
      <c r="AES77" s="26"/>
      <c r="AET77" s="26"/>
      <c r="AEU77" s="58"/>
      <c r="AEV77" s="26"/>
      <c r="AEW77" s="26"/>
      <c r="AEX77" s="26"/>
      <c r="AEY77" s="26"/>
      <c r="AEZ77" s="22"/>
      <c r="AFA77" s="167"/>
      <c r="AFB77" s="30"/>
      <c r="AFC77" s="25"/>
      <c r="AFD77" s="178"/>
      <c r="AFE77" s="26"/>
      <c r="AFF77" s="26"/>
      <c r="AFG77" s="26"/>
      <c r="AFH77" s="26"/>
      <c r="AFI77" s="26"/>
      <c r="AFJ77" s="26"/>
      <c r="AFK77" s="58"/>
      <c r="AFL77" s="26"/>
      <c r="AFM77" s="26"/>
      <c r="AFN77" s="26"/>
      <c r="AFO77" s="26"/>
      <c r="AFP77" s="22"/>
      <c r="AFQ77" s="167"/>
      <c r="AFR77" s="30"/>
      <c r="AFS77" s="25"/>
      <c r="AFT77" s="178"/>
      <c r="AFU77" s="26"/>
      <c r="AFV77" s="26"/>
      <c r="AFW77" s="26"/>
      <c r="AFX77" s="26"/>
      <c r="AFY77" s="26"/>
      <c r="AFZ77" s="26"/>
      <c r="AGA77" s="58"/>
      <c r="AGB77" s="26"/>
      <c r="AGC77" s="26"/>
      <c r="AGD77" s="26"/>
      <c r="AGE77" s="26"/>
      <c r="AGF77" s="22"/>
      <c r="AGG77" s="167"/>
      <c r="AGH77" s="30"/>
      <c r="AGI77" s="25"/>
      <c r="AGJ77" s="178"/>
      <c r="AGK77" s="26"/>
      <c r="AGL77" s="26"/>
      <c r="AGM77" s="26"/>
      <c r="AGN77" s="26"/>
      <c r="AGO77" s="26"/>
      <c r="AGP77" s="26"/>
      <c r="AGQ77" s="58"/>
      <c r="AGR77" s="26"/>
      <c r="AGS77" s="26"/>
      <c r="AGT77" s="26"/>
      <c r="AGU77" s="26"/>
      <c r="AGV77" s="22"/>
      <c r="AGW77" s="167"/>
      <c r="AGX77" s="30"/>
      <c r="AGY77" s="25"/>
      <c r="AGZ77" s="178"/>
      <c r="AHA77" s="26"/>
      <c r="AHB77" s="26"/>
      <c r="AHC77" s="26"/>
      <c r="AHD77" s="26"/>
      <c r="AHE77" s="26"/>
      <c r="AHF77" s="26"/>
      <c r="AHG77" s="58"/>
      <c r="AHH77" s="26"/>
      <c r="AHI77" s="26"/>
      <c r="AHJ77" s="26"/>
      <c r="AHK77" s="26"/>
      <c r="AHL77" s="22"/>
      <c r="AHM77" s="167"/>
      <c r="AHN77" s="30"/>
      <c r="AHO77" s="25"/>
      <c r="AHP77" s="178"/>
      <c r="AHQ77" s="26"/>
      <c r="AHR77" s="26"/>
      <c r="AHS77" s="26"/>
      <c r="AHT77" s="26"/>
      <c r="AHU77" s="26"/>
      <c r="AHV77" s="26"/>
      <c r="AHW77" s="58"/>
      <c r="AHX77" s="26"/>
      <c r="AHY77" s="26"/>
      <c r="AHZ77" s="26"/>
      <c r="AIA77" s="26"/>
      <c r="AIB77" s="22"/>
      <c r="AIC77" s="167"/>
      <c r="AID77" s="30"/>
      <c r="AIE77" s="25"/>
      <c r="AIF77" s="178"/>
      <c r="AIG77" s="26"/>
      <c r="AIH77" s="26"/>
      <c r="AII77" s="26"/>
      <c r="AIJ77" s="26"/>
      <c r="AIK77" s="26"/>
      <c r="AIL77" s="26"/>
      <c r="AIM77" s="58"/>
      <c r="AIN77" s="26"/>
      <c r="AIO77" s="26"/>
      <c r="AIP77" s="26"/>
      <c r="AIQ77" s="26"/>
      <c r="AIR77" s="22"/>
      <c r="AIS77" s="167"/>
      <c r="AIT77" s="30"/>
      <c r="AIU77" s="25"/>
      <c r="AIV77" s="178"/>
      <c r="AIW77" s="26"/>
      <c r="AIX77" s="26"/>
      <c r="AIY77" s="26"/>
      <c r="AIZ77" s="26"/>
      <c r="AJA77" s="26"/>
      <c r="AJB77" s="26"/>
      <c r="AJC77" s="58"/>
      <c r="AJD77" s="26"/>
      <c r="AJE77" s="26"/>
      <c r="AJF77" s="26"/>
      <c r="AJG77" s="26"/>
      <c r="AJH77" s="22"/>
      <c r="AJI77" s="167"/>
      <c r="AJJ77" s="30"/>
      <c r="AJK77" s="25"/>
      <c r="AJL77" s="178"/>
      <c r="AJM77" s="26"/>
      <c r="AJN77" s="26"/>
      <c r="AJO77" s="26"/>
      <c r="AJP77" s="26"/>
      <c r="AJQ77" s="26"/>
      <c r="AJR77" s="26"/>
      <c r="AJS77" s="58"/>
      <c r="AJT77" s="26"/>
      <c r="AJU77" s="26"/>
      <c r="AJV77" s="26"/>
      <c r="AJW77" s="26"/>
      <c r="AJX77" s="22"/>
      <c r="AJY77" s="167"/>
      <c r="AJZ77" s="30"/>
      <c r="AKA77" s="25"/>
      <c r="AKB77" s="178"/>
      <c r="AKC77" s="26"/>
      <c r="AKD77" s="26"/>
      <c r="AKE77" s="26"/>
      <c r="AKF77" s="26"/>
      <c r="AKG77" s="26"/>
      <c r="AKH77" s="26"/>
      <c r="AKI77" s="58"/>
      <c r="AKJ77" s="26"/>
      <c r="AKK77" s="26"/>
      <c r="AKL77" s="26"/>
      <c r="AKM77" s="26"/>
      <c r="AKN77" s="22"/>
      <c r="AKO77" s="167"/>
      <c r="AKP77" s="30"/>
      <c r="AKQ77" s="25"/>
      <c r="AKR77" s="178"/>
      <c r="AKS77" s="26"/>
      <c r="AKT77" s="26"/>
      <c r="AKU77" s="26"/>
      <c r="AKV77" s="26"/>
      <c r="AKW77" s="26"/>
      <c r="AKX77" s="26"/>
      <c r="AKY77" s="58"/>
      <c r="AKZ77" s="26"/>
      <c r="ALA77" s="26"/>
      <c r="ALB77" s="26"/>
      <c r="ALC77" s="26"/>
      <c r="ALD77" s="22"/>
      <c r="ALE77" s="167"/>
      <c r="ALF77" s="30"/>
      <c r="ALG77" s="25"/>
      <c r="ALH77" s="178"/>
      <c r="ALI77" s="26"/>
      <c r="ALJ77" s="26"/>
      <c r="ALK77" s="26"/>
      <c r="ALL77" s="26"/>
      <c r="ALM77" s="26"/>
      <c r="ALN77" s="26"/>
      <c r="ALO77" s="58"/>
      <c r="ALP77" s="26"/>
      <c r="ALQ77" s="26"/>
      <c r="ALR77" s="26"/>
      <c r="ALS77" s="26"/>
      <c r="ALT77" s="22"/>
      <c r="ALU77" s="167"/>
      <c r="ALV77" s="30"/>
      <c r="ALW77" s="25"/>
      <c r="ALX77" s="178"/>
      <c r="ALY77" s="26"/>
      <c r="ALZ77" s="26"/>
      <c r="AMA77" s="26"/>
      <c r="AMB77" s="26"/>
      <c r="AMC77" s="26"/>
      <c r="AMD77" s="26"/>
      <c r="AME77" s="58"/>
      <c r="AMF77" s="26"/>
      <c r="AMG77" s="26"/>
      <c r="AMH77" s="26"/>
      <c r="AMI77" s="26"/>
      <c r="AMJ77" s="22"/>
      <c r="AMK77" s="167"/>
      <c r="AML77" s="30"/>
      <c r="AMM77" s="25"/>
      <c r="AMN77" s="178"/>
      <c r="AMO77" s="26"/>
      <c r="AMP77" s="26"/>
      <c r="AMQ77" s="26"/>
      <c r="AMR77" s="26"/>
      <c r="AMS77" s="26"/>
      <c r="AMT77" s="26"/>
      <c r="AMU77" s="58"/>
      <c r="AMV77" s="26"/>
      <c r="AMW77" s="26"/>
      <c r="AMX77" s="26"/>
      <c r="AMY77" s="26"/>
      <c r="AMZ77" s="22"/>
      <c r="ANA77" s="167"/>
      <c r="ANB77" s="30"/>
      <c r="ANC77" s="25"/>
      <c r="AND77" s="178"/>
      <c r="ANE77" s="26"/>
      <c r="ANF77" s="26"/>
      <c r="ANG77" s="26"/>
      <c r="ANH77" s="26"/>
      <c r="ANI77" s="26"/>
      <c r="ANJ77" s="26"/>
      <c r="ANK77" s="58"/>
      <c r="ANL77" s="26"/>
      <c r="ANM77" s="26"/>
      <c r="ANN77" s="26"/>
      <c r="ANO77" s="26"/>
      <c r="ANP77" s="22"/>
      <c r="ANQ77" s="167"/>
      <c r="ANR77" s="30"/>
      <c r="ANS77" s="25"/>
      <c r="ANT77" s="178"/>
      <c r="ANU77" s="26"/>
      <c r="ANV77" s="26"/>
      <c r="ANW77" s="26"/>
      <c r="ANX77" s="26"/>
      <c r="ANY77" s="26"/>
      <c r="ANZ77" s="26"/>
      <c r="AOA77" s="58"/>
      <c r="AOB77" s="26"/>
      <c r="AOC77" s="26"/>
      <c r="AOD77" s="26"/>
      <c r="AOE77" s="26"/>
      <c r="AOF77" s="22"/>
      <c r="AOG77" s="167"/>
      <c r="AOH77" s="30"/>
      <c r="AOI77" s="25"/>
      <c r="AOJ77" s="178"/>
      <c r="AOK77" s="26"/>
      <c r="AOL77" s="26"/>
      <c r="AOM77" s="26"/>
      <c r="AON77" s="26"/>
      <c r="AOO77" s="26"/>
      <c r="AOP77" s="26"/>
      <c r="AOQ77" s="58"/>
      <c r="AOR77" s="26"/>
      <c r="AOS77" s="26"/>
      <c r="AOT77" s="26"/>
      <c r="AOU77" s="26"/>
      <c r="AOV77" s="22"/>
      <c r="AOW77" s="167"/>
      <c r="AOX77" s="30"/>
      <c r="AOY77" s="25"/>
      <c r="AOZ77" s="178"/>
      <c r="APA77" s="26"/>
      <c r="APB77" s="26"/>
      <c r="APC77" s="26"/>
      <c r="APD77" s="26"/>
      <c r="APE77" s="26"/>
      <c r="APF77" s="26"/>
      <c r="APG77" s="58"/>
      <c r="APH77" s="26"/>
      <c r="API77" s="26"/>
      <c r="APJ77" s="26"/>
      <c r="APK77" s="26"/>
      <c r="APL77" s="22"/>
      <c r="APM77" s="167"/>
      <c r="APN77" s="30"/>
      <c r="APO77" s="25"/>
      <c r="APP77" s="178"/>
      <c r="APQ77" s="26"/>
      <c r="APR77" s="26"/>
      <c r="APS77" s="26"/>
      <c r="APT77" s="26"/>
      <c r="APU77" s="26"/>
      <c r="APV77" s="26"/>
      <c r="APW77" s="58"/>
      <c r="APX77" s="26"/>
      <c r="APY77" s="26"/>
      <c r="APZ77" s="26"/>
      <c r="AQA77" s="26"/>
      <c r="AQB77" s="22"/>
      <c r="AQC77" s="167"/>
      <c r="AQD77" s="30"/>
      <c r="AQE77" s="25"/>
      <c r="AQF77" s="178"/>
      <c r="AQG77" s="26"/>
      <c r="AQH77" s="26"/>
      <c r="AQI77" s="26"/>
      <c r="AQJ77" s="26"/>
      <c r="AQK77" s="26"/>
      <c r="AQL77" s="26"/>
      <c r="AQM77" s="58"/>
      <c r="AQN77" s="26"/>
      <c r="AQO77" s="26"/>
      <c r="AQP77" s="26"/>
      <c r="AQQ77" s="26"/>
      <c r="AQR77" s="22"/>
      <c r="AQS77" s="167"/>
      <c r="AQT77" s="30"/>
      <c r="AQU77" s="25"/>
      <c r="AQV77" s="178"/>
      <c r="AQW77" s="26"/>
      <c r="AQX77" s="26"/>
      <c r="AQY77" s="26"/>
      <c r="AQZ77" s="26"/>
      <c r="ARA77" s="26"/>
      <c r="ARB77" s="26"/>
      <c r="ARC77" s="58"/>
      <c r="ARD77" s="26"/>
      <c r="ARE77" s="26"/>
      <c r="ARF77" s="26"/>
      <c r="ARG77" s="26"/>
      <c r="ARH77" s="22"/>
      <c r="ARI77" s="167"/>
      <c r="ARJ77" s="30"/>
      <c r="ARK77" s="25"/>
      <c r="ARL77" s="178"/>
      <c r="ARM77" s="26"/>
      <c r="ARN77" s="26"/>
      <c r="ARO77" s="26"/>
      <c r="ARP77" s="26"/>
      <c r="ARQ77" s="26"/>
      <c r="ARR77" s="26"/>
      <c r="ARS77" s="58"/>
      <c r="ART77" s="26"/>
      <c r="ARU77" s="26"/>
      <c r="ARV77" s="26"/>
      <c r="ARW77" s="26"/>
      <c r="ARX77" s="22"/>
      <c r="ARY77" s="167"/>
      <c r="ARZ77" s="30"/>
      <c r="ASA77" s="25"/>
      <c r="ASB77" s="178"/>
      <c r="ASC77" s="26"/>
      <c r="ASD77" s="26"/>
      <c r="ASE77" s="26"/>
      <c r="ASF77" s="26"/>
      <c r="ASG77" s="26"/>
      <c r="ASH77" s="26"/>
      <c r="ASI77" s="58"/>
      <c r="ASJ77" s="26"/>
      <c r="ASK77" s="26"/>
      <c r="ASL77" s="26"/>
      <c r="ASM77" s="26"/>
      <c r="ASN77" s="22"/>
      <c r="ASO77" s="167"/>
      <c r="ASP77" s="30"/>
      <c r="ASQ77" s="25"/>
      <c r="ASR77" s="178"/>
      <c r="ASS77" s="26"/>
      <c r="AST77" s="26"/>
      <c r="ASU77" s="26"/>
      <c r="ASV77" s="26"/>
      <c r="ASW77" s="26"/>
      <c r="ASX77" s="26"/>
      <c r="ASY77" s="58"/>
      <c r="ASZ77" s="26"/>
      <c r="ATA77" s="26"/>
      <c r="ATB77" s="26"/>
      <c r="ATC77" s="26"/>
      <c r="ATD77" s="22"/>
      <c r="ATE77" s="167"/>
      <c r="ATF77" s="30"/>
      <c r="ATG77" s="25"/>
      <c r="ATH77" s="178"/>
      <c r="ATI77" s="26"/>
      <c r="ATJ77" s="26"/>
      <c r="ATK77" s="26"/>
      <c r="ATL77" s="26"/>
      <c r="ATM77" s="26"/>
      <c r="ATN77" s="26"/>
      <c r="ATO77" s="58"/>
      <c r="ATP77" s="26"/>
      <c r="ATQ77" s="26"/>
      <c r="ATR77" s="26"/>
      <c r="ATS77" s="26"/>
      <c r="ATT77" s="22"/>
      <c r="ATU77" s="167"/>
      <c r="ATV77" s="30"/>
      <c r="ATW77" s="25"/>
      <c r="ATX77" s="178"/>
      <c r="ATY77" s="26"/>
      <c r="ATZ77" s="26"/>
      <c r="AUA77" s="26"/>
      <c r="AUB77" s="26"/>
      <c r="AUC77" s="26"/>
      <c r="AUD77" s="26"/>
      <c r="AUE77" s="58"/>
      <c r="AUF77" s="26"/>
      <c r="AUG77" s="26"/>
      <c r="AUH77" s="26"/>
      <c r="AUI77" s="26"/>
      <c r="AUJ77" s="22"/>
      <c r="AUK77" s="167"/>
      <c r="AUL77" s="30"/>
      <c r="AUM77" s="25"/>
      <c r="AUN77" s="178"/>
      <c r="AUO77" s="26"/>
      <c r="AUP77" s="26"/>
      <c r="AUQ77" s="26"/>
      <c r="AUR77" s="26"/>
      <c r="AUS77" s="26"/>
      <c r="AUT77" s="26"/>
      <c r="AUU77" s="58"/>
      <c r="AUV77" s="26"/>
      <c r="AUW77" s="26"/>
      <c r="AUX77" s="26"/>
      <c r="AUY77" s="26"/>
      <c r="AUZ77" s="22"/>
      <c r="AVA77" s="167"/>
      <c r="AVB77" s="30"/>
      <c r="AVC77" s="25"/>
      <c r="AVD77" s="178"/>
      <c r="AVE77" s="26"/>
      <c r="AVF77" s="26"/>
      <c r="AVG77" s="26"/>
      <c r="AVH77" s="26"/>
      <c r="AVI77" s="26"/>
      <c r="AVJ77" s="26"/>
      <c r="AVK77" s="58"/>
      <c r="AVL77" s="26"/>
      <c r="AVM77" s="26"/>
      <c r="AVN77" s="26"/>
      <c r="AVO77" s="26"/>
      <c r="AVP77" s="22"/>
      <c r="AVQ77" s="167"/>
      <c r="AVR77" s="30"/>
      <c r="AVS77" s="25"/>
      <c r="AVT77" s="178"/>
      <c r="AVU77" s="26"/>
      <c r="AVV77" s="26"/>
      <c r="AVW77" s="26"/>
      <c r="AVX77" s="26"/>
      <c r="AVY77" s="26"/>
      <c r="AVZ77" s="26"/>
      <c r="AWA77" s="58"/>
      <c r="AWB77" s="26"/>
      <c r="AWC77" s="26"/>
      <c r="AWD77" s="26"/>
      <c r="AWE77" s="26"/>
      <c r="AWF77" s="22"/>
      <c r="AWG77" s="167"/>
      <c r="AWH77" s="30"/>
      <c r="AWI77" s="25"/>
      <c r="AWJ77" s="178"/>
      <c r="AWK77" s="26"/>
      <c r="AWL77" s="26"/>
      <c r="AWM77" s="26"/>
      <c r="AWN77" s="26"/>
      <c r="AWO77" s="26"/>
      <c r="AWP77" s="26"/>
      <c r="AWQ77" s="58"/>
      <c r="AWR77" s="26"/>
      <c r="AWS77" s="26"/>
      <c r="AWT77" s="26"/>
      <c r="AWU77" s="26"/>
      <c r="AWV77" s="22"/>
      <c r="AWW77" s="167"/>
      <c r="AWX77" s="30"/>
      <c r="AWY77" s="25"/>
      <c r="AWZ77" s="178"/>
      <c r="AXA77" s="26"/>
      <c r="AXB77" s="26"/>
      <c r="AXC77" s="26"/>
      <c r="AXD77" s="26"/>
      <c r="AXE77" s="26"/>
      <c r="AXF77" s="26"/>
      <c r="AXG77" s="58"/>
      <c r="AXH77" s="26"/>
      <c r="AXI77" s="26"/>
      <c r="AXJ77" s="26"/>
      <c r="AXK77" s="26"/>
      <c r="AXL77" s="22"/>
      <c r="AXM77" s="167"/>
      <c r="AXN77" s="30"/>
      <c r="AXO77" s="25"/>
      <c r="AXP77" s="178"/>
      <c r="AXQ77" s="26"/>
      <c r="AXR77" s="26"/>
      <c r="AXS77" s="26"/>
      <c r="AXT77" s="26"/>
      <c r="AXU77" s="26"/>
      <c r="AXV77" s="26"/>
      <c r="AXW77" s="58"/>
      <c r="AXX77" s="26"/>
      <c r="AXY77" s="26"/>
      <c r="AXZ77" s="26"/>
      <c r="AYA77" s="26"/>
      <c r="AYB77" s="22"/>
      <c r="AYC77" s="167"/>
      <c r="AYD77" s="30"/>
      <c r="AYE77" s="25"/>
      <c r="AYF77" s="178"/>
      <c r="AYG77" s="26"/>
      <c r="AYH77" s="26"/>
      <c r="AYI77" s="26"/>
      <c r="AYJ77" s="26"/>
      <c r="AYK77" s="26"/>
      <c r="AYL77" s="26"/>
      <c r="AYM77" s="58"/>
      <c r="AYN77" s="26"/>
      <c r="AYO77" s="26"/>
      <c r="AYP77" s="26"/>
      <c r="AYQ77" s="26"/>
      <c r="AYR77" s="22"/>
      <c r="AYS77" s="167"/>
      <c r="AYT77" s="30"/>
      <c r="AYU77" s="25"/>
      <c r="AYV77" s="178"/>
      <c r="AYW77" s="26"/>
      <c r="AYX77" s="26"/>
      <c r="AYY77" s="26"/>
      <c r="AYZ77" s="26"/>
      <c r="AZA77" s="26"/>
      <c r="AZB77" s="26"/>
      <c r="AZC77" s="58"/>
      <c r="AZD77" s="26"/>
      <c r="AZE77" s="26"/>
      <c r="AZF77" s="26"/>
      <c r="AZG77" s="26"/>
      <c r="AZH77" s="22"/>
      <c r="AZI77" s="167"/>
      <c r="AZJ77" s="30"/>
      <c r="AZK77" s="25"/>
      <c r="AZL77" s="178"/>
      <c r="AZM77" s="26"/>
      <c r="AZN77" s="26"/>
      <c r="AZO77" s="26"/>
      <c r="AZP77" s="26"/>
      <c r="AZQ77" s="26"/>
      <c r="AZR77" s="26"/>
      <c r="AZS77" s="58"/>
      <c r="AZT77" s="26"/>
      <c r="AZU77" s="26"/>
      <c r="AZV77" s="26"/>
      <c r="AZW77" s="26"/>
      <c r="AZX77" s="22"/>
      <c r="AZY77" s="167"/>
      <c r="AZZ77" s="30"/>
      <c r="BAA77" s="25"/>
      <c r="BAB77" s="178"/>
      <c r="BAC77" s="26"/>
      <c r="BAD77" s="26"/>
      <c r="BAE77" s="26"/>
      <c r="BAF77" s="26"/>
      <c r="BAG77" s="26"/>
      <c r="BAH77" s="26"/>
      <c r="BAI77" s="58"/>
      <c r="BAJ77" s="26"/>
      <c r="BAK77" s="26"/>
      <c r="BAL77" s="26"/>
      <c r="BAM77" s="26"/>
      <c r="BAN77" s="22"/>
      <c r="BAO77" s="167"/>
      <c r="BAP77" s="30"/>
      <c r="BAQ77" s="25"/>
      <c r="BAR77" s="178"/>
      <c r="BAS77" s="26"/>
      <c r="BAT77" s="26"/>
      <c r="BAU77" s="26"/>
      <c r="BAV77" s="26"/>
      <c r="BAW77" s="26"/>
      <c r="BAX77" s="26"/>
      <c r="BAY77" s="58"/>
      <c r="BAZ77" s="26"/>
      <c r="BBA77" s="26"/>
      <c r="BBB77" s="26"/>
      <c r="BBC77" s="26"/>
      <c r="BBD77" s="22"/>
      <c r="BBE77" s="167"/>
      <c r="BBF77" s="30"/>
      <c r="BBG77" s="25"/>
      <c r="BBH77" s="178"/>
      <c r="BBI77" s="26"/>
      <c r="BBJ77" s="26"/>
      <c r="BBK77" s="26"/>
      <c r="BBL77" s="26"/>
      <c r="BBM77" s="26"/>
      <c r="BBN77" s="26"/>
      <c r="BBO77" s="58"/>
      <c r="BBP77" s="26"/>
      <c r="BBQ77" s="26"/>
      <c r="BBR77" s="26"/>
      <c r="BBS77" s="26"/>
      <c r="BBT77" s="22"/>
      <c r="BBU77" s="167"/>
      <c r="BBV77" s="30"/>
      <c r="BBW77" s="25"/>
      <c r="BBX77" s="178"/>
      <c r="BBY77" s="26"/>
      <c r="BBZ77" s="26"/>
      <c r="BCA77" s="26"/>
      <c r="BCB77" s="26"/>
      <c r="BCC77" s="26"/>
      <c r="BCD77" s="26"/>
      <c r="BCE77" s="58"/>
      <c r="BCF77" s="26"/>
      <c r="BCG77" s="26"/>
      <c r="BCH77" s="26"/>
      <c r="BCI77" s="26"/>
      <c r="BCJ77" s="22"/>
      <c r="BCK77" s="167"/>
      <c r="BCL77" s="30"/>
      <c r="BCM77" s="25"/>
      <c r="BCN77" s="178"/>
      <c r="BCO77" s="26"/>
      <c r="BCP77" s="26"/>
      <c r="BCQ77" s="26"/>
      <c r="BCR77" s="26"/>
      <c r="BCS77" s="26"/>
      <c r="BCT77" s="26"/>
      <c r="BCU77" s="58"/>
      <c r="BCV77" s="26"/>
      <c r="BCW77" s="26"/>
      <c r="BCX77" s="26"/>
      <c r="BCY77" s="26"/>
      <c r="BCZ77" s="22"/>
      <c r="BDA77" s="167"/>
      <c r="BDB77" s="30"/>
      <c r="BDC77" s="25"/>
      <c r="BDD77" s="178"/>
      <c r="BDE77" s="26"/>
      <c r="BDF77" s="26"/>
      <c r="BDG77" s="26"/>
      <c r="BDH77" s="26"/>
      <c r="BDI77" s="26"/>
      <c r="BDJ77" s="26"/>
      <c r="BDK77" s="58"/>
      <c r="BDL77" s="26"/>
      <c r="BDM77" s="26"/>
      <c r="BDN77" s="26"/>
      <c r="BDO77" s="26"/>
      <c r="BDP77" s="22"/>
      <c r="BDQ77" s="167"/>
      <c r="BDR77" s="30"/>
      <c r="BDS77" s="25"/>
      <c r="BDT77" s="178"/>
      <c r="BDU77" s="26"/>
      <c r="BDV77" s="26"/>
      <c r="BDW77" s="26"/>
      <c r="BDX77" s="26"/>
      <c r="BDY77" s="26"/>
      <c r="BDZ77" s="26"/>
      <c r="BEA77" s="58"/>
      <c r="BEB77" s="26"/>
      <c r="BEC77" s="26"/>
      <c r="BED77" s="26"/>
      <c r="BEE77" s="26"/>
      <c r="BEF77" s="22"/>
      <c r="BEG77" s="167"/>
      <c r="BEH77" s="30"/>
      <c r="BEI77" s="25"/>
      <c r="BEJ77" s="178"/>
      <c r="BEK77" s="26"/>
      <c r="BEL77" s="26"/>
      <c r="BEM77" s="26"/>
      <c r="BEN77" s="26"/>
      <c r="BEO77" s="26"/>
      <c r="BEP77" s="26"/>
      <c r="BEQ77" s="58"/>
      <c r="BER77" s="26"/>
      <c r="BES77" s="26"/>
      <c r="BET77" s="26"/>
      <c r="BEU77" s="26"/>
      <c r="BEV77" s="22"/>
      <c r="BEW77" s="167"/>
      <c r="BEX77" s="30"/>
      <c r="BEY77" s="25"/>
      <c r="BEZ77" s="178"/>
      <c r="BFA77" s="26"/>
      <c r="BFB77" s="26"/>
      <c r="BFC77" s="26"/>
      <c r="BFD77" s="26"/>
      <c r="BFE77" s="26"/>
      <c r="BFF77" s="26"/>
      <c r="BFG77" s="58"/>
      <c r="BFH77" s="26"/>
      <c r="BFI77" s="26"/>
      <c r="BFJ77" s="26"/>
      <c r="BFK77" s="26"/>
      <c r="BFL77" s="22"/>
      <c r="BFM77" s="167"/>
      <c r="BFN77" s="30"/>
      <c r="BFO77" s="25"/>
      <c r="BFP77" s="178"/>
      <c r="BFQ77" s="26"/>
      <c r="BFR77" s="26"/>
      <c r="BFS77" s="26"/>
      <c r="BFT77" s="26"/>
      <c r="BFU77" s="26"/>
      <c r="BFV77" s="26"/>
      <c r="BFW77" s="58"/>
      <c r="BFX77" s="26"/>
      <c r="BFY77" s="26"/>
      <c r="BFZ77" s="26"/>
      <c r="BGA77" s="26"/>
      <c r="BGB77" s="22"/>
      <c r="BGC77" s="167"/>
      <c r="BGD77" s="30"/>
      <c r="BGE77" s="25"/>
      <c r="BGF77" s="178"/>
      <c r="BGG77" s="26"/>
      <c r="BGH77" s="26"/>
      <c r="BGI77" s="26"/>
      <c r="BGJ77" s="26"/>
      <c r="BGK77" s="26"/>
      <c r="BGL77" s="26"/>
      <c r="BGM77" s="58"/>
      <c r="BGN77" s="26"/>
      <c r="BGO77" s="26"/>
      <c r="BGP77" s="26"/>
      <c r="BGQ77" s="26"/>
      <c r="BGR77" s="22"/>
      <c r="BGS77" s="167"/>
      <c r="BGT77" s="30"/>
      <c r="BGU77" s="25"/>
      <c r="BGV77" s="178"/>
      <c r="BGW77" s="26"/>
      <c r="BGX77" s="26"/>
      <c r="BGY77" s="26"/>
      <c r="BGZ77" s="26"/>
      <c r="BHA77" s="26"/>
      <c r="BHB77" s="26"/>
      <c r="BHC77" s="58"/>
      <c r="BHD77" s="26"/>
      <c r="BHE77" s="26"/>
      <c r="BHF77" s="26"/>
      <c r="BHG77" s="26"/>
      <c r="BHH77" s="22"/>
      <c r="BHI77" s="167"/>
      <c r="BHJ77" s="30"/>
      <c r="BHK77" s="25"/>
      <c r="BHL77" s="178"/>
      <c r="BHM77" s="26"/>
      <c r="BHN77" s="26"/>
      <c r="BHO77" s="26"/>
      <c r="BHP77" s="26"/>
      <c r="BHQ77" s="26"/>
      <c r="BHR77" s="26"/>
      <c r="BHS77" s="58"/>
      <c r="BHT77" s="26"/>
      <c r="BHU77" s="26"/>
      <c r="BHV77" s="26"/>
      <c r="BHW77" s="26"/>
      <c r="BHX77" s="22"/>
      <c r="BHY77" s="167"/>
      <c r="BHZ77" s="30"/>
      <c r="BIA77" s="25"/>
      <c r="BIB77" s="178"/>
      <c r="BIC77" s="26"/>
      <c r="BID77" s="26"/>
      <c r="BIE77" s="26"/>
      <c r="BIF77" s="26"/>
      <c r="BIG77" s="26"/>
      <c r="BIH77" s="26"/>
      <c r="BII77" s="58"/>
      <c r="BIJ77" s="26"/>
      <c r="BIK77" s="26"/>
      <c r="BIL77" s="26"/>
      <c r="BIM77" s="26"/>
      <c r="BIN77" s="22"/>
      <c r="BIO77" s="167"/>
      <c r="BIP77" s="30"/>
      <c r="BIQ77" s="25"/>
      <c r="BIR77" s="178"/>
      <c r="BIS77" s="26"/>
      <c r="BIT77" s="26"/>
      <c r="BIU77" s="26"/>
      <c r="BIV77" s="26"/>
      <c r="BIW77" s="26"/>
      <c r="BIX77" s="26"/>
      <c r="BIY77" s="58"/>
      <c r="BIZ77" s="26"/>
      <c r="BJA77" s="26"/>
      <c r="BJB77" s="26"/>
      <c r="BJC77" s="26"/>
      <c r="BJD77" s="22"/>
      <c r="BJE77" s="167"/>
      <c r="BJF77" s="30"/>
      <c r="BJG77" s="25"/>
      <c r="BJH77" s="178"/>
      <c r="BJI77" s="26"/>
      <c r="BJJ77" s="26"/>
      <c r="BJK77" s="26"/>
      <c r="BJL77" s="26"/>
      <c r="BJM77" s="26"/>
      <c r="BJN77" s="26"/>
      <c r="BJO77" s="58"/>
      <c r="BJP77" s="26"/>
      <c r="BJQ77" s="26"/>
      <c r="BJR77" s="26"/>
      <c r="BJS77" s="26"/>
      <c r="BJT77" s="22"/>
      <c r="BJU77" s="167"/>
      <c r="BJV77" s="30"/>
      <c r="BJW77" s="25"/>
      <c r="BJX77" s="178"/>
      <c r="BJY77" s="26"/>
      <c r="BJZ77" s="26"/>
      <c r="BKA77" s="26"/>
      <c r="BKB77" s="26"/>
      <c r="BKC77" s="26"/>
      <c r="BKD77" s="26"/>
      <c r="BKE77" s="58"/>
      <c r="BKF77" s="26"/>
      <c r="BKG77" s="26"/>
      <c r="BKH77" s="26"/>
      <c r="BKI77" s="26"/>
      <c r="BKJ77" s="22"/>
      <c r="BKK77" s="167"/>
      <c r="BKL77" s="30"/>
      <c r="BKM77" s="25"/>
      <c r="BKN77" s="178"/>
      <c r="BKO77" s="26"/>
      <c r="BKP77" s="26"/>
      <c r="BKQ77" s="26"/>
      <c r="BKR77" s="26"/>
      <c r="BKS77" s="26"/>
      <c r="BKT77" s="26"/>
      <c r="BKU77" s="58"/>
      <c r="BKV77" s="26"/>
      <c r="BKW77" s="26"/>
      <c r="BKX77" s="26"/>
      <c r="BKY77" s="26"/>
      <c r="BKZ77" s="22"/>
      <c r="BLA77" s="167"/>
      <c r="BLB77" s="30"/>
      <c r="BLC77" s="25"/>
      <c r="BLD77" s="178"/>
      <c r="BLE77" s="26"/>
      <c r="BLF77" s="26"/>
      <c r="BLG77" s="26"/>
      <c r="BLH77" s="26"/>
      <c r="BLI77" s="26"/>
      <c r="BLJ77" s="26"/>
      <c r="BLK77" s="58"/>
      <c r="BLL77" s="26"/>
      <c r="BLM77" s="26"/>
      <c r="BLN77" s="26"/>
      <c r="BLO77" s="26"/>
      <c r="BLP77" s="22"/>
      <c r="BLQ77" s="167"/>
      <c r="BLR77" s="30"/>
      <c r="BLS77" s="25"/>
      <c r="BLT77" s="178"/>
      <c r="BLU77" s="26"/>
      <c r="BLV77" s="26"/>
      <c r="BLW77" s="26"/>
      <c r="BLX77" s="26"/>
      <c r="BLY77" s="26"/>
      <c r="BLZ77" s="26"/>
      <c r="BMA77" s="58"/>
      <c r="BMB77" s="26"/>
      <c r="BMC77" s="26"/>
      <c r="BMD77" s="26"/>
      <c r="BME77" s="26"/>
      <c r="BMF77" s="22"/>
      <c r="BMG77" s="167"/>
      <c r="BMH77" s="30"/>
      <c r="BMI77" s="25"/>
      <c r="BMJ77" s="178"/>
      <c r="BMK77" s="26"/>
      <c r="BML77" s="26"/>
      <c r="BMM77" s="26"/>
      <c r="BMN77" s="26"/>
      <c r="BMO77" s="26"/>
      <c r="BMP77" s="26"/>
      <c r="BMQ77" s="58"/>
      <c r="BMR77" s="26"/>
      <c r="BMS77" s="26"/>
      <c r="BMT77" s="26"/>
      <c r="BMU77" s="26"/>
      <c r="BMV77" s="22"/>
      <c r="BMW77" s="167"/>
      <c r="BMX77" s="30"/>
      <c r="BMY77" s="25"/>
      <c r="BMZ77" s="178"/>
      <c r="BNA77" s="26"/>
      <c r="BNB77" s="26"/>
      <c r="BNC77" s="26"/>
      <c r="BND77" s="26"/>
      <c r="BNE77" s="26"/>
      <c r="BNF77" s="26"/>
      <c r="BNG77" s="58"/>
      <c r="BNH77" s="26"/>
      <c r="BNI77" s="26"/>
      <c r="BNJ77" s="26"/>
      <c r="BNK77" s="26"/>
      <c r="BNL77" s="22"/>
      <c r="BNM77" s="167"/>
      <c r="BNN77" s="30"/>
      <c r="BNO77" s="25"/>
      <c r="BNP77" s="178"/>
      <c r="BNQ77" s="26"/>
      <c r="BNR77" s="26"/>
      <c r="BNS77" s="26"/>
      <c r="BNT77" s="26"/>
      <c r="BNU77" s="26"/>
      <c r="BNV77" s="26"/>
      <c r="BNW77" s="58"/>
      <c r="BNX77" s="26"/>
      <c r="BNY77" s="26"/>
      <c r="BNZ77" s="26"/>
      <c r="BOA77" s="26"/>
      <c r="BOB77" s="22"/>
      <c r="BOC77" s="167"/>
      <c r="BOD77" s="30"/>
      <c r="BOE77" s="25"/>
      <c r="BOF77" s="178"/>
      <c r="BOG77" s="26"/>
      <c r="BOH77" s="26"/>
      <c r="BOI77" s="26"/>
      <c r="BOJ77" s="26"/>
      <c r="BOK77" s="26"/>
      <c r="BOL77" s="26"/>
      <c r="BOM77" s="58"/>
      <c r="BON77" s="26"/>
      <c r="BOO77" s="26"/>
      <c r="BOP77" s="26"/>
      <c r="BOQ77" s="26"/>
      <c r="BOR77" s="22"/>
      <c r="BOS77" s="167"/>
      <c r="BOT77" s="30"/>
      <c r="BOU77" s="25"/>
      <c r="BOV77" s="178"/>
      <c r="BOW77" s="26"/>
      <c r="BOX77" s="26"/>
      <c r="BOY77" s="26"/>
      <c r="BOZ77" s="26"/>
      <c r="BPA77" s="26"/>
      <c r="BPB77" s="26"/>
      <c r="BPC77" s="58"/>
      <c r="BPD77" s="26"/>
      <c r="BPE77" s="26"/>
      <c r="BPF77" s="26"/>
      <c r="BPG77" s="26"/>
      <c r="BPH77" s="22"/>
      <c r="BPI77" s="167"/>
      <c r="BPJ77" s="30"/>
      <c r="BPK77" s="25"/>
      <c r="BPL77" s="178"/>
      <c r="BPM77" s="26"/>
      <c r="BPN77" s="26"/>
      <c r="BPO77" s="26"/>
      <c r="BPP77" s="26"/>
      <c r="BPQ77" s="26"/>
      <c r="BPR77" s="26"/>
      <c r="BPS77" s="58"/>
      <c r="BPT77" s="26"/>
      <c r="BPU77" s="26"/>
      <c r="BPV77" s="26"/>
      <c r="BPW77" s="26"/>
      <c r="BPX77" s="22"/>
      <c r="BPY77" s="167"/>
      <c r="BPZ77" s="30"/>
      <c r="BQA77" s="25"/>
      <c r="BQB77" s="178"/>
      <c r="BQC77" s="26"/>
      <c r="BQD77" s="26"/>
      <c r="BQE77" s="26"/>
      <c r="BQF77" s="26"/>
      <c r="BQG77" s="26"/>
      <c r="BQH77" s="26"/>
      <c r="BQI77" s="58"/>
      <c r="BQJ77" s="26"/>
      <c r="BQK77" s="26"/>
      <c r="BQL77" s="26"/>
      <c r="BQM77" s="26"/>
      <c r="BQN77" s="22"/>
      <c r="BQO77" s="167"/>
      <c r="BQP77" s="30"/>
      <c r="BQQ77" s="25"/>
      <c r="BQR77" s="178"/>
      <c r="BQS77" s="26"/>
      <c r="BQT77" s="26"/>
      <c r="BQU77" s="26"/>
      <c r="BQV77" s="26"/>
      <c r="BQW77" s="26"/>
      <c r="BQX77" s="26"/>
      <c r="BQY77" s="58"/>
      <c r="BQZ77" s="26"/>
      <c r="BRA77" s="26"/>
      <c r="BRB77" s="26"/>
      <c r="BRC77" s="26"/>
      <c r="BRD77" s="22"/>
      <c r="BRE77" s="167"/>
      <c r="BRF77" s="30"/>
      <c r="BRG77" s="25"/>
      <c r="BRH77" s="178"/>
      <c r="BRI77" s="26"/>
      <c r="BRJ77" s="26"/>
      <c r="BRK77" s="26"/>
      <c r="BRL77" s="26"/>
      <c r="BRM77" s="26"/>
      <c r="BRN77" s="26"/>
      <c r="BRO77" s="58"/>
      <c r="BRP77" s="26"/>
      <c r="BRQ77" s="26"/>
      <c r="BRR77" s="26"/>
      <c r="BRS77" s="26"/>
      <c r="BRT77" s="22"/>
      <c r="BRU77" s="167"/>
      <c r="BRV77" s="30"/>
      <c r="BRW77" s="25"/>
      <c r="BRX77" s="178"/>
      <c r="BRY77" s="26"/>
      <c r="BRZ77" s="26"/>
      <c r="BSA77" s="26"/>
      <c r="BSB77" s="26"/>
      <c r="BSC77" s="26"/>
      <c r="BSD77" s="26"/>
      <c r="BSE77" s="58"/>
      <c r="BSF77" s="26"/>
      <c r="BSG77" s="26"/>
      <c r="BSH77" s="26"/>
      <c r="BSI77" s="26"/>
      <c r="BSJ77" s="22"/>
      <c r="BSK77" s="167"/>
      <c r="BSL77" s="30"/>
      <c r="BSM77" s="25"/>
      <c r="BSN77" s="178"/>
      <c r="BSO77" s="26"/>
      <c r="BSP77" s="26"/>
      <c r="BSQ77" s="26"/>
      <c r="BSR77" s="26"/>
      <c r="BSS77" s="26"/>
      <c r="BST77" s="26"/>
      <c r="BSU77" s="58"/>
      <c r="BSV77" s="26"/>
      <c r="BSW77" s="26"/>
      <c r="BSX77" s="26"/>
      <c r="BSY77" s="26"/>
      <c r="BSZ77" s="22"/>
      <c r="BTA77" s="167"/>
      <c r="BTB77" s="30"/>
      <c r="BTC77" s="25"/>
      <c r="BTD77" s="178"/>
      <c r="BTE77" s="26"/>
      <c r="BTF77" s="26"/>
      <c r="BTG77" s="26"/>
      <c r="BTH77" s="26"/>
      <c r="BTI77" s="26"/>
      <c r="BTJ77" s="26"/>
      <c r="BTK77" s="58"/>
      <c r="BTL77" s="26"/>
      <c r="BTM77" s="26"/>
      <c r="BTN77" s="26"/>
      <c r="BTO77" s="26"/>
      <c r="BTP77" s="22"/>
      <c r="BTQ77" s="167"/>
      <c r="BTR77" s="30"/>
      <c r="BTS77" s="25"/>
      <c r="BTT77" s="178"/>
      <c r="BTU77" s="26"/>
      <c r="BTV77" s="26"/>
      <c r="BTW77" s="26"/>
      <c r="BTX77" s="26"/>
      <c r="BTY77" s="26"/>
      <c r="BTZ77" s="26"/>
      <c r="BUA77" s="58"/>
      <c r="BUB77" s="26"/>
      <c r="BUC77" s="26"/>
      <c r="BUD77" s="26"/>
      <c r="BUE77" s="26"/>
      <c r="BUF77" s="22"/>
      <c r="BUG77" s="167"/>
      <c r="BUH77" s="30"/>
      <c r="BUI77" s="25"/>
      <c r="BUJ77" s="178"/>
      <c r="BUK77" s="26"/>
      <c r="BUL77" s="26"/>
      <c r="BUM77" s="26"/>
      <c r="BUN77" s="26"/>
      <c r="BUO77" s="26"/>
      <c r="BUP77" s="26"/>
      <c r="BUQ77" s="58"/>
      <c r="BUR77" s="26"/>
      <c r="BUS77" s="26"/>
      <c r="BUT77" s="26"/>
      <c r="BUU77" s="26"/>
      <c r="BUV77" s="22"/>
      <c r="BUW77" s="167"/>
      <c r="BUX77" s="30"/>
      <c r="BUY77" s="25"/>
      <c r="BUZ77" s="178"/>
      <c r="BVA77" s="26"/>
      <c r="BVB77" s="26"/>
      <c r="BVC77" s="26"/>
      <c r="BVD77" s="26"/>
      <c r="BVE77" s="26"/>
      <c r="BVF77" s="26"/>
      <c r="BVG77" s="58"/>
      <c r="BVH77" s="26"/>
      <c r="BVI77" s="26"/>
      <c r="BVJ77" s="26"/>
      <c r="BVK77" s="26"/>
      <c r="BVL77" s="22"/>
      <c r="BVM77" s="167"/>
      <c r="BVN77" s="30"/>
      <c r="BVO77" s="25"/>
      <c r="BVP77" s="178"/>
      <c r="BVQ77" s="26"/>
      <c r="BVR77" s="26"/>
      <c r="BVS77" s="26"/>
      <c r="BVT77" s="26"/>
      <c r="BVU77" s="26"/>
      <c r="BVV77" s="26"/>
      <c r="BVW77" s="58"/>
      <c r="BVX77" s="26"/>
      <c r="BVY77" s="26"/>
      <c r="BVZ77" s="26"/>
      <c r="BWA77" s="26"/>
      <c r="BWB77" s="22"/>
      <c r="BWC77" s="167"/>
      <c r="BWD77" s="30"/>
      <c r="BWE77" s="25"/>
      <c r="BWF77" s="178"/>
      <c r="BWG77" s="26"/>
      <c r="BWH77" s="26"/>
      <c r="BWI77" s="26"/>
      <c r="BWJ77" s="26"/>
      <c r="BWK77" s="26"/>
      <c r="BWL77" s="26"/>
      <c r="BWM77" s="58"/>
      <c r="BWN77" s="26"/>
      <c r="BWO77" s="26"/>
      <c r="BWP77" s="26"/>
      <c r="BWQ77" s="26"/>
      <c r="BWR77" s="22"/>
      <c r="BWS77" s="167"/>
      <c r="BWT77" s="30"/>
      <c r="BWU77" s="25"/>
      <c r="BWV77" s="178"/>
      <c r="BWW77" s="26"/>
      <c r="BWX77" s="26"/>
      <c r="BWY77" s="26"/>
      <c r="BWZ77" s="26"/>
      <c r="BXA77" s="26"/>
      <c r="BXB77" s="26"/>
      <c r="BXC77" s="58"/>
      <c r="BXD77" s="26"/>
      <c r="BXE77" s="26"/>
      <c r="BXF77" s="26"/>
      <c r="BXG77" s="26"/>
      <c r="BXH77" s="22"/>
      <c r="BXI77" s="167"/>
      <c r="BXJ77" s="30"/>
      <c r="BXK77" s="25"/>
      <c r="BXL77" s="178"/>
      <c r="BXM77" s="26"/>
      <c r="BXN77" s="26"/>
      <c r="BXO77" s="26"/>
      <c r="BXP77" s="26"/>
      <c r="BXQ77" s="26"/>
      <c r="BXR77" s="26"/>
      <c r="BXS77" s="58"/>
      <c r="BXT77" s="26"/>
      <c r="BXU77" s="26"/>
      <c r="BXV77" s="26"/>
      <c r="BXW77" s="26"/>
      <c r="BXX77" s="22"/>
      <c r="BXY77" s="167"/>
      <c r="BXZ77" s="30"/>
      <c r="BYA77" s="25"/>
      <c r="BYB77" s="178"/>
      <c r="BYC77" s="26"/>
      <c r="BYD77" s="26"/>
      <c r="BYE77" s="26"/>
      <c r="BYF77" s="26"/>
      <c r="BYG77" s="26"/>
      <c r="BYH77" s="26"/>
      <c r="BYI77" s="58"/>
      <c r="BYJ77" s="26"/>
      <c r="BYK77" s="26"/>
      <c r="BYL77" s="26"/>
      <c r="BYM77" s="26"/>
      <c r="BYN77" s="22"/>
      <c r="BYO77" s="167"/>
      <c r="BYP77" s="30"/>
      <c r="BYQ77" s="25"/>
      <c r="BYR77" s="178"/>
      <c r="BYS77" s="26"/>
      <c r="BYT77" s="26"/>
      <c r="BYU77" s="26"/>
      <c r="BYV77" s="26"/>
      <c r="BYW77" s="26"/>
      <c r="BYX77" s="26"/>
      <c r="BYY77" s="58"/>
      <c r="BYZ77" s="26"/>
      <c r="BZA77" s="26"/>
      <c r="BZB77" s="26"/>
      <c r="BZC77" s="26"/>
      <c r="BZD77" s="22"/>
      <c r="BZE77" s="167"/>
      <c r="BZF77" s="30"/>
      <c r="BZG77" s="25"/>
      <c r="BZH77" s="178"/>
      <c r="BZI77" s="26"/>
      <c r="BZJ77" s="26"/>
      <c r="BZK77" s="26"/>
      <c r="BZL77" s="26"/>
      <c r="BZM77" s="26"/>
      <c r="BZN77" s="26"/>
      <c r="BZO77" s="58"/>
      <c r="BZP77" s="26"/>
      <c r="BZQ77" s="26"/>
      <c r="BZR77" s="26"/>
      <c r="BZS77" s="26"/>
      <c r="BZT77" s="22"/>
      <c r="BZU77" s="167"/>
      <c r="BZV77" s="30"/>
      <c r="BZW77" s="25"/>
      <c r="BZX77" s="178"/>
      <c r="BZY77" s="26"/>
      <c r="BZZ77" s="26"/>
      <c r="CAA77" s="26"/>
      <c r="CAB77" s="26"/>
      <c r="CAC77" s="26"/>
      <c r="CAD77" s="26"/>
      <c r="CAE77" s="58"/>
      <c r="CAF77" s="26"/>
      <c r="CAG77" s="26"/>
      <c r="CAH77" s="26"/>
      <c r="CAI77" s="26"/>
      <c r="CAJ77" s="22"/>
      <c r="CAK77" s="167"/>
      <c r="CAL77" s="30"/>
      <c r="CAM77" s="25"/>
      <c r="CAN77" s="178"/>
      <c r="CAO77" s="26"/>
      <c r="CAP77" s="26"/>
      <c r="CAQ77" s="26"/>
      <c r="CAR77" s="26"/>
      <c r="CAS77" s="26"/>
      <c r="CAT77" s="26"/>
      <c r="CAU77" s="58"/>
      <c r="CAV77" s="26"/>
      <c r="CAW77" s="26"/>
      <c r="CAX77" s="26"/>
      <c r="CAY77" s="26"/>
      <c r="CAZ77" s="22"/>
      <c r="CBA77" s="167"/>
      <c r="CBB77" s="30"/>
      <c r="CBC77" s="25"/>
      <c r="CBD77" s="178"/>
      <c r="CBE77" s="26"/>
      <c r="CBF77" s="26"/>
      <c r="CBG77" s="26"/>
      <c r="CBH77" s="26"/>
      <c r="CBI77" s="26"/>
      <c r="CBJ77" s="26"/>
      <c r="CBK77" s="58"/>
      <c r="CBL77" s="26"/>
      <c r="CBM77" s="26"/>
      <c r="CBN77" s="26"/>
      <c r="CBO77" s="26"/>
      <c r="CBP77" s="22"/>
      <c r="CBQ77" s="167"/>
      <c r="CBR77" s="30"/>
      <c r="CBS77" s="25"/>
      <c r="CBT77" s="178"/>
      <c r="CBU77" s="26"/>
      <c r="CBV77" s="26"/>
      <c r="CBW77" s="26"/>
      <c r="CBX77" s="26"/>
      <c r="CBY77" s="26"/>
      <c r="CBZ77" s="26"/>
      <c r="CCA77" s="58"/>
      <c r="CCB77" s="26"/>
      <c r="CCC77" s="26"/>
      <c r="CCD77" s="26"/>
      <c r="CCE77" s="26"/>
      <c r="CCF77" s="22"/>
      <c r="CCG77" s="167"/>
      <c r="CCH77" s="30"/>
      <c r="CCI77" s="25"/>
      <c r="CCJ77" s="178"/>
      <c r="CCK77" s="26"/>
      <c r="CCL77" s="26"/>
      <c r="CCM77" s="26"/>
      <c r="CCN77" s="26"/>
      <c r="CCO77" s="26"/>
      <c r="CCP77" s="26"/>
      <c r="CCQ77" s="58"/>
      <c r="CCR77" s="26"/>
      <c r="CCS77" s="26"/>
      <c r="CCT77" s="26"/>
      <c r="CCU77" s="26"/>
      <c r="CCV77" s="22"/>
      <c r="CCW77" s="167"/>
      <c r="CCX77" s="30"/>
      <c r="CCY77" s="25"/>
      <c r="CCZ77" s="178"/>
      <c r="CDA77" s="26"/>
      <c r="CDB77" s="26"/>
      <c r="CDC77" s="26"/>
      <c r="CDD77" s="26"/>
      <c r="CDE77" s="26"/>
      <c r="CDF77" s="26"/>
      <c r="CDG77" s="58"/>
      <c r="CDH77" s="26"/>
      <c r="CDI77" s="26"/>
      <c r="CDJ77" s="26"/>
      <c r="CDK77" s="26"/>
      <c r="CDL77" s="22"/>
      <c r="CDM77" s="167"/>
      <c r="CDN77" s="30"/>
      <c r="CDO77" s="25"/>
      <c r="CDP77" s="178"/>
      <c r="CDQ77" s="26"/>
      <c r="CDR77" s="26"/>
      <c r="CDS77" s="26"/>
      <c r="CDT77" s="26"/>
      <c r="CDU77" s="26"/>
      <c r="CDV77" s="26"/>
      <c r="CDW77" s="58"/>
      <c r="CDX77" s="26"/>
      <c r="CDY77" s="26"/>
      <c r="CDZ77" s="26"/>
      <c r="CEA77" s="26"/>
      <c r="CEB77" s="22"/>
      <c r="CEC77" s="167"/>
      <c r="CED77" s="30"/>
      <c r="CEE77" s="25"/>
      <c r="CEF77" s="178"/>
      <c r="CEG77" s="26"/>
      <c r="CEH77" s="26"/>
      <c r="CEI77" s="26"/>
      <c r="CEJ77" s="26"/>
      <c r="CEK77" s="26"/>
      <c r="CEL77" s="26"/>
      <c r="CEM77" s="58"/>
      <c r="CEN77" s="26"/>
      <c r="CEO77" s="26"/>
      <c r="CEP77" s="26"/>
      <c r="CEQ77" s="26"/>
      <c r="CER77" s="22"/>
      <c r="CES77" s="167"/>
      <c r="CET77" s="30"/>
      <c r="CEU77" s="25"/>
      <c r="CEV77" s="178"/>
      <c r="CEW77" s="26"/>
      <c r="CEX77" s="26"/>
      <c r="CEY77" s="26"/>
      <c r="CEZ77" s="26"/>
      <c r="CFA77" s="26"/>
      <c r="CFB77" s="26"/>
      <c r="CFC77" s="58"/>
      <c r="CFD77" s="26"/>
      <c r="CFE77" s="26"/>
      <c r="CFF77" s="26"/>
      <c r="CFG77" s="26"/>
      <c r="CFH77" s="22"/>
      <c r="CFI77" s="167"/>
      <c r="CFJ77" s="30"/>
      <c r="CFK77" s="25"/>
      <c r="CFL77" s="178"/>
      <c r="CFM77" s="26"/>
      <c r="CFN77" s="26"/>
      <c r="CFO77" s="26"/>
      <c r="CFP77" s="26"/>
      <c r="CFQ77" s="26"/>
      <c r="CFR77" s="26"/>
      <c r="CFS77" s="58"/>
      <c r="CFT77" s="26"/>
      <c r="CFU77" s="26"/>
      <c r="CFV77" s="26"/>
      <c r="CFW77" s="26"/>
      <c r="CFX77" s="22"/>
      <c r="CFY77" s="167"/>
      <c r="CFZ77" s="30"/>
      <c r="CGA77" s="25"/>
      <c r="CGB77" s="178"/>
      <c r="CGC77" s="26"/>
      <c r="CGD77" s="26"/>
      <c r="CGE77" s="26"/>
      <c r="CGF77" s="26"/>
      <c r="CGG77" s="26"/>
      <c r="CGH77" s="26"/>
      <c r="CGI77" s="58"/>
      <c r="CGJ77" s="26"/>
      <c r="CGK77" s="26"/>
      <c r="CGL77" s="26"/>
      <c r="CGM77" s="26"/>
      <c r="CGN77" s="22"/>
      <c r="CGO77" s="167"/>
      <c r="CGP77" s="30"/>
      <c r="CGQ77" s="25"/>
      <c r="CGR77" s="178"/>
      <c r="CGS77" s="26"/>
      <c r="CGT77" s="26"/>
      <c r="CGU77" s="26"/>
      <c r="CGV77" s="26"/>
      <c r="CGW77" s="26"/>
      <c r="CGX77" s="26"/>
      <c r="CGY77" s="58"/>
      <c r="CGZ77" s="26"/>
      <c r="CHA77" s="26"/>
      <c r="CHB77" s="26"/>
      <c r="CHC77" s="26"/>
      <c r="CHD77" s="22"/>
      <c r="CHE77" s="167"/>
      <c r="CHF77" s="30"/>
      <c r="CHG77" s="25"/>
      <c r="CHH77" s="178"/>
      <c r="CHI77" s="26"/>
      <c r="CHJ77" s="26"/>
      <c r="CHK77" s="26"/>
      <c r="CHL77" s="26"/>
      <c r="CHM77" s="26"/>
      <c r="CHN77" s="26"/>
      <c r="CHO77" s="58"/>
      <c r="CHP77" s="26"/>
      <c r="CHQ77" s="26"/>
      <c r="CHR77" s="26"/>
      <c r="CHS77" s="26"/>
      <c r="CHT77" s="22"/>
      <c r="CHU77" s="167"/>
      <c r="CHV77" s="30"/>
      <c r="CHW77" s="25"/>
      <c r="CHX77" s="178"/>
      <c r="CHY77" s="26"/>
      <c r="CHZ77" s="26"/>
      <c r="CIA77" s="26"/>
      <c r="CIB77" s="26"/>
      <c r="CIC77" s="26"/>
      <c r="CID77" s="26"/>
      <c r="CIE77" s="58"/>
      <c r="CIF77" s="26"/>
      <c r="CIG77" s="26"/>
      <c r="CIH77" s="26"/>
      <c r="CII77" s="26"/>
      <c r="CIJ77" s="22"/>
      <c r="CIK77" s="167"/>
      <c r="CIL77" s="30"/>
      <c r="CIM77" s="25"/>
      <c r="CIN77" s="178"/>
      <c r="CIO77" s="26"/>
      <c r="CIP77" s="26"/>
      <c r="CIQ77" s="26"/>
      <c r="CIR77" s="26"/>
      <c r="CIS77" s="26"/>
      <c r="CIT77" s="26"/>
      <c r="CIU77" s="58"/>
      <c r="CIV77" s="26"/>
      <c r="CIW77" s="26"/>
      <c r="CIX77" s="26"/>
      <c r="CIY77" s="26"/>
      <c r="CIZ77" s="22"/>
      <c r="CJA77" s="167"/>
      <c r="CJB77" s="30"/>
      <c r="CJC77" s="25"/>
      <c r="CJD77" s="178"/>
      <c r="CJE77" s="26"/>
      <c r="CJF77" s="26"/>
      <c r="CJG77" s="26"/>
      <c r="CJH77" s="26"/>
      <c r="CJI77" s="26"/>
      <c r="CJJ77" s="26"/>
      <c r="CJK77" s="58"/>
      <c r="CJL77" s="26"/>
      <c r="CJM77" s="26"/>
      <c r="CJN77" s="26"/>
      <c r="CJO77" s="26"/>
      <c r="CJP77" s="22"/>
      <c r="CJQ77" s="167"/>
      <c r="CJR77" s="30"/>
      <c r="CJS77" s="25"/>
      <c r="CJT77" s="178"/>
      <c r="CJU77" s="26"/>
      <c r="CJV77" s="26"/>
      <c r="CJW77" s="26"/>
      <c r="CJX77" s="26"/>
      <c r="CJY77" s="26"/>
      <c r="CJZ77" s="26"/>
      <c r="CKA77" s="58"/>
      <c r="CKB77" s="26"/>
      <c r="CKC77" s="26"/>
      <c r="CKD77" s="26"/>
      <c r="CKE77" s="26"/>
      <c r="CKF77" s="22"/>
      <c r="CKG77" s="167"/>
      <c r="CKH77" s="30"/>
      <c r="CKI77" s="25"/>
      <c r="CKJ77" s="178"/>
      <c r="CKK77" s="26"/>
      <c r="CKL77" s="26"/>
      <c r="CKM77" s="26"/>
      <c r="CKN77" s="26"/>
      <c r="CKO77" s="26"/>
      <c r="CKP77" s="26"/>
      <c r="CKQ77" s="58"/>
      <c r="CKR77" s="26"/>
      <c r="CKS77" s="26"/>
      <c r="CKT77" s="26"/>
      <c r="CKU77" s="26"/>
      <c r="CKV77" s="22"/>
      <c r="CKW77" s="167"/>
      <c r="CKX77" s="30"/>
      <c r="CKY77" s="25"/>
      <c r="CKZ77" s="178"/>
      <c r="CLA77" s="26"/>
      <c r="CLB77" s="26"/>
      <c r="CLC77" s="26"/>
      <c r="CLD77" s="26"/>
      <c r="CLE77" s="26"/>
      <c r="CLF77" s="26"/>
      <c r="CLG77" s="58"/>
      <c r="CLH77" s="26"/>
      <c r="CLI77" s="26"/>
      <c r="CLJ77" s="26"/>
      <c r="CLK77" s="26"/>
      <c r="CLL77" s="22"/>
      <c r="CLM77" s="167"/>
      <c r="CLN77" s="30"/>
      <c r="CLO77" s="25"/>
      <c r="CLP77" s="178"/>
      <c r="CLQ77" s="26"/>
      <c r="CLR77" s="26"/>
      <c r="CLS77" s="26"/>
      <c r="CLT77" s="26"/>
      <c r="CLU77" s="26"/>
      <c r="CLV77" s="26"/>
      <c r="CLW77" s="58"/>
      <c r="CLX77" s="26"/>
      <c r="CLY77" s="26"/>
      <c r="CLZ77" s="26"/>
      <c r="CMA77" s="26"/>
      <c r="CMB77" s="22"/>
      <c r="CMC77" s="167"/>
      <c r="CMD77" s="30"/>
      <c r="CME77" s="25"/>
      <c r="CMF77" s="178"/>
      <c r="CMG77" s="26"/>
      <c r="CMH77" s="26"/>
      <c r="CMI77" s="26"/>
      <c r="CMJ77" s="26"/>
      <c r="CMK77" s="26"/>
      <c r="CML77" s="26"/>
      <c r="CMM77" s="58"/>
      <c r="CMN77" s="26"/>
      <c r="CMO77" s="26"/>
      <c r="CMP77" s="26"/>
      <c r="CMQ77" s="26"/>
      <c r="CMR77" s="22"/>
      <c r="CMS77" s="167"/>
      <c r="CMT77" s="30"/>
      <c r="CMU77" s="25"/>
      <c r="CMV77" s="178"/>
      <c r="CMW77" s="26"/>
      <c r="CMX77" s="26"/>
      <c r="CMY77" s="26"/>
      <c r="CMZ77" s="26"/>
      <c r="CNA77" s="26"/>
      <c r="CNB77" s="26"/>
      <c r="CNC77" s="58"/>
      <c r="CND77" s="26"/>
      <c r="CNE77" s="26"/>
      <c r="CNF77" s="26"/>
      <c r="CNG77" s="26"/>
      <c r="CNH77" s="22"/>
      <c r="CNI77" s="167"/>
      <c r="CNJ77" s="30"/>
      <c r="CNK77" s="25"/>
      <c r="CNL77" s="178"/>
      <c r="CNM77" s="26"/>
      <c r="CNN77" s="26"/>
      <c r="CNO77" s="26"/>
      <c r="CNP77" s="26"/>
      <c r="CNQ77" s="26"/>
      <c r="CNR77" s="26"/>
      <c r="CNS77" s="58"/>
      <c r="CNT77" s="26"/>
      <c r="CNU77" s="26"/>
      <c r="CNV77" s="26"/>
      <c r="CNW77" s="26"/>
      <c r="CNX77" s="22"/>
      <c r="CNY77" s="167"/>
      <c r="CNZ77" s="30"/>
      <c r="COA77" s="25"/>
      <c r="COB77" s="178"/>
      <c r="COC77" s="26"/>
      <c r="COD77" s="26"/>
      <c r="COE77" s="26"/>
      <c r="COF77" s="26"/>
      <c r="COG77" s="26"/>
      <c r="COH77" s="26"/>
      <c r="COI77" s="58"/>
      <c r="COJ77" s="26"/>
      <c r="COK77" s="26"/>
      <c r="COL77" s="26"/>
      <c r="COM77" s="26"/>
      <c r="CON77" s="22"/>
      <c r="COO77" s="167"/>
      <c r="COP77" s="30"/>
      <c r="COQ77" s="25"/>
      <c r="COR77" s="178"/>
      <c r="COS77" s="26"/>
      <c r="COT77" s="26"/>
      <c r="COU77" s="26"/>
      <c r="COV77" s="26"/>
      <c r="COW77" s="26"/>
      <c r="COX77" s="26"/>
      <c r="COY77" s="58"/>
      <c r="COZ77" s="26"/>
      <c r="CPA77" s="26"/>
      <c r="CPB77" s="26"/>
      <c r="CPC77" s="26"/>
      <c r="CPD77" s="22"/>
      <c r="CPE77" s="167"/>
      <c r="CPF77" s="30"/>
      <c r="CPG77" s="25"/>
      <c r="CPH77" s="178"/>
      <c r="CPI77" s="26"/>
      <c r="CPJ77" s="26"/>
      <c r="CPK77" s="26"/>
      <c r="CPL77" s="26"/>
      <c r="CPM77" s="26"/>
      <c r="CPN77" s="26"/>
      <c r="CPO77" s="58"/>
      <c r="CPP77" s="26"/>
      <c r="CPQ77" s="26"/>
      <c r="CPR77" s="26"/>
      <c r="CPS77" s="26"/>
      <c r="CPT77" s="22"/>
      <c r="CPU77" s="167"/>
      <c r="CPV77" s="30"/>
      <c r="CPW77" s="25"/>
      <c r="CPX77" s="178"/>
      <c r="CPY77" s="26"/>
      <c r="CPZ77" s="26"/>
      <c r="CQA77" s="26"/>
      <c r="CQB77" s="26"/>
      <c r="CQC77" s="26"/>
      <c r="CQD77" s="26"/>
      <c r="CQE77" s="58"/>
      <c r="CQF77" s="26"/>
      <c r="CQG77" s="26"/>
      <c r="CQH77" s="26"/>
      <c r="CQI77" s="26"/>
      <c r="CQJ77" s="22"/>
      <c r="CQK77" s="167"/>
      <c r="CQL77" s="30"/>
      <c r="CQM77" s="25"/>
      <c r="CQN77" s="178"/>
      <c r="CQO77" s="26"/>
      <c r="CQP77" s="26"/>
      <c r="CQQ77" s="26"/>
      <c r="CQR77" s="26"/>
      <c r="CQS77" s="26"/>
      <c r="CQT77" s="26"/>
      <c r="CQU77" s="58"/>
      <c r="CQV77" s="26"/>
      <c r="CQW77" s="26"/>
      <c r="CQX77" s="26"/>
      <c r="CQY77" s="26"/>
      <c r="CQZ77" s="22"/>
      <c r="CRA77" s="167"/>
      <c r="CRB77" s="30"/>
      <c r="CRC77" s="25"/>
      <c r="CRD77" s="178"/>
      <c r="CRE77" s="26"/>
      <c r="CRF77" s="26"/>
      <c r="CRG77" s="26"/>
      <c r="CRH77" s="26"/>
      <c r="CRI77" s="26"/>
      <c r="CRJ77" s="26"/>
      <c r="CRK77" s="58"/>
      <c r="CRL77" s="26"/>
      <c r="CRM77" s="26"/>
      <c r="CRN77" s="26"/>
      <c r="CRO77" s="26"/>
      <c r="CRP77" s="22"/>
      <c r="CRQ77" s="167"/>
      <c r="CRR77" s="30"/>
      <c r="CRS77" s="25"/>
      <c r="CRT77" s="178"/>
      <c r="CRU77" s="26"/>
      <c r="CRV77" s="26"/>
      <c r="CRW77" s="26"/>
      <c r="CRX77" s="26"/>
      <c r="CRY77" s="26"/>
      <c r="CRZ77" s="26"/>
      <c r="CSA77" s="58"/>
      <c r="CSB77" s="26"/>
      <c r="CSC77" s="26"/>
      <c r="CSD77" s="26"/>
      <c r="CSE77" s="26"/>
      <c r="CSF77" s="22"/>
      <c r="CSG77" s="167"/>
      <c r="CSH77" s="30"/>
      <c r="CSI77" s="25"/>
      <c r="CSJ77" s="178"/>
      <c r="CSK77" s="26"/>
      <c r="CSL77" s="26"/>
      <c r="CSM77" s="26"/>
      <c r="CSN77" s="26"/>
      <c r="CSO77" s="26"/>
      <c r="CSP77" s="26"/>
      <c r="CSQ77" s="58"/>
      <c r="CSR77" s="26"/>
      <c r="CSS77" s="26"/>
      <c r="CST77" s="26"/>
      <c r="CSU77" s="26"/>
      <c r="CSV77" s="22"/>
      <c r="CSW77" s="167"/>
      <c r="CSX77" s="30"/>
      <c r="CSY77" s="25"/>
      <c r="CSZ77" s="178"/>
      <c r="CTA77" s="26"/>
      <c r="CTB77" s="26"/>
      <c r="CTC77" s="26"/>
      <c r="CTD77" s="26"/>
      <c r="CTE77" s="26"/>
      <c r="CTF77" s="26"/>
      <c r="CTG77" s="58"/>
      <c r="CTH77" s="26"/>
      <c r="CTI77" s="26"/>
      <c r="CTJ77" s="26"/>
      <c r="CTK77" s="26"/>
      <c r="CTL77" s="22"/>
      <c r="CTM77" s="167"/>
      <c r="CTN77" s="30"/>
      <c r="CTO77" s="25"/>
      <c r="CTP77" s="178"/>
      <c r="CTQ77" s="26"/>
      <c r="CTR77" s="26"/>
      <c r="CTS77" s="26"/>
      <c r="CTT77" s="26"/>
      <c r="CTU77" s="26"/>
      <c r="CTV77" s="26"/>
      <c r="CTW77" s="58"/>
      <c r="CTX77" s="26"/>
      <c r="CTY77" s="26"/>
      <c r="CTZ77" s="26"/>
      <c r="CUA77" s="26"/>
      <c r="CUB77" s="22"/>
      <c r="CUC77" s="167"/>
      <c r="CUD77" s="30"/>
      <c r="CUE77" s="25"/>
      <c r="CUF77" s="178"/>
      <c r="CUG77" s="26"/>
      <c r="CUH77" s="26"/>
      <c r="CUI77" s="26"/>
      <c r="CUJ77" s="26"/>
      <c r="CUK77" s="26"/>
      <c r="CUL77" s="26"/>
      <c r="CUM77" s="58"/>
      <c r="CUN77" s="26"/>
      <c r="CUO77" s="26"/>
      <c r="CUP77" s="26"/>
      <c r="CUQ77" s="26"/>
      <c r="CUR77" s="22"/>
      <c r="CUS77" s="167"/>
      <c r="CUT77" s="30"/>
      <c r="CUU77" s="25"/>
      <c r="CUV77" s="178"/>
      <c r="CUW77" s="26"/>
      <c r="CUX77" s="26"/>
      <c r="CUY77" s="26"/>
      <c r="CUZ77" s="26"/>
      <c r="CVA77" s="26"/>
      <c r="CVB77" s="26"/>
      <c r="CVC77" s="58"/>
      <c r="CVD77" s="26"/>
      <c r="CVE77" s="26"/>
      <c r="CVF77" s="26"/>
      <c r="CVG77" s="26"/>
      <c r="CVH77" s="22"/>
      <c r="CVI77" s="167"/>
      <c r="CVJ77" s="30"/>
      <c r="CVK77" s="25"/>
      <c r="CVL77" s="178"/>
      <c r="CVM77" s="26"/>
      <c r="CVN77" s="26"/>
      <c r="CVO77" s="26"/>
      <c r="CVP77" s="26"/>
      <c r="CVQ77" s="26"/>
      <c r="CVR77" s="26"/>
      <c r="CVS77" s="58"/>
      <c r="CVT77" s="26"/>
      <c r="CVU77" s="26"/>
      <c r="CVV77" s="26"/>
      <c r="CVW77" s="26"/>
      <c r="CVX77" s="22"/>
      <c r="CVY77" s="167"/>
      <c r="CVZ77" s="30"/>
      <c r="CWA77" s="25"/>
      <c r="CWB77" s="178"/>
      <c r="CWC77" s="26"/>
      <c r="CWD77" s="26"/>
      <c r="CWE77" s="26"/>
      <c r="CWF77" s="26"/>
      <c r="CWG77" s="26"/>
      <c r="CWH77" s="26"/>
      <c r="CWI77" s="58"/>
      <c r="CWJ77" s="26"/>
      <c r="CWK77" s="26"/>
      <c r="CWL77" s="26"/>
      <c r="CWM77" s="26"/>
      <c r="CWN77" s="22"/>
      <c r="CWO77" s="167"/>
      <c r="CWP77" s="30"/>
      <c r="CWQ77" s="25"/>
      <c r="CWR77" s="178"/>
      <c r="CWS77" s="26"/>
      <c r="CWT77" s="26"/>
      <c r="CWU77" s="26"/>
      <c r="CWV77" s="26"/>
      <c r="CWW77" s="26"/>
      <c r="CWX77" s="26"/>
      <c r="CWY77" s="58"/>
      <c r="CWZ77" s="26"/>
      <c r="CXA77" s="26"/>
      <c r="CXB77" s="26"/>
      <c r="CXC77" s="26"/>
      <c r="CXD77" s="22"/>
      <c r="CXE77" s="167"/>
      <c r="CXF77" s="30"/>
      <c r="CXG77" s="25"/>
      <c r="CXH77" s="178"/>
      <c r="CXI77" s="26"/>
      <c r="CXJ77" s="26"/>
      <c r="CXK77" s="26"/>
      <c r="CXL77" s="26"/>
      <c r="CXM77" s="26"/>
      <c r="CXN77" s="26"/>
      <c r="CXO77" s="58"/>
      <c r="CXP77" s="26"/>
      <c r="CXQ77" s="26"/>
      <c r="CXR77" s="26"/>
      <c r="CXS77" s="26"/>
      <c r="CXT77" s="22"/>
      <c r="CXU77" s="167"/>
      <c r="CXV77" s="30"/>
      <c r="CXW77" s="25"/>
      <c r="CXX77" s="178"/>
      <c r="CXY77" s="26"/>
      <c r="CXZ77" s="26"/>
      <c r="CYA77" s="26"/>
      <c r="CYB77" s="26"/>
      <c r="CYC77" s="26"/>
      <c r="CYD77" s="26"/>
      <c r="CYE77" s="58"/>
      <c r="CYF77" s="26"/>
      <c r="CYG77" s="26"/>
      <c r="CYH77" s="26"/>
      <c r="CYI77" s="26"/>
      <c r="CYJ77" s="22"/>
      <c r="CYK77" s="167"/>
      <c r="CYL77" s="30"/>
      <c r="CYM77" s="25"/>
      <c r="CYN77" s="178"/>
      <c r="CYO77" s="26"/>
      <c r="CYP77" s="26"/>
      <c r="CYQ77" s="26"/>
      <c r="CYR77" s="26"/>
      <c r="CYS77" s="26"/>
      <c r="CYT77" s="26"/>
      <c r="CYU77" s="58"/>
      <c r="CYV77" s="26"/>
      <c r="CYW77" s="26"/>
      <c r="CYX77" s="26"/>
      <c r="CYY77" s="26"/>
      <c r="CYZ77" s="22"/>
      <c r="CZA77" s="167"/>
      <c r="CZB77" s="30"/>
      <c r="CZC77" s="25"/>
      <c r="CZD77" s="178"/>
      <c r="CZE77" s="26"/>
      <c r="CZF77" s="26"/>
      <c r="CZG77" s="26"/>
      <c r="CZH77" s="26"/>
      <c r="CZI77" s="26"/>
      <c r="CZJ77" s="26"/>
      <c r="CZK77" s="58"/>
      <c r="CZL77" s="26"/>
      <c r="CZM77" s="26"/>
      <c r="CZN77" s="26"/>
      <c r="CZO77" s="26"/>
      <c r="CZP77" s="22"/>
      <c r="CZQ77" s="167"/>
      <c r="CZR77" s="30"/>
      <c r="CZS77" s="25"/>
      <c r="CZT77" s="178"/>
      <c r="CZU77" s="26"/>
      <c r="CZV77" s="26"/>
      <c r="CZW77" s="26"/>
      <c r="CZX77" s="26"/>
      <c r="CZY77" s="26"/>
      <c r="CZZ77" s="26"/>
      <c r="DAA77" s="58"/>
      <c r="DAB77" s="26"/>
      <c r="DAC77" s="26"/>
      <c r="DAD77" s="26"/>
      <c r="DAE77" s="26"/>
      <c r="DAF77" s="22"/>
      <c r="DAG77" s="167"/>
      <c r="DAH77" s="30"/>
      <c r="DAI77" s="25"/>
      <c r="DAJ77" s="178"/>
      <c r="DAK77" s="26"/>
      <c r="DAL77" s="26"/>
      <c r="DAM77" s="26"/>
      <c r="DAN77" s="26"/>
      <c r="DAO77" s="26"/>
      <c r="DAP77" s="26"/>
      <c r="DAQ77" s="58"/>
      <c r="DAR77" s="26"/>
      <c r="DAS77" s="26"/>
      <c r="DAT77" s="26"/>
      <c r="DAU77" s="26"/>
      <c r="DAV77" s="22"/>
      <c r="DAW77" s="167"/>
      <c r="DAX77" s="30"/>
      <c r="DAY77" s="25"/>
      <c r="DAZ77" s="178"/>
      <c r="DBA77" s="26"/>
      <c r="DBB77" s="26"/>
      <c r="DBC77" s="26"/>
      <c r="DBD77" s="26"/>
      <c r="DBE77" s="26"/>
      <c r="DBF77" s="26"/>
      <c r="DBG77" s="58"/>
      <c r="DBH77" s="26"/>
      <c r="DBI77" s="26"/>
      <c r="DBJ77" s="26"/>
      <c r="DBK77" s="26"/>
      <c r="DBL77" s="22"/>
      <c r="DBM77" s="167"/>
      <c r="DBN77" s="30"/>
      <c r="DBO77" s="25"/>
      <c r="DBP77" s="178"/>
      <c r="DBQ77" s="26"/>
      <c r="DBR77" s="26"/>
      <c r="DBS77" s="26"/>
      <c r="DBT77" s="26"/>
      <c r="DBU77" s="26"/>
      <c r="DBV77" s="26"/>
      <c r="DBW77" s="58"/>
      <c r="DBX77" s="26"/>
      <c r="DBY77" s="26"/>
      <c r="DBZ77" s="26"/>
      <c r="DCA77" s="26"/>
      <c r="DCB77" s="22"/>
      <c r="DCC77" s="167"/>
      <c r="DCD77" s="30"/>
      <c r="DCE77" s="25"/>
      <c r="DCF77" s="178"/>
      <c r="DCG77" s="26"/>
      <c r="DCH77" s="26"/>
      <c r="DCI77" s="26"/>
      <c r="DCJ77" s="26"/>
      <c r="DCK77" s="26"/>
      <c r="DCL77" s="26"/>
      <c r="DCM77" s="58"/>
      <c r="DCN77" s="26"/>
      <c r="DCO77" s="26"/>
      <c r="DCP77" s="26"/>
      <c r="DCQ77" s="26"/>
      <c r="DCR77" s="22"/>
      <c r="DCS77" s="167"/>
      <c r="DCT77" s="30"/>
      <c r="DCU77" s="25"/>
      <c r="DCV77" s="178"/>
      <c r="DCW77" s="26"/>
      <c r="DCX77" s="26"/>
      <c r="DCY77" s="26"/>
      <c r="DCZ77" s="26"/>
      <c r="DDA77" s="26"/>
      <c r="DDB77" s="26"/>
      <c r="DDC77" s="58"/>
      <c r="DDD77" s="26"/>
      <c r="DDE77" s="26"/>
      <c r="DDF77" s="26"/>
      <c r="DDG77" s="26"/>
      <c r="DDH77" s="22"/>
      <c r="DDI77" s="167"/>
      <c r="DDJ77" s="30"/>
      <c r="DDK77" s="25"/>
      <c r="DDL77" s="178"/>
      <c r="DDM77" s="26"/>
      <c r="DDN77" s="26"/>
      <c r="DDO77" s="26"/>
      <c r="DDP77" s="26"/>
      <c r="DDQ77" s="26"/>
      <c r="DDR77" s="26"/>
      <c r="DDS77" s="58"/>
      <c r="DDT77" s="26"/>
      <c r="DDU77" s="26"/>
      <c r="DDV77" s="26"/>
      <c r="DDW77" s="26"/>
      <c r="DDX77" s="22"/>
      <c r="DDY77" s="167"/>
      <c r="DDZ77" s="30"/>
      <c r="DEA77" s="25"/>
      <c r="DEB77" s="178"/>
      <c r="DEC77" s="26"/>
      <c r="DED77" s="26"/>
      <c r="DEE77" s="26"/>
      <c r="DEF77" s="26"/>
      <c r="DEG77" s="26"/>
      <c r="DEH77" s="26"/>
      <c r="DEI77" s="58"/>
      <c r="DEJ77" s="26"/>
      <c r="DEK77" s="26"/>
      <c r="DEL77" s="26"/>
      <c r="DEM77" s="26"/>
      <c r="DEN77" s="22"/>
      <c r="DEO77" s="167"/>
      <c r="DEP77" s="30"/>
      <c r="DEQ77" s="25"/>
      <c r="DER77" s="178"/>
      <c r="DES77" s="26"/>
      <c r="DET77" s="26"/>
      <c r="DEU77" s="26"/>
      <c r="DEV77" s="26"/>
      <c r="DEW77" s="26"/>
      <c r="DEX77" s="26"/>
      <c r="DEY77" s="58"/>
      <c r="DEZ77" s="26"/>
      <c r="DFA77" s="26"/>
      <c r="DFB77" s="26"/>
      <c r="DFC77" s="26"/>
      <c r="DFD77" s="22"/>
      <c r="DFE77" s="167"/>
      <c r="DFF77" s="30"/>
      <c r="DFG77" s="25"/>
      <c r="DFH77" s="178"/>
      <c r="DFI77" s="26"/>
      <c r="DFJ77" s="26"/>
      <c r="DFK77" s="26"/>
      <c r="DFL77" s="26"/>
      <c r="DFM77" s="26"/>
      <c r="DFN77" s="26"/>
      <c r="DFO77" s="58"/>
      <c r="DFP77" s="26"/>
      <c r="DFQ77" s="26"/>
      <c r="DFR77" s="26"/>
      <c r="DFS77" s="26"/>
      <c r="DFT77" s="22"/>
      <c r="DFU77" s="167"/>
      <c r="DFV77" s="30"/>
      <c r="DFW77" s="25"/>
      <c r="DFX77" s="178"/>
      <c r="DFY77" s="26"/>
      <c r="DFZ77" s="26"/>
      <c r="DGA77" s="26"/>
      <c r="DGB77" s="26"/>
      <c r="DGC77" s="26"/>
      <c r="DGD77" s="26"/>
      <c r="DGE77" s="58"/>
      <c r="DGF77" s="26"/>
      <c r="DGG77" s="26"/>
      <c r="DGH77" s="26"/>
      <c r="DGI77" s="26"/>
      <c r="DGJ77" s="22"/>
      <c r="DGK77" s="167"/>
      <c r="DGL77" s="30"/>
      <c r="DGM77" s="25"/>
      <c r="DGN77" s="178"/>
      <c r="DGO77" s="26"/>
      <c r="DGP77" s="26"/>
      <c r="DGQ77" s="26"/>
      <c r="DGR77" s="26"/>
      <c r="DGS77" s="26"/>
      <c r="DGT77" s="26"/>
      <c r="DGU77" s="58"/>
      <c r="DGV77" s="26"/>
      <c r="DGW77" s="26"/>
      <c r="DGX77" s="26"/>
      <c r="DGY77" s="26"/>
      <c r="DGZ77" s="22"/>
      <c r="DHA77" s="167"/>
      <c r="DHB77" s="30"/>
      <c r="DHC77" s="25"/>
      <c r="DHD77" s="178"/>
      <c r="DHE77" s="26"/>
      <c r="DHF77" s="26"/>
      <c r="DHG77" s="26"/>
      <c r="DHH77" s="26"/>
      <c r="DHI77" s="26"/>
      <c r="DHJ77" s="26"/>
      <c r="DHK77" s="58"/>
      <c r="DHL77" s="26"/>
      <c r="DHM77" s="26"/>
      <c r="DHN77" s="26"/>
      <c r="DHO77" s="26"/>
      <c r="DHP77" s="22"/>
      <c r="DHQ77" s="167"/>
      <c r="DHR77" s="30"/>
      <c r="DHS77" s="25"/>
      <c r="DHT77" s="178"/>
      <c r="DHU77" s="26"/>
      <c r="DHV77" s="26"/>
      <c r="DHW77" s="26"/>
      <c r="DHX77" s="26"/>
      <c r="DHY77" s="26"/>
      <c r="DHZ77" s="26"/>
      <c r="DIA77" s="58"/>
      <c r="DIB77" s="26"/>
      <c r="DIC77" s="26"/>
      <c r="DID77" s="26"/>
      <c r="DIE77" s="26"/>
      <c r="DIF77" s="22"/>
      <c r="DIG77" s="167"/>
      <c r="DIH77" s="30"/>
      <c r="DII77" s="25"/>
      <c r="DIJ77" s="178"/>
      <c r="DIK77" s="26"/>
      <c r="DIL77" s="26"/>
      <c r="DIM77" s="26"/>
      <c r="DIN77" s="26"/>
      <c r="DIO77" s="26"/>
      <c r="DIP77" s="26"/>
      <c r="DIQ77" s="58"/>
      <c r="DIR77" s="26"/>
      <c r="DIS77" s="26"/>
      <c r="DIT77" s="26"/>
      <c r="DIU77" s="26"/>
      <c r="DIV77" s="22"/>
      <c r="DIW77" s="167"/>
      <c r="DIX77" s="30"/>
      <c r="DIY77" s="25"/>
      <c r="DIZ77" s="178"/>
      <c r="DJA77" s="26"/>
      <c r="DJB77" s="26"/>
      <c r="DJC77" s="26"/>
      <c r="DJD77" s="26"/>
      <c r="DJE77" s="26"/>
      <c r="DJF77" s="26"/>
      <c r="DJG77" s="58"/>
      <c r="DJH77" s="26"/>
      <c r="DJI77" s="26"/>
      <c r="DJJ77" s="26"/>
      <c r="DJK77" s="26"/>
      <c r="DJL77" s="22"/>
      <c r="DJM77" s="167"/>
      <c r="DJN77" s="30"/>
      <c r="DJO77" s="25"/>
      <c r="DJP77" s="178"/>
      <c r="DJQ77" s="26"/>
      <c r="DJR77" s="26"/>
      <c r="DJS77" s="26"/>
      <c r="DJT77" s="26"/>
      <c r="DJU77" s="26"/>
      <c r="DJV77" s="26"/>
      <c r="DJW77" s="58"/>
      <c r="DJX77" s="26"/>
      <c r="DJY77" s="26"/>
      <c r="DJZ77" s="26"/>
      <c r="DKA77" s="26"/>
      <c r="DKB77" s="22"/>
      <c r="DKC77" s="167"/>
      <c r="DKD77" s="30"/>
      <c r="DKE77" s="25"/>
      <c r="DKF77" s="178"/>
      <c r="DKG77" s="26"/>
      <c r="DKH77" s="26"/>
      <c r="DKI77" s="26"/>
      <c r="DKJ77" s="26"/>
      <c r="DKK77" s="26"/>
      <c r="DKL77" s="26"/>
      <c r="DKM77" s="58"/>
      <c r="DKN77" s="26"/>
      <c r="DKO77" s="26"/>
      <c r="DKP77" s="26"/>
      <c r="DKQ77" s="26"/>
      <c r="DKR77" s="22"/>
      <c r="DKS77" s="167"/>
      <c r="DKT77" s="30"/>
      <c r="DKU77" s="25"/>
      <c r="DKV77" s="178"/>
      <c r="DKW77" s="26"/>
      <c r="DKX77" s="26"/>
      <c r="DKY77" s="26"/>
      <c r="DKZ77" s="26"/>
      <c r="DLA77" s="26"/>
      <c r="DLB77" s="26"/>
      <c r="DLC77" s="58"/>
      <c r="DLD77" s="26"/>
      <c r="DLE77" s="26"/>
      <c r="DLF77" s="26"/>
      <c r="DLG77" s="26"/>
      <c r="DLH77" s="22"/>
      <c r="DLI77" s="167"/>
      <c r="DLJ77" s="30"/>
      <c r="DLK77" s="25"/>
      <c r="DLL77" s="178"/>
      <c r="DLM77" s="26"/>
      <c r="DLN77" s="26"/>
      <c r="DLO77" s="26"/>
      <c r="DLP77" s="26"/>
      <c r="DLQ77" s="26"/>
      <c r="DLR77" s="26"/>
      <c r="DLS77" s="58"/>
      <c r="DLT77" s="26"/>
      <c r="DLU77" s="26"/>
      <c r="DLV77" s="26"/>
      <c r="DLW77" s="26"/>
      <c r="DLX77" s="22"/>
      <c r="DLY77" s="167"/>
      <c r="DLZ77" s="30"/>
      <c r="DMA77" s="25"/>
      <c r="DMB77" s="178"/>
      <c r="DMC77" s="26"/>
      <c r="DMD77" s="26"/>
      <c r="DME77" s="26"/>
      <c r="DMF77" s="26"/>
      <c r="DMG77" s="26"/>
      <c r="DMH77" s="26"/>
      <c r="DMI77" s="58"/>
      <c r="DMJ77" s="26"/>
      <c r="DMK77" s="26"/>
      <c r="DML77" s="26"/>
      <c r="DMM77" s="26"/>
      <c r="DMN77" s="22"/>
      <c r="DMO77" s="167"/>
      <c r="DMP77" s="30"/>
      <c r="DMQ77" s="25"/>
      <c r="DMR77" s="178"/>
      <c r="DMS77" s="26"/>
      <c r="DMT77" s="26"/>
      <c r="DMU77" s="26"/>
      <c r="DMV77" s="26"/>
      <c r="DMW77" s="26"/>
      <c r="DMX77" s="26"/>
      <c r="DMY77" s="58"/>
      <c r="DMZ77" s="26"/>
      <c r="DNA77" s="26"/>
      <c r="DNB77" s="26"/>
      <c r="DNC77" s="26"/>
      <c r="DND77" s="22"/>
      <c r="DNE77" s="167"/>
      <c r="DNF77" s="30"/>
      <c r="DNG77" s="25"/>
      <c r="DNH77" s="178"/>
      <c r="DNI77" s="26"/>
      <c r="DNJ77" s="26"/>
      <c r="DNK77" s="26"/>
      <c r="DNL77" s="26"/>
      <c r="DNM77" s="26"/>
      <c r="DNN77" s="26"/>
      <c r="DNO77" s="58"/>
      <c r="DNP77" s="26"/>
      <c r="DNQ77" s="26"/>
      <c r="DNR77" s="26"/>
      <c r="DNS77" s="26"/>
      <c r="DNT77" s="22"/>
      <c r="DNU77" s="167"/>
      <c r="DNV77" s="30"/>
      <c r="DNW77" s="25"/>
      <c r="DNX77" s="178"/>
      <c r="DNY77" s="26"/>
      <c r="DNZ77" s="26"/>
      <c r="DOA77" s="26"/>
      <c r="DOB77" s="26"/>
      <c r="DOC77" s="26"/>
      <c r="DOD77" s="26"/>
      <c r="DOE77" s="58"/>
      <c r="DOF77" s="26"/>
      <c r="DOG77" s="26"/>
      <c r="DOH77" s="26"/>
      <c r="DOI77" s="26"/>
      <c r="DOJ77" s="22"/>
      <c r="DOK77" s="167"/>
      <c r="DOL77" s="30"/>
      <c r="DOM77" s="25"/>
      <c r="DON77" s="178"/>
      <c r="DOO77" s="26"/>
      <c r="DOP77" s="26"/>
      <c r="DOQ77" s="26"/>
      <c r="DOR77" s="26"/>
      <c r="DOS77" s="26"/>
      <c r="DOT77" s="26"/>
      <c r="DOU77" s="58"/>
      <c r="DOV77" s="26"/>
      <c r="DOW77" s="26"/>
      <c r="DOX77" s="26"/>
      <c r="DOY77" s="26"/>
      <c r="DOZ77" s="22"/>
      <c r="DPA77" s="167"/>
      <c r="DPB77" s="30"/>
      <c r="DPC77" s="25"/>
      <c r="DPD77" s="178"/>
      <c r="DPE77" s="26"/>
      <c r="DPF77" s="26"/>
      <c r="DPG77" s="26"/>
      <c r="DPH77" s="26"/>
      <c r="DPI77" s="26"/>
      <c r="DPJ77" s="26"/>
      <c r="DPK77" s="58"/>
      <c r="DPL77" s="26"/>
      <c r="DPM77" s="26"/>
      <c r="DPN77" s="26"/>
      <c r="DPO77" s="26"/>
      <c r="DPP77" s="22"/>
      <c r="DPQ77" s="167"/>
      <c r="DPR77" s="30"/>
      <c r="DPS77" s="25"/>
      <c r="DPT77" s="178"/>
      <c r="DPU77" s="26"/>
      <c r="DPV77" s="26"/>
      <c r="DPW77" s="26"/>
      <c r="DPX77" s="26"/>
      <c r="DPY77" s="26"/>
      <c r="DPZ77" s="26"/>
      <c r="DQA77" s="58"/>
      <c r="DQB77" s="26"/>
      <c r="DQC77" s="26"/>
      <c r="DQD77" s="26"/>
      <c r="DQE77" s="26"/>
      <c r="DQF77" s="22"/>
      <c r="DQG77" s="167"/>
      <c r="DQH77" s="30"/>
      <c r="DQI77" s="25"/>
      <c r="DQJ77" s="178"/>
      <c r="DQK77" s="26"/>
      <c r="DQL77" s="26"/>
      <c r="DQM77" s="26"/>
      <c r="DQN77" s="26"/>
      <c r="DQO77" s="26"/>
      <c r="DQP77" s="26"/>
      <c r="DQQ77" s="58"/>
      <c r="DQR77" s="26"/>
      <c r="DQS77" s="26"/>
      <c r="DQT77" s="26"/>
      <c r="DQU77" s="26"/>
      <c r="DQV77" s="22"/>
      <c r="DQW77" s="167"/>
      <c r="DQX77" s="30"/>
      <c r="DQY77" s="25"/>
      <c r="DQZ77" s="178"/>
      <c r="DRA77" s="26"/>
      <c r="DRB77" s="26"/>
      <c r="DRC77" s="26"/>
      <c r="DRD77" s="26"/>
      <c r="DRE77" s="26"/>
      <c r="DRF77" s="26"/>
      <c r="DRG77" s="58"/>
      <c r="DRH77" s="26"/>
      <c r="DRI77" s="26"/>
      <c r="DRJ77" s="26"/>
      <c r="DRK77" s="26"/>
      <c r="DRL77" s="22"/>
      <c r="DRM77" s="167"/>
      <c r="DRN77" s="30"/>
      <c r="DRO77" s="25"/>
      <c r="DRP77" s="178"/>
      <c r="DRQ77" s="26"/>
      <c r="DRR77" s="26"/>
      <c r="DRS77" s="26"/>
      <c r="DRT77" s="26"/>
      <c r="DRU77" s="26"/>
      <c r="DRV77" s="26"/>
      <c r="DRW77" s="58"/>
      <c r="DRX77" s="26"/>
      <c r="DRY77" s="26"/>
      <c r="DRZ77" s="26"/>
      <c r="DSA77" s="26"/>
      <c r="DSB77" s="22"/>
      <c r="DSC77" s="167"/>
      <c r="DSD77" s="30"/>
      <c r="DSE77" s="25"/>
      <c r="DSF77" s="178"/>
      <c r="DSG77" s="26"/>
      <c r="DSH77" s="26"/>
      <c r="DSI77" s="26"/>
      <c r="DSJ77" s="26"/>
      <c r="DSK77" s="26"/>
      <c r="DSL77" s="26"/>
      <c r="DSM77" s="58"/>
      <c r="DSN77" s="26"/>
      <c r="DSO77" s="26"/>
      <c r="DSP77" s="26"/>
      <c r="DSQ77" s="26"/>
      <c r="DSR77" s="22"/>
      <c r="DSS77" s="167"/>
      <c r="DST77" s="30"/>
      <c r="DSU77" s="25"/>
      <c r="DSV77" s="178"/>
      <c r="DSW77" s="26"/>
      <c r="DSX77" s="26"/>
      <c r="DSY77" s="26"/>
      <c r="DSZ77" s="26"/>
      <c r="DTA77" s="26"/>
      <c r="DTB77" s="26"/>
      <c r="DTC77" s="58"/>
      <c r="DTD77" s="26"/>
      <c r="DTE77" s="26"/>
      <c r="DTF77" s="26"/>
      <c r="DTG77" s="26"/>
      <c r="DTH77" s="22"/>
      <c r="DTI77" s="167"/>
      <c r="DTJ77" s="30"/>
      <c r="DTK77" s="25"/>
      <c r="DTL77" s="178"/>
      <c r="DTM77" s="26"/>
      <c r="DTN77" s="26"/>
      <c r="DTO77" s="26"/>
      <c r="DTP77" s="26"/>
      <c r="DTQ77" s="26"/>
      <c r="DTR77" s="26"/>
      <c r="DTS77" s="58"/>
      <c r="DTT77" s="26"/>
      <c r="DTU77" s="26"/>
      <c r="DTV77" s="26"/>
      <c r="DTW77" s="26"/>
      <c r="DTX77" s="22"/>
      <c r="DTY77" s="167"/>
      <c r="DTZ77" s="30"/>
      <c r="DUA77" s="25"/>
      <c r="DUB77" s="178"/>
      <c r="DUC77" s="26"/>
      <c r="DUD77" s="26"/>
      <c r="DUE77" s="26"/>
      <c r="DUF77" s="26"/>
      <c r="DUG77" s="26"/>
      <c r="DUH77" s="26"/>
      <c r="DUI77" s="58"/>
      <c r="DUJ77" s="26"/>
      <c r="DUK77" s="26"/>
      <c r="DUL77" s="26"/>
      <c r="DUM77" s="26"/>
      <c r="DUN77" s="22"/>
      <c r="DUO77" s="167"/>
      <c r="DUP77" s="30"/>
      <c r="DUQ77" s="25"/>
      <c r="DUR77" s="178"/>
      <c r="DUS77" s="26"/>
      <c r="DUT77" s="26"/>
      <c r="DUU77" s="26"/>
      <c r="DUV77" s="26"/>
      <c r="DUW77" s="26"/>
      <c r="DUX77" s="26"/>
      <c r="DUY77" s="58"/>
      <c r="DUZ77" s="26"/>
      <c r="DVA77" s="26"/>
      <c r="DVB77" s="26"/>
      <c r="DVC77" s="26"/>
      <c r="DVD77" s="22"/>
      <c r="DVE77" s="167"/>
      <c r="DVF77" s="30"/>
      <c r="DVG77" s="25"/>
      <c r="DVH77" s="178"/>
      <c r="DVI77" s="26"/>
      <c r="DVJ77" s="26"/>
      <c r="DVK77" s="26"/>
      <c r="DVL77" s="26"/>
      <c r="DVM77" s="26"/>
      <c r="DVN77" s="26"/>
      <c r="DVO77" s="58"/>
      <c r="DVP77" s="26"/>
      <c r="DVQ77" s="26"/>
      <c r="DVR77" s="26"/>
      <c r="DVS77" s="26"/>
      <c r="DVT77" s="22"/>
      <c r="DVU77" s="167"/>
      <c r="DVV77" s="30"/>
      <c r="DVW77" s="25"/>
      <c r="DVX77" s="178"/>
      <c r="DVY77" s="26"/>
      <c r="DVZ77" s="26"/>
      <c r="DWA77" s="26"/>
      <c r="DWB77" s="26"/>
      <c r="DWC77" s="26"/>
      <c r="DWD77" s="26"/>
      <c r="DWE77" s="58"/>
      <c r="DWF77" s="26"/>
      <c r="DWG77" s="26"/>
      <c r="DWH77" s="26"/>
      <c r="DWI77" s="26"/>
      <c r="DWJ77" s="22"/>
      <c r="DWK77" s="167"/>
      <c r="DWL77" s="30"/>
      <c r="DWM77" s="25"/>
      <c r="DWN77" s="178"/>
      <c r="DWO77" s="26"/>
      <c r="DWP77" s="26"/>
      <c r="DWQ77" s="26"/>
      <c r="DWR77" s="26"/>
      <c r="DWS77" s="26"/>
      <c r="DWT77" s="26"/>
      <c r="DWU77" s="58"/>
      <c r="DWV77" s="26"/>
      <c r="DWW77" s="26"/>
      <c r="DWX77" s="26"/>
      <c r="DWY77" s="26"/>
      <c r="DWZ77" s="22"/>
      <c r="DXA77" s="167"/>
      <c r="DXB77" s="30"/>
      <c r="DXC77" s="25"/>
      <c r="DXD77" s="178"/>
      <c r="DXE77" s="26"/>
      <c r="DXF77" s="26"/>
      <c r="DXG77" s="26"/>
      <c r="DXH77" s="26"/>
      <c r="DXI77" s="26"/>
      <c r="DXJ77" s="26"/>
      <c r="DXK77" s="58"/>
      <c r="DXL77" s="26"/>
      <c r="DXM77" s="26"/>
      <c r="DXN77" s="26"/>
      <c r="DXO77" s="26"/>
      <c r="DXP77" s="22"/>
      <c r="DXQ77" s="167"/>
      <c r="DXR77" s="30"/>
      <c r="DXS77" s="25"/>
      <c r="DXT77" s="178"/>
      <c r="DXU77" s="26"/>
      <c r="DXV77" s="26"/>
      <c r="DXW77" s="26"/>
      <c r="DXX77" s="26"/>
      <c r="DXY77" s="26"/>
      <c r="DXZ77" s="26"/>
      <c r="DYA77" s="58"/>
      <c r="DYB77" s="26"/>
      <c r="DYC77" s="26"/>
      <c r="DYD77" s="26"/>
      <c r="DYE77" s="26"/>
      <c r="DYF77" s="22"/>
      <c r="DYG77" s="167"/>
      <c r="DYH77" s="30"/>
      <c r="DYI77" s="25"/>
      <c r="DYJ77" s="178"/>
      <c r="DYK77" s="26"/>
      <c r="DYL77" s="26"/>
      <c r="DYM77" s="26"/>
      <c r="DYN77" s="26"/>
      <c r="DYO77" s="26"/>
      <c r="DYP77" s="26"/>
      <c r="DYQ77" s="58"/>
      <c r="DYR77" s="26"/>
      <c r="DYS77" s="26"/>
      <c r="DYT77" s="26"/>
      <c r="DYU77" s="26"/>
      <c r="DYV77" s="22"/>
      <c r="DYW77" s="167"/>
      <c r="DYX77" s="30"/>
      <c r="DYY77" s="25"/>
      <c r="DYZ77" s="178"/>
      <c r="DZA77" s="26"/>
      <c r="DZB77" s="26"/>
      <c r="DZC77" s="26"/>
      <c r="DZD77" s="26"/>
      <c r="DZE77" s="26"/>
      <c r="DZF77" s="26"/>
      <c r="DZG77" s="58"/>
      <c r="DZH77" s="26"/>
      <c r="DZI77" s="26"/>
      <c r="DZJ77" s="26"/>
      <c r="DZK77" s="26"/>
      <c r="DZL77" s="22"/>
      <c r="DZM77" s="167"/>
      <c r="DZN77" s="30"/>
      <c r="DZO77" s="25"/>
      <c r="DZP77" s="178"/>
      <c r="DZQ77" s="26"/>
      <c r="DZR77" s="26"/>
      <c r="DZS77" s="26"/>
      <c r="DZT77" s="26"/>
      <c r="DZU77" s="26"/>
      <c r="DZV77" s="26"/>
      <c r="DZW77" s="58"/>
      <c r="DZX77" s="26"/>
      <c r="DZY77" s="26"/>
      <c r="DZZ77" s="26"/>
      <c r="EAA77" s="26"/>
      <c r="EAB77" s="22"/>
      <c r="EAC77" s="167"/>
      <c r="EAD77" s="30"/>
      <c r="EAE77" s="25"/>
      <c r="EAF77" s="178"/>
      <c r="EAG77" s="26"/>
      <c r="EAH77" s="26"/>
      <c r="EAI77" s="26"/>
      <c r="EAJ77" s="26"/>
      <c r="EAK77" s="26"/>
      <c r="EAL77" s="26"/>
      <c r="EAM77" s="58"/>
      <c r="EAN77" s="26"/>
      <c r="EAO77" s="26"/>
      <c r="EAP77" s="26"/>
      <c r="EAQ77" s="26"/>
      <c r="EAR77" s="22"/>
      <c r="EAS77" s="167"/>
      <c r="EAT77" s="30"/>
      <c r="EAU77" s="25"/>
      <c r="EAV77" s="178"/>
      <c r="EAW77" s="26"/>
      <c r="EAX77" s="26"/>
      <c r="EAY77" s="26"/>
      <c r="EAZ77" s="26"/>
      <c r="EBA77" s="26"/>
      <c r="EBB77" s="26"/>
      <c r="EBC77" s="58"/>
      <c r="EBD77" s="26"/>
      <c r="EBE77" s="26"/>
      <c r="EBF77" s="26"/>
      <c r="EBG77" s="26"/>
      <c r="EBH77" s="22"/>
      <c r="EBI77" s="167"/>
      <c r="EBJ77" s="30"/>
      <c r="EBK77" s="25"/>
      <c r="EBL77" s="178"/>
      <c r="EBM77" s="26"/>
      <c r="EBN77" s="26"/>
      <c r="EBO77" s="26"/>
      <c r="EBP77" s="26"/>
      <c r="EBQ77" s="26"/>
      <c r="EBR77" s="26"/>
      <c r="EBS77" s="58"/>
      <c r="EBT77" s="26"/>
      <c r="EBU77" s="26"/>
      <c r="EBV77" s="26"/>
      <c r="EBW77" s="26"/>
      <c r="EBX77" s="22"/>
      <c r="EBY77" s="167"/>
      <c r="EBZ77" s="30"/>
      <c r="ECA77" s="25"/>
      <c r="ECB77" s="178"/>
      <c r="ECC77" s="26"/>
      <c r="ECD77" s="26"/>
      <c r="ECE77" s="26"/>
      <c r="ECF77" s="26"/>
      <c r="ECG77" s="26"/>
      <c r="ECH77" s="26"/>
      <c r="ECI77" s="58"/>
      <c r="ECJ77" s="26"/>
      <c r="ECK77" s="26"/>
      <c r="ECL77" s="26"/>
      <c r="ECM77" s="26"/>
      <c r="ECN77" s="22"/>
      <c r="ECO77" s="167"/>
      <c r="ECP77" s="30"/>
      <c r="ECQ77" s="25"/>
      <c r="ECR77" s="178"/>
      <c r="ECS77" s="26"/>
      <c r="ECT77" s="26"/>
      <c r="ECU77" s="26"/>
      <c r="ECV77" s="26"/>
      <c r="ECW77" s="26"/>
      <c r="ECX77" s="26"/>
      <c r="ECY77" s="58"/>
      <c r="ECZ77" s="26"/>
      <c r="EDA77" s="26"/>
      <c r="EDB77" s="26"/>
      <c r="EDC77" s="26"/>
      <c r="EDD77" s="22"/>
      <c r="EDE77" s="167"/>
      <c r="EDF77" s="30"/>
      <c r="EDG77" s="25"/>
      <c r="EDH77" s="178"/>
      <c r="EDI77" s="26"/>
      <c r="EDJ77" s="26"/>
      <c r="EDK77" s="26"/>
      <c r="EDL77" s="26"/>
      <c r="EDM77" s="26"/>
      <c r="EDN77" s="26"/>
      <c r="EDO77" s="58"/>
      <c r="EDP77" s="26"/>
      <c r="EDQ77" s="26"/>
      <c r="EDR77" s="26"/>
      <c r="EDS77" s="26"/>
      <c r="EDT77" s="22"/>
      <c r="EDU77" s="167"/>
      <c r="EDV77" s="30"/>
      <c r="EDW77" s="25"/>
      <c r="EDX77" s="178"/>
      <c r="EDY77" s="26"/>
      <c r="EDZ77" s="26"/>
      <c r="EEA77" s="26"/>
      <c r="EEB77" s="26"/>
      <c r="EEC77" s="26"/>
      <c r="EED77" s="26"/>
      <c r="EEE77" s="58"/>
      <c r="EEF77" s="26"/>
      <c r="EEG77" s="26"/>
      <c r="EEH77" s="26"/>
      <c r="EEI77" s="26"/>
      <c r="EEJ77" s="22"/>
      <c r="EEK77" s="167"/>
      <c r="EEL77" s="30"/>
      <c r="EEM77" s="25"/>
      <c r="EEN77" s="178"/>
      <c r="EEO77" s="26"/>
      <c r="EEP77" s="26"/>
      <c r="EEQ77" s="26"/>
      <c r="EER77" s="26"/>
      <c r="EES77" s="26"/>
      <c r="EET77" s="26"/>
      <c r="EEU77" s="58"/>
      <c r="EEV77" s="26"/>
      <c r="EEW77" s="26"/>
      <c r="EEX77" s="26"/>
      <c r="EEY77" s="26"/>
      <c r="EEZ77" s="22"/>
      <c r="EFA77" s="167"/>
      <c r="EFB77" s="30"/>
      <c r="EFC77" s="25"/>
      <c r="EFD77" s="178"/>
      <c r="EFE77" s="26"/>
      <c r="EFF77" s="26"/>
      <c r="EFG77" s="26"/>
      <c r="EFH77" s="26"/>
      <c r="EFI77" s="26"/>
      <c r="EFJ77" s="26"/>
      <c r="EFK77" s="58"/>
      <c r="EFL77" s="26"/>
      <c r="EFM77" s="26"/>
      <c r="EFN77" s="26"/>
      <c r="EFO77" s="26"/>
      <c r="EFP77" s="22"/>
      <c r="EFQ77" s="167"/>
      <c r="EFR77" s="30"/>
      <c r="EFS77" s="25"/>
      <c r="EFT77" s="178"/>
      <c r="EFU77" s="26"/>
      <c r="EFV77" s="26"/>
      <c r="EFW77" s="26"/>
      <c r="EFX77" s="26"/>
      <c r="EFY77" s="26"/>
      <c r="EFZ77" s="26"/>
      <c r="EGA77" s="58"/>
      <c r="EGB77" s="26"/>
      <c r="EGC77" s="26"/>
      <c r="EGD77" s="26"/>
      <c r="EGE77" s="26"/>
      <c r="EGF77" s="22"/>
      <c r="EGG77" s="167"/>
      <c r="EGH77" s="30"/>
      <c r="EGI77" s="25"/>
      <c r="EGJ77" s="178"/>
      <c r="EGK77" s="26"/>
      <c r="EGL77" s="26"/>
      <c r="EGM77" s="26"/>
      <c r="EGN77" s="26"/>
      <c r="EGO77" s="26"/>
      <c r="EGP77" s="26"/>
      <c r="EGQ77" s="58"/>
      <c r="EGR77" s="26"/>
      <c r="EGS77" s="26"/>
      <c r="EGT77" s="26"/>
      <c r="EGU77" s="26"/>
      <c r="EGV77" s="22"/>
      <c r="EGW77" s="167"/>
      <c r="EGX77" s="30"/>
      <c r="EGY77" s="25"/>
      <c r="EGZ77" s="178"/>
      <c r="EHA77" s="26"/>
      <c r="EHB77" s="26"/>
      <c r="EHC77" s="26"/>
      <c r="EHD77" s="26"/>
      <c r="EHE77" s="26"/>
      <c r="EHF77" s="26"/>
      <c r="EHG77" s="58"/>
      <c r="EHH77" s="26"/>
      <c r="EHI77" s="26"/>
      <c r="EHJ77" s="26"/>
      <c r="EHK77" s="26"/>
      <c r="EHL77" s="22"/>
      <c r="EHM77" s="167"/>
      <c r="EHN77" s="30"/>
      <c r="EHO77" s="25"/>
      <c r="EHP77" s="178"/>
      <c r="EHQ77" s="26"/>
      <c r="EHR77" s="26"/>
      <c r="EHS77" s="26"/>
      <c r="EHT77" s="26"/>
      <c r="EHU77" s="26"/>
      <c r="EHV77" s="26"/>
      <c r="EHW77" s="58"/>
      <c r="EHX77" s="26"/>
      <c r="EHY77" s="26"/>
      <c r="EHZ77" s="26"/>
      <c r="EIA77" s="26"/>
      <c r="EIB77" s="22"/>
      <c r="EIC77" s="167"/>
      <c r="EID77" s="30"/>
      <c r="EIE77" s="25"/>
      <c r="EIF77" s="178"/>
      <c r="EIG77" s="26"/>
      <c r="EIH77" s="26"/>
      <c r="EII77" s="26"/>
      <c r="EIJ77" s="26"/>
      <c r="EIK77" s="26"/>
      <c r="EIL77" s="26"/>
      <c r="EIM77" s="58"/>
      <c r="EIN77" s="26"/>
      <c r="EIO77" s="26"/>
      <c r="EIP77" s="26"/>
      <c r="EIQ77" s="26"/>
      <c r="EIR77" s="22"/>
      <c r="EIS77" s="167"/>
      <c r="EIT77" s="30"/>
      <c r="EIU77" s="25"/>
      <c r="EIV77" s="178"/>
      <c r="EIW77" s="26"/>
      <c r="EIX77" s="26"/>
      <c r="EIY77" s="26"/>
      <c r="EIZ77" s="26"/>
      <c r="EJA77" s="26"/>
      <c r="EJB77" s="26"/>
      <c r="EJC77" s="58"/>
      <c r="EJD77" s="26"/>
      <c r="EJE77" s="26"/>
      <c r="EJF77" s="26"/>
      <c r="EJG77" s="26"/>
      <c r="EJH77" s="22"/>
      <c r="EJI77" s="167"/>
      <c r="EJJ77" s="30"/>
      <c r="EJK77" s="25"/>
      <c r="EJL77" s="178"/>
      <c r="EJM77" s="26"/>
      <c r="EJN77" s="26"/>
      <c r="EJO77" s="26"/>
      <c r="EJP77" s="26"/>
      <c r="EJQ77" s="26"/>
      <c r="EJR77" s="26"/>
      <c r="EJS77" s="58"/>
      <c r="EJT77" s="26"/>
      <c r="EJU77" s="26"/>
      <c r="EJV77" s="26"/>
      <c r="EJW77" s="26"/>
      <c r="EJX77" s="22"/>
      <c r="EJY77" s="167"/>
      <c r="EJZ77" s="30"/>
      <c r="EKA77" s="25"/>
      <c r="EKB77" s="178"/>
      <c r="EKC77" s="26"/>
      <c r="EKD77" s="26"/>
      <c r="EKE77" s="26"/>
      <c r="EKF77" s="26"/>
      <c r="EKG77" s="26"/>
      <c r="EKH77" s="26"/>
      <c r="EKI77" s="58"/>
      <c r="EKJ77" s="26"/>
      <c r="EKK77" s="26"/>
      <c r="EKL77" s="26"/>
      <c r="EKM77" s="26"/>
      <c r="EKN77" s="22"/>
      <c r="EKO77" s="167"/>
      <c r="EKP77" s="30"/>
      <c r="EKQ77" s="25"/>
      <c r="EKR77" s="178"/>
      <c r="EKS77" s="26"/>
      <c r="EKT77" s="26"/>
      <c r="EKU77" s="26"/>
      <c r="EKV77" s="26"/>
      <c r="EKW77" s="26"/>
      <c r="EKX77" s="26"/>
      <c r="EKY77" s="58"/>
      <c r="EKZ77" s="26"/>
      <c r="ELA77" s="26"/>
      <c r="ELB77" s="26"/>
      <c r="ELC77" s="26"/>
      <c r="ELD77" s="22"/>
      <c r="ELE77" s="167"/>
      <c r="ELF77" s="30"/>
      <c r="ELG77" s="25"/>
      <c r="ELH77" s="178"/>
      <c r="ELI77" s="26"/>
      <c r="ELJ77" s="26"/>
      <c r="ELK77" s="26"/>
      <c r="ELL77" s="26"/>
      <c r="ELM77" s="26"/>
      <c r="ELN77" s="26"/>
      <c r="ELO77" s="58"/>
      <c r="ELP77" s="26"/>
      <c r="ELQ77" s="26"/>
      <c r="ELR77" s="26"/>
      <c r="ELS77" s="26"/>
      <c r="ELT77" s="22"/>
      <c r="ELU77" s="167"/>
      <c r="ELV77" s="30"/>
      <c r="ELW77" s="25"/>
      <c r="ELX77" s="178"/>
      <c r="ELY77" s="26"/>
      <c r="ELZ77" s="26"/>
      <c r="EMA77" s="26"/>
      <c r="EMB77" s="26"/>
      <c r="EMC77" s="26"/>
      <c r="EMD77" s="26"/>
      <c r="EME77" s="58"/>
      <c r="EMF77" s="26"/>
      <c r="EMG77" s="26"/>
      <c r="EMH77" s="26"/>
      <c r="EMI77" s="26"/>
      <c r="EMJ77" s="22"/>
      <c r="EMK77" s="167"/>
      <c r="EML77" s="30"/>
      <c r="EMM77" s="25"/>
      <c r="EMN77" s="178"/>
      <c r="EMO77" s="26"/>
      <c r="EMP77" s="26"/>
      <c r="EMQ77" s="26"/>
      <c r="EMR77" s="26"/>
      <c r="EMS77" s="26"/>
      <c r="EMT77" s="26"/>
      <c r="EMU77" s="58"/>
      <c r="EMV77" s="26"/>
      <c r="EMW77" s="26"/>
      <c r="EMX77" s="26"/>
      <c r="EMY77" s="26"/>
      <c r="EMZ77" s="22"/>
      <c r="ENA77" s="167"/>
      <c r="ENB77" s="30"/>
      <c r="ENC77" s="25"/>
      <c r="END77" s="178"/>
      <c r="ENE77" s="26"/>
      <c r="ENF77" s="26"/>
      <c r="ENG77" s="26"/>
      <c r="ENH77" s="26"/>
      <c r="ENI77" s="26"/>
      <c r="ENJ77" s="26"/>
      <c r="ENK77" s="58"/>
      <c r="ENL77" s="26"/>
      <c r="ENM77" s="26"/>
      <c r="ENN77" s="26"/>
      <c r="ENO77" s="26"/>
      <c r="ENP77" s="22"/>
      <c r="ENQ77" s="167"/>
      <c r="ENR77" s="30"/>
      <c r="ENS77" s="25"/>
      <c r="ENT77" s="178"/>
      <c r="ENU77" s="26"/>
      <c r="ENV77" s="26"/>
      <c r="ENW77" s="26"/>
      <c r="ENX77" s="26"/>
      <c r="ENY77" s="26"/>
      <c r="ENZ77" s="26"/>
      <c r="EOA77" s="58"/>
      <c r="EOB77" s="26"/>
      <c r="EOC77" s="26"/>
      <c r="EOD77" s="26"/>
      <c r="EOE77" s="26"/>
      <c r="EOF77" s="22"/>
      <c r="EOG77" s="167"/>
      <c r="EOH77" s="30"/>
      <c r="EOI77" s="25"/>
      <c r="EOJ77" s="178"/>
      <c r="EOK77" s="26"/>
      <c r="EOL77" s="26"/>
      <c r="EOM77" s="26"/>
      <c r="EON77" s="26"/>
      <c r="EOO77" s="26"/>
      <c r="EOP77" s="26"/>
      <c r="EOQ77" s="58"/>
      <c r="EOR77" s="26"/>
      <c r="EOS77" s="26"/>
      <c r="EOT77" s="26"/>
      <c r="EOU77" s="26"/>
      <c r="EOV77" s="22"/>
      <c r="EOW77" s="167"/>
      <c r="EOX77" s="30"/>
      <c r="EOY77" s="25"/>
      <c r="EOZ77" s="178"/>
      <c r="EPA77" s="26"/>
      <c r="EPB77" s="26"/>
      <c r="EPC77" s="26"/>
      <c r="EPD77" s="26"/>
      <c r="EPE77" s="26"/>
      <c r="EPF77" s="26"/>
      <c r="EPG77" s="58"/>
      <c r="EPH77" s="26"/>
      <c r="EPI77" s="26"/>
      <c r="EPJ77" s="26"/>
      <c r="EPK77" s="26"/>
      <c r="EPL77" s="22"/>
      <c r="EPM77" s="167"/>
      <c r="EPN77" s="30"/>
      <c r="EPO77" s="25"/>
      <c r="EPP77" s="178"/>
      <c r="EPQ77" s="26"/>
      <c r="EPR77" s="26"/>
      <c r="EPS77" s="26"/>
      <c r="EPT77" s="26"/>
      <c r="EPU77" s="26"/>
      <c r="EPV77" s="26"/>
      <c r="EPW77" s="58"/>
      <c r="EPX77" s="26"/>
      <c r="EPY77" s="26"/>
      <c r="EPZ77" s="26"/>
      <c r="EQA77" s="26"/>
      <c r="EQB77" s="22"/>
      <c r="EQC77" s="167"/>
      <c r="EQD77" s="30"/>
      <c r="EQE77" s="25"/>
      <c r="EQF77" s="178"/>
      <c r="EQG77" s="26"/>
      <c r="EQH77" s="26"/>
      <c r="EQI77" s="26"/>
      <c r="EQJ77" s="26"/>
      <c r="EQK77" s="26"/>
      <c r="EQL77" s="26"/>
      <c r="EQM77" s="58"/>
      <c r="EQN77" s="26"/>
      <c r="EQO77" s="26"/>
      <c r="EQP77" s="26"/>
      <c r="EQQ77" s="26"/>
      <c r="EQR77" s="22"/>
      <c r="EQS77" s="167"/>
      <c r="EQT77" s="30"/>
      <c r="EQU77" s="25"/>
      <c r="EQV77" s="178"/>
      <c r="EQW77" s="26"/>
      <c r="EQX77" s="26"/>
      <c r="EQY77" s="26"/>
      <c r="EQZ77" s="26"/>
      <c r="ERA77" s="26"/>
      <c r="ERB77" s="26"/>
      <c r="ERC77" s="58"/>
      <c r="ERD77" s="26"/>
      <c r="ERE77" s="26"/>
      <c r="ERF77" s="26"/>
      <c r="ERG77" s="26"/>
      <c r="ERH77" s="22"/>
      <c r="ERI77" s="167"/>
      <c r="ERJ77" s="30"/>
      <c r="ERK77" s="25"/>
      <c r="ERL77" s="178"/>
      <c r="ERM77" s="26"/>
      <c r="ERN77" s="26"/>
      <c r="ERO77" s="26"/>
      <c r="ERP77" s="26"/>
      <c r="ERQ77" s="26"/>
      <c r="ERR77" s="26"/>
      <c r="ERS77" s="58"/>
      <c r="ERT77" s="26"/>
      <c r="ERU77" s="26"/>
      <c r="ERV77" s="26"/>
      <c r="ERW77" s="26"/>
      <c r="ERX77" s="22"/>
      <c r="ERY77" s="167"/>
      <c r="ERZ77" s="30"/>
      <c r="ESA77" s="25"/>
      <c r="ESB77" s="178"/>
      <c r="ESC77" s="26"/>
      <c r="ESD77" s="26"/>
      <c r="ESE77" s="26"/>
      <c r="ESF77" s="26"/>
      <c r="ESG77" s="26"/>
      <c r="ESH77" s="26"/>
      <c r="ESI77" s="58"/>
      <c r="ESJ77" s="26"/>
      <c r="ESK77" s="26"/>
      <c r="ESL77" s="26"/>
      <c r="ESM77" s="26"/>
      <c r="ESN77" s="22"/>
      <c r="ESO77" s="167"/>
      <c r="ESP77" s="30"/>
      <c r="ESQ77" s="25"/>
      <c r="ESR77" s="178"/>
      <c r="ESS77" s="26"/>
      <c r="EST77" s="26"/>
      <c r="ESU77" s="26"/>
      <c r="ESV77" s="26"/>
      <c r="ESW77" s="26"/>
      <c r="ESX77" s="26"/>
      <c r="ESY77" s="58"/>
      <c r="ESZ77" s="26"/>
      <c r="ETA77" s="26"/>
      <c r="ETB77" s="26"/>
      <c r="ETC77" s="26"/>
      <c r="ETD77" s="22"/>
      <c r="ETE77" s="167"/>
      <c r="ETF77" s="30"/>
      <c r="ETG77" s="25"/>
      <c r="ETH77" s="178"/>
      <c r="ETI77" s="26"/>
      <c r="ETJ77" s="26"/>
      <c r="ETK77" s="26"/>
      <c r="ETL77" s="26"/>
      <c r="ETM77" s="26"/>
      <c r="ETN77" s="26"/>
      <c r="ETO77" s="58"/>
      <c r="ETP77" s="26"/>
      <c r="ETQ77" s="26"/>
      <c r="ETR77" s="26"/>
      <c r="ETS77" s="26"/>
      <c r="ETT77" s="22"/>
      <c r="ETU77" s="167"/>
      <c r="ETV77" s="30"/>
      <c r="ETW77" s="25"/>
      <c r="ETX77" s="178"/>
      <c r="ETY77" s="26"/>
      <c r="ETZ77" s="26"/>
      <c r="EUA77" s="26"/>
      <c r="EUB77" s="26"/>
      <c r="EUC77" s="26"/>
      <c r="EUD77" s="26"/>
      <c r="EUE77" s="58"/>
      <c r="EUF77" s="26"/>
      <c r="EUG77" s="26"/>
      <c r="EUH77" s="26"/>
      <c r="EUI77" s="26"/>
      <c r="EUJ77" s="22"/>
      <c r="EUK77" s="167"/>
      <c r="EUL77" s="30"/>
      <c r="EUM77" s="25"/>
      <c r="EUN77" s="178"/>
      <c r="EUO77" s="26"/>
      <c r="EUP77" s="26"/>
      <c r="EUQ77" s="26"/>
      <c r="EUR77" s="26"/>
      <c r="EUS77" s="26"/>
      <c r="EUT77" s="26"/>
      <c r="EUU77" s="58"/>
      <c r="EUV77" s="26"/>
      <c r="EUW77" s="26"/>
      <c r="EUX77" s="26"/>
      <c r="EUY77" s="26"/>
      <c r="EUZ77" s="22"/>
      <c r="EVA77" s="167"/>
      <c r="EVB77" s="30"/>
      <c r="EVC77" s="25"/>
      <c r="EVD77" s="178"/>
      <c r="EVE77" s="26"/>
      <c r="EVF77" s="26"/>
      <c r="EVG77" s="26"/>
      <c r="EVH77" s="26"/>
      <c r="EVI77" s="26"/>
      <c r="EVJ77" s="26"/>
      <c r="EVK77" s="58"/>
      <c r="EVL77" s="26"/>
      <c r="EVM77" s="26"/>
      <c r="EVN77" s="26"/>
      <c r="EVO77" s="26"/>
      <c r="EVP77" s="22"/>
      <c r="EVQ77" s="167"/>
      <c r="EVR77" s="30"/>
      <c r="EVS77" s="25"/>
      <c r="EVT77" s="178"/>
      <c r="EVU77" s="26"/>
      <c r="EVV77" s="26"/>
      <c r="EVW77" s="26"/>
      <c r="EVX77" s="26"/>
      <c r="EVY77" s="26"/>
      <c r="EVZ77" s="26"/>
      <c r="EWA77" s="58"/>
      <c r="EWB77" s="26"/>
      <c r="EWC77" s="26"/>
      <c r="EWD77" s="26"/>
      <c r="EWE77" s="26"/>
      <c r="EWF77" s="22"/>
      <c r="EWG77" s="167"/>
      <c r="EWH77" s="30"/>
      <c r="EWI77" s="25"/>
      <c r="EWJ77" s="178"/>
      <c r="EWK77" s="26"/>
      <c r="EWL77" s="26"/>
      <c r="EWM77" s="26"/>
      <c r="EWN77" s="26"/>
      <c r="EWO77" s="26"/>
      <c r="EWP77" s="26"/>
      <c r="EWQ77" s="58"/>
      <c r="EWR77" s="26"/>
      <c r="EWS77" s="26"/>
      <c r="EWT77" s="26"/>
      <c r="EWU77" s="26"/>
      <c r="EWV77" s="22"/>
      <c r="EWW77" s="167"/>
      <c r="EWX77" s="30"/>
      <c r="EWY77" s="25"/>
      <c r="EWZ77" s="178"/>
      <c r="EXA77" s="26"/>
      <c r="EXB77" s="26"/>
      <c r="EXC77" s="26"/>
      <c r="EXD77" s="26"/>
      <c r="EXE77" s="26"/>
      <c r="EXF77" s="26"/>
      <c r="EXG77" s="58"/>
      <c r="EXH77" s="26"/>
      <c r="EXI77" s="26"/>
      <c r="EXJ77" s="26"/>
      <c r="EXK77" s="26"/>
      <c r="EXL77" s="22"/>
      <c r="EXM77" s="167"/>
      <c r="EXN77" s="30"/>
      <c r="EXO77" s="25"/>
      <c r="EXP77" s="178"/>
      <c r="EXQ77" s="26"/>
      <c r="EXR77" s="26"/>
      <c r="EXS77" s="26"/>
      <c r="EXT77" s="26"/>
      <c r="EXU77" s="26"/>
      <c r="EXV77" s="26"/>
      <c r="EXW77" s="58"/>
      <c r="EXX77" s="26"/>
      <c r="EXY77" s="26"/>
      <c r="EXZ77" s="26"/>
      <c r="EYA77" s="26"/>
      <c r="EYB77" s="22"/>
      <c r="EYC77" s="167"/>
      <c r="EYD77" s="30"/>
      <c r="EYE77" s="25"/>
      <c r="EYF77" s="178"/>
      <c r="EYG77" s="26"/>
      <c r="EYH77" s="26"/>
      <c r="EYI77" s="26"/>
      <c r="EYJ77" s="26"/>
      <c r="EYK77" s="26"/>
      <c r="EYL77" s="26"/>
      <c r="EYM77" s="58"/>
      <c r="EYN77" s="26"/>
      <c r="EYO77" s="26"/>
      <c r="EYP77" s="26"/>
      <c r="EYQ77" s="26"/>
      <c r="EYR77" s="22"/>
      <c r="EYS77" s="167"/>
      <c r="EYT77" s="30"/>
      <c r="EYU77" s="25"/>
      <c r="EYV77" s="178"/>
      <c r="EYW77" s="26"/>
      <c r="EYX77" s="26"/>
      <c r="EYY77" s="26"/>
      <c r="EYZ77" s="26"/>
      <c r="EZA77" s="26"/>
      <c r="EZB77" s="26"/>
      <c r="EZC77" s="58"/>
      <c r="EZD77" s="26"/>
      <c r="EZE77" s="26"/>
      <c r="EZF77" s="26"/>
      <c r="EZG77" s="26"/>
      <c r="EZH77" s="22"/>
      <c r="EZI77" s="167"/>
      <c r="EZJ77" s="30"/>
      <c r="EZK77" s="25"/>
      <c r="EZL77" s="178"/>
      <c r="EZM77" s="26"/>
      <c r="EZN77" s="26"/>
      <c r="EZO77" s="26"/>
      <c r="EZP77" s="26"/>
      <c r="EZQ77" s="26"/>
      <c r="EZR77" s="26"/>
      <c r="EZS77" s="58"/>
      <c r="EZT77" s="26"/>
      <c r="EZU77" s="26"/>
      <c r="EZV77" s="26"/>
      <c r="EZW77" s="26"/>
      <c r="EZX77" s="22"/>
      <c r="EZY77" s="167"/>
      <c r="EZZ77" s="30"/>
      <c r="FAA77" s="25"/>
      <c r="FAB77" s="178"/>
      <c r="FAC77" s="26"/>
      <c r="FAD77" s="26"/>
      <c r="FAE77" s="26"/>
      <c r="FAF77" s="26"/>
      <c r="FAG77" s="26"/>
      <c r="FAH77" s="26"/>
      <c r="FAI77" s="58"/>
      <c r="FAJ77" s="26"/>
      <c r="FAK77" s="26"/>
      <c r="FAL77" s="26"/>
      <c r="FAM77" s="26"/>
      <c r="FAN77" s="22"/>
      <c r="FAO77" s="167"/>
      <c r="FAP77" s="30"/>
      <c r="FAQ77" s="25"/>
      <c r="FAR77" s="178"/>
      <c r="FAS77" s="26"/>
      <c r="FAT77" s="26"/>
      <c r="FAU77" s="26"/>
      <c r="FAV77" s="26"/>
      <c r="FAW77" s="26"/>
      <c r="FAX77" s="26"/>
      <c r="FAY77" s="58"/>
      <c r="FAZ77" s="26"/>
      <c r="FBA77" s="26"/>
      <c r="FBB77" s="26"/>
      <c r="FBC77" s="26"/>
      <c r="FBD77" s="22"/>
      <c r="FBE77" s="167"/>
      <c r="FBF77" s="30"/>
      <c r="FBG77" s="25"/>
      <c r="FBH77" s="178"/>
      <c r="FBI77" s="26"/>
      <c r="FBJ77" s="26"/>
      <c r="FBK77" s="26"/>
      <c r="FBL77" s="26"/>
      <c r="FBM77" s="26"/>
      <c r="FBN77" s="26"/>
      <c r="FBO77" s="58"/>
      <c r="FBP77" s="26"/>
      <c r="FBQ77" s="26"/>
      <c r="FBR77" s="26"/>
      <c r="FBS77" s="26"/>
      <c r="FBT77" s="22"/>
      <c r="FBU77" s="167"/>
      <c r="FBV77" s="30"/>
      <c r="FBW77" s="25"/>
      <c r="FBX77" s="178"/>
      <c r="FBY77" s="26"/>
      <c r="FBZ77" s="26"/>
      <c r="FCA77" s="26"/>
      <c r="FCB77" s="26"/>
      <c r="FCC77" s="26"/>
      <c r="FCD77" s="26"/>
      <c r="FCE77" s="58"/>
      <c r="FCF77" s="26"/>
      <c r="FCG77" s="26"/>
      <c r="FCH77" s="26"/>
      <c r="FCI77" s="26"/>
      <c r="FCJ77" s="22"/>
      <c r="FCK77" s="167"/>
      <c r="FCL77" s="30"/>
      <c r="FCM77" s="25"/>
      <c r="FCN77" s="178"/>
      <c r="FCO77" s="26"/>
      <c r="FCP77" s="26"/>
      <c r="FCQ77" s="26"/>
      <c r="FCR77" s="26"/>
      <c r="FCS77" s="26"/>
      <c r="FCT77" s="26"/>
      <c r="FCU77" s="58"/>
      <c r="FCV77" s="26"/>
      <c r="FCW77" s="26"/>
      <c r="FCX77" s="26"/>
      <c r="FCY77" s="26"/>
      <c r="FCZ77" s="22"/>
      <c r="FDA77" s="167"/>
      <c r="FDB77" s="30"/>
      <c r="FDC77" s="25"/>
      <c r="FDD77" s="178"/>
      <c r="FDE77" s="26"/>
      <c r="FDF77" s="26"/>
      <c r="FDG77" s="26"/>
      <c r="FDH77" s="26"/>
      <c r="FDI77" s="26"/>
      <c r="FDJ77" s="26"/>
      <c r="FDK77" s="58"/>
      <c r="FDL77" s="26"/>
      <c r="FDM77" s="26"/>
      <c r="FDN77" s="26"/>
      <c r="FDO77" s="26"/>
      <c r="FDP77" s="22"/>
      <c r="FDQ77" s="167"/>
      <c r="FDR77" s="30"/>
      <c r="FDS77" s="25"/>
      <c r="FDT77" s="178"/>
      <c r="FDU77" s="26"/>
      <c r="FDV77" s="26"/>
      <c r="FDW77" s="26"/>
      <c r="FDX77" s="26"/>
      <c r="FDY77" s="26"/>
      <c r="FDZ77" s="26"/>
      <c r="FEA77" s="58"/>
      <c r="FEB77" s="26"/>
      <c r="FEC77" s="26"/>
      <c r="FED77" s="26"/>
      <c r="FEE77" s="26"/>
      <c r="FEF77" s="22"/>
      <c r="FEG77" s="167"/>
      <c r="FEH77" s="30"/>
      <c r="FEI77" s="25"/>
      <c r="FEJ77" s="178"/>
      <c r="FEK77" s="26"/>
      <c r="FEL77" s="26"/>
      <c r="FEM77" s="26"/>
      <c r="FEN77" s="26"/>
      <c r="FEO77" s="26"/>
      <c r="FEP77" s="26"/>
      <c r="FEQ77" s="58"/>
      <c r="FER77" s="26"/>
      <c r="FES77" s="26"/>
      <c r="FET77" s="26"/>
      <c r="FEU77" s="26"/>
      <c r="FEV77" s="22"/>
      <c r="FEW77" s="167"/>
      <c r="FEX77" s="30"/>
      <c r="FEY77" s="25"/>
      <c r="FEZ77" s="178"/>
      <c r="FFA77" s="26"/>
      <c r="FFB77" s="26"/>
      <c r="FFC77" s="26"/>
      <c r="FFD77" s="26"/>
      <c r="FFE77" s="26"/>
      <c r="FFF77" s="26"/>
      <c r="FFG77" s="58"/>
      <c r="FFH77" s="26"/>
      <c r="FFI77" s="26"/>
      <c r="FFJ77" s="26"/>
      <c r="FFK77" s="26"/>
      <c r="FFL77" s="22"/>
      <c r="FFM77" s="167"/>
      <c r="FFN77" s="30"/>
      <c r="FFO77" s="25"/>
      <c r="FFP77" s="178"/>
      <c r="FFQ77" s="26"/>
      <c r="FFR77" s="26"/>
      <c r="FFS77" s="26"/>
      <c r="FFT77" s="26"/>
      <c r="FFU77" s="26"/>
      <c r="FFV77" s="26"/>
      <c r="FFW77" s="58"/>
      <c r="FFX77" s="26"/>
      <c r="FFY77" s="26"/>
      <c r="FFZ77" s="26"/>
      <c r="FGA77" s="26"/>
      <c r="FGB77" s="22"/>
      <c r="FGC77" s="167"/>
      <c r="FGD77" s="30"/>
      <c r="FGE77" s="25"/>
      <c r="FGF77" s="178"/>
      <c r="FGG77" s="26"/>
      <c r="FGH77" s="26"/>
      <c r="FGI77" s="26"/>
      <c r="FGJ77" s="26"/>
      <c r="FGK77" s="26"/>
      <c r="FGL77" s="26"/>
      <c r="FGM77" s="58"/>
      <c r="FGN77" s="26"/>
      <c r="FGO77" s="26"/>
      <c r="FGP77" s="26"/>
      <c r="FGQ77" s="26"/>
      <c r="FGR77" s="22"/>
      <c r="FGS77" s="167"/>
      <c r="FGT77" s="30"/>
      <c r="FGU77" s="25"/>
      <c r="FGV77" s="178"/>
      <c r="FGW77" s="26"/>
      <c r="FGX77" s="26"/>
      <c r="FGY77" s="26"/>
      <c r="FGZ77" s="26"/>
      <c r="FHA77" s="26"/>
      <c r="FHB77" s="26"/>
      <c r="FHC77" s="58"/>
      <c r="FHD77" s="26"/>
      <c r="FHE77" s="26"/>
      <c r="FHF77" s="26"/>
      <c r="FHG77" s="26"/>
      <c r="FHH77" s="22"/>
      <c r="FHI77" s="167"/>
      <c r="FHJ77" s="30"/>
      <c r="FHK77" s="25"/>
      <c r="FHL77" s="178"/>
      <c r="FHM77" s="26"/>
      <c r="FHN77" s="26"/>
      <c r="FHO77" s="26"/>
      <c r="FHP77" s="26"/>
      <c r="FHQ77" s="26"/>
      <c r="FHR77" s="26"/>
      <c r="FHS77" s="58"/>
      <c r="FHT77" s="26"/>
      <c r="FHU77" s="26"/>
      <c r="FHV77" s="26"/>
      <c r="FHW77" s="26"/>
      <c r="FHX77" s="22"/>
      <c r="FHY77" s="167"/>
      <c r="FHZ77" s="30"/>
      <c r="FIA77" s="25"/>
      <c r="FIB77" s="178"/>
      <c r="FIC77" s="26"/>
      <c r="FID77" s="26"/>
      <c r="FIE77" s="26"/>
      <c r="FIF77" s="26"/>
      <c r="FIG77" s="26"/>
      <c r="FIH77" s="26"/>
      <c r="FII77" s="58"/>
      <c r="FIJ77" s="26"/>
      <c r="FIK77" s="26"/>
      <c r="FIL77" s="26"/>
      <c r="FIM77" s="26"/>
      <c r="FIN77" s="22"/>
      <c r="FIO77" s="167"/>
      <c r="FIP77" s="30"/>
      <c r="FIQ77" s="25"/>
      <c r="FIR77" s="178"/>
      <c r="FIS77" s="26"/>
      <c r="FIT77" s="26"/>
      <c r="FIU77" s="26"/>
      <c r="FIV77" s="26"/>
      <c r="FIW77" s="26"/>
      <c r="FIX77" s="26"/>
      <c r="FIY77" s="58"/>
      <c r="FIZ77" s="26"/>
      <c r="FJA77" s="26"/>
      <c r="FJB77" s="26"/>
      <c r="FJC77" s="26"/>
      <c r="FJD77" s="22"/>
      <c r="FJE77" s="167"/>
      <c r="FJF77" s="30"/>
      <c r="FJG77" s="25"/>
      <c r="FJH77" s="178"/>
      <c r="FJI77" s="26"/>
      <c r="FJJ77" s="26"/>
      <c r="FJK77" s="26"/>
      <c r="FJL77" s="26"/>
      <c r="FJM77" s="26"/>
      <c r="FJN77" s="26"/>
      <c r="FJO77" s="58"/>
      <c r="FJP77" s="26"/>
      <c r="FJQ77" s="26"/>
      <c r="FJR77" s="26"/>
      <c r="FJS77" s="26"/>
      <c r="FJT77" s="22"/>
      <c r="FJU77" s="167"/>
      <c r="FJV77" s="30"/>
      <c r="FJW77" s="25"/>
      <c r="FJX77" s="178"/>
      <c r="FJY77" s="26"/>
      <c r="FJZ77" s="26"/>
      <c r="FKA77" s="26"/>
      <c r="FKB77" s="26"/>
      <c r="FKC77" s="26"/>
      <c r="FKD77" s="26"/>
      <c r="FKE77" s="58"/>
      <c r="FKF77" s="26"/>
      <c r="FKG77" s="26"/>
      <c r="FKH77" s="26"/>
      <c r="FKI77" s="26"/>
      <c r="FKJ77" s="22"/>
      <c r="FKK77" s="167"/>
      <c r="FKL77" s="30"/>
      <c r="FKM77" s="25"/>
      <c r="FKN77" s="178"/>
      <c r="FKO77" s="26"/>
      <c r="FKP77" s="26"/>
      <c r="FKQ77" s="26"/>
      <c r="FKR77" s="26"/>
      <c r="FKS77" s="26"/>
      <c r="FKT77" s="26"/>
      <c r="FKU77" s="58"/>
      <c r="FKV77" s="26"/>
      <c r="FKW77" s="26"/>
      <c r="FKX77" s="26"/>
      <c r="FKY77" s="26"/>
      <c r="FKZ77" s="22"/>
      <c r="FLA77" s="167"/>
      <c r="FLB77" s="30"/>
      <c r="FLC77" s="25"/>
      <c r="FLD77" s="178"/>
      <c r="FLE77" s="26"/>
      <c r="FLF77" s="26"/>
      <c r="FLG77" s="26"/>
      <c r="FLH77" s="26"/>
      <c r="FLI77" s="26"/>
      <c r="FLJ77" s="26"/>
      <c r="FLK77" s="58"/>
      <c r="FLL77" s="26"/>
      <c r="FLM77" s="26"/>
      <c r="FLN77" s="26"/>
      <c r="FLO77" s="26"/>
      <c r="FLP77" s="22"/>
      <c r="FLQ77" s="167"/>
      <c r="FLR77" s="30"/>
      <c r="FLS77" s="25"/>
      <c r="FLT77" s="178"/>
      <c r="FLU77" s="26"/>
      <c r="FLV77" s="26"/>
      <c r="FLW77" s="26"/>
      <c r="FLX77" s="26"/>
      <c r="FLY77" s="26"/>
      <c r="FLZ77" s="26"/>
      <c r="FMA77" s="58"/>
      <c r="FMB77" s="26"/>
      <c r="FMC77" s="26"/>
      <c r="FMD77" s="26"/>
      <c r="FME77" s="26"/>
      <c r="FMF77" s="22"/>
      <c r="FMG77" s="167"/>
      <c r="FMH77" s="30"/>
      <c r="FMI77" s="25"/>
      <c r="FMJ77" s="178"/>
      <c r="FMK77" s="26"/>
      <c r="FML77" s="26"/>
      <c r="FMM77" s="26"/>
      <c r="FMN77" s="26"/>
      <c r="FMO77" s="26"/>
      <c r="FMP77" s="26"/>
      <c r="FMQ77" s="58"/>
      <c r="FMR77" s="26"/>
      <c r="FMS77" s="26"/>
      <c r="FMT77" s="26"/>
      <c r="FMU77" s="26"/>
      <c r="FMV77" s="22"/>
      <c r="FMW77" s="167"/>
      <c r="FMX77" s="30"/>
      <c r="FMY77" s="25"/>
      <c r="FMZ77" s="178"/>
      <c r="FNA77" s="26"/>
      <c r="FNB77" s="26"/>
      <c r="FNC77" s="26"/>
      <c r="FND77" s="26"/>
      <c r="FNE77" s="26"/>
      <c r="FNF77" s="26"/>
      <c r="FNG77" s="58"/>
      <c r="FNH77" s="26"/>
      <c r="FNI77" s="26"/>
      <c r="FNJ77" s="26"/>
      <c r="FNK77" s="26"/>
      <c r="FNL77" s="22"/>
      <c r="FNM77" s="167"/>
      <c r="FNN77" s="30"/>
      <c r="FNO77" s="25"/>
      <c r="FNP77" s="178"/>
      <c r="FNQ77" s="26"/>
      <c r="FNR77" s="26"/>
      <c r="FNS77" s="26"/>
      <c r="FNT77" s="26"/>
      <c r="FNU77" s="26"/>
      <c r="FNV77" s="26"/>
      <c r="FNW77" s="58"/>
      <c r="FNX77" s="26"/>
      <c r="FNY77" s="26"/>
      <c r="FNZ77" s="26"/>
      <c r="FOA77" s="26"/>
      <c r="FOB77" s="22"/>
      <c r="FOC77" s="167"/>
      <c r="FOD77" s="30"/>
      <c r="FOE77" s="25"/>
      <c r="FOF77" s="178"/>
      <c r="FOG77" s="26"/>
      <c r="FOH77" s="26"/>
      <c r="FOI77" s="26"/>
      <c r="FOJ77" s="26"/>
      <c r="FOK77" s="26"/>
      <c r="FOL77" s="26"/>
      <c r="FOM77" s="58"/>
      <c r="FON77" s="26"/>
      <c r="FOO77" s="26"/>
      <c r="FOP77" s="26"/>
      <c r="FOQ77" s="26"/>
      <c r="FOR77" s="22"/>
      <c r="FOS77" s="167"/>
      <c r="FOT77" s="30"/>
      <c r="FOU77" s="25"/>
      <c r="FOV77" s="178"/>
      <c r="FOW77" s="26"/>
      <c r="FOX77" s="26"/>
      <c r="FOY77" s="26"/>
      <c r="FOZ77" s="26"/>
      <c r="FPA77" s="26"/>
      <c r="FPB77" s="26"/>
      <c r="FPC77" s="58"/>
      <c r="FPD77" s="26"/>
      <c r="FPE77" s="26"/>
      <c r="FPF77" s="26"/>
      <c r="FPG77" s="26"/>
      <c r="FPH77" s="22"/>
      <c r="FPI77" s="167"/>
      <c r="FPJ77" s="30"/>
      <c r="FPK77" s="25"/>
      <c r="FPL77" s="178"/>
      <c r="FPM77" s="26"/>
      <c r="FPN77" s="26"/>
      <c r="FPO77" s="26"/>
      <c r="FPP77" s="26"/>
      <c r="FPQ77" s="26"/>
      <c r="FPR77" s="26"/>
      <c r="FPS77" s="58"/>
      <c r="FPT77" s="26"/>
      <c r="FPU77" s="26"/>
      <c r="FPV77" s="26"/>
      <c r="FPW77" s="26"/>
      <c r="FPX77" s="22"/>
      <c r="FPY77" s="167"/>
      <c r="FPZ77" s="30"/>
      <c r="FQA77" s="25"/>
      <c r="FQB77" s="178"/>
      <c r="FQC77" s="26"/>
      <c r="FQD77" s="26"/>
      <c r="FQE77" s="26"/>
      <c r="FQF77" s="26"/>
      <c r="FQG77" s="26"/>
      <c r="FQH77" s="26"/>
      <c r="FQI77" s="58"/>
      <c r="FQJ77" s="26"/>
      <c r="FQK77" s="26"/>
      <c r="FQL77" s="26"/>
      <c r="FQM77" s="26"/>
      <c r="FQN77" s="22"/>
      <c r="FQO77" s="167"/>
      <c r="FQP77" s="30"/>
      <c r="FQQ77" s="25"/>
      <c r="FQR77" s="178"/>
      <c r="FQS77" s="26"/>
      <c r="FQT77" s="26"/>
      <c r="FQU77" s="26"/>
      <c r="FQV77" s="26"/>
      <c r="FQW77" s="26"/>
      <c r="FQX77" s="26"/>
      <c r="FQY77" s="58"/>
      <c r="FQZ77" s="26"/>
      <c r="FRA77" s="26"/>
      <c r="FRB77" s="26"/>
      <c r="FRC77" s="26"/>
      <c r="FRD77" s="22"/>
      <c r="FRE77" s="167"/>
      <c r="FRF77" s="30"/>
      <c r="FRG77" s="25"/>
      <c r="FRH77" s="178"/>
      <c r="FRI77" s="26"/>
      <c r="FRJ77" s="26"/>
      <c r="FRK77" s="26"/>
      <c r="FRL77" s="26"/>
      <c r="FRM77" s="26"/>
      <c r="FRN77" s="26"/>
      <c r="FRO77" s="58"/>
      <c r="FRP77" s="26"/>
      <c r="FRQ77" s="26"/>
      <c r="FRR77" s="26"/>
      <c r="FRS77" s="26"/>
      <c r="FRT77" s="22"/>
      <c r="FRU77" s="167"/>
      <c r="FRV77" s="30"/>
      <c r="FRW77" s="25"/>
      <c r="FRX77" s="178"/>
      <c r="FRY77" s="26"/>
      <c r="FRZ77" s="26"/>
      <c r="FSA77" s="26"/>
      <c r="FSB77" s="26"/>
      <c r="FSC77" s="26"/>
      <c r="FSD77" s="26"/>
      <c r="FSE77" s="58"/>
      <c r="FSF77" s="26"/>
      <c r="FSG77" s="26"/>
      <c r="FSH77" s="26"/>
      <c r="FSI77" s="26"/>
      <c r="FSJ77" s="22"/>
      <c r="FSK77" s="167"/>
      <c r="FSL77" s="30"/>
      <c r="FSM77" s="25"/>
      <c r="FSN77" s="178"/>
      <c r="FSO77" s="26"/>
      <c r="FSP77" s="26"/>
      <c r="FSQ77" s="26"/>
      <c r="FSR77" s="26"/>
      <c r="FSS77" s="26"/>
      <c r="FST77" s="26"/>
      <c r="FSU77" s="58"/>
      <c r="FSV77" s="26"/>
      <c r="FSW77" s="26"/>
      <c r="FSX77" s="26"/>
      <c r="FSY77" s="26"/>
      <c r="FSZ77" s="22"/>
      <c r="FTA77" s="167"/>
      <c r="FTB77" s="30"/>
      <c r="FTC77" s="25"/>
      <c r="FTD77" s="178"/>
      <c r="FTE77" s="26"/>
      <c r="FTF77" s="26"/>
      <c r="FTG77" s="26"/>
      <c r="FTH77" s="26"/>
      <c r="FTI77" s="26"/>
      <c r="FTJ77" s="26"/>
      <c r="FTK77" s="58"/>
      <c r="FTL77" s="26"/>
      <c r="FTM77" s="26"/>
      <c r="FTN77" s="26"/>
      <c r="FTO77" s="26"/>
      <c r="FTP77" s="22"/>
      <c r="FTQ77" s="167"/>
      <c r="FTR77" s="30"/>
      <c r="FTS77" s="25"/>
      <c r="FTT77" s="178"/>
      <c r="FTU77" s="26"/>
      <c r="FTV77" s="26"/>
      <c r="FTW77" s="26"/>
      <c r="FTX77" s="26"/>
      <c r="FTY77" s="26"/>
      <c r="FTZ77" s="26"/>
      <c r="FUA77" s="58"/>
      <c r="FUB77" s="26"/>
      <c r="FUC77" s="26"/>
      <c r="FUD77" s="26"/>
      <c r="FUE77" s="26"/>
      <c r="FUF77" s="22"/>
      <c r="FUG77" s="167"/>
      <c r="FUH77" s="30"/>
      <c r="FUI77" s="25"/>
      <c r="FUJ77" s="178"/>
      <c r="FUK77" s="26"/>
      <c r="FUL77" s="26"/>
      <c r="FUM77" s="26"/>
      <c r="FUN77" s="26"/>
      <c r="FUO77" s="26"/>
      <c r="FUP77" s="26"/>
      <c r="FUQ77" s="58"/>
      <c r="FUR77" s="26"/>
      <c r="FUS77" s="26"/>
      <c r="FUT77" s="26"/>
      <c r="FUU77" s="26"/>
      <c r="FUV77" s="22"/>
      <c r="FUW77" s="167"/>
      <c r="FUX77" s="30"/>
      <c r="FUY77" s="25"/>
      <c r="FUZ77" s="178"/>
      <c r="FVA77" s="26"/>
      <c r="FVB77" s="26"/>
      <c r="FVC77" s="26"/>
      <c r="FVD77" s="26"/>
      <c r="FVE77" s="26"/>
      <c r="FVF77" s="26"/>
      <c r="FVG77" s="58"/>
      <c r="FVH77" s="26"/>
      <c r="FVI77" s="26"/>
      <c r="FVJ77" s="26"/>
      <c r="FVK77" s="26"/>
      <c r="FVL77" s="22"/>
      <c r="FVM77" s="167"/>
      <c r="FVN77" s="30"/>
      <c r="FVO77" s="25"/>
      <c r="FVP77" s="178"/>
      <c r="FVQ77" s="26"/>
      <c r="FVR77" s="26"/>
      <c r="FVS77" s="26"/>
      <c r="FVT77" s="26"/>
      <c r="FVU77" s="26"/>
      <c r="FVV77" s="26"/>
      <c r="FVW77" s="58"/>
      <c r="FVX77" s="26"/>
      <c r="FVY77" s="26"/>
      <c r="FVZ77" s="26"/>
      <c r="FWA77" s="26"/>
      <c r="FWB77" s="22"/>
      <c r="FWC77" s="167"/>
      <c r="FWD77" s="30"/>
      <c r="FWE77" s="25"/>
      <c r="FWF77" s="178"/>
      <c r="FWG77" s="26"/>
      <c r="FWH77" s="26"/>
      <c r="FWI77" s="26"/>
      <c r="FWJ77" s="26"/>
      <c r="FWK77" s="26"/>
      <c r="FWL77" s="26"/>
      <c r="FWM77" s="58"/>
      <c r="FWN77" s="26"/>
      <c r="FWO77" s="26"/>
      <c r="FWP77" s="26"/>
      <c r="FWQ77" s="26"/>
      <c r="FWR77" s="22"/>
      <c r="FWS77" s="167"/>
      <c r="FWT77" s="30"/>
      <c r="FWU77" s="25"/>
      <c r="FWV77" s="178"/>
      <c r="FWW77" s="26"/>
      <c r="FWX77" s="26"/>
      <c r="FWY77" s="26"/>
      <c r="FWZ77" s="26"/>
      <c r="FXA77" s="26"/>
      <c r="FXB77" s="26"/>
      <c r="FXC77" s="58"/>
      <c r="FXD77" s="26"/>
      <c r="FXE77" s="26"/>
      <c r="FXF77" s="26"/>
      <c r="FXG77" s="26"/>
      <c r="FXH77" s="22"/>
      <c r="FXI77" s="167"/>
      <c r="FXJ77" s="30"/>
      <c r="FXK77" s="25"/>
      <c r="FXL77" s="178"/>
      <c r="FXM77" s="26"/>
      <c r="FXN77" s="26"/>
      <c r="FXO77" s="26"/>
      <c r="FXP77" s="26"/>
      <c r="FXQ77" s="26"/>
      <c r="FXR77" s="26"/>
      <c r="FXS77" s="58"/>
      <c r="FXT77" s="26"/>
      <c r="FXU77" s="26"/>
      <c r="FXV77" s="26"/>
      <c r="FXW77" s="26"/>
      <c r="FXX77" s="22"/>
      <c r="FXY77" s="167"/>
      <c r="FXZ77" s="30"/>
      <c r="FYA77" s="25"/>
      <c r="FYB77" s="178"/>
      <c r="FYC77" s="26"/>
      <c r="FYD77" s="26"/>
      <c r="FYE77" s="26"/>
      <c r="FYF77" s="26"/>
      <c r="FYG77" s="26"/>
      <c r="FYH77" s="26"/>
      <c r="FYI77" s="58"/>
      <c r="FYJ77" s="26"/>
      <c r="FYK77" s="26"/>
      <c r="FYL77" s="26"/>
      <c r="FYM77" s="26"/>
      <c r="FYN77" s="22"/>
      <c r="FYO77" s="167"/>
      <c r="FYP77" s="30"/>
      <c r="FYQ77" s="25"/>
      <c r="FYR77" s="178"/>
      <c r="FYS77" s="26"/>
      <c r="FYT77" s="26"/>
      <c r="FYU77" s="26"/>
      <c r="FYV77" s="26"/>
      <c r="FYW77" s="26"/>
      <c r="FYX77" s="26"/>
      <c r="FYY77" s="58"/>
      <c r="FYZ77" s="26"/>
      <c r="FZA77" s="26"/>
      <c r="FZB77" s="26"/>
      <c r="FZC77" s="26"/>
      <c r="FZD77" s="22"/>
      <c r="FZE77" s="167"/>
      <c r="FZF77" s="30"/>
      <c r="FZG77" s="25"/>
      <c r="FZH77" s="178"/>
      <c r="FZI77" s="26"/>
      <c r="FZJ77" s="26"/>
      <c r="FZK77" s="26"/>
      <c r="FZL77" s="26"/>
      <c r="FZM77" s="26"/>
      <c r="FZN77" s="26"/>
      <c r="FZO77" s="58"/>
      <c r="FZP77" s="26"/>
      <c r="FZQ77" s="26"/>
      <c r="FZR77" s="26"/>
      <c r="FZS77" s="26"/>
      <c r="FZT77" s="22"/>
      <c r="FZU77" s="167"/>
      <c r="FZV77" s="30"/>
      <c r="FZW77" s="25"/>
      <c r="FZX77" s="178"/>
      <c r="FZY77" s="26"/>
      <c r="FZZ77" s="26"/>
      <c r="GAA77" s="26"/>
      <c r="GAB77" s="26"/>
      <c r="GAC77" s="26"/>
      <c r="GAD77" s="26"/>
      <c r="GAE77" s="58"/>
      <c r="GAF77" s="26"/>
      <c r="GAG77" s="26"/>
      <c r="GAH77" s="26"/>
      <c r="GAI77" s="26"/>
      <c r="GAJ77" s="22"/>
      <c r="GAK77" s="167"/>
      <c r="GAL77" s="30"/>
      <c r="GAM77" s="25"/>
      <c r="GAN77" s="178"/>
      <c r="GAO77" s="26"/>
      <c r="GAP77" s="26"/>
      <c r="GAQ77" s="26"/>
      <c r="GAR77" s="26"/>
      <c r="GAS77" s="26"/>
      <c r="GAT77" s="26"/>
      <c r="GAU77" s="58"/>
      <c r="GAV77" s="26"/>
      <c r="GAW77" s="26"/>
      <c r="GAX77" s="26"/>
      <c r="GAY77" s="26"/>
      <c r="GAZ77" s="22"/>
      <c r="GBA77" s="167"/>
      <c r="GBB77" s="30"/>
      <c r="GBC77" s="25"/>
      <c r="GBD77" s="178"/>
      <c r="GBE77" s="26"/>
      <c r="GBF77" s="26"/>
      <c r="GBG77" s="26"/>
      <c r="GBH77" s="26"/>
      <c r="GBI77" s="26"/>
      <c r="GBJ77" s="26"/>
      <c r="GBK77" s="58"/>
      <c r="GBL77" s="26"/>
      <c r="GBM77" s="26"/>
      <c r="GBN77" s="26"/>
      <c r="GBO77" s="26"/>
      <c r="GBP77" s="22"/>
      <c r="GBQ77" s="167"/>
      <c r="GBR77" s="30"/>
      <c r="GBS77" s="25"/>
      <c r="GBT77" s="178"/>
      <c r="GBU77" s="26"/>
      <c r="GBV77" s="26"/>
      <c r="GBW77" s="26"/>
      <c r="GBX77" s="26"/>
      <c r="GBY77" s="26"/>
      <c r="GBZ77" s="26"/>
      <c r="GCA77" s="58"/>
      <c r="GCB77" s="26"/>
      <c r="GCC77" s="26"/>
      <c r="GCD77" s="26"/>
      <c r="GCE77" s="26"/>
      <c r="GCF77" s="22"/>
      <c r="GCG77" s="167"/>
      <c r="GCH77" s="30"/>
      <c r="GCI77" s="25"/>
      <c r="GCJ77" s="178"/>
      <c r="GCK77" s="26"/>
      <c r="GCL77" s="26"/>
      <c r="GCM77" s="26"/>
      <c r="GCN77" s="26"/>
      <c r="GCO77" s="26"/>
      <c r="GCP77" s="26"/>
      <c r="GCQ77" s="58"/>
      <c r="GCR77" s="26"/>
      <c r="GCS77" s="26"/>
      <c r="GCT77" s="26"/>
      <c r="GCU77" s="26"/>
      <c r="GCV77" s="22"/>
      <c r="GCW77" s="167"/>
      <c r="GCX77" s="30"/>
      <c r="GCY77" s="25"/>
      <c r="GCZ77" s="178"/>
      <c r="GDA77" s="26"/>
      <c r="GDB77" s="26"/>
      <c r="GDC77" s="26"/>
      <c r="GDD77" s="26"/>
      <c r="GDE77" s="26"/>
      <c r="GDF77" s="26"/>
      <c r="GDG77" s="58"/>
      <c r="GDH77" s="26"/>
      <c r="GDI77" s="26"/>
      <c r="GDJ77" s="26"/>
      <c r="GDK77" s="26"/>
      <c r="GDL77" s="22"/>
      <c r="GDM77" s="167"/>
      <c r="GDN77" s="30"/>
      <c r="GDO77" s="25"/>
      <c r="GDP77" s="178"/>
      <c r="GDQ77" s="26"/>
      <c r="GDR77" s="26"/>
      <c r="GDS77" s="26"/>
      <c r="GDT77" s="26"/>
      <c r="GDU77" s="26"/>
      <c r="GDV77" s="26"/>
      <c r="GDW77" s="58"/>
      <c r="GDX77" s="26"/>
      <c r="GDY77" s="26"/>
      <c r="GDZ77" s="26"/>
      <c r="GEA77" s="26"/>
      <c r="GEB77" s="22"/>
      <c r="GEC77" s="167"/>
      <c r="GED77" s="30"/>
      <c r="GEE77" s="25"/>
      <c r="GEF77" s="178"/>
      <c r="GEG77" s="26"/>
      <c r="GEH77" s="26"/>
      <c r="GEI77" s="26"/>
      <c r="GEJ77" s="26"/>
      <c r="GEK77" s="26"/>
      <c r="GEL77" s="26"/>
      <c r="GEM77" s="58"/>
      <c r="GEN77" s="26"/>
      <c r="GEO77" s="26"/>
      <c r="GEP77" s="26"/>
      <c r="GEQ77" s="26"/>
      <c r="GER77" s="22"/>
      <c r="GES77" s="167"/>
      <c r="GET77" s="30"/>
      <c r="GEU77" s="25"/>
      <c r="GEV77" s="178"/>
      <c r="GEW77" s="26"/>
      <c r="GEX77" s="26"/>
      <c r="GEY77" s="26"/>
      <c r="GEZ77" s="26"/>
      <c r="GFA77" s="26"/>
      <c r="GFB77" s="26"/>
      <c r="GFC77" s="58"/>
      <c r="GFD77" s="26"/>
      <c r="GFE77" s="26"/>
      <c r="GFF77" s="26"/>
      <c r="GFG77" s="26"/>
      <c r="GFH77" s="22"/>
      <c r="GFI77" s="167"/>
      <c r="GFJ77" s="30"/>
      <c r="GFK77" s="25"/>
      <c r="GFL77" s="178"/>
      <c r="GFM77" s="26"/>
      <c r="GFN77" s="26"/>
      <c r="GFO77" s="26"/>
      <c r="GFP77" s="26"/>
      <c r="GFQ77" s="26"/>
      <c r="GFR77" s="26"/>
      <c r="GFS77" s="58"/>
      <c r="GFT77" s="26"/>
      <c r="GFU77" s="26"/>
      <c r="GFV77" s="26"/>
      <c r="GFW77" s="26"/>
      <c r="GFX77" s="22"/>
      <c r="GFY77" s="167"/>
      <c r="GFZ77" s="30"/>
      <c r="GGA77" s="25"/>
      <c r="GGB77" s="178"/>
      <c r="GGC77" s="26"/>
      <c r="GGD77" s="26"/>
      <c r="GGE77" s="26"/>
      <c r="GGF77" s="26"/>
      <c r="GGG77" s="26"/>
      <c r="GGH77" s="26"/>
      <c r="GGI77" s="58"/>
      <c r="GGJ77" s="26"/>
      <c r="GGK77" s="26"/>
      <c r="GGL77" s="26"/>
      <c r="GGM77" s="26"/>
      <c r="GGN77" s="22"/>
      <c r="GGO77" s="167"/>
      <c r="GGP77" s="30"/>
      <c r="GGQ77" s="25"/>
      <c r="GGR77" s="178"/>
      <c r="GGS77" s="26"/>
      <c r="GGT77" s="26"/>
      <c r="GGU77" s="26"/>
      <c r="GGV77" s="26"/>
      <c r="GGW77" s="26"/>
      <c r="GGX77" s="26"/>
      <c r="GGY77" s="58"/>
      <c r="GGZ77" s="26"/>
      <c r="GHA77" s="26"/>
      <c r="GHB77" s="26"/>
      <c r="GHC77" s="26"/>
      <c r="GHD77" s="22"/>
      <c r="GHE77" s="167"/>
      <c r="GHF77" s="30"/>
      <c r="GHG77" s="25"/>
      <c r="GHH77" s="178"/>
      <c r="GHI77" s="26"/>
      <c r="GHJ77" s="26"/>
      <c r="GHK77" s="26"/>
      <c r="GHL77" s="26"/>
      <c r="GHM77" s="26"/>
      <c r="GHN77" s="26"/>
      <c r="GHO77" s="58"/>
      <c r="GHP77" s="26"/>
      <c r="GHQ77" s="26"/>
      <c r="GHR77" s="26"/>
      <c r="GHS77" s="26"/>
      <c r="GHT77" s="22"/>
      <c r="GHU77" s="167"/>
      <c r="GHV77" s="30"/>
      <c r="GHW77" s="25"/>
      <c r="GHX77" s="178"/>
      <c r="GHY77" s="26"/>
      <c r="GHZ77" s="26"/>
      <c r="GIA77" s="26"/>
      <c r="GIB77" s="26"/>
      <c r="GIC77" s="26"/>
      <c r="GID77" s="26"/>
      <c r="GIE77" s="58"/>
      <c r="GIF77" s="26"/>
      <c r="GIG77" s="26"/>
      <c r="GIH77" s="26"/>
      <c r="GII77" s="26"/>
      <c r="GIJ77" s="22"/>
      <c r="GIK77" s="167"/>
      <c r="GIL77" s="30"/>
      <c r="GIM77" s="25"/>
      <c r="GIN77" s="178"/>
      <c r="GIO77" s="26"/>
      <c r="GIP77" s="26"/>
      <c r="GIQ77" s="26"/>
      <c r="GIR77" s="26"/>
      <c r="GIS77" s="26"/>
      <c r="GIT77" s="26"/>
      <c r="GIU77" s="58"/>
      <c r="GIV77" s="26"/>
      <c r="GIW77" s="26"/>
      <c r="GIX77" s="26"/>
      <c r="GIY77" s="26"/>
      <c r="GIZ77" s="22"/>
      <c r="GJA77" s="167"/>
      <c r="GJB77" s="30"/>
      <c r="GJC77" s="25"/>
      <c r="GJD77" s="178"/>
      <c r="GJE77" s="26"/>
      <c r="GJF77" s="26"/>
      <c r="GJG77" s="26"/>
      <c r="GJH77" s="26"/>
      <c r="GJI77" s="26"/>
      <c r="GJJ77" s="26"/>
      <c r="GJK77" s="58"/>
      <c r="GJL77" s="26"/>
      <c r="GJM77" s="26"/>
      <c r="GJN77" s="26"/>
      <c r="GJO77" s="26"/>
      <c r="GJP77" s="22"/>
      <c r="GJQ77" s="167"/>
      <c r="GJR77" s="30"/>
      <c r="GJS77" s="25"/>
      <c r="GJT77" s="178"/>
      <c r="GJU77" s="26"/>
      <c r="GJV77" s="26"/>
      <c r="GJW77" s="26"/>
      <c r="GJX77" s="26"/>
      <c r="GJY77" s="26"/>
      <c r="GJZ77" s="26"/>
      <c r="GKA77" s="58"/>
      <c r="GKB77" s="26"/>
      <c r="GKC77" s="26"/>
      <c r="GKD77" s="26"/>
      <c r="GKE77" s="26"/>
      <c r="GKF77" s="22"/>
      <c r="GKG77" s="167"/>
      <c r="GKH77" s="30"/>
      <c r="GKI77" s="25"/>
      <c r="GKJ77" s="178"/>
      <c r="GKK77" s="26"/>
      <c r="GKL77" s="26"/>
      <c r="GKM77" s="26"/>
      <c r="GKN77" s="26"/>
      <c r="GKO77" s="26"/>
      <c r="GKP77" s="26"/>
      <c r="GKQ77" s="58"/>
      <c r="GKR77" s="26"/>
      <c r="GKS77" s="26"/>
      <c r="GKT77" s="26"/>
      <c r="GKU77" s="26"/>
      <c r="GKV77" s="22"/>
      <c r="GKW77" s="167"/>
      <c r="GKX77" s="30"/>
      <c r="GKY77" s="25"/>
      <c r="GKZ77" s="178"/>
      <c r="GLA77" s="26"/>
      <c r="GLB77" s="26"/>
      <c r="GLC77" s="26"/>
      <c r="GLD77" s="26"/>
      <c r="GLE77" s="26"/>
      <c r="GLF77" s="26"/>
      <c r="GLG77" s="58"/>
      <c r="GLH77" s="26"/>
      <c r="GLI77" s="26"/>
      <c r="GLJ77" s="26"/>
      <c r="GLK77" s="26"/>
      <c r="GLL77" s="22"/>
      <c r="GLM77" s="167"/>
      <c r="GLN77" s="30"/>
      <c r="GLO77" s="25"/>
      <c r="GLP77" s="178"/>
      <c r="GLQ77" s="26"/>
      <c r="GLR77" s="26"/>
      <c r="GLS77" s="26"/>
      <c r="GLT77" s="26"/>
      <c r="GLU77" s="26"/>
      <c r="GLV77" s="26"/>
      <c r="GLW77" s="58"/>
      <c r="GLX77" s="26"/>
      <c r="GLY77" s="26"/>
      <c r="GLZ77" s="26"/>
      <c r="GMA77" s="26"/>
      <c r="GMB77" s="22"/>
      <c r="GMC77" s="167"/>
      <c r="GMD77" s="30"/>
      <c r="GME77" s="25"/>
      <c r="GMF77" s="178"/>
      <c r="GMG77" s="26"/>
      <c r="GMH77" s="26"/>
      <c r="GMI77" s="26"/>
      <c r="GMJ77" s="26"/>
      <c r="GMK77" s="26"/>
      <c r="GML77" s="26"/>
      <c r="GMM77" s="58"/>
      <c r="GMN77" s="26"/>
      <c r="GMO77" s="26"/>
      <c r="GMP77" s="26"/>
      <c r="GMQ77" s="26"/>
      <c r="GMR77" s="22"/>
      <c r="GMS77" s="167"/>
      <c r="GMT77" s="30"/>
      <c r="GMU77" s="25"/>
      <c r="GMV77" s="178"/>
      <c r="GMW77" s="26"/>
      <c r="GMX77" s="26"/>
      <c r="GMY77" s="26"/>
      <c r="GMZ77" s="26"/>
      <c r="GNA77" s="26"/>
      <c r="GNB77" s="26"/>
      <c r="GNC77" s="58"/>
      <c r="GND77" s="26"/>
      <c r="GNE77" s="26"/>
      <c r="GNF77" s="26"/>
      <c r="GNG77" s="26"/>
      <c r="GNH77" s="22"/>
      <c r="GNI77" s="167"/>
      <c r="GNJ77" s="30"/>
      <c r="GNK77" s="25"/>
      <c r="GNL77" s="178"/>
      <c r="GNM77" s="26"/>
      <c r="GNN77" s="26"/>
      <c r="GNO77" s="26"/>
      <c r="GNP77" s="26"/>
      <c r="GNQ77" s="26"/>
      <c r="GNR77" s="26"/>
      <c r="GNS77" s="58"/>
      <c r="GNT77" s="26"/>
      <c r="GNU77" s="26"/>
      <c r="GNV77" s="26"/>
      <c r="GNW77" s="26"/>
      <c r="GNX77" s="22"/>
      <c r="GNY77" s="167"/>
      <c r="GNZ77" s="30"/>
      <c r="GOA77" s="25"/>
      <c r="GOB77" s="178"/>
      <c r="GOC77" s="26"/>
      <c r="GOD77" s="26"/>
      <c r="GOE77" s="26"/>
      <c r="GOF77" s="26"/>
      <c r="GOG77" s="26"/>
      <c r="GOH77" s="26"/>
      <c r="GOI77" s="58"/>
      <c r="GOJ77" s="26"/>
      <c r="GOK77" s="26"/>
      <c r="GOL77" s="26"/>
      <c r="GOM77" s="26"/>
      <c r="GON77" s="22"/>
      <c r="GOO77" s="167"/>
      <c r="GOP77" s="30"/>
      <c r="GOQ77" s="25"/>
      <c r="GOR77" s="178"/>
      <c r="GOS77" s="26"/>
      <c r="GOT77" s="26"/>
      <c r="GOU77" s="26"/>
      <c r="GOV77" s="26"/>
      <c r="GOW77" s="26"/>
      <c r="GOX77" s="26"/>
      <c r="GOY77" s="58"/>
      <c r="GOZ77" s="26"/>
      <c r="GPA77" s="26"/>
      <c r="GPB77" s="26"/>
      <c r="GPC77" s="26"/>
      <c r="GPD77" s="22"/>
      <c r="GPE77" s="167"/>
      <c r="GPF77" s="30"/>
      <c r="GPG77" s="25"/>
      <c r="GPH77" s="178"/>
      <c r="GPI77" s="26"/>
      <c r="GPJ77" s="26"/>
      <c r="GPK77" s="26"/>
      <c r="GPL77" s="26"/>
      <c r="GPM77" s="26"/>
      <c r="GPN77" s="26"/>
      <c r="GPO77" s="58"/>
      <c r="GPP77" s="26"/>
      <c r="GPQ77" s="26"/>
      <c r="GPR77" s="26"/>
      <c r="GPS77" s="26"/>
      <c r="GPT77" s="22"/>
      <c r="GPU77" s="167"/>
      <c r="GPV77" s="30"/>
      <c r="GPW77" s="25"/>
      <c r="GPX77" s="178"/>
      <c r="GPY77" s="26"/>
      <c r="GPZ77" s="26"/>
      <c r="GQA77" s="26"/>
      <c r="GQB77" s="26"/>
      <c r="GQC77" s="26"/>
      <c r="GQD77" s="26"/>
      <c r="GQE77" s="58"/>
      <c r="GQF77" s="26"/>
      <c r="GQG77" s="26"/>
      <c r="GQH77" s="26"/>
      <c r="GQI77" s="26"/>
      <c r="GQJ77" s="22"/>
      <c r="GQK77" s="167"/>
      <c r="GQL77" s="30"/>
      <c r="GQM77" s="25"/>
      <c r="GQN77" s="178"/>
      <c r="GQO77" s="26"/>
      <c r="GQP77" s="26"/>
      <c r="GQQ77" s="26"/>
      <c r="GQR77" s="26"/>
      <c r="GQS77" s="26"/>
      <c r="GQT77" s="26"/>
      <c r="GQU77" s="58"/>
      <c r="GQV77" s="26"/>
      <c r="GQW77" s="26"/>
      <c r="GQX77" s="26"/>
      <c r="GQY77" s="26"/>
      <c r="GQZ77" s="22"/>
      <c r="GRA77" s="167"/>
      <c r="GRB77" s="30"/>
      <c r="GRC77" s="25"/>
      <c r="GRD77" s="178"/>
      <c r="GRE77" s="26"/>
      <c r="GRF77" s="26"/>
      <c r="GRG77" s="26"/>
      <c r="GRH77" s="26"/>
      <c r="GRI77" s="26"/>
      <c r="GRJ77" s="26"/>
      <c r="GRK77" s="58"/>
      <c r="GRL77" s="26"/>
      <c r="GRM77" s="26"/>
      <c r="GRN77" s="26"/>
      <c r="GRO77" s="26"/>
      <c r="GRP77" s="22"/>
      <c r="GRQ77" s="167"/>
      <c r="GRR77" s="30"/>
      <c r="GRS77" s="25"/>
      <c r="GRT77" s="178"/>
      <c r="GRU77" s="26"/>
      <c r="GRV77" s="26"/>
      <c r="GRW77" s="26"/>
      <c r="GRX77" s="26"/>
      <c r="GRY77" s="26"/>
      <c r="GRZ77" s="26"/>
      <c r="GSA77" s="58"/>
      <c r="GSB77" s="26"/>
      <c r="GSC77" s="26"/>
      <c r="GSD77" s="26"/>
      <c r="GSE77" s="26"/>
      <c r="GSF77" s="22"/>
      <c r="GSG77" s="167"/>
      <c r="GSH77" s="30"/>
      <c r="GSI77" s="25"/>
      <c r="GSJ77" s="178"/>
      <c r="GSK77" s="26"/>
      <c r="GSL77" s="26"/>
      <c r="GSM77" s="26"/>
      <c r="GSN77" s="26"/>
      <c r="GSO77" s="26"/>
      <c r="GSP77" s="26"/>
      <c r="GSQ77" s="58"/>
      <c r="GSR77" s="26"/>
      <c r="GSS77" s="26"/>
      <c r="GST77" s="26"/>
      <c r="GSU77" s="26"/>
      <c r="GSV77" s="22"/>
      <c r="GSW77" s="167"/>
      <c r="GSX77" s="30"/>
      <c r="GSY77" s="25"/>
      <c r="GSZ77" s="178"/>
      <c r="GTA77" s="26"/>
      <c r="GTB77" s="26"/>
      <c r="GTC77" s="26"/>
      <c r="GTD77" s="26"/>
      <c r="GTE77" s="26"/>
      <c r="GTF77" s="26"/>
      <c r="GTG77" s="58"/>
      <c r="GTH77" s="26"/>
      <c r="GTI77" s="26"/>
      <c r="GTJ77" s="26"/>
      <c r="GTK77" s="26"/>
      <c r="GTL77" s="22"/>
      <c r="GTM77" s="167"/>
      <c r="GTN77" s="30"/>
      <c r="GTO77" s="25"/>
      <c r="GTP77" s="178"/>
      <c r="GTQ77" s="26"/>
      <c r="GTR77" s="26"/>
      <c r="GTS77" s="26"/>
      <c r="GTT77" s="26"/>
      <c r="GTU77" s="26"/>
      <c r="GTV77" s="26"/>
      <c r="GTW77" s="58"/>
      <c r="GTX77" s="26"/>
      <c r="GTY77" s="26"/>
      <c r="GTZ77" s="26"/>
      <c r="GUA77" s="26"/>
      <c r="GUB77" s="22"/>
      <c r="GUC77" s="167"/>
      <c r="GUD77" s="30"/>
      <c r="GUE77" s="25"/>
      <c r="GUF77" s="178"/>
      <c r="GUG77" s="26"/>
      <c r="GUH77" s="26"/>
      <c r="GUI77" s="26"/>
      <c r="GUJ77" s="26"/>
      <c r="GUK77" s="26"/>
      <c r="GUL77" s="26"/>
      <c r="GUM77" s="58"/>
      <c r="GUN77" s="26"/>
      <c r="GUO77" s="26"/>
      <c r="GUP77" s="26"/>
      <c r="GUQ77" s="26"/>
      <c r="GUR77" s="22"/>
      <c r="GUS77" s="167"/>
      <c r="GUT77" s="30"/>
      <c r="GUU77" s="25"/>
      <c r="GUV77" s="178"/>
      <c r="GUW77" s="26"/>
      <c r="GUX77" s="26"/>
      <c r="GUY77" s="26"/>
      <c r="GUZ77" s="26"/>
      <c r="GVA77" s="26"/>
      <c r="GVB77" s="26"/>
      <c r="GVC77" s="58"/>
      <c r="GVD77" s="26"/>
      <c r="GVE77" s="26"/>
      <c r="GVF77" s="26"/>
      <c r="GVG77" s="26"/>
      <c r="GVH77" s="22"/>
      <c r="GVI77" s="167"/>
      <c r="GVJ77" s="30"/>
      <c r="GVK77" s="25"/>
      <c r="GVL77" s="178"/>
      <c r="GVM77" s="26"/>
      <c r="GVN77" s="26"/>
      <c r="GVO77" s="26"/>
      <c r="GVP77" s="26"/>
      <c r="GVQ77" s="26"/>
      <c r="GVR77" s="26"/>
      <c r="GVS77" s="58"/>
      <c r="GVT77" s="26"/>
      <c r="GVU77" s="26"/>
      <c r="GVV77" s="26"/>
      <c r="GVW77" s="26"/>
      <c r="GVX77" s="22"/>
      <c r="GVY77" s="167"/>
      <c r="GVZ77" s="30"/>
      <c r="GWA77" s="25"/>
      <c r="GWB77" s="178"/>
      <c r="GWC77" s="26"/>
      <c r="GWD77" s="26"/>
      <c r="GWE77" s="26"/>
      <c r="GWF77" s="26"/>
      <c r="GWG77" s="26"/>
      <c r="GWH77" s="26"/>
      <c r="GWI77" s="58"/>
      <c r="GWJ77" s="26"/>
      <c r="GWK77" s="26"/>
      <c r="GWL77" s="26"/>
      <c r="GWM77" s="26"/>
      <c r="GWN77" s="22"/>
      <c r="GWO77" s="167"/>
      <c r="GWP77" s="30"/>
      <c r="GWQ77" s="25"/>
      <c r="GWR77" s="178"/>
      <c r="GWS77" s="26"/>
      <c r="GWT77" s="26"/>
      <c r="GWU77" s="26"/>
      <c r="GWV77" s="26"/>
      <c r="GWW77" s="26"/>
      <c r="GWX77" s="26"/>
      <c r="GWY77" s="58"/>
      <c r="GWZ77" s="26"/>
      <c r="GXA77" s="26"/>
      <c r="GXB77" s="26"/>
      <c r="GXC77" s="26"/>
      <c r="GXD77" s="22"/>
      <c r="GXE77" s="167"/>
      <c r="GXF77" s="30"/>
      <c r="GXG77" s="25"/>
      <c r="GXH77" s="178"/>
      <c r="GXI77" s="26"/>
      <c r="GXJ77" s="26"/>
      <c r="GXK77" s="26"/>
      <c r="GXL77" s="26"/>
      <c r="GXM77" s="26"/>
      <c r="GXN77" s="26"/>
      <c r="GXO77" s="58"/>
      <c r="GXP77" s="26"/>
      <c r="GXQ77" s="26"/>
      <c r="GXR77" s="26"/>
      <c r="GXS77" s="26"/>
      <c r="GXT77" s="22"/>
      <c r="GXU77" s="167"/>
      <c r="GXV77" s="30"/>
      <c r="GXW77" s="25"/>
      <c r="GXX77" s="178"/>
      <c r="GXY77" s="26"/>
      <c r="GXZ77" s="26"/>
      <c r="GYA77" s="26"/>
      <c r="GYB77" s="26"/>
      <c r="GYC77" s="26"/>
      <c r="GYD77" s="26"/>
      <c r="GYE77" s="58"/>
      <c r="GYF77" s="26"/>
      <c r="GYG77" s="26"/>
      <c r="GYH77" s="26"/>
      <c r="GYI77" s="26"/>
      <c r="GYJ77" s="22"/>
      <c r="GYK77" s="167"/>
      <c r="GYL77" s="30"/>
      <c r="GYM77" s="25"/>
      <c r="GYN77" s="178"/>
      <c r="GYO77" s="26"/>
      <c r="GYP77" s="26"/>
      <c r="GYQ77" s="26"/>
      <c r="GYR77" s="26"/>
      <c r="GYS77" s="26"/>
      <c r="GYT77" s="26"/>
      <c r="GYU77" s="58"/>
      <c r="GYV77" s="26"/>
      <c r="GYW77" s="26"/>
      <c r="GYX77" s="26"/>
      <c r="GYY77" s="26"/>
      <c r="GYZ77" s="22"/>
      <c r="GZA77" s="167"/>
      <c r="GZB77" s="30"/>
      <c r="GZC77" s="25"/>
      <c r="GZD77" s="178"/>
      <c r="GZE77" s="26"/>
      <c r="GZF77" s="26"/>
      <c r="GZG77" s="26"/>
      <c r="GZH77" s="26"/>
      <c r="GZI77" s="26"/>
      <c r="GZJ77" s="26"/>
      <c r="GZK77" s="58"/>
      <c r="GZL77" s="26"/>
      <c r="GZM77" s="26"/>
      <c r="GZN77" s="26"/>
      <c r="GZO77" s="26"/>
      <c r="GZP77" s="22"/>
      <c r="GZQ77" s="167"/>
      <c r="GZR77" s="30"/>
      <c r="GZS77" s="25"/>
      <c r="GZT77" s="178"/>
      <c r="GZU77" s="26"/>
      <c r="GZV77" s="26"/>
      <c r="GZW77" s="26"/>
      <c r="GZX77" s="26"/>
      <c r="GZY77" s="26"/>
      <c r="GZZ77" s="26"/>
      <c r="HAA77" s="58"/>
      <c r="HAB77" s="26"/>
      <c r="HAC77" s="26"/>
      <c r="HAD77" s="26"/>
      <c r="HAE77" s="26"/>
      <c r="HAF77" s="22"/>
      <c r="HAG77" s="167"/>
      <c r="HAH77" s="30"/>
      <c r="HAI77" s="25"/>
      <c r="HAJ77" s="178"/>
      <c r="HAK77" s="26"/>
      <c r="HAL77" s="26"/>
      <c r="HAM77" s="26"/>
      <c r="HAN77" s="26"/>
      <c r="HAO77" s="26"/>
      <c r="HAP77" s="26"/>
      <c r="HAQ77" s="58"/>
      <c r="HAR77" s="26"/>
      <c r="HAS77" s="26"/>
      <c r="HAT77" s="26"/>
      <c r="HAU77" s="26"/>
      <c r="HAV77" s="22"/>
      <c r="HAW77" s="167"/>
      <c r="HAX77" s="30"/>
      <c r="HAY77" s="25"/>
      <c r="HAZ77" s="178"/>
      <c r="HBA77" s="26"/>
      <c r="HBB77" s="26"/>
      <c r="HBC77" s="26"/>
      <c r="HBD77" s="26"/>
      <c r="HBE77" s="26"/>
      <c r="HBF77" s="26"/>
      <c r="HBG77" s="58"/>
      <c r="HBH77" s="26"/>
      <c r="HBI77" s="26"/>
      <c r="HBJ77" s="26"/>
      <c r="HBK77" s="26"/>
      <c r="HBL77" s="22"/>
      <c r="HBM77" s="167"/>
      <c r="HBN77" s="30"/>
      <c r="HBO77" s="25"/>
      <c r="HBP77" s="178"/>
      <c r="HBQ77" s="26"/>
      <c r="HBR77" s="26"/>
      <c r="HBS77" s="26"/>
      <c r="HBT77" s="26"/>
      <c r="HBU77" s="26"/>
      <c r="HBV77" s="26"/>
      <c r="HBW77" s="58"/>
      <c r="HBX77" s="26"/>
      <c r="HBY77" s="26"/>
      <c r="HBZ77" s="26"/>
      <c r="HCA77" s="26"/>
      <c r="HCB77" s="22"/>
      <c r="HCC77" s="167"/>
      <c r="HCD77" s="30"/>
      <c r="HCE77" s="25"/>
      <c r="HCF77" s="178"/>
      <c r="HCG77" s="26"/>
      <c r="HCH77" s="26"/>
      <c r="HCI77" s="26"/>
      <c r="HCJ77" s="26"/>
      <c r="HCK77" s="26"/>
      <c r="HCL77" s="26"/>
      <c r="HCM77" s="58"/>
      <c r="HCN77" s="26"/>
      <c r="HCO77" s="26"/>
      <c r="HCP77" s="26"/>
      <c r="HCQ77" s="26"/>
      <c r="HCR77" s="22"/>
      <c r="HCS77" s="167"/>
      <c r="HCT77" s="30"/>
      <c r="HCU77" s="25"/>
      <c r="HCV77" s="178"/>
      <c r="HCW77" s="26"/>
      <c r="HCX77" s="26"/>
      <c r="HCY77" s="26"/>
      <c r="HCZ77" s="26"/>
      <c r="HDA77" s="26"/>
      <c r="HDB77" s="26"/>
      <c r="HDC77" s="58"/>
      <c r="HDD77" s="26"/>
      <c r="HDE77" s="26"/>
      <c r="HDF77" s="26"/>
      <c r="HDG77" s="26"/>
      <c r="HDH77" s="22"/>
      <c r="HDI77" s="167"/>
      <c r="HDJ77" s="30"/>
      <c r="HDK77" s="25"/>
      <c r="HDL77" s="178"/>
      <c r="HDM77" s="26"/>
      <c r="HDN77" s="26"/>
      <c r="HDO77" s="26"/>
      <c r="HDP77" s="26"/>
      <c r="HDQ77" s="26"/>
      <c r="HDR77" s="26"/>
      <c r="HDS77" s="58"/>
      <c r="HDT77" s="26"/>
      <c r="HDU77" s="26"/>
      <c r="HDV77" s="26"/>
      <c r="HDW77" s="26"/>
      <c r="HDX77" s="22"/>
      <c r="HDY77" s="167"/>
      <c r="HDZ77" s="30"/>
      <c r="HEA77" s="25"/>
      <c r="HEB77" s="178"/>
      <c r="HEC77" s="26"/>
      <c r="HED77" s="26"/>
      <c r="HEE77" s="26"/>
      <c r="HEF77" s="26"/>
      <c r="HEG77" s="26"/>
      <c r="HEH77" s="26"/>
      <c r="HEI77" s="58"/>
      <c r="HEJ77" s="26"/>
      <c r="HEK77" s="26"/>
      <c r="HEL77" s="26"/>
      <c r="HEM77" s="26"/>
      <c r="HEN77" s="22"/>
      <c r="HEO77" s="167"/>
      <c r="HEP77" s="30"/>
      <c r="HEQ77" s="25"/>
      <c r="HER77" s="178"/>
      <c r="HES77" s="26"/>
      <c r="HET77" s="26"/>
      <c r="HEU77" s="26"/>
      <c r="HEV77" s="26"/>
      <c r="HEW77" s="26"/>
      <c r="HEX77" s="26"/>
      <c r="HEY77" s="58"/>
      <c r="HEZ77" s="26"/>
      <c r="HFA77" s="26"/>
      <c r="HFB77" s="26"/>
      <c r="HFC77" s="26"/>
      <c r="HFD77" s="22"/>
      <c r="HFE77" s="167"/>
      <c r="HFF77" s="30"/>
      <c r="HFG77" s="25"/>
      <c r="HFH77" s="178"/>
      <c r="HFI77" s="26"/>
      <c r="HFJ77" s="26"/>
      <c r="HFK77" s="26"/>
      <c r="HFL77" s="26"/>
      <c r="HFM77" s="26"/>
      <c r="HFN77" s="26"/>
      <c r="HFO77" s="58"/>
      <c r="HFP77" s="26"/>
      <c r="HFQ77" s="26"/>
      <c r="HFR77" s="26"/>
      <c r="HFS77" s="26"/>
      <c r="HFT77" s="22"/>
      <c r="HFU77" s="167"/>
      <c r="HFV77" s="30"/>
      <c r="HFW77" s="25"/>
      <c r="HFX77" s="178"/>
      <c r="HFY77" s="26"/>
      <c r="HFZ77" s="26"/>
      <c r="HGA77" s="26"/>
      <c r="HGB77" s="26"/>
      <c r="HGC77" s="26"/>
      <c r="HGD77" s="26"/>
      <c r="HGE77" s="58"/>
      <c r="HGF77" s="26"/>
      <c r="HGG77" s="26"/>
      <c r="HGH77" s="26"/>
      <c r="HGI77" s="26"/>
      <c r="HGJ77" s="22"/>
      <c r="HGK77" s="167"/>
      <c r="HGL77" s="30"/>
      <c r="HGM77" s="25"/>
      <c r="HGN77" s="178"/>
      <c r="HGO77" s="26"/>
      <c r="HGP77" s="26"/>
      <c r="HGQ77" s="26"/>
      <c r="HGR77" s="26"/>
      <c r="HGS77" s="26"/>
      <c r="HGT77" s="26"/>
      <c r="HGU77" s="58"/>
      <c r="HGV77" s="26"/>
      <c r="HGW77" s="26"/>
      <c r="HGX77" s="26"/>
      <c r="HGY77" s="26"/>
      <c r="HGZ77" s="22"/>
      <c r="HHA77" s="167"/>
      <c r="HHB77" s="30"/>
      <c r="HHC77" s="25"/>
      <c r="HHD77" s="178"/>
      <c r="HHE77" s="26"/>
      <c r="HHF77" s="26"/>
      <c r="HHG77" s="26"/>
      <c r="HHH77" s="26"/>
      <c r="HHI77" s="26"/>
      <c r="HHJ77" s="26"/>
      <c r="HHK77" s="58"/>
      <c r="HHL77" s="26"/>
      <c r="HHM77" s="26"/>
      <c r="HHN77" s="26"/>
      <c r="HHO77" s="26"/>
      <c r="HHP77" s="22"/>
      <c r="HHQ77" s="167"/>
      <c r="HHR77" s="30"/>
      <c r="HHS77" s="25"/>
      <c r="HHT77" s="178"/>
      <c r="HHU77" s="26"/>
      <c r="HHV77" s="26"/>
      <c r="HHW77" s="26"/>
      <c r="HHX77" s="26"/>
      <c r="HHY77" s="26"/>
      <c r="HHZ77" s="26"/>
      <c r="HIA77" s="58"/>
      <c r="HIB77" s="26"/>
      <c r="HIC77" s="26"/>
      <c r="HID77" s="26"/>
      <c r="HIE77" s="26"/>
      <c r="HIF77" s="22"/>
      <c r="HIG77" s="167"/>
      <c r="HIH77" s="30"/>
      <c r="HII77" s="25"/>
      <c r="HIJ77" s="178"/>
      <c r="HIK77" s="26"/>
      <c r="HIL77" s="26"/>
      <c r="HIM77" s="26"/>
      <c r="HIN77" s="26"/>
      <c r="HIO77" s="26"/>
      <c r="HIP77" s="26"/>
      <c r="HIQ77" s="58"/>
      <c r="HIR77" s="26"/>
      <c r="HIS77" s="26"/>
      <c r="HIT77" s="26"/>
      <c r="HIU77" s="26"/>
      <c r="HIV77" s="22"/>
      <c r="HIW77" s="167"/>
      <c r="HIX77" s="30"/>
      <c r="HIY77" s="25"/>
      <c r="HIZ77" s="178"/>
      <c r="HJA77" s="26"/>
      <c r="HJB77" s="26"/>
      <c r="HJC77" s="26"/>
      <c r="HJD77" s="26"/>
      <c r="HJE77" s="26"/>
      <c r="HJF77" s="26"/>
      <c r="HJG77" s="58"/>
      <c r="HJH77" s="26"/>
      <c r="HJI77" s="26"/>
      <c r="HJJ77" s="26"/>
      <c r="HJK77" s="26"/>
      <c r="HJL77" s="22"/>
      <c r="HJM77" s="167"/>
      <c r="HJN77" s="30"/>
      <c r="HJO77" s="25"/>
      <c r="HJP77" s="178"/>
      <c r="HJQ77" s="26"/>
      <c r="HJR77" s="26"/>
      <c r="HJS77" s="26"/>
      <c r="HJT77" s="26"/>
      <c r="HJU77" s="26"/>
      <c r="HJV77" s="26"/>
      <c r="HJW77" s="58"/>
      <c r="HJX77" s="26"/>
      <c r="HJY77" s="26"/>
      <c r="HJZ77" s="26"/>
      <c r="HKA77" s="26"/>
      <c r="HKB77" s="22"/>
      <c r="HKC77" s="167"/>
      <c r="HKD77" s="30"/>
      <c r="HKE77" s="25"/>
      <c r="HKF77" s="178"/>
      <c r="HKG77" s="26"/>
      <c r="HKH77" s="26"/>
      <c r="HKI77" s="26"/>
      <c r="HKJ77" s="26"/>
      <c r="HKK77" s="26"/>
      <c r="HKL77" s="26"/>
      <c r="HKM77" s="58"/>
      <c r="HKN77" s="26"/>
      <c r="HKO77" s="26"/>
      <c r="HKP77" s="26"/>
      <c r="HKQ77" s="26"/>
      <c r="HKR77" s="22"/>
      <c r="HKS77" s="167"/>
      <c r="HKT77" s="30"/>
      <c r="HKU77" s="25"/>
      <c r="HKV77" s="178"/>
      <c r="HKW77" s="26"/>
      <c r="HKX77" s="26"/>
      <c r="HKY77" s="26"/>
      <c r="HKZ77" s="26"/>
      <c r="HLA77" s="26"/>
      <c r="HLB77" s="26"/>
      <c r="HLC77" s="58"/>
      <c r="HLD77" s="26"/>
      <c r="HLE77" s="26"/>
      <c r="HLF77" s="26"/>
      <c r="HLG77" s="26"/>
      <c r="HLH77" s="22"/>
      <c r="HLI77" s="167"/>
      <c r="HLJ77" s="30"/>
      <c r="HLK77" s="25"/>
      <c r="HLL77" s="178"/>
      <c r="HLM77" s="26"/>
      <c r="HLN77" s="26"/>
      <c r="HLO77" s="26"/>
      <c r="HLP77" s="26"/>
      <c r="HLQ77" s="26"/>
      <c r="HLR77" s="26"/>
      <c r="HLS77" s="58"/>
      <c r="HLT77" s="26"/>
      <c r="HLU77" s="26"/>
      <c r="HLV77" s="26"/>
      <c r="HLW77" s="26"/>
      <c r="HLX77" s="22"/>
      <c r="HLY77" s="167"/>
      <c r="HLZ77" s="30"/>
      <c r="HMA77" s="25"/>
      <c r="HMB77" s="178"/>
      <c r="HMC77" s="26"/>
      <c r="HMD77" s="26"/>
      <c r="HME77" s="26"/>
      <c r="HMF77" s="26"/>
      <c r="HMG77" s="26"/>
      <c r="HMH77" s="26"/>
      <c r="HMI77" s="58"/>
      <c r="HMJ77" s="26"/>
      <c r="HMK77" s="26"/>
      <c r="HML77" s="26"/>
      <c r="HMM77" s="26"/>
      <c r="HMN77" s="22"/>
      <c r="HMO77" s="167"/>
      <c r="HMP77" s="30"/>
      <c r="HMQ77" s="25"/>
      <c r="HMR77" s="178"/>
      <c r="HMS77" s="26"/>
      <c r="HMT77" s="26"/>
      <c r="HMU77" s="26"/>
      <c r="HMV77" s="26"/>
      <c r="HMW77" s="26"/>
      <c r="HMX77" s="26"/>
      <c r="HMY77" s="58"/>
      <c r="HMZ77" s="26"/>
      <c r="HNA77" s="26"/>
      <c r="HNB77" s="26"/>
      <c r="HNC77" s="26"/>
      <c r="HND77" s="22"/>
      <c r="HNE77" s="167"/>
      <c r="HNF77" s="30"/>
      <c r="HNG77" s="25"/>
      <c r="HNH77" s="178"/>
      <c r="HNI77" s="26"/>
      <c r="HNJ77" s="26"/>
      <c r="HNK77" s="26"/>
      <c r="HNL77" s="26"/>
      <c r="HNM77" s="26"/>
      <c r="HNN77" s="26"/>
      <c r="HNO77" s="58"/>
      <c r="HNP77" s="26"/>
      <c r="HNQ77" s="26"/>
      <c r="HNR77" s="26"/>
      <c r="HNS77" s="26"/>
      <c r="HNT77" s="22"/>
      <c r="HNU77" s="167"/>
      <c r="HNV77" s="30"/>
      <c r="HNW77" s="25"/>
      <c r="HNX77" s="178"/>
      <c r="HNY77" s="26"/>
      <c r="HNZ77" s="26"/>
      <c r="HOA77" s="26"/>
      <c r="HOB77" s="26"/>
      <c r="HOC77" s="26"/>
      <c r="HOD77" s="26"/>
      <c r="HOE77" s="58"/>
      <c r="HOF77" s="26"/>
      <c r="HOG77" s="26"/>
      <c r="HOH77" s="26"/>
      <c r="HOI77" s="26"/>
      <c r="HOJ77" s="22"/>
      <c r="HOK77" s="167"/>
      <c r="HOL77" s="30"/>
      <c r="HOM77" s="25"/>
      <c r="HON77" s="178"/>
      <c r="HOO77" s="26"/>
      <c r="HOP77" s="26"/>
      <c r="HOQ77" s="26"/>
      <c r="HOR77" s="26"/>
      <c r="HOS77" s="26"/>
      <c r="HOT77" s="26"/>
      <c r="HOU77" s="58"/>
      <c r="HOV77" s="26"/>
      <c r="HOW77" s="26"/>
      <c r="HOX77" s="26"/>
      <c r="HOY77" s="26"/>
      <c r="HOZ77" s="22"/>
      <c r="HPA77" s="167"/>
      <c r="HPB77" s="30"/>
      <c r="HPC77" s="25"/>
      <c r="HPD77" s="178"/>
      <c r="HPE77" s="26"/>
      <c r="HPF77" s="26"/>
      <c r="HPG77" s="26"/>
      <c r="HPH77" s="26"/>
      <c r="HPI77" s="26"/>
      <c r="HPJ77" s="26"/>
      <c r="HPK77" s="58"/>
      <c r="HPL77" s="26"/>
      <c r="HPM77" s="26"/>
      <c r="HPN77" s="26"/>
      <c r="HPO77" s="26"/>
      <c r="HPP77" s="22"/>
      <c r="HPQ77" s="167"/>
      <c r="HPR77" s="30"/>
      <c r="HPS77" s="25"/>
      <c r="HPT77" s="178"/>
      <c r="HPU77" s="26"/>
      <c r="HPV77" s="26"/>
      <c r="HPW77" s="26"/>
      <c r="HPX77" s="26"/>
      <c r="HPY77" s="26"/>
      <c r="HPZ77" s="26"/>
      <c r="HQA77" s="58"/>
      <c r="HQB77" s="26"/>
      <c r="HQC77" s="26"/>
      <c r="HQD77" s="26"/>
      <c r="HQE77" s="26"/>
      <c r="HQF77" s="22"/>
      <c r="HQG77" s="167"/>
      <c r="HQH77" s="30"/>
      <c r="HQI77" s="25"/>
      <c r="HQJ77" s="178"/>
      <c r="HQK77" s="26"/>
      <c r="HQL77" s="26"/>
      <c r="HQM77" s="26"/>
      <c r="HQN77" s="26"/>
      <c r="HQO77" s="26"/>
      <c r="HQP77" s="26"/>
      <c r="HQQ77" s="58"/>
      <c r="HQR77" s="26"/>
      <c r="HQS77" s="26"/>
      <c r="HQT77" s="26"/>
      <c r="HQU77" s="26"/>
      <c r="HQV77" s="22"/>
      <c r="HQW77" s="167"/>
      <c r="HQX77" s="30"/>
      <c r="HQY77" s="25"/>
      <c r="HQZ77" s="178"/>
      <c r="HRA77" s="26"/>
      <c r="HRB77" s="26"/>
      <c r="HRC77" s="26"/>
      <c r="HRD77" s="26"/>
      <c r="HRE77" s="26"/>
      <c r="HRF77" s="26"/>
      <c r="HRG77" s="58"/>
      <c r="HRH77" s="26"/>
      <c r="HRI77" s="26"/>
      <c r="HRJ77" s="26"/>
      <c r="HRK77" s="26"/>
      <c r="HRL77" s="22"/>
      <c r="HRM77" s="167"/>
      <c r="HRN77" s="30"/>
      <c r="HRO77" s="25"/>
      <c r="HRP77" s="178"/>
      <c r="HRQ77" s="26"/>
      <c r="HRR77" s="26"/>
      <c r="HRS77" s="26"/>
      <c r="HRT77" s="26"/>
      <c r="HRU77" s="26"/>
      <c r="HRV77" s="26"/>
      <c r="HRW77" s="58"/>
      <c r="HRX77" s="26"/>
      <c r="HRY77" s="26"/>
      <c r="HRZ77" s="26"/>
      <c r="HSA77" s="26"/>
      <c r="HSB77" s="22"/>
      <c r="HSC77" s="167"/>
      <c r="HSD77" s="30"/>
      <c r="HSE77" s="25"/>
      <c r="HSF77" s="178"/>
      <c r="HSG77" s="26"/>
      <c r="HSH77" s="26"/>
      <c r="HSI77" s="26"/>
      <c r="HSJ77" s="26"/>
      <c r="HSK77" s="26"/>
      <c r="HSL77" s="26"/>
      <c r="HSM77" s="58"/>
      <c r="HSN77" s="26"/>
      <c r="HSO77" s="26"/>
      <c r="HSP77" s="26"/>
      <c r="HSQ77" s="26"/>
      <c r="HSR77" s="22"/>
      <c r="HSS77" s="167"/>
      <c r="HST77" s="30"/>
      <c r="HSU77" s="25"/>
      <c r="HSV77" s="178"/>
      <c r="HSW77" s="26"/>
      <c r="HSX77" s="26"/>
      <c r="HSY77" s="26"/>
      <c r="HSZ77" s="26"/>
      <c r="HTA77" s="26"/>
      <c r="HTB77" s="26"/>
      <c r="HTC77" s="58"/>
      <c r="HTD77" s="26"/>
      <c r="HTE77" s="26"/>
      <c r="HTF77" s="26"/>
      <c r="HTG77" s="26"/>
      <c r="HTH77" s="22"/>
      <c r="HTI77" s="167"/>
      <c r="HTJ77" s="30"/>
      <c r="HTK77" s="25"/>
      <c r="HTL77" s="178"/>
      <c r="HTM77" s="26"/>
      <c r="HTN77" s="26"/>
      <c r="HTO77" s="26"/>
      <c r="HTP77" s="26"/>
      <c r="HTQ77" s="26"/>
      <c r="HTR77" s="26"/>
      <c r="HTS77" s="58"/>
      <c r="HTT77" s="26"/>
      <c r="HTU77" s="26"/>
      <c r="HTV77" s="26"/>
      <c r="HTW77" s="26"/>
      <c r="HTX77" s="22"/>
      <c r="HTY77" s="167"/>
      <c r="HTZ77" s="30"/>
      <c r="HUA77" s="25"/>
      <c r="HUB77" s="178"/>
      <c r="HUC77" s="26"/>
      <c r="HUD77" s="26"/>
      <c r="HUE77" s="26"/>
      <c r="HUF77" s="26"/>
      <c r="HUG77" s="26"/>
      <c r="HUH77" s="26"/>
      <c r="HUI77" s="58"/>
      <c r="HUJ77" s="26"/>
      <c r="HUK77" s="26"/>
      <c r="HUL77" s="26"/>
      <c r="HUM77" s="26"/>
      <c r="HUN77" s="22"/>
      <c r="HUO77" s="167"/>
      <c r="HUP77" s="30"/>
      <c r="HUQ77" s="25"/>
      <c r="HUR77" s="178"/>
      <c r="HUS77" s="26"/>
      <c r="HUT77" s="26"/>
      <c r="HUU77" s="26"/>
      <c r="HUV77" s="26"/>
      <c r="HUW77" s="26"/>
      <c r="HUX77" s="26"/>
      <c r="HUY77" s="58"/>
      <c r="HUZ77" s="26"/>
      <c r="HVA77" s="26"/>
      <c r="HVB77" s="26"/>
      <c r="HVC77" s="26"/>
      <c r="HVD77" s="22"/>
      <c r="HVE77" s="167"/>
      <c r="HVF77" s="30"/>
      <c r="HVG77" s="25"/>
      <c r="HVH77" s="178"/>
      <c r="HVI77" s="26"/>
      <c r="HVJ77" s="26"/>
      <c r="HVK77" s="26"/>
      <c r="HVL77" s="26"/>
      <c r="HVM77" s="26"/>
      <c r="HVN77" s="26"/>
      <c r="HVO77" s="58"/>
      <c r="HVP77" s="26"/>
      <c r="HVQ77" s="26"/>
      <c r="HVR77" s="26"/>
      <c r="HVS77" s="26"/>
      <c r="HVT77" s="22"/>
      <c r="HVU77" s="167"/>
      <c r="HVV77" s="30"/>
      <c r="HVW77" s="25"/>
      <c r="HVX77" s="178"/>
      <c r="HVY77" s="26"/>
      <c r="HVZ77" s="26"/>
      <c r="HWA77" s="26"/>
      <c r="HWB77" s="26"/>
      <c r="HWC77" s="26"/>
      <c r="HWD77" s="26"/>
      <c r="HWE77" s="58"/>
      <c r="HWF77" s="26"/>
      <c r="HWG77" s="26"/>
      <c r="HWH77" s="26"/>
      <c r="HWI77" s="26"/>
      <c r="HWJ77" s="22"/>
      <c r="HWK77" s="167"/>
      <c r="HWL77" s="30"/>
      <c r="HWM77" s="25"/>
      <c r="HWN77" s="178"/>
      <c r="HWO77" s="26"/>
      <c r="HWP77" s="26"/>
      <c r="HWQ77" s="26"/>
      <c r="HWR77" s="26"/>
      <c r="HWS77" s="26"/>
      <c r="HWT77" s="26"/>
      <c r="HWU77" s="58"/>
      <c r="HWV77" s="26"/>
      <c r="HWW77" s="26"/>
      <c r="HWX77" s="26"/>
      <c r="HWY77" s="26"/>
      <c r="HWZ77" s="22"/>
      <c r="HXA77" s="167"/>
      <c r="HXB77" s="30"/>
      <c r="HXC77" s="25"/>
      <c r="HXD77" s="178"/>
      <c r="HXE77" s="26"/>
      <c r="HXF77" s="26"/>
      <c r="HXG77" s="26"/>
      <c r="HXH77" s="26"/>
      <c r="HXI77" s="26"/>
      <c r="HXJ77" s="26"/>
      <c r="HXK77" s="58"/>
      <c r="HXL77" s="26"/>
      <c r="HXM77" s="26"/>
      <c r="HXN77" s="26"/>
      <c r="HXO77" s="26"/>
      <c r="HXP77" s="22"/>
      <c r="HXQ77" s="167"/>
      <c r="HXR77" s="30"/>
      <c r="HXS77" s="25"/>
      <c r="HXT77" s="178"/>
      <c r="HXU77" s="26"/>
      <c r="HXV77" s="26"/>
      <c r="HXW77" s="26"/>
      <c r="HXX77" s="26"/>
      <c r="HXY77" s="26"/>
      <c r="HXZ77" s="26"/>
      <c r="HYA77" s="58"/>
      <c r="HYB77" s="26"/>
      <c r="HYC77" s="26"/>
      <c r="HYD77" s="26"/>
      <c r="HYE77" s="26"/>
      <c r="HYF77" s="22"/>
      <c r="HYG77" s="167"/>
      <c r="HYH77" s="30"/>
      <c r="HYI77" s="25"/>
      <c r="HYJ77" s="178"/>
      <c r="HYK77" s="26"/>
      <c r="HYL77" s="26"/>
      <c r="HYM77" s="26"/>
      <c r="HYN77" s="26"/>
      <c r="HYO77" s="26"/>
      <c r="HYP77" s="26"/>
      <c r="HYQ77" s="58"/>
      <c r="HYR77" s="26"/>
      <c r="HYS77" s="26"/>
      <c r="HYT77" s="26"/>
      <c r="HYU77" s="26"/>
      <c r="HYV77" s="22"/>
      <c r="HYW77" s="167"/>
      <c r="HYX77" s="30"/>
      <c r="HYY77" s="25"/>
      <c r="HYZ77" s="178"/>
      <c r="HZA77" s="26"/>
      <c r="HZB77" s="26"/>
      <c r="HZC77" s="26"/>
      <c r="HZD77" s="26"/>
      <c r="HZE77" s="26"/>
      <c r="HZF77" s="26"/>
      <c r="HZG77" s="58"/>
      <c r="HZH77" s="26"/>
      <c r="HZI77" s="26"/>
      <c r="HZJ77" s="26"/>
      <c r="HZK77" s="26"/>
      <c r="HZL77" s="22"/>
      <c r="HZM77" s="167"/>
      <c r="HZN77" s="30"/>
      <c r="HZO77" s="25"/>
      <c r="HZP77" s="178"/>
      <c r="HZQ77" s="26"/>
      <c r="HZR77" s="26"/>
      <c r="HZS77" s="26"/>
      <c r="HZT77" s="26"/>
      <c r="HZU77" s="26"/>
      <c r="HZV77" s="26"/>
      <c r="HZW77" s="58"/>
      <c r="HZX77" s="26"/>
      <c r="HZY77" s="26"/>
      <c r="HZZ77" s="26"/>
      <c r="IAA77" s="26"/>
      <c r="IAB77" s="22"/>
      <c r="IAC77" s="167"/>
      <c r="IAD77" s="30"/>
      <c r="IAE77" s="25"/>
      <c r="IAF77" s="178"/>
      <c r="IAG77" s="26"/>
      <c r="IAH77" s="26"/>
      <c r="IAI77" s="26"/>
      <c r="IAJ77" s="26"/>
      <c r="IAK77" s="26"/>
      <c r="IAL77" s="26"/>
      <c r="IAM77" s="58"/>
      <c r="IAN77" s="26"/>
      <c r="IAO77" s="26"/>
      <c r="IAP77" s="26"/>
      <c r="IAQ77" s="26"/>
      <c r="IAR77" s="22"/>
      <c r="IAS77" s="167"/>
      <c r="IAT77" s="30"/>
      <c r="IAU77" s="25"/>
      <c r="IAV77" s="178"/>
      <c r="IAW77" s="26"/>
      <c r="IAX77" s="26"/>
      <c r="IAY77" s="26"/>
      <c r="IAZ77" s="26"/>
      <c r="IBA77" s="26"/>
      <c r="IBB77" s="26"/>
      <c r="IBC77" s="58"/>
      <c r="IBD77" s="26"/>
      <c r="IBE77" s="26"/>
      <c r="IBF77" s="26"/>
      <c r="IBG77" s="26"/>
      <c r="IBH77" s="22"/>
      <c r="IBI77" s="167"/>
      <c r="IBJ77" s="30"/>
      <c r="IBK77" s="25"/>
      <c r="IBL77" s="178"/>
      <c r="IBM77" s="26"/>
      <c r="IBN77" s="26"/>
      <c r="IBO77" s="26"/>
      <c r="IBP77" s="26"/>
      <c r="IBQ77" s="26"/>
      <c r="IBR77" s="26"/>
      <c r="IBS77" s="58"/>
      <c r="IBT77" s="26"/>
      <c r="IBU77" s="26"/>
      <c r="IBV77" s="26"/>
      <c r="IBW77" s="26"/>
      <c r="IBX77" s="22"/>
      <c r="IBY77" s="167"/>
      <c r="IBZ77" s="30"/>
      <c r="ICA77" s="25"/>
      <c r="ICB77" s="178"/>
      <c r="ICC77" s="26"/>
      <c r="ICD77" s="26"/>
      <c r="ICE77" s="26"/>
      <c r="ICF77" s="26"/>
      <c r="ICG77" s="26"/>
      <c r="ICH77" s="26"/>
      <c r="ICI77" s="58"/>
      <c r="ICJ77" s="26"/>
      <c r="ICK77" s="26"/>
      <c r="ICL77" s="26"/>
      <c r="ICM77" s="26"/>
      <c r="ICN77" s="22"/>
      <c r="ICO77" s="167"/>
      <c r="ICP77" s="30"/>
      <c r="ICQ77" s="25"/>
      <c r="ICR77" s="178"/>
      <c r="ICS77" s="26"/>
      <c r="ICT77" s="26"/>
      <c r="ICU77" s="26"/>
      <c r="ICV77" s="26"/>
      <c r="ICW77" s="26"/>
      <c r="ICX77" s="26"/>
      <c r="ICY77" s="58"/>
      <c r="ICZ77" s="26"/>
      <c r="IDA77" s="26"/>
      <c r="IDB77" s="26"/>
      <c r="IDC77" s="26"/>
      <c r="IDD77" s="22"/>
      <c r="IDE77" s="167"/>
      <c r="IDF77" s="30"/>
      <c r="IDG77" s="25"/>
      <c r="IDH77" s="178"/>
      <c r="IDI77" s="26"/>
      <c r="IDJ77" s="26"/>
      <c r="IDK77" s="26"/>
      <c r="IDL77" s="26"/>
      <c r="IDM77" s="26"/>
      <c r="IDN77" s="26"/>
      <c r="IDO77" s="58"/>
      <c r="IDP77" s="26"/>
      <c r="IDQ77" s="26"/>
      <c r="IDR77" s="26"/>
      <c r="IDS77" s="26"/>
      <c r="IDT77" s="22"/>
      <c r="IDU77" s="167"/>
      <c r="IDV77" s="30"/>
      <c r="IDW77" s="25"/>
      <c r="IDX77" s="178"/>
      <c r="IDY77" s="26"/>
      <c r="IDZ77" s="26"/>
      <c r="IEA77" s="26"/>
      <c r="IEB77" s="26"/>
      <c r="IEC77" s="26"/>
      <c r="IED77" s="26"/>
      <c r="IEE77" s="58"/>
      <c r="IEF77" s="26"/>
      <c r="IEG77" s="26"/>
      <c r="IEH77" s="26"/>
      <c r="IEI77" s="26"/>
      <c r="IEJ77" s="22"/>
      <c r="IEK77" s="167"/>
      <c r="IEL77" s="30"/>
      <c r="IEM77" s="25"/>
      <c r="IEN77" s="178"/>
      <c r="IEO77" s="26"/>
      <c r="IEP77" s="26"/>
      <c r="IEQ77" s="26"/>
      <c r="IER77" s="26"/>
      <c r="IES77" s="26"/>
      <c r="IET77" s="26"/>
      <c r="IEU77" s="58"/>
      <c r="IEV77" s="26"/>
      <c r="IEW77" s="26"/>
      <c r="IEX77" s="26"/>
      <c r="IEY77" s="26"/>
      <c r="IEZ77" s="22"/>
      <c r="IFA77" s="167"/>
      <c r="IFB77" s="30"/>
      <c r="IFC77" s="25"/>
      <c r="IFD77" s="178"/>
      <c r="IFE77" s="26"/>
      <c r="IFF77" s="26"/>
      <c r="IFG77" s="26"/>
      <c r="IFH77" s="26"/>
      <c r="IFI77" s="26"/>
      <c r="IFJ77" s="26"/>
      <c r="IFK77" s="58"/>
      <c r="IFL77" s="26"/>
      <c r="IFM77" s="26"/>
      <c r="IFN77" s="26"/>
      <c r="IFO77" s="26"/>
      <c r="IFP77" s="22"/>
      <c r="IFQ77" s="167"/>
      <c r="IFR77" s="30"/>
      <c r="IFS77" s="25"/>
      <c r="IFT77" s="178"/>
      <c r="IFU77" s="26"/>
      <c r="IFV77" s="26"/>
      <c r="IFW77" s="26"/>
      <c r="IFX77" s="26"/>
      <c r="IFY77" s="26"/>
      <c r="IFZ77" s="26"/>
      <c r="IGA77" s="58"/>
      <c r="IGB77" s="26"/>
      <c r="IGC77" s="26"/>
      <c r="IGD77" s="26"/>
      <c r="IGE77" s="26"/>
      <c r="IGF77" s="22"/>
      <c r="IGG77" s="167"/>
      <c r="IGH77" s="30"/>
      <c r="IGI77" s="25"/>
      <c r="IGJ77" s="178"/>
      <c r="IGK77" s="26"/>
      <c r="IGL77" s="26"/>
      <c r="IGM77" s="26"/>
      <c r="IGN77" s="26"/>
      <c r="IGO77" s="26"/>
      <c r="IGP77" s="26"/>
      <c r="IGQ77" s="58"/>
      <c r="IGR77" s="26"/>
      <c r="IGS77" s="26"/>
      <c r="IGT77" s="26"/>
      <c r="IGU77" s="26"/>
      <c r="IGV77" s="22"/>
      <c r="IGW77" s="167"/>
      <c r="IGX77" s="30"/>
      <c r="IGY77" s="25"/>
      <c r="IGZ77" s="178"/>
      <c r="IHA77" s="26"/>
      <c r="IHB77" s="26"/>
      <c r="IHC77" s="26"/>
      <c r="IHD77" s="26"/>
      <c r="IHE77" s="26"/>
      <c r="IHF77" s="26"/>
      <c r="IHG77" s="58"/>
      <c r="IHH77" s="26"/>
      <c r="IHI77" s="26"/>
      <c r="IHJ77" s="26"/>
      <c r="IHK77" s="26"/>
      <c r="IHL77" s="22"/>
      <c r="IHM77" s="167"/>
      <c r="IHN77" s="30"/>
      <c r="IHO77" s="25"/>
      <c r="IHP77" s="178"/>
      <c r="IHQ77" s="26"/>
      <c r="IHR77" s="26"/>
      <c r="IHS77" s="26"/>
      <c r="IHT77" s="26"/>
      <c r="IHU77" s="26"/>
      <c r="IHV77" s="26"/>
      <c r="IHW77" s="58"/>
      <c r="IHX77" s="26"/>
      <c r="IHY77" s="26"/>
      <c r="IHZ77" s="26"/>
      <c r="IIA77" s="26"/>
      <c r="IIB77" s="22"/>
      <c r="IIC77" s="167"/>
      <c r="IID77" s="30"/>
      <c r="IIE77" s="25"/>
      <c r="IIF77" s="178"/>
      <c r="IIG77" s="26"/>
      <c r="IIH77" s="26"/>
      <c r="III77" s="26"/>
      <c r="IIJ77" s="26"/>
      <c r="IIK77" s="26"/>
      <c r="IIL77" s="26"/>
      <c r="IIM77" s="58"/>
      <c r="IIN77" s="26"/>
      <c r="IIO77" s="26"/>
      <c r="IIP77" s="26"/>
      <c r="IIQ77" s="26"/>
      <c r="IIR77" s="22"/>
      <c r="IIS77" s="167"/>
      <c r="IIT77" s="30"/>
      <c r="IIU77" s="25"/>
      <c r="IIV77" s="178"/>
      <c r="IIW77" s="26"/>
      <c r="IIX77" s="26"/>
      <c r="IIY77" s="26"/>
      <c r="IIZ77" s="26"/>
      <c r="IJA77" s="26"/>
      <c r="IJB77" s="26"/>
      <c r="IJC77" s="58"/>
      <c r="IJD77" s="26"/>
      <c r="IJE77" s="26"/>
      <c r="IJF77" s="26"/>
      <c r="IJG77" s="26"/>
      <c r="IJH77" s="22"/>
      <c r="IJI77" s="167"/>
      <c r="IJJ77" s="30"/>
      <c r="IJK77" s="25"/>
      <c r="IJL77" s="178"/>
      <c r="IJM77" s="26"/>
      <c r="IJN77" s="26"/>
      <c r="IJO77" s="26"/>
      <c r="IJP77" s="26"/>
      <c r="IJQ77" s="26"/>
      <c r="IJR77" s="26"/>
      <c r="IJS77" s="58"/>
      <c r="IJT77" s="26"/>
      <c r="IJU77" s="26"/>
      <c r="IJV77" s="26"/>
      <c r="IJW77" s="26"/>
      <c r="IJX77" s="22"/>
      <c r="IJY77" s="167"/>
      <c r="IJZ77" s="30"/>
      <c r="IKA77" s="25"/>
      <c r="IKB77" s="178"/>
      <c r="IKC77" s="26"/>
      <c r="IKD77" s="26"/>
      <c r="IKE77" s="26"/>
      <c r="IKF77" s="26"/>
      <c r="IKG77" s="26"/>
      <c r="IKH77" s="26"/>
      <c r="IKI77" s="58"/>
      <c r="IKJ77" s="26"/>
      <c r="IKK77" s="26"/>
      <c r="IKL77" s="26"/>
      <c r="IKM77" s="26"/>
      <c r="IKN77" s="22"/>
      <c r="IKO77" s="167"/>
      <c r="IKP77" s="30"/>
      <c r="IKQ77" s="25"/>
      <c r="IKR77" s="178"/>
      <c r="IKS77" s="26"/>
      <c r="IKT77" s="26"/>
      <c r="IKU77" s="26"/>
      <c r="IKV77" s="26"/>
      <c r="IKW77" s="26"/>
      <c r="IKX77" s="26"/>
      <c r="IKY77" s="58"/>
      <c r="IKZ77" s="26"/>
      <c r="ILA77" s="26"/>
      <c r="ILB77" s="26"/>
      <c r="ILC77" s="26"/>
      <c r="ILD77" s="22"/>
      <c r="ILE77" s="167"/>
      <c r="ILF77" s="30"/>
      <c r="ILG77" s="25"/>
      <c r="ILH77" s="178"/>
      <c r="ILI77" s="26"/>
      <c r="ILJ77" s="26"/>
      <c r="ILK77" s="26"/>
      <c r="ILL77" s="26"/>
      <c r="ILM77" s="26"/>
      <c r="ILN77" s="26"/>
      <c r="ILO77" s="58"/>
      <c r="ILP77" s="26"/>
      <c r="ILQ77" s="26"/>
      <c r="ILR77" s="26"/>
      <c r="ILS77" s="26"/>
      <c r="ILT77" s="22"/>
      <c r="ILU77" s="167"/>
      <c r="ILV77" s="30"/>
      <c r="ILW77" s="25"/>
      <c r="ILX77" s="178"/>
      <c r="ILY77" s="26"/>
      <c r="ILZ77" s="26"/>
      <c r="IMA77" s="26"/>
      <c r="IMB77" s="26"/>
      <c r="IMC77" s="26"/>
      <c r="IMD77" s="26"/>
      <c r="IME77" s="58"/>
      <c r="IMF77" s="26"/>
      <c r="IMG77" s="26"/>
      <c r="IMH77" s="26"/>
      <c r="IMI77" s="26"/>
      <c r="IMJ77" s="22"/>
      <c r="IMK77" s="167"/>
      <c r="IML77" s="30"/>
      <c r="IMM77" s="25"/>
      <c r="IMN77" s="178"/>
      <c r="IMO77" s="26"/>
      <c r="IMP77" s="26"/>
      <c r="IMQ77" s="26"/>
      <c r="IMR77" s="26"/>
      <c r="IMS77" s="26"/>
      <c r="IMT77" s="26"/>
      <c r="IMU77" s="58"/>
      <c r="IMV77" s="26"/>
      <c r="IMW77" s="26"/>
      <c r="IMX77" s="26"/>
      <c r="IMY77" s="26"/>
      <c r="IMZ77" s="22"/>
      <c r="INA77" s="167"/>
      <c r="INB77" s="30"/>
      <c r="INC77" s="25"/>
      <c r="IND77" s="178"/>
      <c r="INE77" s="26"/>
      <c r="INF77" s="26"/>
      <c r="ING77" s="26"/>
      <c r="INH77" s="26"/>
      <c r="INI77" s="26"/>
      <c r="INJ77" s="26"/>
      <c r="INK77" s="58"/>
      <c r="INL77" s="26"/>
      <c r="INM77" s="26"/>
      <c r="INN77" s="26"/>
      <c r="INO77" s="26"/>
      <c r="INP77" s="22"/>
      <c r="INQ77" s="167"/>
      <c r="INR77" s="30"/>
      <c r="INS77" s="25"/>
      <c r="INT77" s="178"/>
      <c r="INU77" s="26"/>
      <c r="INV77" s="26"/>
      <c r="INW77" s="26"/>
      <c r="INX77" s="26"/>
      <c r="INY77" s="26"/>
      <c r="INZ77" s="26"/>
      <c r="IOA77" s="58"/>
      <c r="IOB77" s="26"/>
      <c r="IOC77" s="26"/>
      <c r="IOD77" s="26"/>
      <c r="IOE77" s="26"/>
      <c r="IOF77" s="22"/>
      <c r="IOG77" s="167"/>
      <c r="IOH77" s="30"/>
      <c r="IOI77" s="25"/>
      <c r="IOJ77" s="178"/>
      <c r="IOK77" s="26"/>
      <c r="IOL77" s="26"/>
      <c r="IOM77" s="26"/>
      <c r="ION77" s="26"/>
      <c r="IOO77" s="26"/>
      <c r="IOP77" s="26"/>
      <c r="IOQ77" s="58"/>
      <c r="IOR77" s="26"/>
      <c r="IOS77" s="26"/>
      <c r="IOT77" s="26"/>
      <c r="IOU77" s="26"/>
      <c r="IOV77" s="22"/>
      <c r="IOW77" s="167"/>
      <c r="IOX77" s="30"/>
      <c r="IOY77" s="25"/>
      <c r="IOZ77" s="178"/>
      <c r="IPA77" s="26"/>
      <c r="IPB77" s="26"/>
      <c r="IPC77" s="26"/>
      <c r="IPD77" s="26"/>
      <c r="IPE77" s="26"/>
      <c r="IPF77" s="26"/>
      <c r="IPG77" s="58"/>
      <c r="IPH77" s="26"/>
      <c r="IPI77" s="26"/>
      <c r="IPJ77" s="26"/>
      <c r="IPK77" s="26"/>
      <c r="IPL77" s="22"/>
      <c r="IPM77" s="167"/>
      <c r="IPN77" s="30"/>
      <c r="IPO77" s="25"/>
      <c r="IPP77" s="178"/>
      <c r="IPQ77" s="26"/>
      <c r="IPR77" s="26"/>
      <c r="IPS77" s="26"/>
      <c r="IPT77" s="26"/>
      <c r="IPU77" s="26"/>
      <c r="IPV77" s="26"/>
      <c r="IPW77" s="58"/>
      <c r="IPX77" s="26"/>
      <c r="IPY77" s="26"/>
      <c r="IPZ77" s="26"/>
      <c r="IQA77" s="26"/>
      <c r="IQB77" s="22"/>
      <c r="IQC77" s="167"/>
      <c r="IQD77" s="30"/>
      <c r="IQE77" s="25"/>
      <c r="IQF77" s="178"/>
      <c r="IQG77" s="26"/>
      <c r="IQH77" s="26"/>
      <c r="IQI77" s="26"/>
      <c r="IQJ77" s="26"/>
      <c r="IQK77" s="26"/>
      <c r="IQL77" s="26"/>
      <c r="IQM77" s="58"/>
      <c r="IQN77" s="26"/>
      <c r="IQO77" s="26"/>
      <c r="IQP77" s="26"/>
      <c r="IQQ77" s="26"/>
      <c r="IQR77" s="22"/>
      <c r="IQS77" s="167"/>
      <c r="IQT77" s="30"/>
      <c r="IQU77" s="25"/>
      <c r="IQV77" s="178"/>
      <c r="IQW77" s="26"/>
      <c r="IQX77" s="26"/>
      <c r="IQY77" s="26"/>
      <c r="IQZ77" s="26"/>
      <c r="IRA77" s="26"/>
      <c r="IRB77" s="26"/>
      <c r="IRC77" s="58"/>
      <c r="IRD77" s="26"/>
      <c r="IRE77" s="26"/>
      <c r="IRF77" s="26"/>
      <c r="IRG77" s="26"/>
      <c r="IRH77" s="22"/>
      <c r="IRI77" s="167"/>
      <c r="IRJ77" s="30"/>
      <c r="IRK77" s="25"/>
      <c r="IRL77" s="178"/>
      <c r="IRM77" s="26"/>
      <c r="IRN77" s="26"/>
      <c r="IRO77" s="26"/>
      <c r="IRP77" s="26"/>
      <c r="IRQ77" s="26"/>
      <c r="IRR77" s="26"/>
      <c r="IRS77" s="58"/>
      <c r="IRT77" s="26"/>
      <c r="IRU77" s="26"/>
      <c r="IRV77" s="26"/>
      <c r="IRW77" s="26"/>
      <c r="IRX77" s="22"/>
      <c r="IRY77" s="167"/>
      <c r="IRZ77" s="30"/>
      <c r="ISA77" s="25"/>
      <c r="ISB77" s="178"/>
      <c r="ISC77" s="26"/>
      <c r="ISD77" s="26"/>
      <c r="ISE77" s="26"/>
      <c r="ISF77" s="26"/>
      <c r="ISG77" s="26"/>
      <c r="ISH77" s="26"/>
      <c r="ISI77" s="58"/>
      <c r="ISJ77" s="26"/>
      <c r="ISK77" s="26"/>
      <c r="ISL77" s="26"/>
      <c r="ISM77" s="26"/>
      <c r="ISN77" s="22"/>
      <c r="ISO77" s="167"/>
      <c r="ISP77" s="30"/>
      <c r="ISQ77" s="25"/>
      <c r="ISR77" s="178"/>
      <c r="ISS77" s="26"/>
      <c r="IST77" s="26"/>
      <c r="ISU77" s="26"/>
      <c r="ISV77" s="26"/>
      <c r="ISW77" s="26"/>
      <c r="ISX77" s="26"/>
      <c r="ISY77" s="58"/>
      <c r="ISZ77" s="26"/>
      <c r="ITA77" s="26"/>
      <c r="ITB77" s="26"/>
      <c r="ITC77" s="26"/>
      <c r="ITD77" s="22"/>
      <c r="ITE77" s="167"/>
      <c r="ITF77" s="30"/>
      <c r="ITG77" s="25"/>
      <c r="ITH77" s="178"/>
      <c r="ITI77" s="26"/>
      <c r="ITJ77" s="26"/>
      <c r="ITK77" s="26"/>
      <c r="ITL77" s="26"/>
      <c r="ITM77" s="26"/>
      <c r="ITN77" s="26"/>
      <c r="ITO77" s="58"/>
      <c r="ITP77" s="26"/>
      <c r="ITQ77" s="26"/>
      <c r="ITR77" s="26"/>
      <c r="ITS77" s="26"/>
      <c r="ITT77" s="22"/>
      <c r="ITU77" s="167"/>
      <c r="ITV77" s="30"/>
      <c r="ITW77" s="25"/>
      <c r="ITX77" s="178"/>
      <c r="ITY77" s="26"/>
      <c r="ITZ77" s="26"/>
      <c r="IUA77" s="26"/>
      <c r="IUB77" s="26"/>
      <c r="IUC77" s="26"/>
      <c r="IUD77" s="26"/>
      <c r="IUE77" s="58"/>
      <c r="IUF77" s="26"/>
      <c r="IUG77" s="26"/>
      <c r="IUH77" s="26"/>
      <c r="IUI77" s="26"/>
      <c r="IUJ77" s="22"/>
      <c r="IUK77" s="167"/>
      <c r="IUL77" s="30"/>
      <c r="IUM77" s="25"/>
      <c r="IUN77" s="178"/>
      <c r="IUO77" s="26"/>
      <c r="IUP77" s="26"/>
      <c r="IUQ77" s="26"/>
      <c r="IUR77" s="26"/>
      <c r="IUS77" s="26"/>
      <c r="IUT77" s="26"/>
      <c r="IUU77" s="58"/>
      <c r="IUV77" s="26"/>
      <c r="IUW77" s="26"/>
      <c r="IUX77" s="26"/>
      <c r="IUY77" s="26"/>
      <c r="IUZ77" s="22"/>
      <c r="IVA77" s="167"/>
      <c r="IVB77" s="30"/>
      <c r="IVC77" s="25"/>
      <c r="IVD77" s="178"/>
      <c r="IVE77" s="26"/>
      <c r="IVF77" s="26"/>
      <c r="IVG77" s="26"/>
      <c r="IVH77" s="26"/>
      <c r="IVI77" s="26"/>
      <c r="IVJ77" s="26"/>
      <c r="IVK77" s="58"/>
      <c r="IVL77" s="26"/>
      <c r="IVM77" s="26"/>
      <c r="IVN77" s="26"/>
      <c r="IVO77" s="26"/>
      <c r="IVP77" s="22"/>
      <c r="IVQ77" s="167"/>
      <c r="IVR77" s="30"/>
      <c r="IVS77" s="25"/>
      <c r="IVT77" s="178"/>
      <c r="IVU77" s="26"/>
      <c r="IVV77" s="26"/>
      <c r="IVW77" s="26"/>
      <c r="IVX77" s="26"/>
      <c r="IVY77" s="26"/>
      <c r="IVZ77" s="26"/>
      <c r="IWA77" s="58"/>
      <c r="IWB77" s="26"/>
      <c r="IWC77" s="26"/>
      <c r="IWD77" s="26"/>
      <c r="IWE77" s="26"/>
      <c r="IWF77" s="22"/>
      <c r="IWG77" s="167"/>
      <c r="IWH77" s="30"/>
      <c r="IWI77" s="25"/>
      <c r="IWJ77" s="178"/>
      <c r="IWK77" s="26"/>
      <c r="IWL77" s="26"/>
      <c r="IWM77" s="26"/>
      <c r="IWN77" s="26"/>
      <c r="IWO77" s="26"/>
      <c r="IWP77" s="26"/>
      <c r="IWQ77" s="58"/>
      <c r="IWR77" s="26"/>
      <c r="IWS77" s="26"/>
      <c r="IWT77" s="26"/>
      <c r="IWU77" s="26"/>
      <c r="IWV77" s="22"/>
      <c r="IWW77" s="167"/>
      <c r="IWX77" s="30"/>
      <c r="IWY77" s="25"/>
      <c r="IWZ77" s="178"/>
      <c r="IXA77" s="26"/>
      <c r="IXB77" s="26"/>
      <c r="IXC77" s="26"/>
      <c r="IXD77" s="26"/>
      <c r="IXE77" s="26"/>
      <c r="IXF77" s="26"/>
      <c r="IXG77" s="58"/>
      <c r="IXH77" s="26"/>
      <c r="IXI77" s="26"/>
      <c r="IXJ77" s="26"/>
      <c r="IXK77" s="26"/>
      <c r="IXL77" s="22"/>
      <c r="IXM77" s="167"/>
      <c r="IXN77" s="30"/>
      <c r="IXO77" s="25"/>
      <c r="IXP77" s="178"/>
      <c r="IXQ77" s="26"/>
      <c r="IXR77" s="26"/>
      <c r="IXS77" s="26"/>
      <c r="IXT77" s="26"/>
      <c r="IXU77" s="26"/>
      <c r="IXV77" s="26"/>
      <c r="IXW77" s="58"/>
      <c r="IXX77" s="26"/>
      <c r="IXY77" s="26"/>
      <c r="IXZ77" s="26"/>
      <c r="IYA77" s="26"/>
      <c r="IYB77" s="22"/>
      <c r="IYC77" s="167"/>
      <c r="IYD77" s="30"/>
      <c r="IYE77" s="25"/>
      <c r="IYF77" s="178"/>
      <c r="IYG77" s="26"/>
      <c r="IYH77" s="26"/>
      <c r="IYI77" s="26"/>
      <c r="IYJ77" s="26"/>
      <c r="IYK77" s="26"/>
      <c r="IYL77" s="26"/>
      <c r="IYM77" s="58"/>
      <c r="IYN77" s="26"/>
      <c r="IYO77" s="26"/>
      <c r="IYP77" s="26"/>
      <c r="IYQ77" s="26"/>
      <c r="IYR77" s="22"/>
      <c r="IYS77" s="167"/>
      <c r="IYT77" s="30"/>
      <c r="IYU77" s="25"/>
      <c r="IYV77" s="178"/>
      <c r="IYW77" s="26"/>
      <c r="IYX77" s="26"/>
      <c r="IYY77" s="26"/>
      <c r="IYZ77" s="26"/>
      <c r="IZA77" s="26"/>
      <c r="IZB77" s="26"/>
      <c r="IZC77" s="58"/>
      <c r="IZD77" s="26"/>
      <c r="IZE77" s="26"/>
      <c r="IZF77" s="26"/>
      <c r="IZG77" s="26"/>
      <c r="IZH77" s="22"/>
      <c r="IZI77" s="167"/>
      <c r="IZJ77" s="30"/>
      <c r="IZK77" s="25"/>
      <c r="IZL77" s="178"/>
      <c r="IZM77" s="26"/>
      <c r="IZN77" s="26"/>
      <c r="IZO77" s="26"/>
      <c r="IZP77" s="26"/>
      <c r="IZQ77" s="26"/>
      <c r="IZR77" s="26"/>
      <c r="IZS77" s="58"/>
      <c r="IZT77" s="26"/>
      <c r="IZU77" s="26"/>
      <c r="IZV77" s="26"/>
      <c r="IZW77" s="26"/>
      <c r="IZX77" s="22"/>
      <c r="IZY77" s="167"/>
      <c r="IZZ77" s="30"/>
      <c r="JAA77" s="25"/>
      <c r="JAB77" s="178"/>
      <c r="JAC77" s="26"/>
      <c r="JAD77" s="26"/>
      <c r="JAE77" s="26"/>
      <c r="JAF77" s="26"/>
      <c r="JAG77" s="26"/>
      <c r="JAH77" s="26"/>
      <c r="JAI77" s="58"/>
      <c r="JAJ77" s="26"/>
      <c r="JAK77" s="26"/>
      <c r="JAL77" s="26"/>
      <c r="JAM77" s="26"/>
      <c r="JAN77" s="22"/>
      <c r="JAO77" s="167"/>
      <c r="JAP77" s="30"/>
      <c r="JAQ77" s="25"/>
      <c r="JAR77" s="178"/>
      <c r="JAS77" s="26"/>
      <c r="JAT77" s="26"/>
      <c r="JAU77" s="26"/>
      <c r="JAV77" s="26"/>
      <c r="JAW77" s="26"/>
      <c r="JAX77" s="26"/>
      <c r="JAY77" s="58"/>
      <c r="JAZ77" s="26"/>
      <c r="JBA77" s="26"/>
      <c r="JBB77" s="26"/>
      <c r="JBC77" s="26"/>
      <c r="JBD77" s="22"/>
      <c r="JBE77" s="167"/>
      <c r="JBF77" s="30"/>
      <c r="JBG77" s="25"/>
      <c r="JBH77" s="178"/>
      <c r="JBI77" s="26"/>
      <c r="JBJ77" s="26"/>
      <c r="JBK77" s="26"/>
      <c r="JBL77" s="26"/>
      <c r="JBM77" s="26"/>
      <c r="JBN77" s="26"/>
      <c r="JBO77" s="58"/>
      <c r="JBP77" s="26"/>
      <c r="JBQ77" s="26"/>
      <c r="JBR77" s="26"/>
      <c r="JBS77" s="26"/>
      <c r="JBT77" s="22"/>
      <c r="JBU77" s="167"/>
      <c r="JBV77" s="30"/>
      <c r="JBW77" s="25"/>
      <c r="JBX77" s="178"/>
      <c r="JBY77" s="26"/>
      <c r="JBZ77" s="26"/>
      <c r="JCA77" s="26"/>
      <c r="JCB77" s="26"/>
      <c r="JCC77" s="26"/>
      <c r="JCD77" s="26"/>
      <c r="JCE77" s="58"/>
      <c r="JCF77" s="26"/>
      <c r="JCG77" s="26"/>
      <c r="JCH77" s="26"/>
      <c r="JCI77" s="26"/>
      <c r="JCJ77" s="22"/>
      <c r="JCK77" s="167"/>
      <c r="JCL77" s="30"/>
      <c r="JCM77" s="25"/>
      <c r="JCN77" s="178"/>
      <c r="JCO77" s="26"/>
      <c r="JCP77" s="26"/>
      <c r="JCQ77" s="26"/>
      <c r="JCR77" s="26"/>
      <c r="JCS77" s="26"/>
      <c r="JCT77" s="26"/>
      <c r="JCU77" s="58"/>
      <c r="JCV77" s="26"/>
      <c r="JCW77" s="26"/>
      <c r="JCX77" s="26"/>
      <c r="JCY77" s="26"/>
      <c r="JCZ77" s="22"/>
      <c r="JDA77" s="167"/>
      <c r="JDB77" s="30"/>
      <c r="JDC77" s="25"/>
      <c r="JDD77" s="178"/>
      <c r="JDE77" s="26"/>
      <c r="JDF77" s="26"/>
      <c r="JDG77" s="26"/>
      <c r="JDH77" s="26"/>
      <c r="JDI77" s="26"/>
      <c r="JDJ77" s="26"/>
      <c r="JDK77" s="58"/>
      <c r="JDL77" s="26"/>
      <c r="JDM77" s="26"/>
      <c r="JDN77" s="26"/>
      <c r="JDO77" s="26"/>
      <c r="JDP77" s="22"/>
      <c r="JDQ77" s="167"/>
      <c r="JDR77" s="30"/>
      <c r="JDS77" s="25"/>
      <c r="JDT77" s="178"/>
      <c r="JDU77" s="26"/>
      <c r="JDV77" s="26"/>
      <c r="JDW77" s="26"/>
      <c r="JDX77" s="26"/>
      <c r="JDY77" s="26"/>
      <c r="JDZ77" s="26"/>
      <c r="JEA77" s="58"/>
      <c r="JEB77" s="26"/>
      <c r="JEC77" s="26"/>
      <c r="JED77" s="26"/>
      <c r="JEE77" s="26"/>
      <c r="JEF77" s="22"/>
      <c r="JEG77" s="167"/>
      <c r="JEH77" s="30"/>
      <c r="JEI77" s="25"/>
      <c r="JEJ77" s="178"/>
      <c r="JEK77" s="26"/>
      <c r="JEL77" s="26"/>
      <c r="JEM77" s="26"/>
      <c r="JEN77" s="26"/>
      <c r="JEO77" s="26"/>
      <c r="JEP77" s="26"/>
      <c r="JEQ77" s="58"/>
      <c r="JER77" s="26"/>
      <c r="JES77" s="26"/>
      <c r="JET77" s="26"/>
      <c r="JEU77" s="26"/>
      <c r="JEV77" s="22"/>
      <c r="JEW77" s="167"/>
      <c r="JEX77" s="30"/>
      <c r="JEY77" s="25"/>
      <c r="JEZ77" s="178"/>
      <c r="JFA77" s="26"/>
      <c r="JFB77" s="26"/>
      <c r="JFC77" s="26"/>
      <c r="JFD77" s="26"/>
      <c r="JFE77" s="26"/>
      <c r="JFF77" s="26"/>
      <c r="JFG77" s="58"/>
      <c r="JFH77" s="26"/>
      <c r="JFI77" s="26"/>
      <c r="JFJ77" s="26"/>
      <c r="JFK77" s="26"/>
      <c r="JFL77" s="22"/>
      <c r="JFM77" s="167"/>
      <c r="JFN77" s="30"/>
      <c r="JFO77" s="25"/>
      <c r="JFP77" s="178"/>
      <c r="JFQ77" s="26"/>
      <c r="JFR77" s="26"/>
      <c r="JFS77" s="26"/>
      <c r="JFT77" s="26"/>
      <c r="JFU77" s="26"/>
      <c r="JFV77" s="26"/>
      <c r="JFW77" s="58"/>
      <c r="JFX77" s="26"/>
      <c r="JFY77" s="26"/>
      <c r="JFZ77" s="26"/>
      <c r="JGA77" s="26"/>
      <c r="JGB77" s="22"/>
      <c r="JGC77" s="167"/>
      <c r="JGD77" s="30"/>
      <c r="JGE77" s="25"/>
      <c r="JGF77" s="178"/>
      <c r="JGG77" s="26"/>
      <c r="JGH77" s="26"/>
      <c r="JGI77" s="26"/>
      <c r="JGJ77" s="26"/>
      <c r="JGK77" s="26"/>
      <c r="JGL77" s="26"/>
      <c r="JGM77" s="58"/>
      <c r="JGN77" s="26"/>
      <c r="JGO77" s="26"/>
      <c r="JGP77" s="26"/>
      <c r="JGQ77" s="26"/>
      <c r="JGR77" s="22"/>
      <c r="JGS77" s="167"/>
      <c r="JGT77" s="30"/>
      <c r="JGU77" s="25"/>
      <c r="JGV77" s="178"/>
      <c r="JGW77" s="26"/>
      <c r="JGX77" s="26"/>
      <c r="JGY77" s="26"/>
      <c r="JGZ77" s="26"/>
      <c r="JHA77" s="26"/>
      <c r="JHB77" s="26"/>
      <c r="JHC77" s="58"/>
      <c r="JHD77" s="26"/>
      <c r="JHE77" s="26"/>
      <c r="JHF77" s="26"/>
      <c r="JHG77" s="26"/>
      <c r="JHH77" s="22"/>
      <c r="JHI77" s="167"/>
      <c r="JHJ77" s="30"/>
      <c r="JHK77" s="25"/>
      <c r="JHL77" s="178"/>
      <c r="JHM77" s="26"/>
      <c r="JHN77" s="26"/>
      <c r="JHO77" s="26"/>
      <c r="JHP77" s="26"/>
      <c r="JHQ77" s="26"/>
      <c r="JHR77" s="26"/>
      <c r="JHS77" s="58"/>
      <c r="JHT77" s="26"/>
      <c r="JHU77" s="26"/>
      <c r="JHV77" s="26"/>
      <c r="JHW77" s="26"/>
      <c r="JHX77" s="22"/>
      <c r="JHY77" s="167"/>
      <c r="JHZ77" s="30"/>
      <c r="JIA77" s="25"/>
      <c r="JIB77" s="178"/>
      <c r="JIC77" s="26"/>
      <c r="JID77" s="26"/>
      <c r="JIE77" s="26"/>
      <c r="JIF77" s="26"/>
      <c r="JIG77" s="26"/>
      <c r="JIH77" s="26"/>
      <c r="JII77" s="58"/>
      <c r="JIJ77" s="26"/>
      <c r="JIK77" s="26"/>
      <c r="JIL77" s="26"/>
      <c r="JIM77" s="26"/>
      <c r="JIN77" s="22"/>
      <c r="JIO77" s="167"/>
      <c r="JIP77" s="30"/>
      <c r="JIQ77" s="25"/>
      <c r="JIR77" s="178"/>
      <c r="JIS77" s="26"/>
      <c r="JIT77" s="26"/>
      <c r="JIU77" s="26"/>
      <c r="JIV77" s="26"/>
      <c r="JIW77" s="26"/>
      <c r="JIX77" s="26"/>
      <c r="JIY77" s="58"/>
      <c r="JIZ77" s="26"/>
      <c r="JJA77" s="26"/>
      <c r="JJB77" s="26"/>
      <c r="JJC77" s="26"/>
      <c r="JJD77" s="22"/>
      <c r="JJE77" s="167"/>
      <c r="JJF77" s="30"/>
      <c r="JJG77" s="25"/>
      <c r="JJH77" s="178"/>
      <c r="JJI77" s="26"/>
      <c r="JJJ77" s="26"/>
      <c r="JJK77" s="26"/>
      <c r="JJL77" s="26"/>
      <c r="JJM77" s="26"/>
      <c r="JJN77" s="26"/>
      <c r="JJO77" s="58"/>
      <c r="JJP77" s="26"/>
      <c r="JJQ77" s="26"/>
      <c r="JJR77" s="26"/>
      <c r="JJS77" s="26"/>
      <c r="JJT77" s="22"/>
      <c r="JJU77" s="167"/>
      <c r="JJV77" s="30"/>
      <c r="JJW77" s="25"/>
      <c r="JJX77" s="178"/>
      <c r="JJY77" s="26"/>
      <c r="JJZ77" s="26"/>
      <c r="JKA77" s="26"/>
      <c r="JKB77" s="26"/>
      <c r="JKC77" s="26"/>
      <c r="JKD77" s="26"/>
      <c r="JKE77" s="58"/>
      <c r="JKF77" s="26"/>
      <c r="JKG77" s="26"/>
      <c r="JKH77" s="26"/>
      <c r="JKI77" s="26"/>
      <c r="JKJ77" s="22"/>
      <c r="JKK77" s="167"/>
      <c r="JKL77" s="30"/>
      <c r="JKM77" s="25"/>
      <c r="JKN77" s="178"/>
      <c r="JKO77" s="26"/>
      <c r="JKP77" s="26"/>
      <c r="JKQ77" s="26"/>
      <c r="JKR77" s="26"/>
      <c r="JKS77" s="26"/>
      <c r="JKT77" s="26"/>
      <c r="JKU77" s="58"/>
      <c r="JKV77" s="26"/>
      <c r="JKW77" s="26"/>
      <c r="JKX77" s="26"/>
      <c r="JKY77" s="26"/>
      <c r="JKZ77" s="22"/>
      <c r="JLA77" s="167"/>
      <c r="JLB77" s="30"/>
      <c r="JLC77" s="25"/>
      <c r="JLD77" s="178"/>
      <c r="JLE77" s="26"/>
      <c r="JLF77" s="26"/>
      <c r="JLG77" s="26"/>
      <c r="JLH77" s="26"/>
      <c r="JLI77" s="26"/>
      <c r="JLJ77" s="26"/>
      <c r="JLK77" s="58"/>
      <c r="JLL77" s="26"/>
      <c r="JLM77" s="26"/>
      <c r="JLN77" s="26"/>
      <c r="JLO77" s="26"/>
      <c r="JLP77" s="22"/>
      <c r="JLQ77" s="167"/>
      <c r="JLR77" s="30"/>
      <c r="JLS77" s="25"/>
      <c r="JLT77" s="178"/>
      <c r="JLU77" s="26"/>
      <c r="JLV77" s="26"/>
      <c r="JLW77" s="26"/>
      <c r="JLX77" s="26"/>
      <c r="JLY77" s="26"/>
      <c r="JLZ77" s="26"/>
      <c r="JMA77" s="58"/>
      <c r="JMB77" s="26"/>
      <c r="JMC77" s="26"/>
      <c r="JMD77" s="26"/>
      <c r="JME77" s="26"/>
      <c r="JMF77" s="22"/>
      <c r="JMG77" s="167"/>
      <c r="JMH77" s="30"/>
      <c r="JMI77" s="25"/>
      <c r="JMJ77" s="178"/>
      <c r="JMK77" s="26"/>
      <c r="JML77" s="26"/>
      <c r="JMM77" s="26"/>
      <c r="JMN77" s="26"/>
      <c r="JMO77" s="26"/>
      <c r="JMP77" s="26"/>
      <c r="JMQ77" s="58"/>
      <c r="JMR77" s="26"/>
      <c r="JMS77" s="26"/>
      <c r="JMT77" s="26"/>
      <c r="JMU77" s="26"/>
      <c r="JMV77" s="22"/>
      <c r="JMW77" s="167"/>
      <c r="JMX77" s="30"/>
      <c r="JMY77" s="25"/>
      <c r="JMZ77" s="178"/>
      <c r="JNA77" s="26"/>
      <c r="JNB77" s="26"/>
      <c r="JNC77" s="26"/>
      <c r="JND77" s="26"/>
      <c r="JNE77" s="26"/>
      <c r="JNF77" s="26"/>
      <c r="JNG77" s="58"/>
      <c r="JNH77" s="26"/>
      <c r="JNI77" s="26"/>
      <c r="JNJ77" s="26"/>
      <c r="JNK77" s="26"/>
      <c r="JNL77" s="22"/>
      <c r="JNM77" s="167"/>
      <c r="JNN77" s="30"/>
      <c r="JNO77" s="25"/>
      <c r="JNP77" s="178"/>
      <c r="JNQ77" s="26"/>
      <c r="JNR77" s="26"/>
      <c r="JNS77" s="26"/>
      <c r="JNT77" s="26"/>
      <c r="JNU77" s="26"/>
      <c r="JNV77" s="26"/>
      <c r="JNW77" s="58"/>
      <c r="JNX77" s="26"/>
      <c r="JNY77" s="26"/>
      <c r="JNZ77" s="26"/>
      <c r="JOA77" s="26"/>
      <c r="JOB77" s="22"/>
      <c r="JOC77" s="167"/>
      <c r="JOD77" s="30"/>
      <c r="JOE77" s="25"/>
      <c r="JOF77" s="178"/>
      <c r="JOG77" s="26"/>
      <c r="JOH77" s="26"/>
      <c r="JOI77" s="26"/>
      <c r="JOJ77" s="26"/>
      <c r="JOK77" s="26"/>
      <c r="JOL77" s="26"/>
      <c r="JOM77" s="58"/>
      <c r="JON77" s="26"/>
      <c r="JOO77" s="26"/>
      <c r="JOP77" s="26"/>
      <c r="JOQ77" s="26"/>
      <c r="JOR77" s="22"/>
      <c r="JOS77" s="167"/>
      <c r="JOT77" s="30"/>
      <c r="JOU77" s="25"/>
      <c r="JOV77" s="178"/>
      <c r="JOW77" s="26"/>
      <c r="JOX77" s="26"/>
      <c r="JOY77" s="26"/>
      <c r="JOZ77" s="26"/>
      <c r="JPA77" s="26"/>
      <c r="JPB77" s="26"/>
      <c r="JPC77" s="58"/>
      <c r="JPD77" s="26"/>
      <c r="JPE77" s="26"/>
      <c r="JPF77" s="26"/>
      <c r="JPG77" s="26"/>
      <c r="JPH77" s="22"/>
      <c r="JPI77" s="167"/>
      <c r="JPJ77" s="30"/>
      <c r="JPK77" s="25"/>
      <c r="JPL77" s="178"/>
      <c r="JPM77" s="26"/>
      <c r="JPN77" s="26"/>
      <c r="JPO77" s="26"/>
      <c r="JPP77" s="26"/>
      <c r="JPQ77" s="26"/>
      <c r="JPR77" s="26"/>
      <c r="JPS77" s="58"/>
      <c r="JPT77" s="26"/>
      <c r="JPU77" s="26"/>
      <c r="JPV77" s="26"/>
      <c r="JPW77" s="26"/>
      <c r="JPX77" s="22"/>
      <c r="JPY77" s="167"/>
      <c r="JPZ77" s="30"/>
      <c r="JQA77" s="25"/>
      <c r="JQB77" s="178"/>
      <c r="JQC77" s="26"/>
      <c r="JQD77" s="26"/>
      <c r="JQE77" s="26"/>
      <c r="JQF77" s="26"/>
      <c r="JQG77" s="26"/>
      <c r="JQH77" s="26"/>
      <c r="JQI77" s="58"/>
      <c r="JQJ77" s="26"/>
      <c r="JQK77" s="26"/>
      <c r="JQL77" s="26"/>
      <c r="JQM77" s="26"/>
      <c r="JQN77" s="22"/>
      <c r="JQO77" s="167"/>
      <c r="JQP77" s="30"/>
      <c r="JQQ77" s="25"/>
      <c r="JQR77" s="178"/>
      <c r="JQS77" s="26"/>
      <c r="JQT77" s="26"/>
      <c r="JQU77" s="26"/>
      <c r="JQV77" s="26"/>
      <c r="JQW77" s="26"/>
      <c r="JQX77" s="26"/>
      <c r="JQY77" s="58"/>
      <c r="JQZ77" s="26"/>
      <c r="JRA77" s="26"/>
      <c r="JRB77" s="26"/>
      <c r="JRC77" s="26"/>
      <c r="JRD77" s="22"/>
      <c r="JRE77" s="167"/>
      <c r="JRF77" s="30"/>
      <c r="JRG77" s="25"/>
      <c r="JRH77" s="178"/>
      <c r="JRI77" s="26"/>
      <c r="JRJ77" s="26"/>
      <c r="JRK77" s="26"/>
      <c r="JRL77" s="26"/>
      <c r="JRM77" s="26"/>
      <c r="JRN77" s="26"/>
      <c r="JRO77" s="58"/>
      <c r="JRP77" s="26"/>
      <c r="JRQ77" s="26"/>
      <c r="JRR77" s="26"/>
      <c r="JRS77" s="26"/>
      <c r="JRT77" s="22"/>
      <c r="JRU77" s="167"/>
      <c r="JRV77" s="30"/>
      <c r="JRW77" s="25"/>
      <c r="JRX77" s="178"/>
      <c r="JRY77" s="26"/>
      <c r="JRZ77" s="26"/>
      <c r="JSA77" s="26"/>
      <c r="JSB77" s="26"/>
      <c r="JSC77" s="26"/>
      <c r="JSD77" s="26"/>
      <c r="JSE77" s="58"/>
      <c r="JSF77" s="26"/>
      <c r="JSG77" s="26"/>
      <c r="JSH77" s="26"/>
      <c r="JSI77" s="26"/>
      <c r="JSJ77" s="22"/>
      <c r="JSK77" s="167"/>
      <c r="JSL77" s="30"/>
      <c r="JSM77" s="25"/>
      <c r="JSN77" s="178"/>
      <c r="JSO77" s="26"/>
      <c r="JSP77" s="26"/>
      <c r="JSQ77" s="26"/>
      <c r="JSR77" s="26"/>
      <c r="JSS77" s="26"/>
      <c r="JST77" s="26"/>
      <c r="JSU77" s="58"/>
      <c r="JSV77" s="26"/>
      <c r="JSW77" s="26"/>
      <c r="JSX77" s="26"/>
      <c r="JSY77" s="26"/>
      <c r="JSZ77" s="22"/>
      <c r="JTA77" s="167"/>
      <c r="JTB77" s="30"/>
      <c r="JTC77" s="25"/>
      <c r="JTD77" s="178"/>
      <c r="JTE77" s="26"/>
      <c r="JTF77" s="26"/>
      <c r="JTG77" s="26"/>
      <c r="JTH77" s="26"/>
      <c r="JTI77" s="26"/>
      <c r="JTJ77" s="26"/>
      <c r="JTK77" s="58"/>
      <c r="JTL77" s="26"/>
      <c r="JTM77" s="26"/>
      <c r="JTN77" s="26"/>
      <c r="JTO77" s="26"/>
      <c r="JTP77" s="22"/>
      <c r="JTQ77" s="167"/>
      <c r="JTR77" s="30"/>
      <c r="JTS77" s="25"/>
      <c r="JTT77" s="178"/>
      <c r="JTU77" s="26"/>
      <c r="JTV77" s="26"/>
      <c r="JTW77" s="26"/>
      <c r="JTX77" s="26"/>
      <c r="JTY77" s="26"/>
      <c r="JTZ77" s="26"/>
      <c r="JUA77" s="58"/>
      <c r="JUB77" s="26"/>
      <c r="JUC77" s="26"/>
      <c r="JUD77" s="26"/>
      <c r="JUE77" s="26"/>
      <c r="JUF77" s="22"/>
      <c r="JUG77" s="167"/>
      <c r="JUH77" s="30"/>
      <c r="JUI77" s="25"/>
      <c r="JUJ77" s="178"/>
      <c r="JUK77" s="26"/>
      <c r="JUL77" s="26"/>
      <c r="JUM77" s="26"/>
      <c r="JUN77" s="26"/>
      <c r="JUO77" s="26"/>
      <c r="JUP77" s="26"/>
      <c r="JUQ77" s="58"/>
      <c r="JUR77" s="26"/>
      <c r="JUS77" s="26"/>
      <c r="JUT77" s="26"/>
      <c r="JUU77" s="26"/>
      <c r="JUV77" s="22"/>
      <c r="JUW77" s="167"/>
      <c r="JUX77" s="30"/>
      <c r="JUY77" s="25"/>
      <c r="JUZ77" s="178"/>
      <c r="JVA77" s="26"/>
      <c r="JVB77" s="26"/>
      <c r="JVC77" s="26"/>
      <c r="JVD77" s="26"/>
      <c r="JVE77" s="26"/>
      <c r="JVF77" s="26"/>
      <c r="JVG77" s="58"/>
      <c r="JVH77" s="26"/>
      <c r="JVI77" s="26"/>
      <c r="JVJ77" s="26"/>
      <c r="JVK77" s="26"/>
      <c r="JVL77" s="22"/>
      <c r="JVM77" s="167"/>
      <c r="JVN77" s="30"/>
      <c r="JVO77" s="25"/>
      <c r="JVP77" s="178"/>
      <c r="JVQ77" s="26"/>
      <c r="JVR77" s="26"/>
      <c r="JVS77" s="26"/>
      <c r="JVT77" s="26"/>
      <c r="JVU77" s="26"/>
      <c r="JVV77" s="26"/>
      <c r="JVW77" s="58"/>
      <c r="JVX77" s="26"/>
      <c r="JVY77" s="26"/>
      <c r="JVZ77" s="26"/>
      <c r="JWA77" s="26"/>
      <c r="JWB77" s="22"/>
      <c r="JWC77" s="167"/>
      <c r="JWD77" s="30"/>
      <c r="JWE77" s="25"/>
      <c r="JWF77" s="178"/>
      <c r="JWG77" s="26"/>
      <c r="JWH77" s="26"/>
      <c r="JWI77" s="26"/>
      <c r="JWJ77" s="26"/>
      <c r="JWK77" s="26"/>
      <c r="JWL77" s="26"/>
      <c r="JWM77" s="58"/>
      <c r="JWN77" s="26"/>
      <c r="JWO77" s="26"/>
      <c r="JWP77" s="26"/>
      <c r="JWQ77" s="26"/>
      <c r="JWR77" s="22"/>
      <c r="JWS77" s="167"/>
      <c r="JWT77" s="30"/>
      <c r="JWU77" s="25"/>
      <c r="JWV77" s="178"/>
      <c r="JWW77" s="26"/>
      <c r="JWX77" s="26"/>
      <c r="JWY77" s="26"/>
      <c r="JWZ77" s="26"/>
      <c r="JXA77" s="26"/>
      <c r="JXB77" s="26"/>
      <c r="JXC77" s="58"/>
      <c r="JXD77" s="26"/>
      <c r="JXE77" s="26"/>
      <c r="JXF77" s="26"/>
      <c r="JXG77" s="26"/>
      <c r="JXH77" s="22"/>
      <c r="JXI77" s="167"/>
      <c r="JXJ77" s="30"/>
      <c r="JXK77" s="25"/>
      <c r="JXL77" s="178"/>
      <c r="JXM77" s="26"/>
      <c r="JXN77" s="26"/>
      <c r="JXO77" s="26"/>
      <c r="JXP77" s="26"/>
      <c r="JXQ77" s="26"/>
      <c r="JXR77" s="26"/>
      <c r="JXS77" s="58"/>
      <c r="JXT77" s="26"/>
      <c r="JXU77" s="26"/>
      <c r="JXV77" s="26"/>
      <c r="JXW77" s="26"/>
      <c r="JXX77" s="22"/>
      <c r="JXY77" s="167"/>
      <c r="JXZ77" s="30"/>
      <c r="JYA77" s="25"/>
      <c r="JYB77" s="178"/>
      <c r="JYC77" s="26"/>
      <c r="JYD77" s="26"/>
      <c r="JYE77" s="26"/>
      <c r="JYF77" s="26"/>
      <c r="JYG77" s="26"/>
      <c r="JYH77" s="26"/>
      <c r="JYI77" s="58"/>
      <c r="JYJ77" s="26"/>
      <c r="JYK77" s="26"/>
      <c r="JYL77" s="26"/>
      <c r="JYM77" s="26"/>
      <c r="JYN77" s="22"/>
      <c r="JYO77" s="167"/>
      <c r="JYP77" s="30"/>
      <c r="JYQ77" s="25"/>
      <c r="JYR77" s="178"/>
      <c r="JYS77" s="26"/>
      <c r="JYT77" s="26"/>
      <c r="JYU77" s="26"/>
      <c r="JYV77" s="26"/>
      <c r="JYW77" s="26"/>
      <c r="JYX77" s="26"/>
      <c r="JYY77" s="58"/>
      <c r="JYZ77" s="26"/>
      <c r="JZA77" s="26"/>
      <c r="JZB77" s="26"/>
      <c r="JZC77" s="26"/>
      <c r="JZD77" s="22"/>
      <c r="JZE77" s="167"/>
      <c r="JZF77" s="30"/>
      <c r="JZG77" s="25"/>
      <c r="JZH77" s="178"/>
      <c r="JZI77" s="26"/>
      <c r="JZJ77" s="26"/>
      <c r="JZK77" s="26"/>
      <c r="JZL77" s="26"/>
      <c r="JZM77" s="26"/>
      <c r="JZN77" s="26"/>
      <c r="JZO77" s="58"/>
      <c r="JZP77" s="26"/>
      <c r="JZQ77" s="26"/>
      <c r="JZR77" s="26"/>
      <c r="JZS77" s="26"/>
      <c r="JZT77" s="22"/>
      <c r="JZU77" s="167"/>
      <c r="JZV77" s="30"/>
      <c r="JZW77" s="25"/>
      <c r="JZX77" s="178"/>
      <c r="JZY77" s="26"/>
      <c r="JZZ77" s="26"/>
      <c r="KAA77" s="26"/>
      <c r="KAB77" s="26"/>
      <c r="KAC77" s="26"/>
      <c r="KAD77" s="26"/>
      <c r="KAE77" s="58"/>
      <c r="KAF77" s="26"/>
      <c r="KAG77" s="26"/>
      <c r="KAH77" s="26"/>
      <c r="KAI77" s="26"/>
      <c r="KAJ77" s="22"/>
      <c r="KAK77" s="167"/>
      <c r="KAL77" s="30"/>
      <c r="KAM77" s="25"/>
      <c r="KAN77" s="178"/>
      <c r="KAO77" s="26"/>
      <c r="KAP77" s="26"/>
      <c r="KAQ77" s="26"/>
      <c r="KAR77" s="26"/>
      <c r="KAS77" s="26"/>
      <c r="KAT77" s="26"/>
      <c r="KAU77" s="58"/>
      <c r="KAV77" s="26"/>
      <c r="KAW77" s="26"/>
      <c r="KAX77" s="26"/>
      <c r="KAY77" s="26"/>
      <c r="KAZ77" s="22"/>
      <c r="KBA77" s="167"/>
      <c r="KBB77" s="30"/>
      <c r="KBC77" s="25"/>
      <c r="KBD77" s="178"/>
      <c r="KBE77" s="26"/>
      <c r="KBF77" s="26"/>
      <c r="KBG77" s="26"/>
      <c r="KBH77" s="26"/>
      <c r="KBI77" s="26"/>
      <c r="KBJ77" s="26"/>
      <c r="KBK77" s="58"/>
      <c r="KBL77" s="26"/>
      <c r="KBM77" s="26"/>
      <c r="KBN77" s="26"/>
      <c r="KBO77" s="26"/>
      <c r="KBP77" s="22"/>
      <c r="KBQ77" s="167"/>
      <c r="KBR77" s="30"/>
      <c r="KBS77" s="25"/>
      <c r="KBT77" s="178"/>
      <c r="KBU77" s="26"/>
      <c r="KBV77" s="26"/>
      <c r="KBW77" s="26"/>
      <c r="KBX77" s="26"/>
      <c r="KBY77" s="26"/>
      <c r="KBZ77" s="26"/>
      <c r="KCA77" s="58"/>
      <c r="KCB77" s="26"/>
      <c r="KCC77" s="26"/>
      <c r="KCD77" s="26"/>
      <c r="KCE77" s="26"/>
      <c r="KCF77" s="22"/>
      <c r="KCG77" s="167"/>
      <c r="KCH77" s="30"/>
      <c r="KCI77" s="25"/>
      <c r="KCJ77" s="178"/>
      <c r="KCK77" s="26"/>
      <c r="KCL77" s="26"/>
      <c r="KCM77" s="26"/>
      <c r="KCN77" s="26"/>
      <c r="KCO77" s="26"/>
      <c r="KCP77" s="26"/>
      <c r="KCQ77" s="58"/>
      <c r="KCR77" s="26"/>
      <c r="KCS77" s="26"/>
      <c r="KCT77" s="26"/>
      <c r="KCU77" s="26"/>
      <c r="KCV77" s="22"/>
      <c r="KCW77" s="167"/>
      <c r="KCX77" s="30"/>
      <c r="KCY77" s="25"/>
      <c r="KCZ77" s="178"/>
      <c r="KDA77" s="26"/>
      <c r="KDB77" s="26"/>
      <c r="KDC77" s="26"/>
      <c r="KDD77" s="26"/>
      <c r="KDE77" s="26"/>
      <c r="KDF77" s="26"/>
      <c r="KDG77" s="58"/>
      <c r="KDH77" s="26"/>
      <c r="KDI77" s="26"/>
      <c r="KDJ77" s="26"/>
      <c r="KDK77" s="26"/>
      <c r="KDL77" s="22"/>
      <c r="KDM77" s="167"/>
      <c r="KDN77" s="30"/>
      <c r="KDO77" s="25"/>
      <c r="KDP77" s="178"/>
      <c r="KDQ77" s="26"/>
      <c r="KDR77" s="26"/>
      <c r="KDS77" s="26"/>
      <c r="KDT77" s="26"/>
      <c r="KDU77" s="26"/>
      <c r="KDV77" s="26"/>
      <c r="KDW77" s="58"/>
      <c r="KDX77" s="26"/>
      <c r="KDY77" s="26"/>
      <c r="KDZ77" s="26"/>
      <c r="KEA77" s="26"/>
      <c r="KEB77" s="22"/>
      <c r="KEC77" s="167"/>
      <c r="KED77" s="30"/>
      <c r="KEE77" s="25"/>
      <c r="KEF77" s="178"/>
      <c r="KEG77" s="26"/>
      <c r="KEH77" s="26"/>
      <c r="KEI77" s="26"/>
      <c r="KEJ77" s="26"/>
      <c r="KEK77" s="26"/>
      <c r="KEL77" s="26"/>
      <c r="KEM77" s="58"/>
      <c r="KEN77" s="26"/>
      <c r="KEO77" s="26"/>
      <c r="KEP77" s="26"/>
      <c r="KEQ77" s="26"/>
      <c r="KER77" s="22"/>
      <c r="KES77" s="167"/>
      <c r="KET77" s="30"/>
      <c r="KEU77" s="25"/>
      <c r="KEV77" s="178"/>
      <c r="KEW77" s="26"/>
      <c r="KEX77" s="26"/>
      <c r="KEY77" s="26"/>
      <c r="KEZ77" s="26"/>
      <c r="KFA77" s="26"/>
      <c r="KFB77" s="26"/>
      <c r="KFC77" s="58"/>
      <c r="KFD77" s="26"/>
      <c r="KFE77" s="26"/>
      <c r="KFF77" s="26"/>
      <c r="KFG77" s="26"/>
      <c r="KFH77" s="22"/>
      <c r="KFI77" s="167"/>
      <c r="KFJ77" s="30"/>
      <c r="KFK77" s="25"/>
      <c r="KFL77" s="178"/>
      <c r="KFM77" s="26"/>
      <c r="KFN77" s="26"/>
      <c r="KFO77" s="26"/>
      <c r="KFP77" s="26"/>
      <c r="KFQ77" s="26"/>
      <c r="KFR77" s="26"/>
      <c r="KFS77" s="58"/>
      <c r="KFT77" s="26"/>
      <c r="KFU77" s="26"/>
      <c r="KFV77" s="26"/>
      <c r="KFW77" s="26"/>
      <c r="KFX77" s="22"/>
      <c r="KFY77" s="167"/>
      <c r="KFZ77" s="30"/>
      <c r="KGA77" s="25"/>
      <c r="KGB77" s="178"/>
      <c r="KGC77" s="26"/>
      <c r="KGD77" s="26"/>
      <c r="KGE77" s="26"/>
      <c r="KGF77" s="26"/>
      <c r="KGG77" s="26"/>
      <c r="KGH77" s="26"/>
      <c r="KGI77" s="58"/>
      <c r="KGJ77" s="26"/>
      <c r="KGK77" s="26"/>
      <c r="KGL77" s="26"/>
      <c r="KGM77" s="26"/>
      <c r="KGN77" s="22"/>
      <c r="KGO77" s="167"/>
      <c r="KGP77" s="30"/>
      <c r="KGQ77" s="25"/>
      <c r="KGR77" s="178"/>
      <c r="KGS77" s="26"/>
      <c r="KGT77" s="26"/>
      <c r="KGU77" s="26"/>
      <c r="KGV77" s="26"/>
      <c r="KGW77" s="26"/>
      <c r="KGX77" s="26"/>
      <c r="KGY77" s="58"/>
      <c r="KGZ77" s="26"/>
      <c r="KHA77" s="26"/>
      <c r="KHB77" s="26"/>
      <c r="KHC77" s="26"/>
      <c r="KHD77" s="22"/>
      <c r="KHE77" s="167"/>
      <c r="KHF77" s="30"/>
      <c r="KHG77" s="25"/>
      <c r="KHH77" s="178"/>
      <c r="KHI77" s="26"/>
      <c r="KHJ77" s="26"/>
      <c r="KHK77" s="26"/>
      <c r="KHL77" s="26"/>
      <c r="KHM77" s="26"/>
      <c r="KHN77" s="26"/>
      <c r="KHO77" s="58"/>
      <c r="KHP77" s="26"/>
      <c r="KHQ77" s="26"/>
      <c r="KHR77" s="26"/>
      <c r="KHS77" s="26"/>
      <c r="KHT77" s="22"/>
      <c r="KHU77" s="167"/>
      <c r="KHV77" s="30"/>
      <c r="KHW77" s="25"/>
      <c r="KHX77" s="178"/>
      <c r="KHY77" s="26"/>
      <c r="KHZ77" s="26"/>
      <c r="KIA77" s="26"/>
      <c r="KIB77" s="26"/>
      <c r="KIC77" s="26"/>
      <c r="KID77" s="26"/>
      <c r="KIE77" s="58"/>
      <c r="KIF77" s="26"/>
      <c r="KIG77" s="26"/>
      <c r="KIH77" s="26"/>
      <c r="KII77" s="26"/>
      <c r="KIJ77" s="22"/>
      <c r="KIK77" s="167"/>
      <c r="KIL77" s="30"/>
      <c r="KIM77" s="25"/>
      <c r="KIN77" s="178"/>
      <c r="KIO77" s="26"/>
      <c r="KIP77" s="26"/>
      <c r="KIQ77" s="26"/>
      <c r="KIR77" s="26"/>
      <c r="KIS77" s="26"/>
      <c r="KIT77" s="26"/>
      <c r="KIU77" s="58"/>
      <c r="KIV77" s="26"/>
      <c r="KIW77" s="26"/>
      <c r="KIX77" s="26"/>
      <c r="KIY77" s="26"/>
      <c r="KIZ77" s="22"/>
      <c r="KJA77" s="167"/>
      <c r="KJB77" s="30"/>
      <c r="KJC77" s="25"/>
      <c r="KJD77" s="178"/>
      <c r="KJE77" s="26"/>
      <c r="KJF77" s="26"/>
      <c r="KJG77" s="26"/>
      <c r="KJH77" s="26"/>
      <c r="KJI77" s="26"/>
      <c r="KJJ77" s="26"/>
      <c r="KJK77" s="58"/>
      <c r="KJL77" s="26"/>
      <c r="KJM77" s="26"/>
      <c r="KJN77" s="26"/>
      <c r="KJO77" s="26"/>
      <c r="KJP77" s="22"/>
      <c r="KJQ77" s="167"/>
      <c r="KJR77" s="30"/>
      <c r="KJS77" s="25"/>
      <c r="KJT77" s="178"/>
      <c r="KJU77" s="26"/>
      <c r="KJV77" s="26"/>
      <c r="KJW77" s="26"/>
      <c r="KJX77" s="26"/>
      <c r="KJY77" s="26"/>
      <c r="KJZ77" s="26"/>
      <c r="KKA77" s="58"/>
      <c r="KKB77" s="26"/>
      <c r="KKC77" s="26"/>
      <c r="KKD77" s="26"/>
      <c r="KKE77" s="26"/>
      <c r="KKF77" s="22"/>
      <c r="KKG77" s="167"/>
      <c r="KKH77" s="30"/>
      <c r="KKI77" s="25"/>
      <c r="KKJ77" s="178"/>
      <c r="KKK77" s="26"/>
      <c r="KKL77" s="26"/>
      <c r="KKM77" s="26"/>
      <c r="KKN77" s="26"/>
      <c r="KKO77" s="26"/>
      <c r="KKP77" s="26"/>
      <c r="KKQ77" s="58"/>
      <c r="KKR77" s="26"/>
      <c r="KKS77" s="26"/>
      <c r="KKT77" s="26"/>
      <c r="KKU77" s="26"/>
      <c r="KKV77" s="22"/>
      <c r="KKW77" s="167"/>
      <c r="KKX77" s="30"/>
      <c r="KKY77" s="25"/>
      <c r="KKZ77" s="178"/>
      <c r="KLA77" s="26"/>
      <c r="KLB77" s="26"/>
      <c r="KLC77" s="26"/>
      <c r="KLD77" s="26"/>
      <c r="KLE77" s="26"/>
      <c r="KLF77" s="26"/>
      <c r="KLG77" s="58"/>
      <c r="KLH77" s="26"/>
      <c r="KLI77" s="26"/>
      <c r="KLJ77" s="26"/>
      <c r="KLK77" s="26"/>
      <c r="KLL77" s="22"/>
      <c r="KLM77" s="167"/>
      <c r="KLN77" s="30"/>
      <c r="KLO77" s="25"/>
      <c r="KLP77" s="178"/>
      <c r="KLQ77" s="26"/>
      <c r="KLR77" s="26"/>
      <c r="KLS77" s="26"/>
      <c r="KLT77" s="26"/>
      <c r="KLU77" s="26"/>
      <c r="KLV77" s="26"/>
      <c r="KLW77" s="58"/>
      <c r="KLX77" s="26"/>
      <c r="KLY77" s="26"/>
      <c r="KLZ77" s="26"/>
      <c r="KMA77" s="26"/>
      <c r="KMB77" s="22"/>
      <c r="KMC77" s="167"/>
      <c r="KMD77" s="30"/>
      <c r="KME77" s="25"/>
      <c r="KMF77" s="178"/>
      <c r="KMG77" s="26"/>
      <c r="KMH77" s="26"/>
      <c r="KMI77" s="26"/>
      <c r="KMJ77" s="26"/>
      <c r="KMK77" s="26"/>
      <c r="KML77" s="26"/>
      <c r="KMM77" s="58"/>
      <c r="KMN77" s="26"/>
      <c r="KMO77" s="26"/>
      <c r="KMP77" s="26"/>
      <c r="KMQ77" s="26"/>
      <c r="KMR77" s="22"/>
      <c r="KMS77" s="167"/>
      <c r="KMT77" s="30"/>
      <c r="KMU77" s="25"/>
      <c r="KMV77" s="178"/>
      <c r="KMW77" s="26"/>
      <c r="KMX77" s="26"/>
      <c r="KMY77" s="26"/>
      <c r="KMZ77" s="26"/>
      <c r="KNA77" s="26"/>
      <c r="KNB77" s="26"/>
      <c r="KNC77" s="58"/>
      <c r="KND77" s="26"/>
      <c r="KNE77" s="26"/>
      <c r="KNF77" s="26"/>
      <c r="KNG77" s="26"/>
      <c r="KNH77" s="22"/>
      <c r="KNI77" s="167"/>
      <c r="KNJ77" s="30"/>
      <c r="KNK77" s="25"/>
      <c r="KNL77" s="178"/>
      <c r="KNM77" s="26"/>
      <c r="KNN77" s="26"/>
      <c r="KNO77" s="26"/>
      <c r="KNP77" s="26"/>
      <c r="KNQ77" s="26"/>
      <c r="KNR77" s="26"/>
      <c r="KNS77" s="58"/>
      <c r="KNT77" s="26"/>
      <c r="KNU77" s="26"/>
      <c r="KNV77" s="26"/>
      <c r="KNW77" s="26"/>
      <c r="KNX77" s="22"/>
      <c r="KNY77" s="167"/>
      <c r="KNZ77" s="30"/>
      <c r="KOA77" s="25"/>
      <c r="KOB77" s="178"/>
      <c r="KOC77" s="26"/>
      <c r="KOD77" s="26"/>
      <c r="KOE77" s="26"/>
      <c r="KOF77" s="26"/>
      <c r="KOG77" s="26"/>
      <c r="KOH77" s="26"/>
      <c r="KOI77" s="58"/>
      <c r="KOJ77" s="26"/>
      <c r="KOK77" s="26"/>
      <c r="KOL77" s="26"/>
      <c r="KOM77" s="26"/>
      <c r="KON77" s="22"/>
      <c r="KOO77" s="167"/>
      <c r="KOP77" s="30"/>
      <c r="KOQ77" s="25"/>
      <c r="KOR77" s="178"/>
      <c r="KOS77" s="26"/>
      <c r="KOT77" s="26"/>
      <c r="KOU77" s="26"/>
      <c r="KOV77" s="26"/>
      <c r="KOW77" s="26"/>
      <c r="KOX77" s="26"/>
      <c r="KOY77" s="58"/>
      <c r="KOZ77" s="26"/>
      <c r="KPA77" s="26"/>
      <c r="KPB77" s="26"/>
      <c r="KPC77" s="26"/>
      <c r="KPD77" s="22"/>
      <c r="KPE77" s="167"/>
      <c r="KPF77" s="30"/>
      <c r="KPG77" s="25"/>
      <c r="KPH77" s="178"/>
      <c r="KPI77" s="26"/>
      <c r="KPJ77" s="26"/>
      <c r="KPK77" s="26"/>
      <c r="KPL77" s="26"/>
      <c r="KPM77" s="26"/>
      <c r="KPN77" s="26"/>
      <c r="KPO77" s="58"/>
      <c r="KPP77" s="26"/>
      <c r="KPQ77" s="26"/>
      <c r="KPR77" s="26"/>
      <c r="KPS77" s="26"/>
      <c r="KPT77" s="22"/>
      <c r="KPU77" s="167"/>
      <c r="KPV77" s="30"/>
      <c r="KPW77" s="25"/>
      <c r="KPX77" s="178"/>
      <c r="KPY77" s="26"/>
      <c r="KPZ77" s="26"/>
      <c r="KQA77" s="26"/>
      <c r="KQB77" s="26"/>
      <c r="KQC77" s="26"/>
      <c r="KQD77" s="26"/>
      <c r="KQE77" s="58"/>
      <c r="KQF77" s="26"/>
      <c r="KQG77" s="26"/>
      <c r="KQH77" s="26"/>
      <c r="KQI77" s="26"/>
      <c r="KQJ77" s="22"/>
      <c r="KQK77" s="167"/>
      <c r="KQL77" s="30"/>
      <c r="KQM77" s="25"/>
      <c r="KQN77" s="178"/>
      <c r="KQO77" s="26"/>
      <c r="KQP77" s="26"/>
      <c r="KQQ77" s="26"/>
      <c r="KQR77" s="26"/>
      <c r="KQS77" s="26"/>
      <c r="KQT77" s="26"/>
      <c r="KQU77" s="58"/>
      <c r="KQV77" s="26"/>
      <c r="KQW77" s="26"/>
      <c r="KQX77" s="26"/>
      <c r="KQY77" s="26"/>
      <c r="KQZ77" s="22"/>
      <c r="KRA77" s="167"/>
      <c r="KRB77" s="30"/>
      <c r="KRC77" s="25"/>
      <c r="KRD77" s="178"/>
      <c r="KRE77" s="26"/>
      <c r="KRF77" s="26"/>
      <c r="KRG77" s="26"/>
      <c r="KRH77" s="26"/>
      <c r="KRI77" s="26"/>
      <c r="KRJ77" s="26"/>
      <c r="KRK77" s="58"/>
      <c r="KRL77" s="26"/>
      <c r="KRM77" s="26"/>
      <c r="KRN77" s="26"/>
      <c r="KRO77" s="26"/>
      <c r="KRP77" s="22"/>
      <c r="KRQ77" s="167"/>
      <c r="KRR77" s="30"/>
      <c r="KRS77" s="25"/>
      <c r="KRT77" s="178"/>
      <c r="KRU77" s="26"/>
      <c r="KRV77" s="26"/>
      <c r="KRW77" s="26"/>
      <c r="KRX77" s="26"/>
      <c r="KRY77" s="26"/>
      <c r="KRZ77" s="26"/>
      <c r="KSA77" s="58"/>
      <c r="KSB77" s="26"/>
      <c r="KSC77" s="26"/>
      <c r="KSD77" s="26"/>
      <c r="KSE77" s="26"/>
      <c r="KSF77" s="22"/>
      <c r="KSG77" s="167"/>
      <c r="KSH77" s="30"/>
      <c r="KSI77" s="25"/>
      <c r="KSJ77" s="178"/>
      <c r="KSK77" s="26"/>
      <c r="KSL77" s="26"/>
      <c r="KSM77" s="26"/>
      <c r="KSN77" s="26"/>
      <c r="KSO77" s="26"/>
      <c r="KSP77" s="26"/>
      <c r="KSQ77" s="58"/>
      <c r="KSR77" s="26"/>
      <c r="KSS77" s="26"/>
      <c r="KST77" s="26"/>
      <c r="KSU77" s="26"/>
      <c r="KSV77" s="22"/>
      <c r="KSW77" s="167"/>
      <c r="KSX77" s="30"/>
      <c r="KSY77" s="25"/>
      <c r="KSZ77" s="178"/>
      <c r="KTA77" s="26"/>
      <c r="KTB77" s="26"/>
      <c r="KTC77" s="26"/>
      <c r="KTD77" s="26"/>
      <c r="KTE77" s="26"/>
      <c r="KTF77" s="26"/>
      <c r="KTG77" s="58"/>
      <c r="KTH77" s="26"/>
      <c r="KTI77" s="26"/>
      <c r="KTJ77" s="26"/>
      <c r="KTK77" s="26"/>
      <c r="KTL77" s="22"/>
      <c r="KTM77" s="167"/>
      <c r="KTN77" s="30"/>
      <c r="KTO77" s="25"/>
      <c r="KTP77" s="178"/>
      <c r="KTQ77" s="26"/>
      <c r="KTR77" s="26"/>
      <c r="KTS77" s="26"/>
      <c r="KTT77" s="26"/>
      <c r="KTU77" s="26"/>
      <c r="KTV77" s="26"/>
      <c r="KTW77" s="58"/>
      <c r="KTX77" s="26"/>
      <c r="KTY77" s="26"/>
      <c r="KTZ77" s="26"/>
      <c r="KUA77" s="26"/>
      <c r="KUB77" s="22"/>
      <c r="KUC77" s="167"/>
      <c r="KUD77" s="30"/>
      <c r="KUE77" s="25"/>
      <c r="KUF77" s="178"/>
      <c r="KUG77" s="26"/>
      <c r="KUH77" s="26"/>
      <c r="KUI77" s="26"/>
      <c r="KUJ77" s="26"/>
      <c r="KUK77" s="26"/>
      <c r="KUL77" s="26"/>
      <c r="KUM77" s="58"/>
      <c r="KUN77" s="26"/>
      <c r="KUO77" s="26"/>
      <c r="KUP77" s="26"/>
      <c r="KUQ77" s="26"/>
      <c r="KUR77" s="22"/>
      <c r="KUS77" s="167"/>
      <c r="KUT77" s="30"/>
      <c r="KUU77" s="25"/>
      <c r="KUV77" s="178"/>
      <c r="KUW77" s="26"/>
      <c r="KUX77" s="26"/>
      <c r="KUY77" s="26"/>
      <c r="KUZ77" s="26"/>
      <c r="KVA77" s="26"/>
      <c r="KVB77" s="26"/>
      <c r="KVC77" s="58"/>
      <c r="KVD77" s="26"/>
      <c r="KVE77" s="26"/>
      <c r="KVF77" s="26"/>
      <c r="KVG77" s="26"/>
      <c r="KVH77" s="22"/>
      <c r="KVI77" s="167"/>
      <c r="KVJ77" s="30"/>
      <c r="KVK77" s="25"/>
      <c r="KVL77" s="178"/>
      <c r="KVM77" s="26"/>
      <c r="KVN77" s="26"/>
      <c r="KVO77" s="26"/>
      <c r="KVP77" s="26"/>
      <c r="KVQ77" s="26"/>
      <c r="KVR77" s="26"/>
      <c r="KVS77" s="58"/>
      <c r="KVT77" s="26"/>
      <c r="KVU77" s="26"/>
      <c r="KVV77" s="26"/>
      <c r="KVW77" s="26"/>
      <c r="KVX77" s="22"/>
      <c r="KVY77" s="167"/>
      <c r="KVZ77" s="30"/>
      <c r="KWA77" s="25"/>
      <c r="KWB77" s="178"/>
      <c r="KWC77" s="26"/>
      <c r="KWD77" s="26"/>
      <c r="KWE77" s="26"/>
      <c r="KWF77" s="26"/>
      <c r="KWG77" s="26"/>
      <c r="KWH77" s="26"/>
      <c r="KWI77" s="58"/>
      <c r="KWJ77" s="26"/>
      <c r="KWK77" s="26"/>
      <c r="KWL77" s="26"/>
      <c r="KWM77" s="26"/>
      <c r="KWN77" s="22"/>
      <c r="KWO77" s="167"/>
      <c r="KWP77" s="30"/>
      <c r="KWQ77" s="25"/>
      <c r="KWR77" s="178"/>
      <c r="KWS77" s="26"/>
      <c r="KWT77" s="26"/>
      <c r="KWU77" s="26"/>
      <c r="KWV77" s="26"/>
      <c r="KWW77" s="26"/>
      <c r="KWX77" s="26"/>
      <c r="KWY77" s="58"/>
      <c r="KWZ77" s="26"/>
      <c r="KXA77" s="26"/>
      <c r="KXB77" s="26"/>
      <c r="KXC77" s="26"/>
      <c r="KXD77" s="22"/>
      <c r="KXE77" s="167"/>
      <c r="KXF77" s="30"/>
      <c r="KXG77" s="25"/>
      <c r="KXH77" s="178"/>
      <c r="KXI77" s="26"/>
      <c r="KXJ77" s="26"/>
      <c r="KXK77" s="26"/>
      <c r="KXL77" s="26"/>
      <c r="KXM77" s="26"/>
      <c r="KXN77" s="26"/>
      <c r="KXO77" s="58"/>
      <c r="KXP77" s="26"/>
      <c r="KXQ77" s="26"/>
      <c r="KXR77" s="26"/>
      <c r="KXS77" s="26"/>
      <c r="KXT77" s="22"/>
      <c r="KXU77" s="167"/>
      <c r="KXV77" s="30"/>
      <c r="KXW77" s="25"/>
      <c r="KXX77" s="178"/>
      <c r="KXY77" s="26"/>
      <c r="KXZ77" s="26"/>
      <c r="KYA77" s="26"/>
      <c r="KYB77" s="26"/>
      <c r="KYC77" s="26"/>
      <c r="KYD77" s="26"/>
      <c r="KYE77" s="58"/>
      <c r="KYF77" s="26"/>
      <c r="KYG77" s="26"/>
      <c r="KYH77" s="26"/>
      <c r="KYI77" s="26"/>
      <c r="KYJ77" s="22"/>
      <c r="KYK77" s="167"/>
      <c r="KYL77" s="30"/>
      <c r="KYM77" s="25"/>
      <c r="KYN77" s="178"/>
      <c r="KYO77" s="26"/>
      <c r="KYP77" s="26"/>
      <c r="KYQ77" s="26"/>
      <c r="KYR77" s="26"/>
      <c r="KYS77" s="26"/>
      <c r="KYT77" s="26"/>
      <c r="KYU77" s="58"/>
      <c r="KYV77" s="26"/>
      <c r="KYW77" s="26"/>
      <c r="KYX77" s="26"/>
      <c r="KYY77" s="26"/>
      <c r="KYZ77" s="22"/>
      <c r="KZA77" s="167"/>
      <c r="KZB77" s="30"/>
      <c r="KZC77" s="25"/>
      <c r="KZD77" s="178"/>
      <c r="KZE77" s="26"/>
      <c r="KZF77" s="26"/>
      <c r="KZG77" s="26"/>
      <c r="KZH77" s="26"/>
      <c r="KZI77" s="26"/>
      <c r="KZJ77" s="26"/>
      <c r="KZK77" s="58"/>
      <c r="KZL77" s="26"/>
      <c r="KZM77" s="26"/>
      <c r="KZN77" s="26"/>
      <c r="KZO77" s="26"/>
      <c r="KZP77" s="22"/>
      <c r="KZQ77" s="167"/>
      <c r="KZR77" s="30"/>
      <c r="KZS77" s="25"/>
      <c r="KZT77" s="178"/>
      <c r="KZU77" s="26"/>
      <c r="KZV77" s="26"/>
      <c r="KZW77" s="26"/>
      <c r="KZX77" s="26"/>
      <c r="KZY77" s="26"/>
      <c r="KZZ77" s="26"/>
      <c r="LAA77" s="58"/>
      <c r="LAB77" s="26"/>
      <c r="LAC77" s="26"/>
      <c r="LAD77" s="26"/>
      <c r="LAE77" s="26"/>
      <c r="LAF77" s="22"/>
      <c r="LAG77" s="167"/>
      <c r="LAH77" s="30"/>
      <c r="LAI77" s="25"/>
      <c r="LAJ77" s="178"/>
      <c r="LAK77" s="26"/>
      <c r="LAL77" s="26"/>
      <c r="LAM77" s="26"/>
      <c r="LAN77" s="26"/>
      <c r="LAO77" s="26"/>
      <c r="LAP77" s="26"/>
      <c r="LAQ77" s="58"/>
      <c r="LAR77" s="26"/>
      <c r="LAS77" s="26"/>
      <c r="LAT77" s="26"/>
      <c r="LAU77" s="26"/>
      <c r="LAV77" s="22"/>
      <c r="LAW77" s="167"/>
      <c r="LAX77" s="30"/>
      <c r="LAY77" s="25"/>
      <c r="LAZ77" s="178"/>
      <c r="LBA77" s="26"/>
      <c r="LBB77" s="26"/>
      <c r="LBC77" s="26"/>
      <c r="LBD77" s="26"/>
      <c r="LBE77" s="26"/>
      <c r="LBF77" s="26"/>
      <c r="LBG77" s="58"/>
      <c r="LBH77" s="26"/>
      <c r="LBI77" s="26"/>
      <c r="LBJ77" s="26"/>
      <c r="LBK77" s="26"/>
      <c r="LBL77" s="22"/>
      <c r="LBM77" s="167"/>
      <c r="LBN77" s="30"/>
      <c r="LBO77" s="25"/>
      <c r="LBP77" s="178"/>
      <c r="LBQ77" s="26"/>
      <c r="LBR77" s="26"/>
      <c r="LBS77" s="26"/>
      <c r="LBT77" s="26"/>
      <c r="LBU77" s="26"/>
      <c r="LBV77" s="26"/>
      <c r="LBW77" s="58"/>
      <c r="LBX77" s="26"/>
      <c r="LBY77" s="26"/>
      <c r="LBZ77" s="26"/>
      <c r="LCA77" s="26"/>
      <c r="LCB77" s="22"/>
      <c r="LCC77" s="167"/>
      <c r="LCD77" s="30"/>
      <c r="LCE77" s="25"/>
      <c r="LCF77" s="178"/>
      <c r="LCG77" s="26"/>
      <c r="LCH77" s="26"/>
      <c r="LCI77" s="26"/>
      <c r="LCJ77" s="26"/>
      <c r="LCK77" s="26"/>
      <c r="LCL77" s="26"/>
      <c r="LCM77" s="58"/>
      <c r="LCN77" s="26"/>
      <c r="LCO77" s="26"/>
      <c r="LCP77" s="26"/>
      <c r="LCQ77" s="26"/>
      <c r="LCR77" s="22"/>
      <c r="LCS77" s="167"/>
      <c r="LCT77" s="30"/>
      <c r="LCU77" s="25"/>
      <c r="LCV77" s="178"/>
      <c r="LCW77" s="26"/>
      <c r="LCX77" s="26"/>
      <c r="LCY77" s="26"/>
      <c r="LCZ77" s="26"/>
      <c r="LDA77" s="26"/>
      <c r="LDB77" s="26"/>
      <c r="LDC77" s="58"/>
      <c r="LDD77" s="26"/>
      <c r="LDE77" s="26"/>
      <c r="LDF77" s="26"/>
      <c r="LDG77" s="26"/>
      <c r="LDH77" s="22"/>
      <c r="LDI77" s="167"/>
      <c r="LDJ77" s="30"/>
      <c r="LDK77" s="25"/>
      <c r="LDL77" s="178"/>
      <c r="LDM77" s="26"/>
      <c r="LDN77" s="26"/>
      <c r="LDO77" s="26"/>
      <c r="LDP77" s="26"/>
      <c r="LDQ77" s="26"/>
      <c r="LDR77" s="26"/>
      <c r="LDS77" s="58"/>
      <c r="LDT77" s="26"/>
      <c r="LDU77" s="26"/>
      <c r="LDV77" s="26"/>
      <c r="LDW77" s="26"/>
      <c r="LDX77" s="22"/>
      <c r="LDY77" s="167"/>
      <c r="LDZ77" s="30"/>
      <c r="LEA77" s="25"/>
      <c r="LEB77" s="178"/>
      <c r="LEC77" s="26"/>
      <c r="LED77" s="26"/>
      <c r="LEE77" s="26"/>
      <c r="LEF77" s="26"/>
      <c r="LEG77" s="26"/>
      <c r="LEH77" s="26"/>
      <c r="LEI77" s="58"/>
      <c r="LEJ77" s="26"/>
      <c r="LEK77" s="26"/>
      <c r="LEL77" s="26"/>
      <c r="LEM77" s="26"/>
      <c r="LEN77" s="22"/>
      <c r="LEO77" s="167"/>
      <c r="LEP77" s="30"/>
      <c r="LEQ77" s="25"/>
      <c r="LER77" s="178"/>
      <c r="LES77" s="26"/>
      <c r="LET77" s="26"/>
      <c r="LEU77" s="26"/>
      <c r="LEV77" s="26"/>
      <c r="LEW77" s="26"/>
      <c r="LEX77" s="26"/>
      <c r="LEY77" s="58"/>
      <c r="LEZ77" s="26"/>
      <c r="LFA77" s="26"/>
      <c r="LFB77" s="26"/>
      <c r="LFC77" s="26"/>
      <c r="LFD77" s="22"/>
      <c r="LFE77" s="167"/>
      <c r="LFF77" s="30"/>
      <c r="LFG77" s="25"/>
      <c r="LFH77" s="178"/>
      <c r="LFI77" s="26"/>
      <c r="LFJ77" s="26"/>
      <c r="LFK77" s="26"/>
      <c r="LFL77" s="26"/>
      <c r="LFM77" s="26"/>
      <c r="LFN77" s="26"/>
      <c r="LFO77" s="58"/>
      <c r="LFP77" s="26"/>
      <c r="LFQ77" s="26"/>
      <c r="LFR77" s="26"/>
      <c r="LFS77" s="26"/>
      <c r="LFT77" s="22"/>
      <c r="LFU77" s="167"/>
      <c r="LFV77" s="30"/>
      <c r="LFW77" s="25"/>
      <c r="LFX77" s="178"/>
      <c r="LFY77" s="26"/>
      <c r="LFZ77" s="26"/>
      <c r="LGA77" s="26"/>
      <c r="LGB77" s="26"/>
      <c r="LGC77" s="26"/>
      <c r="LGD77" s="26"/>
      <c r="LGE77" s="58"/>
      <c r="LGF77" s="26"/>
      <c r="LGG77" s="26"/>
      <c r="LGH77" s="26"/>
      <c r="LGI77" s="26"/>
      <c r="LGJ77" s="22"/>
      <c r="LGK77" s="167"/>
      <c r="LGL77" s="30"/>
      <c r="LGM77" s="25"/>
      <c r="LGN77" s="178"/>
      <c r="LGO77" s="26"/>
      <c r="LGP77" s="26"/>
      <c r="LGQ77" s="26"/>
      <c r="LGR77" s="26"/>
      <c r="LGS77" s="26"/>
      <c r="LGT77" s="26"/>
      <c r="LGU77" s="58"/>
      <c r="LGV77" s="26"/>
      <c r="LGW77" s="26"/>
      <c r="LGX77" s="26"/>
      <c r="LGY77" s="26"/>
      <c r="LGZ77" s="22"/>
      <c r="LHA77" s="167"/>
      <c r="LHB77" s="30"/>
      <c r="LHC77" s="25"/>
      <c r="LHD77" s="178"/>
      <c r="LHE77" s="26"/>
      <c r="LHF77" s="26"/>
      <c r="LHG77" s="26"/>
      <c r="LHH77" s="26"/>
      <c r="LHI77" s="26"/>
      <c r="LHJ77" s="26"/>
      <c r="LHK77" s="58"/>
      <c r="LHL77" s="26"/>
      <c r="LHM77" s="26"/>
      <c r="LHN77" s="26"/>
      <c r="LHO77" s="26"/>
      <c r="LHP77" s="22"/>
      <c r="LHQ77" s="167"/>
      <c r="LHR77" s="30"/>
      <c r="LHS77" s="25"/>
      <c r="LHT77" s="178"/>
      <c r="LHU77" s="26"/>
      <c r="LHV77" s="26"/>
      <c r="LHW77" s="26"/>
      <c r="LHX77" s="26"/>
      <c r="LHY77" s="26"/>
      <c r="LHZ77" s="26"/>
      <c r="LIA77" s="58"/>
      <c r="LIB77" s="26"/>
      <c r="LIC77" s="26"/>
      <c r="LID77" s="26"/>
      <c r="LIE77" s="26"/>
      <c r="LIF77" s="22"/>
      <c r="LIG77" s="167"/>
      <c r="LIH77" s="30"/>
      <c r="LII77" s="25"/>
      <c r="LIJ77" s="178"/>
      <c r="LIK77" s="26"/>
      <c r="LIL77" s="26"/>
      <c r="LIM77" s="26"/>
      <c r="LIN77" s="26"/>
      <c r="LIO77" s="26"/>
      <c r="LIP77" s="26"/>
      <c r="LIQ77" s="58"/>
      <c r="LIR77" s="26"/>
      <c r="LIS77" s="26"/>
      <c r="LIT77" s="26"/>
      <c r="LIU77" s="26"/>
      <c r="LIV77" s="22"/>
      <c r="LIW77" s="167"/>
      <c r="LIX77" s="30"/>
      <c r="LIY77" s="25"/>
      <c r="LIZ77" s="178"/>
      <c r="LJA77" s="26"/>
      <c r="LJB77" s="26"/>
      <c r="LJC77" s="26"/>
      <c r="LJD77" s="26"/>
      <c r="LJE77" s="26"/>
      <c r="LJF77" s="26"/>
      <c r="LJG77" s="58"/>
      <c r="LJH77" s="26"/>
      <c r="LJI77" s="26"/>
      <c r="LJJ77" s="26"/>
      <c r="LJK77" s="26"/>
      <c r="LJL77" s="22"/>
      <c r="LJM77" s="167"/>
      <c r="LJN77" s="30"/>
      <c r="LJO77" s="25"/>
      <c r="LJP77" s="178"/>
      <c r="LJQ77" s="26"/>
      <c r="LJR77" s="26"/>
      <c r="LJS77" s="26"/>
      <c r="LJT77" s="26"/>
      <c r="LJU77" s="26"/>
      <c r="LJV77" s="26"/>
      <c r="LJW77" s="58"/>
      <c r="LJX77" s="26"/>
      <c r="LJY77" s="26"/>
      <c r="LJZ77" s="26"/>
      <c r="LKA77" s="26"/>
      <c r="LKB77" s="22"/>
      <c r="LKC77" s="167"/>
      <c r="LKD77" s="30"/>
      <c r="LKE77" s="25"/>
      <c r="LKF77" s="178"/>
      <c r="LKG77" s="26"/>
      <c r="LKH77" s="26"/>
      <c r="LKI77" s="26"/>
      <c r="LKJ77" s="26"/>
      <c r="LKK77" s="26"/>
      <c r="LKL77" s="26"/>
      <c r="LKM77" s="58"/>
      <c r="LKN77" s="26"/>
      <c r="LKO77" s="26"/>
      <c r="LKP77" s="26"/>
      <c r="LKQ77" s="26"/>
      <c r="LKR77" s="22"/>
      <c r="LKS77" s="167"/>
      <c r="LKT77" s="30"/>
      <c r="LKU77" s="25"/>
      <c r="LKV77" s="178"/>
      <c r="LKW77" s="26"/>
      <c r="LKX77" s="26"/>
      <c r="LKY77" s="26"/>
      <c r="LKZ77" s="26"/>
      <c r="LLA77" s="26"/>
      <c r="LLB77" s="26"/>
      <c r="LLC77" s="58"/>
      <c r="LLD77" s="26"/>
      <c r="LLE77" s="26"/>
      <c r="LLF77" s="26"/>
      <c r="LLG77" s="26"/>
      <c r="LLH77" s="22"/>
      <c r="LLI77" s="167"/>
      <c r="LLJ77" s="30"/>
      <c r="LLK77" s="25"/>
      <c r="LLL77" s="178"/>
      <c r="LLM77" s="26"/>
      <c r="LLN77" s="26"/>
      <c r="LLO77" s="26"/>
      <c r="LLP77" s="26"/>
      <c r="LLQ77" s="26"/>
      <c r="LLR77" s="26"/>
      <c r="LLS77" s="58"/>
      <c r="LLT77" s="26"/>
      <c r="LLU77" s="26"/>
      <c r="LLV77" s="26"/>
      <c r="LLW77" s="26"/>
      <c r="LLX77" s="22"/>
      <c r="LLY77" s="167"/>
      <c r="LLZ77" s="30"/>
      <c r="LMA77" s="25"/>
      <c r="LMB77" s="178"/>
      <c r="LMC77" s="26"/>
      <c r="LMD77" s="26"/>
      <c r="LME77" s="26"/>
      <c r="LMF77" s="26"/>
      <c r="LMG77" s="26"/>
      <c r="LMH77" s="26"/>
      <c r="LMI77" s="58"/>
      <c r="LMJ77" s="26"/>
      <c r="LMK77" s="26"/>
      <c r="LML77" s="26"/>
      <c r="LMM77" s="26"/>
      <c r="LMN77" s="22"/>
      <c r="LMO77" s="167"/>
      <c r="LMP77" s="30"/>
      <c r="LMQ77" s="25"/>
      <c r="LMR77" s="178"/>
      <c r="LMS77" s="26"/>
      <c r="LMT77" s="26"/>
      <c r="LMU77" s="26"/>
      <c r="LMV77" s="26"/>
      <c r="LMW77" s="26"/>
      <c r="LMX77" s="26"/>
      <c r="LMY77" s="58"/>
      <c r="LMZ77" s="26"/>
      <c r="LNA77" s="26"/>
      <c r="LNB77" s="26"/>
      <c r="LNC77" s="26"/>
      <c r="LND77" s="22"/>
      <c r="LNE77" s="167"/>
      <c r="LNF77" s="30"/>
      <c r="LNG77" s="25"/>
      <c r="LNH77" s="178"/>
      <c r="LNI77" s="26"/>
      <c r="LNJ77" s="26"/>
      <c r="LNK77" s="26"/>
      <c r="LNL77" s="26"/>
      <c r="LNM77" s="26"/>
      <c r="LNN77" s="26"/>
      <c r="LNO77" s="58"/>
      <c r="LNP77" s="26"/>
      <c r="LNQ77" s="26"/>
      <c r="LNR77" s="26"/>
      <c r="LNS77" s="26"/>
      <c r="LNT77" s="22"/>
      <c r="LNU77" s="167"/>
      <c r="LNV77" s="30"/>
      <c r="LNW77" s="25"/>
      <c r="LNX77" s="178"/>
      <c r="LNY77" s="26"/>
      <c r="LNZ77" s="26"/>
      <c r="LOA77" s="26"/>
      <c r="LOB77" s="26"/>
      <c r="LOC77" s="26"/>
      <c r="LOD77" s="26"/>
      <c r="LOE77" s="58"/>
      <c r="LOF77" s="26"/>
      <c r="LOG77" s="26"/>
      <c r="LOH77" s="26"/>
      <c r="LOI77" s="26"/>
      <c r="LOJ77" s="22"/>
      <c r="LOK77" s="167"/>
      <c r="LOL77" s="30"/>
      <c r="LOM77" s="25"/>
      <c r="LON77" s="178"/>
      <c r="LOO77" s="26"/>
      <c r="LOP77" s="26"/>
      <c r="LOQ77" s="26"/>
      <c r="LOR77" s="26"/>
      <c r="LOS77" s="26"/>
      <c r="LOT77" s="26"/>
      <c r="LOU77" s="58"/>
      <c r="LOV77" s="26"/>
      <c r="LOW77" s="26"/>
      <c r="LOX77" s="26"/>
      <c r="LOY77" s="26"/>
      <c r="LOZ77" s="22"/>
      <c r="LPA77" s="167"/>
      <c r="LPB77" s="30"/>
      <c r="LPC77" s="25"/>
      <c r="LPD77" s="178"/>
      <c r="LPE77" s="26"/>
      <c r="LPF77" s="26"/>
      <c r="LPG77" s="26"/>
      <c r="LPH77" s="26"/>
      <c r="LPI77" s="26"/>
      <c r="LPJ77" s="26"/>
      <c r="LPK77" s="58"/>
      <c r="LPL77" s="26"/>
      <c r="LPM77" s="26"/>
      <c r="LPN77" s="26"/>
      <c r="LPO77" s="26"/>
      <c r="LPP77" s="22"/>
      <c r="LPQ77" s="167"/>
      <c r="LPR77" s="30"/>
      <c r="LPS77" s="25"/>
      <c r="LPT77" s="178"/>
      <c r="LPU77" s="26"/>
      <c r="LPV77" s="26"/>
      <c r="LPW77" s="26"/>
      <c r="LPX77" s="26"/>
      <c r="LPY77" s="26"/>
      <c r="LPZ77" s="26"/>
      <c r="LQA77" s="58"/>
      <c r="LQB77" s="26"/>
      <c r="LQC77" s="26"/>
      <c r="LQD77" s="26"/>
      <c r="LQE77" s="26"/>
      <c r="LQF77" s="22"/>
      <c r="LQG77" s="167"/>
      <c r="LQH77" s="30"/>
      <c r="LQI77" s="25"/>
      <c r="LQJ77" s="178"/>
      <c r="LQK77" s="26"/>
      <c r="LQL77" s="26"/>
      <c r="LQM77" s="26"/>
      <c r="LQN77" s="26"/>
      <c r="LQO77" s="26"/>
      <c r="LQP77" s="26"/>
      <c r="LQQ77" s="58"/>
      <c r="LQR77" s="26"/>
      <c r="LQS77" s="26"/>
      <c r="LQT77" s="26"/>
      <c r="LQU77" s="26"/>
      <c r="LQV77" s="22"/>
      <c r="LQW77" s="167"/>
      <c r="LQX77" s="30"/>
      <c r="LQY77" s="25"/>
      <c r="LQZ77" s="178"/>
      <c r="LRA77" s="26"/>
      <c r="LRB77" s="26"/>
      <c r="LRC77" s="26"/>
      <c r="LRD77" s="26"/>
      <c r="LRE77" s="26"/>
      <c r="LRF77" s="26"/>
      <c r="LRG77" s="58"/>
      <c r="LRH77" s="26"/>
      <c r="LRI77" s="26"/>
      <c r="LRJ77" s="26"/>
      <c r="LRK77" s="26"/>
      <c r="LRL77" s="22"/>
      <c r="LRM77" s="167"/>
      <c r="LRN77" s="30"/>
      <c r="LRO77" s="25"/>
      <c r="LRP77" s="178"/>
      <c r="LRQ77" s="26"/>
      <c r="LRR77" s="26"/>
      <c r="LRS77" s="26"/>
      <c r="LRT77" s="26"/>
      <c r="LRU77" s="26"/>
      <c r="LRV77" s="26"/>
      <c r="LRW77" s="58"/>
      <c r="LRX77" s="26"/>
      <c r="LRY77" s="26"/>
      <c r="LRZ77" s="26"/>
      <c r="LSA77" s="26"/>
      <c r="LSB77" s="22"/>
      <c r="LSC77" s="167"/>
      <c r="LSD77" s="30"/>
      <c r="LSE77" s="25"/>
      <c r="LSF77" s="178"/>
      <c r="LSG77" s="26"/>
      <c r="LSH77" s="26"/>
      <c r="LSI77" s="26"/>
      <c r="LSJ77" s="26"/>
      <c r="LSK77" s="26"/>
      <c r="LSL77" s="26"/>
      <c r="LSM77" s="58"/>
      <c r="LSN77" s="26"/>
      <c r="LSO77" s="26"/>
      <c r="LSP77" s="26"/>
      <c r="LSQ77" s="26"/>
      <c r="LSR77" s="22"/>
      <c r="LSS77" s="167"/>
      <c r="LST77" s="30"/>
      <c r="LSU77" s="25"/>
      <c r="LSV77" s="178"/>
      <c r="LSW77" s="26"/>
      <c r="LSX77" s="26"/>
      <c r="LSY77" s="26"/>
      <c r="LSZ77" s="26"/>
      <c r="LTA77" s="26"/>
      <c r="LTB77" s="26"/>
      <c r="LTC77" s="58"/>
      <c r="LTD77" s="26"/>
      <c r="LTE77" s="26"/>
      <c r="LTF77" s="26"/>
      <c r="LTG77" s="26"/>
      <c r="LTH77" s="22"/>
      <c r="LTI77" s="167"/>
      <c r="LTJ77" s="30"/>
      <c r="LTK77" s="25"/>
      <c r="LTL77" s="178"/>
      <c r="LTM77" s="26"/>
      <c r="LTN77" s="26"/>
      <c r="LTO77" s="26"/>
      <c r="LTP77" s="26"/>
      <c r="LTQ77" s="26"/>
      <c r="LTR77" s="26"/>
      <c r="LTS77" s="58"/>
      <c r="LTT77" s="26"/>
      <c r="LTU77" s="26"/>
      <c r="LTV77" s="26"/>
      <c r="LTW77" s="26"/>
      <c r="LTX77" s="22"/>
      <c r="LTY77" s="167"/>
      <c r="LTZ77" s="30"/>
      <c r="LUA77" s="25"/>
      <c r="LUB77" s="178"/>
      <c r="LUC77" s="26"/>
      <c r="LUD77" s="26"/>
      <c r="LUE77" s="26"/>
      <c r="LUF77" s="26"/>
      <c r="LUG77" s="26"/>
      <c r="LUH77" s="26"/>
      <c r="LUI77" s="58"/>
      <c r="LUJ77" s="26"/>
      <c r="LUK77" s="26"/>
      <c r="LUL77" s="26"/>
      <c r="LUM77" s="26"/>
      <c r="LUN77" s="22"/>
      <c r="LUO77" s="167"/>
      <c r="LUP77" s="30"/>
      <c r="LUQ77" s="25"/>
      <c r="LUR77" s="178"/>
      <c r="LUS77" s="26"/>
      <c r="LUT77" s="26"/>
      <c r="LUU77" s="26"/>
      <c r="LUV77" s="26"/>
      <c r="LUW77" s="26"/>
      <c r="LUX77" s="26"/>
      <c r="LUY77" s="58"/>
      <c r="LUZ77" s="26"/>
      <c r="LVA77" s="26"/>
      <c r="LVB77" s="26"/>
      <c r="LVC77" s="26"/>
      <c r="LVD77" s="22"/>
      <c r="LVE77" s="167"/>
      <c r="LVF77" s="30"/>
      <c r="LVG77" s="25"/>
      <c r="LVH77" s="178"/>
      <c r="LVI77" s="26"/>
      <c r="LVJ77" s="26"/>
      <c r="LVK77" s="26"/>
      <c r="LVL77" s="26"/>
      <c r="LVM77" s="26"/>
      <c r="LVN77" s="26"/>
      <c r="LVO77" s="58"/>
      <c r="LVP77" s="26"/>
      <c r="LVQ77" s="26"/>
      <c r="LVR77" s="26"/>
      <c r="LVS77" s="26"/>
      <c r="LVT77" s="22"/>
      <c r="LVU77" s="167"/>
      <c r="LVV77" s="30"/>
      <c r="LVW77" s="25"/>
      <c r="LVX77" s="178"/>
      <c r="LVY77" s="26"/>
      <c r="LVZ77" s="26"/>
      <c r="LWA77" s="26"/>
      <c r="LWB77" s="26"/>
      <c r="LWC77" s="26"/>
      <c r="LWD77" s="26"/>
      <c r="LWE77" s="58"/>
      <c r="LWF77" s="26"/>
      <c r="LWG77" s="26"/>
      <c r="LWH77" s="26"/>
      <c r="LWI77" s="26"/>
      <c r="LWJ77" s="22"/>
      <c r="LWK77" s="167"/>
      <c r="LWL77" s="30"/>
      <c r="LWM77" s="25"/>
      <c r="LWN77" s="178"/>
      <c r="LWO77" s="26"/>
      <c r="LWP77" s="26"/>
      <c r="LWQ77" s="26"/>
      <c r="LWR77" s="26"/>
      <c r="LWS77" s="26"/>
      <c r="LWT77" s="26"/>
      <c r="LWU77" s="58"/>
      <c r="LWV77" s="26"/>
      <c r="LWW77" s="26"/>
      <c r="LWX77" s="26"/>
      <c r="LWY77" s="26"/>
      <c r="LWZ77" s="22"/>
      <c r="LXA77" s="167"/>
      <c r="LXB77" s="30"/>
      <c r="LXC77" s="25"/>
      <c r="LXD77" s="178"/>
      <c r="LXE77" s="26"/>
      <c r="LXF77" s="26"/>
      <c r="LXG77" s="26"/>
      <c r="LXH77" s="26"/>
      <c r="LXI77" s="26"/>
      <c r="LXJ77" s="26"/>
      <c r="LXK77" s="58"/>
      <c r="LXL77" s="26"/>
      <c r="LXM77" s="26"/>
      <c r="LXN77" s="26"/>
      <c r="LXO77" s="26"/>
      <c r="LXP77" s="22"/>
      <c r="LXQ77" s="167"/>
      <c r="LXR77" s="30"/>
      <c r="LXS77" s="25"/>
      <c r="LXT77" s="178"/>
      <c r="LXU77" s="26"/>
      <c r="LXV77" s="26"/>
      <c r="LXW77" s="26"/>
      <c r="LXX77" s="26"/>
      <c r="LXY77" s="26"/>
      <c r="LXZ77" s="26"/>
      <c r="LYA77" s="58"/>
      <c r="LYB77" s="26"/>
      <c r="LYC77" s="26"/>
      <c r="LYD77" s="26"/>
      <c r="LYE77" s="26"/>
      <c r="LYF77" s="22"/>
      <c r="LYG77" s="167"/>
      <c r="LYH77" s="30"/>
      <c r="LYI77" s="25"/>
      <c r="LYJ77" s="178"/>
      <c r="LYK77" s="26"/>
      <c r="LYL77" s="26"/>
      <c r="LYM77" s="26"/>
      <c r="LYN77" s="26"/>
      <c r="LYO77" s="26"/>
      <c r="LYP77" s="26"/>
      <c r="LYQ77" s="58"/>
      <c r="LYR77" s="26"/>
      <c r="LYS77" s="26"/>
      <c r="LYT77" s="26"/>
      <c r="LYU77" s="26"/>
      <c r="LYV77" s="22"/>
      <c r="LYW77" s="167"/>
      <c r="LYX77" s="30"/>
      <c r="LYY77" s="25"/>
      <c r="LYZ77" s="178"/>
      <c r="LZA77" s="26"/>
      <c r="LZB77" s="26"/>
      <c r="LZC77" s="26"/>
      <c r="LZD77" s="26"/>
      <c r="LZE77" s="26"/>
      <c r="LZF77" s="26"/>
      <c r="LZG77" s="58"/>
      <c r="LZH77" s="26"/>
      <c r="LZI77" s="26"/>
      <c r="LZJ77" s="26"/>
      <c r="LZK77" s="26"/>
      <c r="LZL77" s="22"/>
      <c r="LZM77" s="167"/>
      <c r="LZN77" s="30"/>
      <c r="LZO77" s="25"/>
      <c r="LZP77" s="178"/>
      <c r="LZQ77" s="26"/>
      <c r="LZR77" s="26"/>
      <c r="LZS77" s="26"/>
      <c r="LZT77" s="26"/>
      <c r="LZU77" s="26"/>
      <c r="LZV77" s="26"/>
      <c r="LZW77" s="58"/>
      <c r="LZX77" s="26"/>
      <c r="LZY77" s="26"/>
      <c r="LZZ77" s="26"/>
      <c r="MAA77" s="26"/>
      <c r="MAB77" s="22"/>
      <c r="MAC77" s="167"/>
      <c r="MAD77" s="30"/>
      <c r="MAE77" s="25"/>
      <c r="MAF77" s="178"/>
      <c r="MAG77" s="26"/>
      <c r="MAH77" s="26"/>
      <c r="MAI77" s="26"/>
      <c r="MAJ77" s="26"/>
      <c r="MAK77" s="26"/>
      <c r="MAL77" s="26"/>
      <c r="MAM77" s="58"/>
      <c r="MAN77" s="26"/>
      <c r="MAO77" s="26"/>
      <c r="MAP77" s="26"/>
      <c r="MAQ77" s="26"/>
      <c r="MAR77" s="22"/>
      <c r="MAS77" s="167"/>
      <c r="MAT77" s="30"/>
      <c r="MAU77" s="25"/>
      <c r="MAV77" s="178"/>
      <c r="MAW77" s="26"/>
      <c r="MAX77" s="26"/>
      <c r="MAY77" s="26"/>
      <c r="MAZ77" s="26"/>
      <c r="MBA77" s="26"/>
      <c r="MBB77" s="26"/>
      <c r="MBC77" s="58"/>
      <c r="MBD77" s="26"/>
      <c r="MBE77" s="26"/>
      <c r="MBF77" s="26"/>
      <c r="MBG77" s="26"/>
      <c r="MBH77" s="22"/>
      <c r="MBI77" s="167"/>
      <c r="MBJ77" s="30"/>
      <c r="MBK77" s="25"/>
      <c r="MBL77" s="178"/>
      <c r="MBM77" s="26"/>
      <c r="MBN77" s="26"/>
      <c r="MBO77" s="26"/>
      <c r="MBP77" s="26"/>
      <c r="MBQ77" s="26"/>
      <c r="MBR77" s="26"/>
      <c r="MBS77" s="58"/>
      <c r="MBT77" s="26"/>
      <c r="MBU77" s="26"/>
      <c r="MBV77" s="26"/>
      <c r="MBW77" s="26"/>
      <c r="MBX77" s="22"/>
      <c r="MBY77" s="167"/>
      <c r="MBZ77" s="30"/>
      <c r="MCA77" s="25"/>
      <c r="MCB77" s="178"/>
      <c r="MCC77" s="26"/>
      <c r="MCD77" s="26"/>
      <c r="MCE77" s="26"/>
      <c r="MCF77" s="26"/>
      <c r="MCG77" s="26"/>
      <c r="MCH77" s="26"/>
      <c r="MCI77" s="58"/>
      <c r="MCJ77" s="26"/>
      <c r="MCK77" s="26"/>
      <c r="MCL77" s="26"/>
      <c r="MCM77" s="26"/>
      <c r="MCN77" s="22"/>
      <c r="MCO77" s="167"/>
      <c r="MCP77" s="30"/>
      <c r="MCQ77" s="25"/>
      <c r="MCR77" s="178"/>
      <c r="MCS77" s="26"/>
      <c r="MCT77" s="26"/>
      <c r="MCU77" s="26"/>
      <c r="MCV77" s="26"/>
      <c r="MCW77" s="26"/>
      <c r="MCX77" s="26"/>
      <c r="MCY77" s="58"/>
      <c r="MCZ77" s="26"/>
      <c r="MDA77" s="26"/>
      <c r="MDB77" s="26"/>
      <c r="MDC77" s="26"/>
      <c r="MDD77" s="22"/>
      <c r="MDE77" s="167"/>
      <c r="MDF77" s="30"/>
      <c r="MDG77" s="25"/>
      <c r="MDH77" s="178"/>
      <c r="MDI77" s="26"/>
      <c r="MDJ77" s="26"/>
      <c r="MDK77" s="26"/>
      <c r="MDL77" s="26"/>
      <c r="MDM77" s="26"/>
      <c r="MDN77" s="26"/>
      <c r="MDO77" s="58"/>
      <c r="MDP77" s="26"/>
      <c r="MDQ77" s="26"/>
      <c r="MDR77" s="26"/>
      <c r="MDS77" s="26"/>
      <c r="MDT77" s="22"/>
      <c r="MDU77" s="167"/>
      <c r="MDV77" s="30"/>
      <c r="MDW77" s="25"/>
      <c r="MDX77" s="178"/>
      <c r="MDY77" s="26"/>
      <c r="MDZ77" s="26"/>
      <c r="MEA77" s="26"/>
      <c r="MEB77" s="26"/>
      <c r="MEC77" s="26"/>
      <c r="MED77" s="26"/>
      <c r="MEE77" s="58"/>
      <c r="MEF77" s="26"/>
      <c r="MEG77" s="26"/>
      <c r="MEH77" s="26"/>
      <c r="MEI77" s="26"/>
      <c r="MEJ77" s="22"/>
      <c r="MEK77" s="167"/>
      <c r="MEL77" s="30"/>
      <c r="MEM77" s="25"/>
      <c r="MEN77" s="178"/>
      <c r="MEO77" s="26"/>
      <c r="MEP77" s="26"/>
      <c r="MEQ77" s="26"/>
      <c r="MER77" s="26"/>
      <c r="MES77" s="26"/>
      <c r="MET77" s="26"/>
      <c r="MEU77" s="58"/>
      <c r="MEV77" s="26"/>
      <c r="MEW77" s="26"/>
      <c r="MEX77" s="26"/>
      <c r="MEY77" s="26"/>
      <c r="MEZ77" s="22"/>
      <c r="MFA77" s="167"/>
      <c r="MFB77" s="30"/>
      <c r="MFC77" s="25"/>
      <c r="MFD77" s="178"/>
      <c r="MFE77" s="26"/>
      <c r="MFF77" s="26"/>
      <c r="MFG77" s="26"/>
      <c r="MFH77" s="26"/>
      <c r="MFI77" s="26"/>
      <c r="MFJ77" s="26"/>
      <c r="MFK77" s="58"/>
      <c r="MFL77" s="26"/>
      <c r="MFM77" s="26"/>
      <c r="MFN77" s="26"/>
      <c r="MFO77" s="26"/>
      <c r="MFP77" s="22"/>
      <c r="MFQ77" s="167"/>
      <c r="MFR77" s="30"/>
      <c r="MFS77" s="25"/>
      <c r="MFT77" s="178"/>
      <c r="MFU77" s="26"/>
      <c r="MFV77" s="26"/>
      <c r="MFW77" s="26"/>
      <c r="MFX77" s="26"/>
      <c r="MFY77" s="26"/>
      <c r="MFZ77" s="26"/>
      <c r="MGA77" s="58"/>
      <c r="MGB77" s="26"/>
      <c r="MGC77" s="26"/>
      <c r="MGD77" s="26"/>
      <c r="MGE77" s="26"/>
      <c r="MGF77" s="22"/>
      <c r="MGG77" s="167"/>
      <c r="MGH77" s="30"/>
      <c r="MGI77" s="25"/>
      <c r="MGJ77" s="178"/>
      <c r="MGK77" s="26"/>
      <c r="MGL77" s="26"/>
      <c r="MGM77" s="26"/>
      <c r="MGN77" s="26"/>
      <c r="MGO77" s="26"/>
      <c r="MGP77" s="26"/>
      <c r="MGQ77" s="58"/>
      <c r="MGR77" s="26"/>
      <c r="MGS77" s="26"/>
      <c r="MGT77" s="26"/>
      <c r="MGU77" s="26"/>
      <c r="MGV77" s="22"/>
      <c r="MGW77" s="167"/>
      <c r="MGX77" s="30"/>
      <c r="MGY77" s="25"/>
      <c r="MGZ77" s="178"/>
      <c r="MHA77" s="26"/>
      <c r="MHB77" s="26"/>
      <c r="MHC77" s="26"/>
      <c r="MHD77" s="26"/>
      <c r="MHE77" s="26"/>
      <c r="MHF77" s="26"/>
      <c r="MHG77" s="58"/>
      <c r="MHH77" s="26"/>
      <c r="MHI77" s="26"/>
      <c r="MHJ77" s="26"/>
      <c r="MHK77" s="26"/>
      <c r="MHL77" s="22"/>
      <c r="MHM77" s="167"/>
      <c r="MHN77" s="30"/>
      <c r="MHO77" s="25"/>
      <c r="MHP77" s="178"/>
      <c r="MHQ77" s="26"/>
      <c r="MHR77" s="26"/>
      <c r="MHS77" s="26"/>
      <c r="MHT77" s="26"/>
      <c r="MHU77" s="26"/>
      <c r="MHV77" s="26"/>
      <c r="MHW77" s="58"/>
      <c r="MHX77" s="26"/>
      <c r="MHY77" s="26"/>
      <c r="MHZ77" s="26"/>
      <c r="MIA77" s="26"/>
      <c r="MIB77" s="22"/>
      <c r="MIC77" s="167"/>
      <c r="MID77" s="30"/>
      <c r="MIE77" s="25"/>
      <c r="MIF77" s="178"/>
      <c r="MIG77" s="26"/>
      <c r="MIH77" s="26"/>
      <c r="MII77" s="26"/>
      <c r="MIJ77" s="26"/>
      <c r="MIK77" s="26"/>
      <c r="MIL77" s="26"/>
      <c r="MIM77" s="58"/>
      <c r="MIN77" s="26"/>
      <c r="MIO77" s="26"/>
      <c r="MIP77" s="26"/>
      <c r="MIQ77" s="26"/>
      <c r="MIR77" s="22"/>
      <c r="MIS77" s="167"/>
      <c r="MIT77" s="30"/>
      <c r="MIU77" s="25"/>
      <c r="MIV77" s="178"/>
      <c r="MIW77" s="26"/>
      <c r="MIX77" s="26"/>
      <c r="MIY77" s="26"/>
      <c r="MIZ77" s="26"/>
      <c r="MJA77" s="26"/>
      <c r="MJB77" s="26"/>
      <c r="MJC77" s="58"/>
      <c r="MJD77" s="26"/>
      <c r="MJE77" s="26"/>
      <c r="MJF77" s="26"/>
      <c r="MJG77" s="26"/>
      <c r="MJH77" s="22"/>
      <c r="MJI77" s="167"/>
      <c r="MJJ77" s="30"/>
      <c r="MJK77" s="25"/>
      <c r="MJL77" s="178"/>
      <c r="MJM77" s="26"/>
      <c r="MJN77" s="26"/>
      <c r="MJO77" s="26"/>
      <c r="MJP77" s="26"/>
      <c r="MJQ77" s="26"/>
      <c r="MJR77" s="26"/>
      <c r="MJS77" s="58"/>
      <c r="MJT77" s="26"/>
      <c r="MJU77" s="26"/>
      <c r="MJV77" s="26"/>
      <c r="MJW77" s="26"/>
      <c r="MJX77" s="22"/>
      <c r="MJY77" s="167"/>
      <c r="MJZ77" s="30"/>
      <c r="MKA77" s="25"/>
      <c r="MKB77" s="178"/>
      <c r="MKC77" s="26"/>
      <c r="MKD77" s="26"/>
      <c r="MKE77" s="26"/>
      <c r="MKF77" s="26"/>
      <c r="MKG77" s="26"/>
      <c r="MKH77" s="26"/>
      <c r="MKI77" s="58"/>
      <c r="MKJ77" s="26"/>
      <c r="MKK77" s="26"/>
      <c r="MKL77" s="26"/>
      <c r="MKM77" s="26"/>
      <c r="MKN77" s="22"/>
      <c r="MKO77" s="167"/>
      <c r="MKP77" s="30"/>
      <c r="MKQ77" s="25"/>
      <c r="MKR77" s="178"/>
      <c r="MKS77" s="26"/>
      <c r="MKT77" s="26"/>
      <c r="MKU77" s="26"/>
      <c r="MKV77" s="26"/>
      <c r="MKW77" s="26"/>
      <c r="MKX77" s="26"/>
      <c r="MKY77" s="58"/>
      <c r="MKZ77" s="26"/>
      <c r="MLA77" s="26"/>
      <c r="MLB77" s="26"/>
      <c r="MLC77" s="26"/>
      <c r="MLD77" s="22"/>
      <c r="MLE77" s="167"/>
      <c r="MLF77" s="30"/>
      <c r="MLG77" s="25"/>
      <c r="MLH77" s="178"/>
      <c r="MLI77" s="26"/>
      <c r="MLJ77" s="26"/>
      <c r="MLK77" s="26"/>
      <c r="MLL77" s="26"/>
      <c r="MLM77" s="26"/>
      <c r="MLN77" s="26"/>
      <c r="MLO77" s="58"/>
      <c r="MLP77" s="26"/>
      <c r="MLQ77" s="26"/>
      <c r="MLR77" s="26"/>
      <c r="MLS77" s="26"/>
      <c r="MLT77" s="22"/>
      <c r="MLU77" s="167"/>
      <c r="MLV77" s="30"/>
      <c r="MLW77" s="25"/>
      <c r="MLX77" s="178"/>
      <c r="MLY77" s="26"/>
      <c r="MLZ77" s="26"/>
      <c r="MMA77" s="26"/>
      <c r="MMB77" s="26"/>
      <c r="MMC77" s="26"/>
      <c r="MMD77" s="26"/>
      <c r="MME77" s="58"/>
      <c r="MMF77" s="26"/>
      <c r="MMG77" s="26"/>
      <c r="MMH77" s="26"/>
      <c r="MMI77" s="26"/>
      <c r="MMJ77" s="22"/>
      <c r="MMK77" s="167"/>
      <c r="MML77" s="30"/>
      <c r="MMM77" s="25"/>
      <c r="MMN77" s="178"/>
      <c r="MMO77" s="26"/>
      <c r="MMP77" s="26"/>
      <c r="MMQ77" s="26"/>
      <c r="MMR77" s="26"/>
      <c r="MMS77" s="26"/>
      <c r="MMT77" s="26"/>
      <c r="MMU77" s="58"/>
      <c r="MMV77" s="26"/>
      <c r="MMW77" s="26"/>
      <c r="MMX77" s="26"/>
      <c r="MMY77" s="26"/>
      <c r="MMZ77" s="22"/>
      <c r="MNA77" s="167"/>
      <c r="MNB77" s="30"/>
      <c r="MNC77" s="25"/>
      <c r="MND77" s="178"/>
      <c r="MNE77" s="26"/>
      <c r="MNF77" s="26"/>
      <c r="MNG77" s="26"/>
      <c r="MNH77" s="26"/>
      <c r="MNI77" s="26"/>
      <c r="MNJ77" s="26"/>
      <c r="MNK77" s="58"/>
      <c r="MNL77" s="26"/>
      <c r="MNM77" s="26"/>
      <c r="MNN77" s="26"/>
      <c r="MNO77" s="26"/>
      <c r="MNP77" s="22"/>
      <c r="MNQ77" s="167"/>
      <c r="MNR77" s="30"/>
      <c r="MNS77" s="25"/>
      <c r="MNT77" s="178"/>
      <c r="MNU77" s="26"/>
      <c r="MNV77" s="26"/>
      <c r="MNW77" s="26"/>
      <c r="MNX77" s="26"/>
      <c r="MNY77" s="26"/>
      <c r="MNZ77" s="26"/>
      <c r="MOA77" s="58"/>
      <c r="MOB77" s="26"/>
      <c r="MOC77" s="26"/>
      <c r="MOD77" s="26"/>
      <c r="MOE77" s="26"/>
      <c r="MOF77" s="22"/>
      <c r="MOG77" s="167"/>
      <c r="MOH77" s="30"/>
      <c r="MOI77" s="25"/>
      <c r="MOJ77" s="178"/>
      <c r="MOK77" s="26"/>
      <c r="MOL77" s="26"/>
      <c r="MOM77" s="26"/>
      <c r="MON77" s="26"/>
      <c r="MOO77" s="26"/>
      <c r="MOP77" s="26"/>
      <c r="MOQ77" s="58"/>
      <c r="MOR77" s="26"/>
      <c r="MOS77" s="26"/>
      <c r="MOT77" s="26"/>
      <c r="MOU77" s="26"/>
      <c r="MOV77" s="22"/>
      <c r="MOW77" s="167"/>
      <c r="MOX77" s="30"/>
      <c r="MOY77" s="25"/>
      <c r="MOZ77" s="178"/>
      <c r="MPA77" s="26"/>
      <c r="MPB77" s="26"/>
      <c r="MPC77" s="26"/>
      <c r="MPD77" s="26"/>
      <c r="MPE77" s="26"/>
      <c r="MPF77" s="26"/>
      <c r="MPG77" s="58"/>
      <c r="MPH77" s="26"/>
      <c r="MPI77" s="26"/>
      <c r="MPJ77" s="26"/>
      <c r="MPK77" s="26"/>
      <c r="MPL77" s="22"/>
      <c r="MPM77" s="167"/>
      <c r="MPN77" s="30"/>
      <c r="MPO77" s="25"/>
      <c r="MPP77" s="178"/>
      <c r="MPQ77" s="26"/>
      <c r="MPR77" s="26"/>
      <c r="MPS77" s="26"/>
      <c r="MPT77" s="26"/>
      <c r="MPU77" s="26"/>
      <c r="MPV77" s="26"/>
      <c r="MPW77" s="58"/>
      <c r="MPX77" s="26"/>
      <c r="MPY77" s="26"/>
      <c r="MPZ77" s="26"/>
      <c r="MQA77" s="26"/>
      <c r="MQB77" s="22"/>
      <c r="MQC77" s="167"/>
      <c r="MQD77" s="30"/>
      <c r="MQE77" s="25"/>
      <c r="MQF77" s="178"/>
      <c r="MQG77" s="26"/>
      <c r="MQH77" s="26"/>
      <c r="MQI77" s="26"/>
      <c r="MQJ77" s="26"/>
      <c r="MQK77" s="26"/>
      <c r="MQL77" s="26"/>
      <c r="MQM77" s="58"/>
      <c r="MQN77" s="26"/>
      <c r="MQO77" s="26"/>
      <c r="MQP77" s="26"/>
      <c r="MQQ77" s="26"/>
      <c r="MQR77" s="22"/>
      <c r="MQS77" s="167"/>
      <c r="MQT77" s="30"/>
      <c r="MQU77" s="25"/>
      <c r="MQV77" s="178"/>
      <c r="MQW77" s="26"/>
      <c r="MQX77" s="26"/>
      <c r="MQY77" s="26"/>
      <c r="MQZ77" s="26"/>
      <c r="MRA77" s="26"/>
      <c r="MRB77" s="26"/>
      <c r="MRC77" s="58"/>
      <c r="MRD77" s="26"/>
      <c r="MRE77" s="26"/>
      <c r="MRF77" s="26"/>
      <c r="MRG77" s="26"/>
      <c r="MRH77" s="22"/>
      <c r="MRI77" s="167"/>
      <c r="MRJ77" s="30"/>
      <c r="MRK77" s="25"/>
      <c r="MRL77" s="178"/>
      <c r="MRM77" s="26"/>
      <c r="MRN77" s="26"/>
      <c r="MRO77" s="26"/>
      <c r="MRP77" s="26"/>
      <c r="MRQ77" s="26"/>
      <c r="MRR77" s="26"/>
      <c r="MRS77" s="58"/>
      <c r="MRT77" s="26"/>
      <c r="MRU77" s="26"/>
      <c r="MRV77" s="26"/>
      <c r="MRW77" s="26"/>
      <c r="MRX77" s="22"/>
      <c r="MRY77" s="167"/>
      <c r="MRZ77" s="30"/>
      <c r="MSA77" s="25"/>
      <c r="MSB77" s="178"/>
      <c r="MSC77" s="26"/>
      <c r="MSD77" s="26"/>
      <c r="MSE77" s="26"/>
      <c r="MSF77" s="26"/>
      <c r="MSG77" s="26"/>
      <c r="MSH77" s="26"/>
      <c r="MSI77" s="58"/>
      <c r="MSJ77" s="26"/>
      <c r="MSK77" s="26"/>
      <c r="MSL77" s="26"/>
      <c r="MSM77" s="26"/>
      <c r="MSN77" s="22"/>
      <c r="MSO77" s="167"/>
      <c r="MSP77" s="30"/>
      <c r="MSQ77" s="25"/>
      <c r="MSR77" s="178"/>
      <c r="MSS77" s="26"/>
      <c r="MST77" s="26"/>
      <c r="MSU77" s="26"/>
      <c r="MSV77" s="26"/>
      <c r="MSW77" s="26"/>
      <c r="MSX77" s="26"/>
      <c r="MSY77" s="58"/>
      <c r="MSZ77" s="26"/>
      <c r="MTA77" s="26"/>
      <c r="MTB77" s="26"/>
      <c r="MTC77" s="26"/>
      <c r="MTD77" s="22"/>
      <c r="MTE77" s="167"/>
      <c r="MTF77" s="30"/>
      <c r="MTG77" s="25"/>
      <c r="MTH77" s="178"/>
      <c r="MTI77" s="26"/>
      <c r="MTJ77" s="26"/>
      <c r="MTK77" s="26"/>
      <c r="MTL77" s="26"/>
      <c r="MTM77" s="26"/>
      <c r="MTN77" s="26"/>
      <c r="MTO77" s="58"/>
      <c r="MTP77" s="26"/>
      <c r="MTQ77" s="26"/>
      <c r="MTR77" s="26"/>
      <c r="MTS77" s="26"/>
      <c r="MTT77" s="22"/>
      <c r="MTU77" s="167"/>
      <c r="MTV77" s="30"/>
      <c r="MTW77" s="25"/>
      <c r="MTX77" s="178"/>
      <c r="MTY77" s="26"/>
      <c r="MTZ77" s="26"/>
      <c r="MUA77" s="26"/>
      <c r="MUB77" s="26"/>
      <c r="MUC77" s="26"/>
      <c r="MUD77" s="26"/>
      <c r="MUE77" s="58"/>
      <c r="MUF77" s="26"/>
      <c r="MUG77" s="26"/>
      <c r="MUH77" s="26"/>
      <c r="MUI77" s="26"/>
      <c r="MUJ77" s="22"/>
      <c r="MUK77" s="167"/>
      <c r="MUL77" s="30"/>
      <c r="MUM77" s="25"/>
      <c r="MUN77" s="178"/>
      <c r="MUO77" s="26"/>
      <c r="MUP77" s="26"/>
      <c r="MUQ77" s="26"/>
      <c r="MUR77" s="26"/>
      <c r="MUS77" s="26"/>
      <c r="MUT77" s="26"/>
      <c r="MUU77" s="58"/>
      <c r="MUV77" s="26"/>
      <c r="MUW77" s="26"/>
      <c r="MUX77" s="26"/>
      <c r="MUY77" s="26"/>
      <c r="MUZ77" s="22"/>
      <c r="MVA77" s="167"/>
      <c r="MVB77" s="30"/>
      <c r="MVC77" s="25"/>
      <c r="MVD77" s="178"/>
      <c r="MVE77" s="26"/>
      <c r="MVF77" s="26"/>
      <c r="MVG77" s="26"/>
      <c r="MVH77" s="26"/>
      <c r="MVI77" s="26"/>
      <c r="MVJ77" s="26"/>
      <c r="MVK77" s="58"/>
      <c r="MVL77" s="26"/>
      <c r="MVM77" s="26"/>
      <c r="MVN77" s="26"/>
      <c r="MVO77" s="26"/>
      <c r="MVP77" s="22"/>
      <c r="MVQ77" s="167"/>
      <c r="MVR77" s="30"/>
      <c r="MVS77" s="25"/>
      <c r="MVT77" s="178"/>
      <c r="MVU77" s="26"/>
      <c r="MVV77" s="26"/>
      <c r="MVW77" s="26"/>
      <c r="MVX77" s="26"/>
      <c r="MVY77" s="26"/>
      <c r="MVZ77" s="26"/>
      <c r="MWA77" s="58"/>
      <c r="MWB77" s="26"/>
      <c r="MWC77" s="26"/>
      <c r="MWD77" s="26"/>
      <c r="MWE77" s="26"/>
      <c r="MWF77" s="22"/>
      <c r="MWG77" s="167"/>
      <c r="MWH77" s="30"/>
      <c r="MWI77" s="25"/>
      <c r="MWJ77" s="178"/>
      <c r="MWK77" s="26"/>
      <c r="MWL77" s="26"/>
      <c r="MWM77" s="26"/>
      <c r="MWN77" s="26"/>
      <c r="MWO77" s="26"/>
      <c r="MWP77" s="26"/>
      <c r="MWQ77" s="58"/>
      <c r="MWR77" s="26"/>
      <c r="MWS77" s="26"/>
      <c r="MWT77" s="26"/>
      <c r="MWU77" s="26"/>
      <c r="MWV77" s="22"/>
      <c r="MWW77" s="167"/>
      <c r="MWX77" s="30"/>
      <c r="MWY77" s="25"/>
      <c r="MWZ77" s="178"/>
      <c r="MXA77" s="26"/>
      <c r="MXB77" s="26"/>
      <c r="MXC77" s="26"/>
      <c r="MXD77" s="26"/>
      <c r="MXE77" s="26"/>
      <c r="MXF77" s="26"/>
      <c r="MXG77" s="58"/>
      <c r="MXH77" s="26"/>
      <c r="MXI77" s="26"/>
      <c r="MXJ77" s="26"/>
      <c r="MXK77" s="26"/>
      <c r="MXL77" s="22"/>
      <c r="MXM77" s="167"/>
      <c r="MXN77" s="30"/>
      <c r="MXO77" s="25"/>
      <c r="MXP77" s="178"/>
      <c r="MXQ77" s="26"/>
      <c r="MXR77" s="26"/>
      <c r="MXS77" s="26"/>
      <c r="MXT77" s="26"/>
      <c r="MXU77" s="26"/>
      <c r="MXV77" s="26"/>
      <c r="MXW77" s="58"/>
      <c r="MXX77" s="26"/>
      <c r="MXY77" s="26"/>
      <c r="MXZ77" s="26"/>
      <c r="MYA77" s="26"/>
      <c r="MYB77" s="22"/>
      <c r="MYC77" s="167"/>
      <c r="MYD77" s="30"/>
      <c r="MYE77" s="25"/>
      <c r="MYF77" s="178"/>
      <c r="MYG77" s="26"/>
      <c r="MYH77" s="26"/>
      <c r="MYI77" s="26"/>
      <c r="MYJ77" s="26"/>
      <c r="MYK77" s="26"/>
      <c r="MYL77" s="26"/>
      <c r="MYM77" s="58"/>
      <c r="MYN77" s="26"/>
      <c r="MYO77" s="26"/>
      <c r="MYP77" s="26"/>
      <c r="MYQ77" s="26"/>
      <c r="MYR77" s="22"/>
      <c r="MYS77" s="167"/>
      <c r="MYT77" s="30"/>
      <c r="MYU77" s="25"/>
      <c r="MYV77" s="178"/>
      <c r="MYW77" s="26"/>
      <c r="MYX77" s="26"/>
      <c r="MYY77" s="26"/>
      <c r="MYZ77" s="26"/>
      <c r="MZA77" s="26"/>
      <c r="MZB77" s="26"/>
      <c r="MZC77" s="58"/>
      <c r="MZD77" s="26"/>
      <c r="MZE77" s="26"/>
      <c r="MZF77" s="26"/>
      <c r="MZG77" s="26"/>
      <c r="MZH77" s="22"/>
      <c r="MZI77" s="167"/>
      <c r="MZJ77" s="30"/>
      <c r="MZK77" s="25"/>
      <c r="MZL77" s="178"/>
      <c r="MZM77" s="26"/>
      <c r="MZN77" s="26"/>
      <c r="MZO77" s="26"/>
      <c r="MZP77" s="26"/>
      <c r="MZQ77" s="26"/>
      <c r="MZR77" s="26"/>
      <c r="MZS77" s="58"/>
      <c r="MZT77" s="26"/>
      <c r="MZU77" s="26"/>
      <c r="MZV77" s="26"/>
      <c r="MZW77" s="26"/>
      <c r="MZX77" s="22"/>
      <c r="MZY77" s="167"/>
      <c r="MZZ77" s="30"/>
      <c r="NAA77" s="25"/>
      <c r="NAB77" s="178"/>
      <c r="NAC77" s="26"/>
      <c r="NAD77" s="26"/>
      <c r="NAE77" s="26"/>
      <c r="NAF77" s="26"/>
      <c r="NAG77" s="26"/>
      <c r="NAH77" s="26"/>
      <c r="NAI77" s="58"/>
      <c r="NAJ77" s="26"/>
      <c r="NAK77" s="26"/>
      <c r="NAL77" s="26"/>
      <c r="NAM77" s="26"/>
      <c r="NAN77" s="22"/>
      <c r="NAO77" s="167"/>
      <c r="NAP77" s="30"/>
      <c r="NAQ77" s="25"/>
      <c r="NAR77" s="178"/>
      <c r="NAS77" s="26"/>
      <c r="NAT77" s="26"/>
      <c r="NAU77" s="26"/>
      <c r="NAV77" s="26"/>
      <c r="NAW77" s="26"/>
      <c r="NAX77" s="26"/>
      <c r="NAY77" s="58"/>
      <c r="NAZ77" s="26"/>
      <c r="NBA77" s="26"/>
      <c r="NBB77" s="26"/>
      <c r="NBC77" s="26"/>
      <c r="NBD77" s="22"/>
      <c r="NBE77" s="167"/>
      <c r="NBF77" s="30"/>
      <c r="NBG77" s="25"/>
      <c r="NBH77" s="178"/>
      <c r="NBI77" s="26"/>
      <c r="NBJ77" s="26"/>
      <c r="NBK77" s="26"/>
      <c r="NBL77" s="26"/>
      <c r="NBM77" s="26"/>
      <c r="NBN77" s="26"/>
      <c r="NBO77" s="58"/>
      <c r="NBP77" s="26"/>
      <c r="NBQ77" s="26"/>
      <c r="NBR77" s="26"/>
      <c r="NBS77" s="26"/>
      <c r="NBT77" s="22"/>
      <c r="NBU77" s="167"/>
      <c r="NBV77" s="30"/>
      <c r="NBW77" s="25"/>
      <c r="NBX77" s="178"/>
      <c r="NBY77" s="26"/>
      <c r="NBZ77" s="26"/>
      <c r="NCA77" s="26"/>
      <c r="NCB77" s="26"/>
      <c r="NCC77" s="26"/>
      <c r="NCD77" s="26"/>
      <c r="NCE77" s="58"/>
      <c r="NCF77" s="26"/>
      <c r="NCG77" s="26"/>
      <c r="NCH77" s="26"/>
      <c r="NCI77" s="26"/>
      <c r="NCJ77" s="22"/>
      <c r="NCK77" s="167"/>
      <c r="NCL77" s="30"/>
      <c r="NCM77" s="25"/>
      <c r="NCN77" s="178"/>
      <c r="NCO77" s="26"/>
      <c r="NCP77" s="26"/>
      <c r="NCQ77" s="26"/>
      <c r="NCR77" s="26"/>
      <c r="NCS77" s="26"/>
      <c r="NCT77" s="26"/>
      <c r="NCU77" s="58"/>
      <c r="NCV77" s="26"/>
      <c r="NCW77" s="26"/>
      <c r="NCX77" s="26"/>
      <c r="NCY77" s="26"/>
      <c r="NCZ77" s="22"/>
      <c r="NDA77" s="167"/>
      <c r="NDB77" s="30"/>
      <c r="NDC77" s="25"/>
      <c r="NDD77" s="178"/>
      <c r="NDE77" s="26"/>
      <c r="NDF77" s="26"/>
      <c r="NDG77" s="26"/>
      <c r="NDH77" s="26"/>
      <c r="NDI77" s="26"/>
      <c r="NDJ77" s="26"/>
      <c r="NDK77" s="58"/>
      <c r="NDL77" s="26"/>
      <c r="NDM77" s="26"/>
      <c r="NDN77" s="26"/>
      <c r="NDO77" s="26"/>
      <c r="NDP77" s="22"/>
      <c r="NDQ77" s="167"/>
      <c r="NDR77" s="30"/>
      <c r="NDS77" s="25"/>
      <c r="NDT77" s="178"/>
      <c r="NDU77" s="26"/>
      <c r="NDV77" s="26"/>
      <c r="NDW77" s="26"/>
      <c r="NDX77" s="26"/>
      <c r="NDY77" s="26"/>
      <c r="NDZ77" s="26"/>
      <c r="NEA77" s="58"/>
      <c r="NEB77" s="26"/>
      <c r="NEC77" s="26"/>
      <c r="NED77" s="26"/>
      <c r="NEE77" s="26"/>
      <c r="NEF77" s="22"/>
      <c r="NEG77" s="167"/>
      <c r="NEH77" s="30"/>
      <c r="NEI77" s="25"/>
      <c r="NEJ77" s="178"/>
      <c r="NEK77" s="26"/>
      <c r="NEL77" s="26"/>
      <c r="NEM77" s="26"/>
      <c r="NEN77" s="26"/>
      <c r="NEO77" s="26"/>
      <c r="NEP77" s="26"/>
      <c r="NEQ77" s="58"/>
      <c r="NER77" s="26"/>
      <c r="NES77" s="26"/>
      <c r="NET77" s="26"/>
      <c r="NEU77" s="26"/>
      <c r="NEV77" s="22"/>
      <c r="NEW77" s="167"/>
      <c r="NEX77" s="30"/>
      <c r="NEY77" s="25"/>
      <c r="NEZ77" s="178"/>
      <c r="NFA77" s="26"/>
      <c r="NFB77" s="26"/>
      <c r="NFC77" s="26"/>
      <c r="NFD77" s="26"/>
      <c r="NFE77" s="26"/>
      <c r="NFF77" s="26"/>
      <c r="NFG77" s="58"/>
      <c r="NFH77" s="26"/>
      <c r="NFI77" s="26"/>
      <c r="NFJ77" s="26"/>
      <c r="NFK77" s="26"/>
      <c r="NFL77" s="22"/>
      <c r="NFM77" s="167"/>
      <c r="NFN77" s="30"/>
      <c r="NFO77" s="25"/>
      <c r="NFP77" s="178"/>
      <c r="NFQ77" s="26"/>
      <c r="NFR77" s="26"/>
      <c r="NFS77" s="26"/>
      <c r="NFT77" s="26"/>
      <c r="NFU77" s="26"/>
      <c r="NFV77" s="26"/>
      <c r="NFW77" s="58"/>
      <c r="NFX77" s="26"/>
      <c r="NFY77" s="26"/>
      <c r="NFZ77" s="26"/>
      <c r="NGA77" s="26"/>
      <c r="NGB77" s="22"/>
      <c r="NGC77" s="167"/>
      <c r="NGD77" s="30"/>
      <c r="NGE77" s="25"/>
      <c r="NGF77" s="178"/>
      <c r="NGG77" s="26"/>
      <c r="NGH77" s="26"/>
      <c r="NGI77" s="26"/>
      <c r="NGJ77" s="26"/>
      <c r="NGK77" s="26"/>
      <c r="NGL77" s="26"/>
      <c r="NGM77" s="58"/>
      <c r="NGN77" s="26"/>
      <c r="NGO77" s="26"/>
      <c r="NGP77" s="26"/>
      <c r="NGQ77" s="26"/>
      <c r="NGR77" s="22"/>
      <c r="NGS77" s="167"/>
      <c r="NGT77" s="30"/>
      <c r="NGU77" s="25"/>
      <c r="NGV77" s="178"/>
      <c r="NGW77" s="26"/>
      <c r="NGX77" s="26"/>
      <c r="NGY77" s="26"/>
      <c r="NGZ77" s="26"/>
      <c r="NHA77" s="26"/>
      <c r="NHB77" s="26"/>
      <c r="NHC77" s="58"/>
      <c r="NHD77" s="26"/>
      <c r="NHE77" s="26"/>
      <c r="NHF77" s="26"/>
      <c r="NHG77" s="26"/>
      <c r="NHH77" s="22"/>
      <c r="NHI77" s="167"/>
      <c r="NHJ77" s="30"/>
      <c r="NHK77" s="25"/>
      <c r="NHL77" s="178"/>
      <c r="NHM77" s="26"/>
      <c r="NHN77" s="26"/>
      <c r="NHO77" s="26"/>
      <c r="NHP77" s="26"/>
      <c r="NHQ77" s="26"/>
      <c r="NHR77" s="26"/>
      <c r="NHS77" s="58"/>
      <c r="NHT77" s="26"/>
      <c r="NHU77" s="26"/>
      <c r="NHV77" s="26"/>
      <c r="NHW77" s="26"/>
      <c r="NHX77" s="22"/>
      <c r="NHY77" s="167"/>
      <c r="NHZ77" s="30"/>
      <c r="NIA77" s="25"/>
      <c r="NIB77" s="178"/>
      <c r="NIC77" s="26"/>
      <c r="NID77" s="26"/>
      <c r="NIE77" s="26"/>
      <c r="NIF77" s="26"/>
      <c r="NIG77" s="26"/>
      <c r="NIH77" s="26"/>
      <c r="NII77" s="58"/>
      <c r="NIJ77" s="26"/>
      <c r="NIK77" s="26"/>
      <c r="NIL77" s="26"/>
      <c r="NIM77" s="26"/>
      <c r="NIN77" s="22"/>
      <c r="NIO77" s="167"/>
      <c r="NIP77" s="30"/>
      <c r="NIQ77" s="25"/>
      <c r="NIR77" s="178"/>
      <c r="NIS77" s="26"/>
      <c r="NIT77" s="26"/>
      <c r="NIU77" s="26"/>
      <c r="NIV77" s="26"/>
      <c r="NIW77" s="26"/>
      <c r="NIX77" s="26"/>
      <c r="NIY77" s="58"/>
      <c r="NIZ77" s="26"/>
      <c r="NJA77" s="26"/>
      <c r="NJB77" s="26"/>
      <c r="NJC77" s="26"/>
      <c r="NJD77" s="22"/>
      <c r="NJE77" s="167"/>
      <c r="NJF77" s="30"/>
      <c r="NJG77" s="25"/>
      <c r="NJH77" s="178"/>
      <c r="NJI77" s="26"/>
      <c r="NJJ77" s="26"/>
      <c r="NJK77" s="26"/>
      <c r="NJL77" s="26"/>
      <c r="NJM77" s="26"/>
      <c r="NJN77" s="26"/>
      <c r="NJO77" s="58"/>
      <c r="NJP77" s="26"/>
      <c r="NJQ77" s="26"/>
      <c r="NJR77" s="26"/>
      <c r="NJS77" s="26"/>
      <c r="NJT77" s="22"/>
      <c r="NJU77" s="167"/>
      <c r="NJV77" s="30"/>
      <c r="NJW77" s="25"/>
      <c r="NJX77" s="178"/>
      <c r="NJY77" s="26"/>
      <c r="NJZ77" s="26"/>
      <c r="NKA77" s="26"/>
      <c r="NKB77" s="26"/>
      <c r="NKC77" s="26"/>
      <c r="NKD77" s="26"/>
      <c r="NKE77" s="58"/>
      <c r="NKF77" s="26"/>
      <c r="NKG77" s="26"/>
      <c r="NKH77" s="26"/>
      <c r="NKI77" s="26"/>
      <c r="NKJ77" s="22"/>
      <c r="NKK77" s="167"/>
      <c r="NKL77" s="30"/>
      <c r="NKM77" s="25"/>
      <c r="NKN77" s="178"/>
      <c r="NKO77" s="26"/>
      <c r="NKP77" s="26"/>
      <c r="NKQ77" s="26"/>
      <c r="NKR77" s="26"/>
      <c r="NKS77" s="26"/>
      <c r="NKT77" s="26"/>
      <c r="NKU77" s="58"/>
      <c r="NKV77" s="26"/>
      <c r="NKW77" s="26"/>
      <c r="NKX77" s="26"/>
      <c r="NKY77" s="26"/>
      <c r="NKZ77" s="22"/>
      <c r="NLA77" s="167"/>
      <c r="NLB77" s="30"/>
      <c r="NLC77" s="25"/>
      <c r="NLD77" s="178"/>
      <c r="NLE77" s="26"/>
      <c r="NLF77" s="26"/>
      <c r="NLG77" s="26"/>
      <c r="NLH77" s="26"/>
      <c r="NLI77" s="26"/>
      <c r="NLJ77" s="26"/>
      <c r="NLK77" s="58"/>
      <c r="NLL77" s="26"/>
      <c r="NLM77" s="26"/>
      <c r="NLN77" s="26"/>
      <c r="NLO77" s="26"/>
      <c r="NLP77" s="22"/>
      <c r="NLQ77" s="167"/>
      <c r="NLR77" s="30"/>
      <c r="NLS77" s="25"/>
      <c r="NLT77" s="178"/>
      <c r="NLU77" s="26"/>
      <c r="NLV77" s="26"/>
      <c r="NLW77" s="26"/>
      <c r="NLX77" s="26"/>
      <c r="NLY77" s="26"/>
      <c r="NLZ77" s="26"/>
      <c r="NMA77" s="58"/>
      <c r="NMB77" s="26"/>
      <c r="NMC77" s="26"/>
      <c r="NMD77" s="26"/>
      <c r="NME77" s="26"/>
      <c r="NMF77" s="22"/>
      <c r="NMG77" s="167"/>
      <c r="NMH77" s="30"/>
      <c r="NMI77" s="25"/>
      <c r="NMJ77" s="178"/>
      <c r="NMK77" s="26"/>
      <c r="NML77" s="26"/>
      <c r="NMM77" s="26"/>
      <c r="NMN77" s="26"/>
      <c r="NMO77" s="26"/>
      <c r="NMP77" s="26"/>
      <c r="NMQ77" s="58"/>
      <c r="NMR77" s="26"/>
      <c r="NMS77" s="26"/>
      <c r="NMT77" s="26"/>
      <c r="NMU77" s="26"/>
      <c r="NMV77" s="22"/>
      <c r="NMW77" s="167"/>
      <c r="NMX77" s="30"/>
      <c r="NMY77" s="25"/>
      <c r="NMZ77" s="178"/>
      <c r="NNA77" s="26"/>
      <c r="NNB77" s="26"/>
      <c r="NNC77" s="26"/>
      <c r="NND77" s="26"/>
      <c r="NNE77" s="26"/>
      <c r="NNF77" s="26"/>
      <c r="NNG77" s="58"/>
      <c r="NNH77" s="26"/>
      <c r="NNI77" s="26"/>
      <c r="NNJ77" s="26"/>
      <c r="NNK77" s="26"/>
      <c r="NNL77" s="22"/>
      <c r="NNM77" s="167"/>
      <c r="NNN77" s="30"/>
      <c r="NNO77" s="25"/>
      <c r="NNP77" s="178"/>
      <c r="NNQ77" s="26"/>
      <c r="NNR77" s="26"/>
      <c r="NNS77" s="26"/>
      <c r="NNT77" s="26"/>
      <c r="NNU77" s="26"/>
      <c r="NNV77" s="26"/>
      <c r="NNW77" s="58"/>
      <c r="NNX77" s="26"/>
      <c r="NNY77" s="26"/>
      <c r="NNZ77" s="26"/>
      <c r="NOA77" s="26"/>
      <c r="NOB77" s="22"/>
      <c r="NOC77" s="167"/>
      <c r="NOD77" s="30"/>
      <c r="NOE77" s="25"/>
      <c r="NOF77" s="178"/>
      <c r="NOG77" s="26"/>
      <c r="NOH77" s="26"/>
      <c r="NOI77" s="26"/>
      <c r="NOJ77" s="26"/>
      <c r="NOK77" s="26"/>
      <c r="NOL77" s="26"/>
      <c r="NOM77" s="58"/>
      <c r="NON77" s="26"/>
      <c r="NOO77" s="26"/>
      <c r="NOP77" s="26"/>
      <c r="NOQ77" s="26"/>
      <c r="NOR77" s="22"/>
      <c r="NOS77" s="167"/>
      <c r="NOT77" s="30"/>
      <c r="NOU77" s="25"/>
      <c r="NOV77" s="178"/>
      <c r="NOW77" s="26"/>
      <c r="NOX77" s="26"/>
      <c r="NOY77" s="26"/>
      <c r="NOZ77" s="26"/>
      <c r="NPA77" s="26"/>
      <c r="NPB77" s="26"/>
      <c r="NPC77" s="58"/>
      <c r="NPD77" s="26"/>
      <c r="NPE77" s="26"/>
      <c r="NPF77" s="26"/>
      <c r="NPG77" s="26"/>
      <c r="NPH77" s="22"/>
      <c r="NPI77" s="167"/>
      <c r="NPJ77" s="30"/>
      <c r="NPK77" s="25"/>
      <c r="NPL77" s="178"/>
      <c r="NPM77" s="26"/>
      <c r="NPN77" s="26"/>
      <c r="NPO77" s="26"/>
      <c r="NPP77" s="26"/>
      <c r="NPQ77" s="26"/>
      <c r="NPR77" s="26"/>
      <c r="NPS77" s="58"/>
      <c r="NPT77" s="26"/>
      <c r="NPU77" s="26"/>
      <c r="NPV77" s="26"/>
      <c r="NPW77" s="26"/>
      <c r="NPX77" s="22"/>
      <c r="NPY77" s="167"/>
      <c r="NPZ77" s="30"/>
      <c r="NQA77" s="25"/>
      <c r="NQB77" s="178"/>
      <c r="NQC77" s="26"/>
      <c r="NQD77" s="26"/>
      <c r="NQE77" s="26"/>
      <c r="NQF77" s="26"/>
      <c r="NQG77" s="26"/>
      <c r="NQH77" s="26"/>
      <c r="NQI77" s="58"/>
      <c r="NQJ77" s="26"/>
      <c r="NQK77" s="26"/>
      <c r="NQL77" s="26"/>
      <c r="NQM77" s="26"/>
      <c r="NQN77" s="22"/>
      <c r="NQO77" s="167"/>
      <c r="NQP77" s="30"/>
      <c r="NQQ77" s="25"/>
      <c r="NQR77" s="178"/>
      <c r="NQS77" s="26"/>
      <c r="NQT77" s="26"/>
      <c r="NQU77" s="26"/>
      <c r="NQV77" s="26"/>
      <c r="NQW77" s="26"/>
      <c r="NQX77" s="26"/>
      <c r="NQY77" s="58"/>
      <c r="NQZ77" s="26"/>
      <c r="NRA77" s="26"/>
      <c r="NRB77" s="26"/>
      <c r="NRC77" s="26"/>
      <c r="NRD77" s="22"/>
      <c r="NRE77" s="167"/>
      <c r="NRF77" s="30"/>
      <c r="NRG77" s="25"/>
      <c r="NRH77" s="178"/>
      <c r="NRI77" s="26"/>
      <c r="NRJ77" s="26"/>
      <c r="NRK77" s="26"/>
      <c r="NRL77" s="26"/>
      <c r="NRM77" s="26"/>
      <c r="NRN77" s="26"/>
      <c r="NRO77" s="58"/>
      <c r="NRP77" s="26"/>
      <c r="NRQ77" s="26"/>
      <c r="NRR77" s="26"/>
      <c r="NRS77" s="26"/>
      <c r="NRT77" s="22"/>
      <c r="NRU77" s="167"/>
      <c r="NRV77" s="30"/>
      <c r="NRW77" s="25"/>
      <c r="NRX77" s="178"/>
      <c r="NRY77" s="26"/>
      <c r="NRZ77" s="26"/>
      <c r="NSA77" s="26"/>
      <c r="NSB77" s="26"/>
      <c r="NSC77" s="26"/>
      <c r="NSD77" s="26"/>
      <c r="NSE77" s="58"/>
      <c r="NSF77" s="26"/>
      <c r="NSG77" s="26"/>
      <c r="NSH77" s="26"/>
      <c r="NSI77" s="26"/>
      <c r="NSJ77" s="22"/>
      <c r="NSK77" s="167"/>
      <c r="NSL77" s="30"/>
      <c r="NSM77" s="25"/>
      <c r="NSN77" s="178"/>
      <c r="NSO77" s="26"/>
      <c r="NSP77" s="26"/>
      <c r="NSQ77" s="26"/>
      <c r="NSR77" s="26"/>
      <c r="NSS77" s="26"/>
      <c r="NST77" s="26"/>
      <c r="NSU77" s="58"/>
      <c r="NSV77" s="26"/>
      <c r="NSW77" s="26"/>
      <c r="NSX77" s="26"/>
      <c r="NSY77" s="26"/>
      <c r="NSZ77" s="22"/>
      <c r="NTA77" s="167"/>
      <c r="NTB77" s="30"/>
      <c r="NTC77" s="25"/>
      <c r="NTD77" s="178"/>
      <c r="NTE77" s="26"/>
      <c r="NTF77" s="26"/>
      <c r="NTG77" s="26"/>
      <c r="NTH77" s="26"/>
      <c r="NTI77" s="26"/>
      <c r="NTJ77" s="26"/>
      <c r="NTK77" s="58"/>
      <c r="NTL77" s="26"/>
      <c r="NTM77" s="26"/>
      <c r="NTN77" s="26"/>
      <c r="NTO77" s="26"/>
      <c r="NTP77" s="22"/>
      <c r="NTQ77" s="167"/>
      <c r="NTR77" s="30"/>
      <c r="NTS77" s="25"/>
      <c r="NTT77" s="178"/>
      <c r="NTU77" s="26"/>
      <c r="NTV77" s="26"/>
      <c r="NTW77" s="26"/>
      <c r="NTX77" s="26"/>
      <c r="NTY77" s="26"/>
      <c r="NTZ77" s="26"/>
      <c r="NUA77" s="58"/>
      <c r="NUB77" s="26"/>
      <c r="NUC77" s="26"/>
      <c r="NUD77" s="26"/>
      <c r="NUE77" s="26"/>
      <c r="NUF77" s="22"/>
      <c r="NUG77" s="167"/>
      <c r="NUH77" s="30"/>
      <c r="NUI77" s="25"/>
      <c r="NUJ77" s="178"/>
      <c r="NUK77" s="26"/>
      <c r="NUL77" s="26"/>
      <c r="NUM77" s="26"/>
      <c r="NUN77" s="26"/>
      <c r="NUO77" s="26"/>
      <c r="NUP77" s="26"/>
      <c r="NUQ77" s="58"/>
      <c r="NUR77" s="26"/>
      <c r="NUS77" s="26"/>
      <c r="NUT77" s="26"/>
      <c r="NUU77" s="26"/>
      <c r="NUV77" s="22"/>
      <c r="NUW77" s="167"/>
      <c r="NUX77" s="30"/>
      <c r="NUY77" s="25"/>
      <c r="NUZ77" s="178"/>
      <c r="NVA77" s="26"/>
      <c r="NVB77" s="26"/>
      <c r="NVC77" s="26"/>
      <c r="NVD77" s="26"/>
      <c r="NVE77" s="26"/>
      <c r="NVF77" s="26"/>
      <c r="NVG77" s="58"/>
      <c r="NVH77" s="26"/>
      <c r="NVI77" s="26"/>
      <c r="NVJ77" s="26"/>
      <c r="NVK77" s="26"/>
      <c r="NVL77" s="22"/>
      <c r="NVM77" s="167"/>
      <c r="NVN77" s="30"/>
      <c r="NVO77" s="25"/>
      <c r="NVP77" s="178"/>
      <c r="NVQ77" s="26"/>
      <c r="NVR77" s="26"/>
      <c r="NVS77" s="26"/>
      <c r="NVT77" s="26"/>
      <c r="NVU77" s="26"/>
      <c r="NVV77" s="26"/>
      <c r="NVW77" s="58"/>
      <c r="NVX77" s="26"/>
      <c r="NVY77" s="26"/>
      <c r="NVZ77" s="26"/>
      <c r="NWA77" s="26"/>
      <c r="NWB77" s="22"/>
      <c r="NWC77" s="167"/>
      <c r="NWD77" s="30"/>
      <c r="NWE77" s="25"/>
      <c r="NWF77" s="178"/>
      <c r="NWG77" s="26"/>
      <c r="NWH77" s="26"/>
      <c r="NWI77" s="26"/>
      <c r="NWJ77" s="26"/>
      <c r="NWK77" s="26"/>
      <c r="NWL77" s="26"/>
      <c r="NWM77" s="58"/>
      <c r="NWN77" s="26"/>
      <c r="NWO77" s="26"/>
      <c r="NWP77" s="26"/>
      <c r="NWQ77" s="26"/>
      <c r="NWR77" s="22"/>
      <c r="NWS77" s="167"/>
      <c r="NWT77" s="30"/>
      <c r="NWU77" s="25"/>
      <c r="NWV77" s="178"/>
      <c r="NWW77" s="26"/>
      <c r="NWX77" s="26"/>
      <c r="NWY77" s="26"/>
      <c r="NWZ77" s="26"/>
      <c r="NXA77" s="26"/>
      <c r="NXB77" s="26"/>
      <c r="NXC77" s="58"/>
      <c r="NXD77" s="26"/>
      <c r="NXE77" s="26"/>
      <c r="NXF77" s="26"/>
      <c r="NXG77" s="26"/>
      <c r="NXH77" s="22"/>
      <c r="NXI77" s="167"/>
      <c r="NXJ77" s="30"/>
      <c r="NXK77" s="25"/>
      <c r="NXL77" s="178"/>
      <c r="NXM77" s="26"/>
      <c r="NXN77" s="26"/>
      <c r="NXO77" s="26"/>
      <c r="NXP77" s="26"/>
      <c r="NXQ77" s="26"/>
      <c r="NXR77" s="26"/>
      <c r="NXS77" s="58"/>
      <c r="NXT77" s="26"/>
      <c r="NXU77" s="26"/>
      <c r="NXV77" s="26"/>
      <c r="NXW77" s="26"/>
      <c r="NXX77" s="22"/>
      <c r="NXY77" s="167"/>
      <c r="NXZ77" s="30"/>
      <c r="NYA77" s="25"/>
      <c r="NYB77" s="178"/>
      <c r="NYC77" s="26"/>
      <c r="NYD77" s="26"/>
      <c r="NYE77" s="26"/>
      <c r="NYF77" s="26"/>
      <c r="NYG77" s="26"/>
      <c r="NYH77" s="26"/>
      <c r="NYI77" s="58"/>
      <c r="NYJ77" s="26"/>
      <c r="NYK77" s="26"/>
      <c r="NYL77" s="26"/>
      <c r="NYM77" s="26"/>
      <c r="NYN77" s="22"/>
      <c r="NYO77" s="167"/>
      <c r="NYP77" s="30"/>
      <c r="NYQ77" s="25"/>
      <c r="NYR77" s="178"/>
      <c r="NYS77" s="26"/>
      <c r="NYT77" s="26"/>
      <c r="NYU77" s="26"/>
      <c r="NYV77" s="26"/>
      <c r="NYW77" s="26"/>
      <c r="NYX77" s="26"/>
      <c r="NYY77" s="58"/>
      <c r="NYZ77" s="26"/>
      <c r="NZA77" s="26"/>
      <c r="NZB77" s="26"/>
      <c r="NZC77" s="26"/>
      <c r="NZD77" s="22"/>
      <c r="NZE77" s="167"/>
      <c r="NZF77" s="30"/>
      <c r="NZG77" s="25"/>
      <c r="NZH77" s="178"/>
      <c r="NZI77" s="26"/>
      <c r="NZJ77" s="26"/>
      <c r="NZK77" s="26"/>
      <c r="NZL77" s="26"/>
      <c r="NZM77" s="26"/>
      <c r="NZN77" s="26"/>
      <c r="NZO77" s="58"/>
      <c r="NZP77" s="26"/>
      <c r="NZQ77" s="26"/>
      <c r="NZR77" s="26"/>
      <c r="NZS77" s="26"/>
      <c r="NZT77" s="22"/>
      <c r="NZU77" s="167"/>
      <c r="NZV77" s="30"/>
      <c r="NZW77" s="25"/>
      <c r="NZX77" s="178"/>
      <c r="NZY77" s="26"/>
      <c r="NZZ77" s="26"/>
      <c r="OAA77" s="26"/>
      <c r="OAB77" s="26"/>
      <c r="OAC77" s="26"/>
      <c r="OAD77" s="26"/>
      <c r="OAE77" s="58"/>
      <c r="OAF77" s="26"/>
      <c r="OAG77" s="26"/>
      <c r="OAH77" s="26"/>
      <c r="OAI77" s="26"/>
      <c r="OAJ77" s="22"/>
      <c r="OAK77" s="167"/>
      <c r="OAL77" s="30"/>
      <c r="OAM77" s="25"/>
      <c r="OAN77" s="178"/>
      <c r="OAO77" s="26"/>
      <c r="OAP77" s="26"/>
      <c r="OAQ77" s="26"/>
      <c r="OAR77" s="26"/>
      <c r="OAS77" s="26"/>
      <c r="OAT77" s="26"/>
      <c r="OAU77" s="58"/>
      <c r="OAV77" s="26"/>
      <c r="OAW77" s="26"/>
      <c r="OAX77" s="26"/>
      <c r="OAY77" s="26"/>
      <c r="OAZ77" s="22"/>
      <c r="OBA77" s="167"/>
      <c r="OBB77" s="30"/>
      <c r="OBC77" s="25"/>
      <c r="OBD77" s="178"/>
      <c r="OBE77" s="26"/>
      <c r="OBF77" s="26"/>
      <c r="OBG77" s="26"/>
      <c r="OBH77" s="26"/>
      <c r="OBI77" s="26"/>
      <c r="OBJ77" s="26"/>
      <c r="OBK77" s="58"/>
      <c r="OBL77" s="26"/>
      <c r="OBM77" s="26"/>
      <c r="OBN77" s="26"/>
      <c r="OBO77" s="26"/>
      <c r="OBP77" s="22"/>
      <c r="OBQ77" s="167"/>
      <c r="OBR77" s="30"/>
      <c r="OBS77" s="25"/>
      <c r="OBT77" s="178"/>
      <c r="OBU77" s="26"/>
      <c r="OBV77" s="26"/>
      <c r="OBW77" s="26"/>
      <c r="OBX77" s="26"/>
      <c r="OBY77" s="26"/>
      <c r="OBZ77" s="26"/>
      <c r="OCA77" s="58"/>
      <c r="OCB77" s="26"/>
      <c r="OCC77" s="26"/>
      <c r="OCD77" s="26"/>
      <c r="OCE77" s="26"/>
      <c r="OCF77" s="22"/>
      <c r="OCG77" s="167"/>
      <c r="OCH77" s="30"/>
      <c r="OCI77" s="25"/>
      <c r="OCJ77" s="178"/>
      <c r="OCK77" s="26"/>
      <c r="OCL77" s="26"/>
      <c r="OCM77" s="26"/>
      <c r="OCN77" s="26"/>
      <c r="OCO77" s="26"/>
      <c r="OCP77" s="26"/>
      <c r="OCQ77" s="58"/>
      <c r="OCR77" s="26"/>
      <c r="OCS77" s="26"/>
      <c r="OCT77" s="26"/>
      <c r="OCU77" s="26"/>
      <c r="OCV77" s="22"/>
      <c r="OCW77" s="167"/>
      <c r="OCX77" s="30"/>
      <c r="OCY77" s="25"/>
      <c r="OCZ77" s="178"/>
      <c r="ODA77" s="26"/>
      <c r="ODB77" s="26"/>
      <c r="ODC77" s="26"/>
      <c r="ODD77" s="26"/>
      <c r="ODE77" s="26"/>
      <c r="ODF77" s="26"/>
      <c r="ODG77" s="58"/>
      <c r="ODH77" s="26"/>
      <c r="ODI77" s="26"/>
      <c r="ODJ77" s="26"/>
      <c r="ODK77" s="26"/>
      <c r="ODL77" s="22"/>
      <c r="ODM77" s="167"/>
      <c r="ODN77" s="30"/>
      <c r="ODO77" s="25"/>
      <c r="ODP77" s="178"/>
      <c r="ODQ77" s="26"/>
      <c r="ODR77" s="26"/>
      <c r="ODS77" s="26"/>
      <c r="ODT77" s="26"/>
      <c r="ODU77" s="26"/>
      <c r="ODV77" s="26"/>
      <c r="ODW77" s="58"/>
      <c r="ODX77" s="26"/>
      <c r="ODY77" s="26"/>
      <c r="ODZ77" s="26"/>
      <c r="OEA77" s="26"/>
      <c r="OEB77" s="22"/>
      <c r="OEC77" s="167"/>
      <c r="OED77" s="30"/>
      <c r="OEE77" s="25"/>
      <c r="OEF77" s="178"/>
      <c r="OEG77" s="26"/>
      <c r="OEH77" s="26"/>
      <c r="OEI77" s="26"/>
      <c r="OEJ77" s="26"/>
      <c r="OEK77" s="26"/>
      <c r="OEL77" s="26"/>
      <c r="OEM77" s="58"/>
      <c r="OEN77" s="26"/>
      <c r="OEO77" s="26"/>
      <c r="OEP77" s="26"/>
      <c r="OEQ77" s="26"/>
      <c r="OER77" s="22"/>
      <c r="OES77" s="167"/>
      <c r="OET77" s="30"/>
      <c r="OEU77" s="25"/>
      <c r="OEV77" s="178"/>
      <c r="OEW77" s="26"/>
      <c r="OEX77" s="26"/>
      <c r="OEY77" s="26"/>
      <c r="OEZ77" s="26"/>
      <c r="OFA77" s="26"/>
      <c r="OFB77" s="26"/>
      <c r="OFC77" s="58"/>
      <c r="OFD77" s="26"/>
      <c r="OFE77" s="26"/>
      <c r="OFF77" s="26"/>
      <c r="OFG77" s="26"/>
      <c r="OFH77" s="22"/>
      <c r="OFI77" s="167"/>
      <c r="OFJ77" s="30"/>
      <c r="OFK77" s="25"/>
      <c r="OFL77" s="178"/>
      <c r="OFM77" s="26"/>
      <c r="OFN77" s="26"/>
      <c r="OFO77" s="26"/>
      <c r="OFP77" s="26"/>
      <c r="OFQ77" s="26"/>
      <c r="OFR77" s="26"/>
      <c r="OFS77" s="58"/>
      <c r="OFT77" s="26"/>
      <c r="OFU77" s="26"/>
      <c r="OFV77" s="26"/>
      <c r="OFW77" s="26"/>
      <c r="OFX77" s="22"/>
      <c r="OFY77" s="167"/>
      <c r="OFZ77" s="30"/>
      <c r="OGA77" s="25"/>
      <c r="OGB77" s="178"/>
      <c r="OGC77" s="26"/>
      <c r="OGD77" s="26"/>
      <c r="OGE77" s="26"/>
      <c r="OGF77" s="26"/>
      <c r="OGG77" s="26"/>
      <c r="OGH77" s="26"/>
      <c r="OGI77" s="58"/>
      <c r="OGJ77" s="26"/>
      <c r="OGK77" s="26"/>
      <c r="OGL77" s="26"/>
      <c r="OGM77" s="26"/>
      <c r="OGN77" s="22"/>
      <c r="OGO77" s="167"/>
      <c r="OGP77" s="30"/>
      <c r="OGQ77" s="25"/>
      <c r="OGR77" s="178"/>
      <c r="OGS77" s="26"/>
      <c r="OGT77" s="26"/>
      <c r="OGU77" s="26"/>
      <c r="OGV77" s="26"/>
      <c r="OGW77" s="26"/>
      <c r="OGX77" s="26"/>
      <c r="OGY77" s="58"/>
      <c r="OGZ77" s="26"/>
      <c r="OHA77" s="26"/>
      <c r="OHB77" s="26"/>
      <c r="OHC77" s="26"/>
      <c r="OHD77" s="22"/>
      <c r="OHE77" s="167"/>
      <c r="OHF77" s="30"/>
      <c r="OHG77" s="25"/>
      <c r="OHH77" s="178"/>
      <c r="OHI77" s="26"/>
      <c r="OHJ77" s="26"/>
      <c r="OHK77" s="26"/>
      <c r="OHL77" s="26"/>
      <c r="OHM77" s="26"/>
      <c r="OHN77" s="26"/>
      <c r="OHO77" s="58"/>
      <c r="OHP77" s="26"/>
      <c r="OHQ77" s="26"/>
      <c r="OHR77" s="26"/>
      <c r="OHS77" s="26"/>
      <c r="OHT77" s="22"/>
      <c r="OHU77" s="167"/>
      <c r="OHV77" s="30"/>
      <c r="OHW77" s="25"/>
      <c r="OHX77" s="178"/>
      <c r="OHY77" s="26"/>
      <c r="OHZ77" s="26"/>
      <c r="OIA77" s="26"/>
      <c r="OIB77" s="26"/>
      <c r="OIC77" s="26"/>
      <c r="OID77" s="26"/>
      <c r="OIE77" s="58"/>
      <c r="OIF77" s="26"/>
      <c r="OIG77" s="26"/>
      <c r="OIH77" s="26"/>
      <c r="OII77" s="26"/>
      <c r="OIJ77" s="22"/>
      <c r="OIK77" s="167"/>
      <c r="OIL77" s="30"/>
      <c r="OIM77" s="25"/>
      <c r="OIN77" s="178"/>
      <c r="OIO77" s="26"/>
      <c r="OIP77" s="26"/>
      <c r="OIQ77" s="26"/>
      <c r="OIR77" s="26"/>
      <c r="OIS77" s="26"/>
      <c r="OIT77" s="26"/>
      <c r="OIU77" s="58"/>
      <c r="OIV77" s="26"/>
      <c r="OIW77" s="26"/>
      <c r="OIX77" s="26"/>
      <c r="OIY77" s="26"/>
      <c r="OIZ77" s="22"/>
      <c r="OJA77" s="167"/>
      <c r="OJB77" s="30"/>
      <c r="OJC77" s="25"/>
      <c r="OJD77" s="178"/>
      <c r="OJE77" s="26"/>
      <c r="OJF77" s="26"/>
      <c r="OJG77" s="26"/>
      <c r="OJH77" s="26"/>
      <c r="OJI77" s="26"/>
      <c r="OJJ77" s="26"/>
      <c r="OJK77" s="58"/>
      <c r="OJL77" s="26"/>
      <c r="OJM77" s="26"/>
      <c r="OJN77" s="26"/>
      <c r="OJO77" s="26"/>
      <c r="OJP77" s="22"/>
      <c r="OJQ77" s="167"/>
      <c r="OJR77" s="30"/>
      <c r="OJS77" s="25"/>
      <c r="OJT77" s="178"/>
      <c r="OJU77" s="26"/>
      <c r="OJV77" s="26"/>
      <c r="OJW77" s="26"/>
      <c r="OJX77" s="26"/>
      <c r="OJY77" s="26"/>
      <c r="OJZ77" s="26"/>
      <c r="OKA77" s="58"/>
      <c r="OKB77" s="26"/>
      <c r="OKC77" s="26"/>
      <c r="OKD77" s="26"/>
      <c r="OKE77" s="26"/>
      <c r="OKF77" s="22"/>
      <c r="OKG77" s="167"/>
      <c r="OKH77" s="30"/>
      <c r="OKI77" s="25"/>
      <c r="OKJ77" s="178"/>
      <c r="OKK77" s="26"/>
      <c r="OKL77" s="26"/>
      <c r="OKM77" s="26"/>
      <c r="OKN77" s="26"/>
      <c r="OKO77" s="26"/>
      <c r="OKP77" s="26"/>
      <c r="OKQ77" s="58"/>
      <c r="OKR77" s="26"/>
      <c r="OKS77" s="26"/>
      <c r="OKT77" s="26"/>
      <c r="OKU77" s="26"/>
      <c r="OKV77" s="22"/>
      <c r="OKW77" s="167"/>
      <c r="OKX77" s="30"/>
      <c r="OKY77" s="25"/>
      <c r="OKZ77" s="178"/>
      <c r="OLA77" s="26"/>
      <c r="OLB77" s="26"/>
      <c r="OLC77" s="26"/>
      <c r="OLD77" s="26"/>
      <c r="OLE77" s="26"/>
      <c r="OLF77" s="26"/>
      <c r="OLG77" s="58"/>
      <c r="OLH77" s="26"/>
      <c r="OLI77" s="26"/>
      <c r="OLJ77" s="26"/>
      <c r="OLK77" s="26"/>
      <c r="OLL77" s="22"/>
      <c r="OLM77" s="167"/>
      <c r="OLN77" s="30"/>
      <c r="OLO77" s="25"/>
      <c r="OLP77" s="178"/>
      <c r="OLQ77" s="26"/>
      <c r="OLR77" s="26"/>
      <c r="OLS77" s="26"/>
      <c r="OLT77" s="26"/>
      <c r="OLU77" s="26"/>
      <c r="OLV77" s="26"/>
      <c r="OLW77" s="58"/>
      <c r="OLX77" s="26"/>
      <c r="OLY77" s="26"/>
      <c r="OLZ77" s="26"/>
      <c r="OMA77" s="26"/>
      <c r="OMB77" s="22"/>
      <c r="OMC77" s="167"/>
      <c r="OMD77" s="30"/>
      <c r="OME77" s="25"/>
      <c r="OMF77" s="178"/>
      <c r="OMG77" s="26"/>
      <c r="OMH77" s="26"/>
      <c r="OMI77" s="26"/>
      <c r="OMJ77" s="26"/>
      <c r="OMK77" s="26"/>
      <c r="OML77" s="26"/>
      <c r="OMM77" s="58"/>
      <c r="OMN77" s="26"/>
      <c r="OMO77" s="26"/>
      <c r="OMP77" s="26"/>
      <c r="OMQ77" s="26"/>
      <c r="OMR77" s="22"/>
      <c r="OMS77" s="167"/>
      <c r="OMT77" s="30"/>
      <c r="OMU77" s="25"/>
      <c r="OMV77" s="178"/>
      <c r="OMW77" s="26"/>
      <c r="OMX77" s="26"/>
      <c r="OMY77" s="26"/>
      <c r="OMZ77" s="26"/>
      <c r="ONA77" s="26"/>
      <c r="ONB77" s="26"/>
      <c r="ONC77" s="58"/>
      <c r="OND77" s="26"/>
      <c r="ONE77" s="26"/>
      <c r="ONF77" s="26"/>
      <c r="ONG77" s="26"/>
      <c r="ONH77" s="22"/>
      <c r="ONI77" s="167"/>
      <c r="ONJ77" s="30"/>
      <c r="ONK77" s="25"/>
      <c r="ONL77" s="178"/>
      <c r="ONM77" s="26"/>
      <c r="ONN77" s="26"/>
      <c r="ONO77" s="26"/>
      <c r="ONP77" s="26"/>
      <c r="ONQ77" s="26"/>
      <c r="ONR77" s="26"/>
      <c r="ONS77" s="58"/>
      <c r="ONT77" s="26"/>
      <c r="ONU77" s="26"/>
      <c r="ONV77" s="26"/>
      <c r="ONW77" s="26"/>
      <c r="ONX77" s="22"/>
      <c r="ONY77" s="167"/>
      <c r="ONZ77" s="30"/>
      <c r="OOA77" s="25"/>
      <c r="OOB77" s="178"/>
      <c r="OOC77" s="26"/>
      <c r="OOD77" s="26"/>
      <c r="OOE77" s="26"/>
      <c r="OOF77" s="26"/>
      <c r="OOG77" s="26"/>
      <c r="OOH77" s="26"/>
      <c r="OOI77" s="58"/>
      <c r="OOJ77" s="26"/>
      <c r="OOK77" s="26"/>
      <c r="OOL77" s="26"/>
      <c r="OOM77" s="26"/>
      <c r="OON77" s="22"/>
      <c r="OOO77" s="167"/>
      <c r="OOP77" s="30"/>
      <c r="OOQ77" s="25"/>
      <c r="OOR77" s="178"/>
      <c r="OOS77" s="26"/>
      <c r="OOT77" s="26"/>
      <c r="OOU77" s="26"/>
      <c r="OOV77" s="26"/>
      <c r="OOW77" s="26"/>
      <c r="OOX77" s="26"/>
      <c r="OOY77" s="58"/>
      <c r="OOZ77" s="26"/>
      <c r="OPA77" s="26"/>
      <c r="OPB77" s="26"/>
      <c r="OPC77" s="26"/>
      <c r="OPD77" s="22"/>
      <c r="OPE77" s="167"/>
      <c r="OPF77" s="30"/>
      <c r="OPG77" s="25"/>
      <c r="OPH77" s="178"/>
      <c r="OPI77" s="26"/>
      <c r="OPJ77" s="26"/>
      <c r="OPK77" s="26"/>
      <c r="OPL77" s="26"/>
      <c r="OPM77" s="26"/>
      <c r="OPN77" s="26"/>
      <c r="OPO77" s="58"/>
      <c r="OPP77" s="26"/>
      <c r="OPQ77" s="26"/>
      <c r="OPR77" s="26"/>
      <c r="OPS77" s="26"/>
      <c r="OPT77" s="22"/>
      <c r="OPU77" s="167"/>
      <c r="OPV77" s="30"/>
      <c r="OPW77" s="25"/>
      <c r="OPX77" s="178"/>
      <c r="OPY77" s="26"/>
      <c r="OPZ77" s="26"/>
      <c r="OQA77" s="26"/>
      <c r="OQB77" s="26"/>
      <c r="OQC77" s="26"/>
      <c r="OQD77" s="26"/>
      <c r="OQE77" s="58"/>
      <c r="OQF77" s="26"/>
      <c r="OQG77" s="26"/>
      <c r="OQH77" s="26"/>
      <c r="OQI77" s="26"/>
      <c r="OQJ77" s="22"/>
      <c r="OQK77" s="167"/>
      <c r="OQL77" s="30"/>
      <c r="OQM77" s="25"/>
      <c r="OQN77" s="178"/>
      <c r="OQO77" s="26"/>
      <c r="OQP77" s="26"/>
      <c r="OQQ77" s="26"/>
      <c r="OQR77" s="26"/>
      <c r="OQS77" s="26"/>
      <c r="OQT77" s="26"/>
      <c r="OQU77" s="58"/>
      <c r="OQV77" s="26"/>
      <c r="OQW77" s="26"/>
      <c r="OQX77" s="26"/>
      <c r="OQY77" s="26"/>
      <c r="OQZ77" s="22"/>
      <c r="ORA77" s="167"/>
      <c r="ORB77" s="30"/>
      <c r="ORC77" s="25"/>
      <c r="ORD77" s="178"/>
      <c r="ORE77" s="26"/>
      <c r="ORF77" s="26"/>
      <c r="ORG77" s="26"/>
      <c r="ORH77" s="26"/>
      <c r="ORI77" s="26"/>
      <c r="ORJ77" s="26"/>
      <c r="ORK77" s="58"/>
      <c r="ORL77" s="26"/>
      <c r="ORM77" s="26"/>
      <c r="ORN77" s="26"/>
      <c r="ORO77" s="26"/>
      <c r="ORP77" s="22"/>
      <c r="ORQ77" s="167"/>
      <c r="ORR77" s="30"/>
      <c r="ORS77" s="25"/>
      <c r="ORT77" s="178"/>
      <c r="ORU77" s="26"/>
      <c r="ORV77" s="26"/>
      <c r="ORW77" s="26"/>
      <c r="ORX77" s="26"/>
      <c r="ORY77" s="26"/>
      <c r="ORZ77" s="26"/>
      <c r="OSA77" s="58"/>
      <c r="OSB77" s="26"/>
      <c r="OSC77" s="26"/>
      <c r="OSD77" s="26"/>
      <c r="OSE77" s="26"/>
      <c r="OSF77" s="22"/>
      <c r="OSG77" s="167"/>
      <c r="OSH77" s="30"/>
      <c r="OSI77" s="25"/>
      <c r="OSJ77" s="178"/>
      <c r="OSK77" s="26"/>
      <c r="OSL77" s="26"/>
      <c r="OSM77" s="26"/>
      <c r="OSN77" s="26"/>
      <c r="OSO77" s="26"/>
      <c r="OSP77" s="26"/>
      <c r="OSQ77" s="58"/>
      <c r="OSR77" s="26"/>
      <c r="OSS77" s="26"/>
      <c r="OST77" s="26"/>
      <c r="OSU77" s="26"/>
      <c r="OSV77" s="22"/>
      <c r="OSW77" s="167"/>
      <c r="OSX77" s="30"/>
      <c r="OSY77" s="25"/>
      <c r="OSZ77" s="178"/>
      <c r="OTA77" s="26"/>
      <c r="OTB77" s="26"/>
      <c r="OTC77" s="26"/>
      <c r="OTD77" s="26"/>
      <c r="OTE77" s="26"/>
      <c r="OTF77" s="26"/>
      <c r="OTG77" s="58"/>
      <c r="OTH77" s="26"/>
      <c r="OTI77" s="26"/>
      <c r="OTJ77" s="26"/>
      <c r="OTK77" s="26"/>
      <c r="OTL77" s="22"/>
      <c r="OTM77" s="167"/>
      <c r="OTN77" s="30"/>
      <c r="OTO77" s="25"/>
      <c r="OTP77" s="178"/>
      <c r="OTQ77" s="26"/>
      <c r="OTR77" s="26"/>
      <c r="OTS77" s="26"/>
      <c r="OTT77" s="26"/>
      <c r="OTU77" s="26"/>
      <c r="OTV77" s="26"/>
      <c r="OTW77" s="58"/>
      <c r="OTX77" s="26"/>
      <c r="OTY77" s="26"/>
      <c r="OTZ77" s="26"/>
      <c r="OUA77" s="26"/>
      <c r="OUB77" s="22"/>
      <c r="OUC77" s="167"/>
      <c r="OUD77" s="30"/>
      <c r="OUE77" s="25"/>
      <c r="OUF77" s="178"/>
      <c r="OUG77" s="26"/>
      <c r="OUH77" s="26"/>
      <c r="OUI77" s="26"/>
      <c r="OUJ77" s="26"/>
      <c r="OUK77" s="26"/>
      <c r="OUL77" s="26"/>
      <c r="OUM77" s="58"/>
      <c r="OUN77" s="26"/>
      <c r="OUO77" s="26"/>
      <c r="OUP77" s="26"/>
      <c r="OUQ77" s="26"/>
      <c r="OUR77" s="22"/>
      <c r="OUS77" s="167"/>
      <c r="OUT77" s="30"/>
      <c r="OUU77" s="25"/>
      <c r="OUV77" s="178"/>
      <c r="OUW77" s="26"/>
      <c r="OUX77" s="26"/>
      <c r="OUY77" s="26"/>
      <c r="OUZ77" s="26"/>
      <c r="OVA77" s="26"/>
      <c r="OVB77" s="26"/>
      <c r="OVC77" s="58"/>
      <c r="OVD77" s="26"/>
      <c r="OVE77" s="26"/>
      <c r="OVF77" s="26"/>
      <c r="OVG77" s="26"/>
      <c r="OVH77" s="22"/>
      <c r="OVI77" s="167"/>
      <c r="OVJ77" s="30"/>
      <c r="OVK77" s="25"/>
      <c r="OVL77" s="178"/>
      <c r="OVM77" s="26"/>
      <c r="OVN77" s="26"/>
      <c r="OVO77" s="26"/>
      <c r="OVP77" s="26"/>
      <c r="OVQ77" s="26"/>
      <c r="OVR77" s="26"/>
      <c r="OVS77" s="58"/>
      <c r="OVT77" s="26"/>
      <c r="OVU77" s="26"/>
      <c r="OVV77" s="26"/>
      <c r="OVW77" s="26"/>
      <c r="OVX77" s="22"/>
      <c r="OVY77" s="167"/>
      <c r="OVZ77" s="30"/>
      <c r="OWA77" s="25"/>
      <c r="OWB77" s="178"/>
      <c r="OWC77" s="26"/>
      <c r="OWD77" s="26"/>
      <c r="OWE77" s="26"/>
      <c r="OWF77" s="26"/>
      <c r="OWG77" s="26"/>
      <c r="OWH77" s="26"/>
      <c r="OWI77" s="58"/>
      <c r="OWJ77" s="26"/>
      <c r="OWK77" s="26"/>
      <c r="OWL77" s="26"/>
      <c r="OWM77" s="26"/>
      <c r="OWN77" s="22"/>
      <c r="OWO77" s="167"/>
      <c r="OWP77" s="30"/>
      <c r="OWQ77" s="25"/>
      <c r="OWR77" s="178"/>
      <c r="OWS77" s="26"/>
      <c r="OWT77" s="26"/>
      <c r="OWU77" s="26"/>
      <c r="OWV77" s="26"/>
      <c r="OWW77" s="26"/>
      <c r="OWX77" s="26"/>
      <c r="OWY77" s="58"/>
      <c r="OWZ77" s="26"/>
      <c r="OXA77" s="26"/>
      <c r="OXB77" s="26"/>
      <c r="OXC77" s="26"/>
      <c r="OXD77" s="22"/>
      <c r="OXE77" s="167"/>
      <c r="OXF77" s="30"/>
      <c r="OXG77" s="25"/>
      <c r="OXH77" s="178"/>
      <c r="OXI77" s="26"/>
      <c r="OXJ77" s="26"/>
      <c r="OXK77" s="26"/>
      <c r="OXL77" s="26"/>
      <c r="OXM77" s="26"/>
      <c r="OXN77" s="26"/>
      <c r="OXO77" s="58"/>
      <c r="OXP77" s="26"/>
      <c r="OXQ77" s="26"/>
      <c r="OXR77" s="26"/>
      <c r="OXS77" s="26"/>
      <c r="OXT77" s="22"/>
      <c r="OXU77" s="167"/>
      <c r="OXV77" s="30"/>
      <c r="OXW77" s="25"/>
      <c r="OXX77" s="178"/>
      <c r="OXY77" s="26"/>
      <c r="OXZ77" s="26"/>
      <c r="OYA77" s="26"/>
      <c r="OYB77" s="26"/>
      <c r="OYC77" s="26"/>
      <c r="OYD77" s="26"/>
      <c r="OYE77" s="58"/>
      <c r="OYF77" s="26"/>
      <c r="OYG77" s="26"/>
      <c r="OYH77" s="26"/>
      <c r="OYI77" s="26"/>
      <c r="OYJ77" s="22"/>
      <c r="OYK77" s="167"/>
      <c r="OYL77" s="30"/>
      <c r="OYM77" s="25"/>
      <c r="OYN77" s="178"/>
      <c r="OYO77" s="26"/>
      <c r="OYP77" s="26"/>
      <c r="OYQ77" s="26"/>
      <c r="OYR77" s="26"/>
      <c r="OYS77" s="26"/>
      <c r="OYT77" s="26"/>
      <c r="OYU77" s="58"/>
      <c r="OYV77" s="26"/>
      <c r="OYW77" s="26"/>
      <c r="OYX77" s="26"/>
      <c r="OYY77" s="26"/>
      <c r="OYZ77" s="22"/>
      <c r="OZA77" s="167"/>
      <c r="OZB77" s="30"/>
      <c r="OZC77" s="25"/>
      <c r="OZD77" s="178"/>
      <c r="OZE77" s="26"/>
      <c r="OZF77" s="26"/>
      <c r="OZG77" s="26"/>
      <c r="OZH77" s="26"/>
      <c r="OZI77" s="26"/>
      <c r="OZJ77" s="26"/>
      <c r="OZK77" s="58"/>
      <c r="OZL77" s="26"/>
      <c r="OZM77" s="26"/>
      <c r="OZN77" s="26"/>
      <c r="OZO77" s="26"/>
      <c r="OZP77" s="22"/>
      <c r="OZQ77" s="167"/>
      <c r="OZR77" s="30"/>
      <c r="OZS77" s="25"/>
      <c r="OZT77" s="178"/>
      <c r="OZU77" s="26"/>
      <c r="OZV77" s="26"/>
      <c r="OZW77" s="26"/>
      <c r="OZX77" s="26"/>
      <c r="OZY77" s="26"/>
      <c r="OZZ77" s="26"/>
      <c r="PAA77" s="58"/>
      <c r="PAB77" s="26"/>
      <c r="PAC77" s="26"/>
      <c r="PAD77" s="26"/>
      <c r="PAE77" s="26"/>
      <c r="PAF77" s="22"/>
      <c r="PAG77" s="167"/>
      <c r="PAH77" s="30"/>
      <c r="PAI77" s="25"/>
      <c r="PAJ77" s="178"/>
      <c r="PAK77" s="26"/>
      <c r="PAL77" s="26"/>
      <c r="PAM77" s="26"/>
      <c r="PAN77" s="26"/>
      <c r="PAO77" s="26"/>
      <c r="PAP77" s="26"/>
      <c r="PAQ77" s="58"/>
      <c r="PAR77" s="26"/>
      <c r="PAS77" s="26"/>
      <c r="PAT77" s="26"/>
      <c r="PAU77" s="26"/>
      <c r="PAV77" s="22"/>
      <c r="PAW77" s="167"/>
      <c r="PAX77" s="30"/>
      <c r="PAY77" s="25"/>
      <c r="PAZ77" s="178"/>
      <c r="PBA77" s="26"/>
      <c r="PBB77" s="26"/>
      <c r="PBC77" s="26"/>
      <c r="PBD77" s="26"/>
      <c r="PBE77" s="26"/>
      <c r="PBF77" s="26"/>
      <c r="PBG77" s="58"/>
      <c r="PBH77" s="26"/>
      <c r="PBI77" s="26"/>
      <c r="PBJ77" s="26"/>
      <c r="PBK77" s="26"/>
      <c r="PBL77" s="22"/>
      <c r="PBM77" s="167"/>
      <c r="PBN77" s="30"/>
      <c r="PBO77" s="25"/>
      <c r="PBP77" s="178"/>
      <c r="PBQ77" s="26"/>
      <c r="PBR77" s="26"/>
      <c r="PBS77" s="26"/>
      <c r="PBT77" s="26"/>
      <c r="PBU77" s="26"/>
      <c r="PBV77" s="26"/>
      <c r="PBW77" s="58"/>
      <c r="PBX77" s="26"/>
      <c r="PBY77" s="26"/>
      <c r="PBZ77" s="26"/>
      <c r="PCA77" s="26"/>
      <c r="PCB77" s="22"/>
      <c r="PCC77" s="167"/>
      <c r="PCD77" s="30"/>
      <c r="PCE77" s="25"/>
      <c r="PCF77" s="178"/>
      <c r="PCG77" s="26"/>
      <c r="PCH77" s="26"/>
      <c r="PCI77" s="26"/>
      <c r="PCJ77" s="26"/>
      <c r="PCK77" s="26"/>
      <c r="PCL77" s="26"/>
      <c r="PCM77" s="58"/>
      <c r="PCN77" s="26"/>
      <c r="PCO77" s="26"/>
      <c r="PCP77" s="26"/>
      <c r="PCQ77" s="26"/>
      <c r="PCR77" s="22"/>
      <c r="PCS77" s="167"/>
      <c r="PCT77" s="30"/>
      <c r="PCU77" s="25"/>
      <c r="PCV77" s="178"/>
      <c r="PCW77" s="26"/>
      <c r="PCX77" s="26"/>
      <c r="PCY77" s="26"/>
      <c r="PCZ77" s="26"/>
      <c r="PDA77" s="26"/>
      <c r="PDB77" s="26"/>
      <c r="PDC77" s="58"/>
      <c r="PDD77" s="26"/>
      <c r="PDE77" s="26"/>
      <c r="PDF77" s="26"/>
      <c r="PDG77" s="26"/>
      <c r="PDH77" s="22"/>
      <c r="PDI77" s="167"/>
      <c r="PDJ77" s="30"/>
      <c r="PDK77" s="25"/>
      <c r="PDL77" s="178"/>
      <c r="PDM77" s="26"/>
      <c r="PDN77" s="26"/>
      <c r="PDO77" s="26"/>
      <c r="PDP77" s="26"/>
      <c r="PDQ77" s="26"/>
      <c r="PDR77" s="26"/>
      <c r="PDS77" s="58"/>
      <c r="PDT77" s="26"/>
      <c r="PDU77" s="26"/>
      <c r="PDV77" s="26"/>
      <c r="PDW77" s="26"/>
      <c r="PDX77" s="22"/>
      <c r="PDY77" s="167"/>
      <c r="PDZ77" s="30"/>
      <c r="PEA77" s="25"/>
      <c r="PEB77" s="178"/>
      <c r="PEC77" s="26"/>
      <c r="PED77" s="26"/>
      <c r="PEE77" s="26"/>
      <c r="PEF77" s="26"/>
      <c r="PEG77" s="26"/>
      <c r="PEH77" s="26"/>
      <c r="PEI77" s="58"/>
      <c r="PEJ77" s="26"/>
      <c r="PEK77" s="26"/>
      <c r="PEL77" s="26"/>
      <c r="PEM77" s="26"/>
      <c r="PEN77" s="22"/>
      <c r="PEO77" s="167"/>
      <c r="PEP77" s="30"/>
      <c r="PEQ77" s="25"/>
      <c r="PER77" s="178"/>
      <c r="PES77" s="26"/>
      <c r="PET77" s="26"/>
      <c r="PEU77" s="26"/>
      <c r="PEV77" s="26"/>
      <c r="PEW77" s="26"/>
      <c r="PEX77" s="26"/>
      <c r="PEY77" s="58"/>
      <c r="PEZ77" s="26"/>
      <c r="PFA77" s="26"/>
      <c r="PFB77" s="26"/>
      <c r="PFC77" s="26"/>
      <c r="PFD77" s="22"/>
      <c r="PFE77" s="167"/>
      <c r="PFF77" s="30"/>
      <c r="PFG77" s="25"/>
      <c r="PFH77" s="178"/>
      <c r="PFI77" s="26"/>
      <c r="PFJ77" s="26"/>
      <c r="PFK77" s="26"/>
      <c r="PFL77" s="26"/>
      <c r="PFM77" s="26"/>
      <c r="PFN77" s="26"/>
      <c r="PFO77" s="58"/>
      <c r="PFP77" s="26"/>
      <c r="PFQ77" s="26"/>
      <c r="PFR77" s="26"/>
      <c r="PFS77" s="26"/>
      <c r="PFT77" s="22"/>
      <c r="PFU77" s="167"/>
      <c r="PFV77" s="30"/>
      <c r="PFW77" s="25"/>
      <c r="PFX77" s="178"/>
      <c r="PFY77" s="26"/>
      <c r="PFZ77" s="26"/>
      <c r="PGA77" s="26"/>
      <c r="PGB77" s="26"/>
      <c r="PGC77" s="26"/>
      <c r="PGD77" s="26"/>
      <c r="PGE77" s="58"/>
      <c r="PGF77" s="26"/>
      <c r="PGG77" s="26"/>
      <c r="PGH77" s="26"/>
      <c r="PGI77" s="26"/>
      <c r="PGJ77" s="22"/>
      <c r="PGK77" s="167"/>
      <c r="PGL77" s="30"/>
      <c r="PGM77" s="25"/>
      <c r="PGN77" s="178"/>
      <c r="PGO77" s="26"/>
      <c r="PGP77" s="26"/>
      <c r="PGQ77" s="26"/>
      <c r="PGR77" s="26"/>
      <c r="PGS77" s="26"/>
      <c r="PGT77" s="26"/>
      <c r="PGU77" s="58"/>
      <c r="PGV77" s="26"/>
      <c r="PGW77" s="26"/>
      <c r="PGX77" s="26"/>
      <c r="PGY77" s="26"/>
      <c r="PGZ77" s="22"/>
      <c r="PHA77" s="167"/>
      <c r="PHB77" s="30"/>
      <c r="PHC77" s="25"/>
      <c r="PHD77" s="178"/>
      <c r="PHE77" s="26"/>
      <c r="PHF77" s="26"/>
      <c r="PHG77" s="26"/>
      <c r="PHH77" s="26"/>
      <c r="PHI77" s="26"/>
      <c r="PHJ77" s="26"/>
      <c r="PHK77" s="58"/>
      <c r="PHL77" s="26"/>
      <c r="PHM77" s="26"/>
      <c r="PHN77" s="26"/>
      <c r="PHO77" s="26"/>
      <c r="PHP77" s="22"/>
      <c r="PHQ77" s="167"/>
      <c r="PHR77" s="30"/>
      <c r="PHS77" s="25"/>
      <c r="PHT77" s="178"/>
      <c r="PHU77" s="26"/>
      <c r="PHV77" s="26"/>
      <c r="PHW77" s="26"/>
      <c r="PHX77" s="26"/>
      <c r="PHY77" s="26"/>
      <c r="PHZ77" s="26"/>
      <c r="PIA77" s="58"/>
      <c r="PIB77" s="26"/>
      <c r="PIC77" s="26"/>
      <c r="PID77" s="26"/>
      <c r="PIE77" s="26"/>
      <c r="PIF77" s="22"/>
      <c r="PIG77" s="167"/>
      <c r="PIH77" s="30"/>
      <c r="PII77" s="25"/>
      <c r="PIJ77" s="178"/>
      <c r="PIK77" s="26"/>
      <c r="PIL77" s="26"/>
      <c r="PIM77" s="26"/>
      <c r="PIN77" s="26"/>
      <c r="PIO77" s="26"/>
      <c r="PIP77" s="26"/>
      <c r="PIQ77" s="58"/>
      <c r="PIR77" s="26"/>
      <c r="PIS77" s="26"/>
      <c r="PIT77" s="26"/>
      <c r="PIU77" s="26"/>
      <c r="PIV77" s="22"/>
      <c r="PIW77" s="167"/>
      <c r="PIX77" s="30"/>
      <c r="PIY77" s="25"/>
      <c r="PIZ77" s="178"/>
      <c r="PJA77" s="26"/>
      <c r="PJB77" s="26"/>
      <c r="PJC77" s="26"/>
      <c r="PJD77" s="26"/>
      <c r="PJE77" s="26"/>
      <c r="PJF77" s="26"/>
      <c r="PJG77" s="58"/>
      <c r="PJH77" s="26"/>
      <c r="PJI77" s="26"/>
      <c r="PJJ77" s="26"/>
      <c r="PJK77" s="26"/>
      <c r="PJL77" s="22"/>
      <c r="PJM77" s="167"/>
      <c r="PJN77" s="30"/>
      <c r="PJO77" s="25"/>
      <c r="PJP77" s="178"/>
      <c r="PJQ77" s="26"/>
      <c r="PJR77" s="26"/>
      <c r="PJS77" s="26"/>
      <c r="PJT77" s="26"/>
      <c r="PJU77" s="26"/>
      <c r="PJV77" s="26"/>
      <c r="PJW77" s="58"/>
      <c r="PJX77" s="26"/>
      <c r="PJY77" s="26"/>
      <c r="PJZ77" s="26"/>
      <c r="PKA77" s="26"/>
      <c r="PKB77" s="22"/>
      <c r="PKC77" s="167"/>
      <c r="PKD77" s="30"/>
      <c r="PKE77" s="25"/>
      <c r="PKF77" s="178"/>
      <c r="PKG77" s="26"/>
      <c r="PKH77" s="26"/>
      <c r="PKI77" s="26"/>
      <c r="PKJ77" s="26"/>
      <c r="PKK77" s="26"/>
      <c r="PKL77" s="26"/>
      <c r="PKM77" s="58"/>
      <c r="PKN77" s="26"/>
      <c r="PKO77" s="26"/>
      <c r="PKP77" s="26"/>
      <c r="PKQ77" s="26"/>
      <c r="PKR77" s="22"/>
      <c r="PKS77" s="167"/>
      <c r="PKT77" s="30"/>
      <c r="PKU77" s="25"/>
      <c r="PKV77" s="178"/>
      <c r="PKW77" s="26"/>
      <c r="PKX77" s="26"/>
      <c r="PKY77" s="26"/>
      <c r="PKZ77" s="26"/>
      <c r="PLA77" s="26"/>
      <c r="PLB77" s="26"/>
      <c r="PLC77" s="58"/>
      <c r="PLD77" s="26"/>
      <c r="PLE77" s="26"/>
      <c r="PLF77" s="26"/>
      <c r="PLG77" s="26"/>
      <c r="PLH77" s="22"/>
      <c r="PLI77" s="167"/>
      <c r="PLJ77" s="30"/>
      <c r="PLK77" s="25"/>
      <c r="PLL77" s="178"/>
      <c r="PLM77" s="26"/>
      <c r="PLN77" s="26"/>
      <c r="PLO77" s="26"/>
      <c r="PLP77" s="26"/>
      <c r="PLQ77" s="26"/>
      <c r="PLR77" s="26"/>
      <c r="PLS77" s="58"/>
      <c r="PLT77" s="26"/>
      <c r="PLU77" s="26"/>
      <c r="PLV77" s="26"/>
      <c r="PLW77" s="26"/>
      <c r="PLX77" s="22"/>
      <c r="PLY77" s="167"/>
      <c r="PLZ77" s="30"/>
      <c r="PMA77" s="25"/>
      <c r="PMB77" s="178"/>
      <c r="PMC77" s="26"/>
      <c r="PMD77" s="26"/>
      <c r="PME77" s="26"/>
      <c r="PMF77" s="26"/>
      <c r="PMG77" s="26"/>
      <c r="PMH77" s="26"/>
      <c r="PMI77" s="58"/>
      <c r="PMJ77" s="26"/>
      <c r="PMK77" s="26"/>
      <c r="PML77" s="26"/>
      <c r="PMM77" s="26"/>
      <c r="PMN77" s="22"/>
      <c r="PMO77" s="167"/>
      <c r="PMP77" s="30"/>
      <c r="PMQ77" s="25"/>
      <c r="PMR77" s="178"/>
      <c r="PMS77" s="26"/>
      <c r="PMT77" s="26"/>
      <c r="PMU77" s="26"/>
      <c r="PMV77" s="26"/>
      <c r="PMW77" s="26"/>
      <c r="PMX77" s="26"/>
      <c r="PMY77" s="58"/>
      <c r="PMZ77" s="26"/>
      <c r="PNA77" s="26"/>
      <c r="PNB77" s="26"/>
      <c r="PNC77" s="26"/>
      <c r="PND77" s="22"/>
      <c r="PNE77" s="167"/>
      <c r="PNF77" s="30"/>
      <c r="PNG77" s="25"/>
      <c r="PNH77" s="178"/>
      <c r="PNI77" s="26"/>
      <c r="PNJ77" s="26"/>
      <c r="PNK77" s="26"/>
      <c r="PNL77" s="26"/>
      <c r="PNM77" s="26"/>
      <c r="PNN77" s="26"/>
      <c r="PNO77" s="58"/>
      <c r="PNP77" s="26"/>
      <c r="PNQ77" s="26"/>
      <c r="PNR77" s="26"/>
      <c r="PNS77" s="26"/>
      <c r="PNT77" s="22"/>
      <c r="PNU77" s="167"/>
      <c r="PNV77" s="30"/>
      <c r="PNW77" s="25"/>
      <c r="PNX77" s="178"/>
      <c r="PNY77" s="26"/>
      <c r="PNZ77" s="26"/>
      <c r="POA77" s="26"/>
      <c r="POB77" s="26"/>
      <c r="POC77" s="26"/>
      <c r="POD77" s="26"/>
      <c r="POE77" s="58"/>
      <c r="POF77" s="26"/>
      <c r="POG77" s="26"/>
      <c r="POH77" s="26"/>
      <c r="POI77" s="26"/>
      <c r="POJ77" s="22"/>
      <c r="POK77" s="167"/>
      <c r="POL77" s="30"/>
      <c r="POM77" s="25"/>
      <c r="PON77" s="178"/>
      <c r="POO77" s="26"/>
      <c r="POP77" s="26"/>
      <c r="POQ77" s="26"/>
      <c r="POR77" s="26"/>
      <c r="POS77" s="26"/>
      <c r="POT77" s="26"/>
      <c r="POU77" s="58"/>
      <c r="POV77" s="26"/>
      <c r="POW77" s="26"/>
      <c r="POX77" s="26"/>
      <c r="POY77" s="26"/>
      <c r="POZ77" s="22"/>
      <c r="PPA77" s="167"/>
      <c r="PPB77" s="30"/>
      <c r="PPC77" s="25"/>
      <c r="PPD77" s="178"/>
      <c r="PPE77" s="26"/>
      <c r="PPF77" s="26"/>
      <c r="PPG77" s="26"/>
      <c r="PPH77" s="26"/>
      <c r="PPI77" s="26"/>
      <c r="PPJ77" s="26"/>
      <c r="PPK77" s="58"/>
      <c r="PPL77" s="26"/>
      <c r="PPM77" s="26"/>
      <c r="PPN77" s="26"/>
      <c r="PPO77" s="26"/>
      <c r="PPP77" s="22"/>
      <c r="PPQ77" s="167"/>
      <c r="PPR77" s="30"/>
      <c r="PPS77" s="25"/>
      <c r="PPT77" s="178"/>
      <c r="PPU77" s="26"/>
      <c r="PPV77" s="26"/>
      <c r="PPW77" s="26"/>
      <c r="PPX77" s="26"/>
      <c r="PPY77" s="26"/>
      <c r="PPZ77" s="26"/>
      <c r="PQA77" s="58"/>
      <c r="PQB77" s="26"/>
      <c r="PQC77" s="26"/>
      <c r="PQD77" s="26"/>
      <c r="PQE77" s="26"/>
      <c r="PQF77" s="22"/>
      <c r="PQG77" s="167"/>
      <c r="PQH77" s="30"/>
      <c r="PQI77" s="25"/>
      <c r="PQJ77" s="178"/>
      <c r="PQK77" s="26"/>
      <c r="PQL77" s="26"/>
      <c r="PQM77" s="26"/>
      <c r="PQN77" s="26"/>
      <c r="PQO77" s="26"/>
      <c r="PQP77" s="26"/>
      <c r="PQQ77" s="58"/>
      <c r="PQR77" s="26"/>
      <c r="PQS77" s="26"/>
      <c r="PQT77" s="26"/>
      <c r="PQU77" s="26"/>
      <c r="PQV77" s="22"/>
      <c r="PQW77" s="167"/>
      <c r="PQX77" s="30"/>
      <c r="PQY77" s="25"/>
      <c r="PQZ77" s="178"/>
      <c r="PRA77" s="26"/>
      <c r="PRB77" s="26"/>
      <c r="PRC77" s="26"/>
      <c r="PRD77" s="26"/>
      <c r="PRE77" s="26"/>
      <c r="PRF77" s="26"/>
      <c r="PRG77" s="58"/>
      <c r="PRH77" s="26"/>
      <c r="PRI77" s="26"/>
      <c r="PRJ77" s="26"/>
      <c r="PRK77" s="26"/>
      <c r="PRL77" s="22"/>
      <c r="PRM77" s="167"/>
      <c r="PRN77" s="30"/>
      <c r="PRO77" s="25"/>
      <c r="PRP77" s="178"/>
      <c r="PRQ77" s="26"/>
      <c r="PRR77" s="26"/>
      <c r="PRS77" s="26"/>
      <c r="PRT77" s="26"/>
      <c r="PRU77" s="26"/>
      <c r="PRV77" s="26"/>
      <c r="PRW77" s="58"/>
      <c r="PRX77" s="26"/>
      <c r="PRY77" s="26"/>
      <c r="PRZ77" s="26"/>
      <c r="PSA77" s="26"/>
      <c r="PSB77" s="22"/>
      <c r="PSC77" s="167"/>
      <c r="PSD77" s="30"/>
      <c r="PSE77" s="25"/>
      <c r="PSF77" s="178"/>
      <c r="PSG77" s="26"/>
      <c r="PSH77" s="26"/>
      <c r="PSI77" s="26"/>
      <c r="PSJ77" s="26"/>
      <c r="PSK77" s="26"/>
      <c r="PSL77" s="26"/>
      <c r="PSM77" s="58"/>
      <c r="PSN77" s="26"/>
      <c r="PSO77" s="26"/>
      <c r="PSP77" s="26"/>
      <c r="PSQ77" s="26"/>
      <c r="PSR77" s="22"/>
      <c r="PSS77" s="167"/>
      <c r="PST77" s="30"/>
      <c r="PSU77" s="25"/>
      <c r="PSV77" s="178"/>
      <c r="PSW77" s="26"/>
      <c r="PSX77" s="26"/>
      <c r="PSY77" s="26"/>
      <c r="PSZ77" s="26"/>
      <c r="PTA77" s="26"/>
      <c r="PTB77" s="26"/>
      <c r="PTC77" s="58"/>
      <c r="PTD77" s="26"/>
      <c r="PTE77" s="26"/>
      <c r="PTF77" s="26"/>
      <c r="PTG77" s="26"/>
      <c r="PTH77" s="22"/>
      <c r="PTI77" s="167"/>
      <c r="PTJ77" s="30"/>
      <c r="PTK77" s="25"/>
      <c r="PTL77" s="178"/>
      <c r="PTM77" s="26"/>
      <c r="PTN77" s="26"/>
      <c r="PTO77" s="26"/>
      <c r="PTP77" s="26"/>
      <c r="PTQ77" s="26"/>
      <c r="PTR77" s="26"/>
      <c r="PTS77" s="58"/>
      <c r="PTT77" s="26"/>
      <c r="PTU77" s="26"/>
      <c r="PTV77" s="26"/>
      <c r="PTW77" s="26"/>
      <c r="PTX77" s="22"/>
      <c r="PTY77" s="167"/>
      <c r="PTZ77" s="30"/>
      <c r="PUA77" s="25"/>
      <c r="PUB77" s="178"/>
      <c r="PUC77" s="26"/>
      <c r="PUD77" s="26"/>
      <c r="PUE77" s="26"/>
      <c r="PUF77" s="26"/>
      <c r="PUG77" s="26"/>
      <c r="PUH77" s="26"/>
      <c r="PUI77" s="58"/>
      <c r="PUJ77" s="26"/>
      <c r="PUK77" s="26"/>
      <c r="PUL77" s="26"/>
      <c r="PUM77" s="26"/>
      <c r="PUN77" s="22"/>
      <c r="PUO77" s="167"/>
      <c r="PUP77" s="30"/>
      <c r="PUQ77" s="25"/>
      <c r="PUR77" s="178"/>
      <c r="PUS77" s="26"/>
      <c r="PUT77" s="26"/>
      <c r="PUU77" s="26"/>
      <c r="PUV77" s="26"/>
      <c r="PUW77" s="26"/>
      <c r="PUX77" s="26"/>
      <c r="PUY77" s="58"/>
      <c r="PUZ77" s="26"/>
      <c r="PVA77" s="26"/>
      <c r="PVB77" s="26"/>
      <c r="PVC77" s="26"/>
      <c r="PVD77" s="22"/>
      <c r="PVE77" s="167"/>
      <c r="PVF77" s="30"/>
      <c r="PVG77" s="25"/>
      <c r="PVH77" s="178"/>
      <c r="PVI77" s="26"/>
      <c r="PVJ77" s="26"/>
      <c r="PVK77" s="26"/>
      <c r="PVL77" s="26"/>
      <c r="PVM77" s="26"/>
      <c r="PVN77" s="26"/>
      <c r="PVO77" s="58"/>
      <c r="PVP77" s="26"/>
      <c r="PVQ77" s="26"/>
      <c r="PVR77" s="26"/>
      <c r="PVS77" s="26"/>
      <c r="PVT77" s="22"/>
      <c r="PVU77" s="167"/>
      <c r="PVV77" s="30"/>
      <c r="PVW77" s="25"/>
      <c r="PVX77" s="178"/>
      <c r="PVY77" s="26"/>
      <c r="PVZ77" s="26"/>
      <c r="PWA77" s="26"/>
      <c r="PWB77" s="26"/>
      <c r="PWC77" s="26"/>
      <c r="PWD77" s="26"/>
      <c r="PWE77" s="58"/>
      <c r="PWF77" s="26"/>
      <c r="PWG77" s="26"/>
      <c r="PWH77" s="26"/>
      <c r="PWI77" s="26"/>
      <c r="PWJ77" s="22"/>
      <c r="PWK77" s="167"/>
      <c r="PWL77" s="30"/>
      <c r="PWM77" s="25"/>
      <c r="PWN77" s="178"/>
      <c r="PWO77" s="26"/>
      <c r="PWP77" s="26"/>
      <c r="PWQ77" s="26"/>
      <c r="PWR77" s="26"/>
      <c r="PWS77" s="26"/>
      <c r="PWT77" s="26"/>
      <c r="PWU77" s="58"/>
      <c r="PWV77" s="26"/>
      <c r="PWW77" s="26"/>
      <c r="PWX77" s="26"/>
      <c r="PWY77" s="26"/>
      <c r="PWZ77" s="22"/>
      <c r="PXA77" s="167"/>
      <c r="PXB77" s="30"/>
      <c r="PXC77" s="25"/>
      <c r="PXD77" s="178"/>
      <c r="PXE77" s="26"/>
      <c r="PXF77" s="26"/>
      <c r="PXG77" s="26"/>
      <c r="PXH77" s="26"/>
      <c r="PXI77" s="26"/>
      <c r="PXJ77" s="26"/>
      <c r="PXK77" s="58"/>
      <c r="PXL77" s="26"/>
      <c r="PXM77" s="26"/>
      <c r="PXN77" s="26"/>
      <c r="PXO77" s="26"/>
      <c r="PXP77" s="22"/>
      <c r="PXQ77" s="167"/>
      <c r="PXR77" s="30"/>
      <c r="PXS77" s="25"/>
      <c r="PXT77" s="178"/>
      <c r="PXU77" s="26"/>
      <c r="PXV77" s="26"/>
      <c r="PXW77" s="26"/>
      <c r="PXX77" s="26"/>
      <c r="PXY77" s="26"/>
      <c r="PXZ77" s="26"/>
      <c r="PYA77" s="58"/>
      <c r="PYB77" s="26"/>
      <c r="PYC77" s="26"/>
      <c r="PYD77" s="26"/>
      <c r="PYE77" s="26"/>
      <c r="PYF77" s="22"/>
      <c r="PYG77" s="167"/>
      <c r="PYH77" s="30"/>
      <c r="PYI77" s="25"/>
      <c r="PYJ77" s="178"/>
      <c r="PYK77" s="26"/>
      <c r="PYL77" s="26"/>
      <c r="PYM77" s="26"/>
      <c r="PYN77" s="26"/>
      <c r="PYO77" s="26"/>
      <c r="PYP77" s="26"/>
      <c r="PYQ77" s="58"/>
      <c r="PYR77" s="26"/>
      <c r="PYS77" s="26"/>
      <c r="PYT77" s="26"/>
      <c r="PYU77" s="26"/>
      <c r="PYV77" s="22"/>
      <c r="PYW77" s="167"/>
      <c r="PYX77" s="30"/>
      <c r="PYY77" s="25"/>
      <c r="PYZ77" s="178"/>
      <c r="PZA77" s="26"/>
      <c r="PZB77" s="26"/>
      <c r="PZC77" s="26"/>
      <c r="PZD77" s="26"/>
      <c r="PZE77" s="26"/>
      <c r="PZF77" s="26"/>
      <c r="PZG77" s="58"/>
      <c r="PZH77" s="26"/>
      <c r="PZI77" s="26"/>
      <c r="PZJ77" s="26"/>
      <c r="PZK77" s="26"/>
      <c r="PZL77" s="22"/>
      <c r="PZM77" s="167"/>
      <c r="PZN77" s="30"/>
      <c r="PZO77" s="25"/>
      <c r="PZP77" s="178"/>
      <c r="PZQ77" s="26"/>
      <c r="PZR77" s="26"/>
      <c r="PZS77" s="26"/>
      <c r="PZT77" s="26"/>
      <c r="PZU77" s="26"/>
      <c r="PZV77" s="26"/>
      <c r="PZW77" s="58"/>
      <c r="PZX77" s="26"/>
      <c r="PZY77" s="26"/>
      <c r="PZZ77" s="26"/>
      <c r="QAA77" s="26"/>
      <c r="QAB77" s="22"/>
      <c r="QAC77" s="167"/>
      <c r="QAD77" s="30"/>
      <c r="QAE77" s="25"/>
      <c r="QAF77" s="178"/>
      <c r="QAG77" s="26"/>
      <c r="QAH77" s="26"/>
      <c r="QAI77" s="26"/>
      <c r="QAJ77" s="26"/>
      <c r="QAK77" s="26"/>
      <c r="QAL77" s="26"/>
      <c r="QAM77" s="58"/>
      <c r="QAN77" s="26"/>
      <c r="QAO77" s="26"/>
      <c r="QAP77" s="26"/>
      <c r="QAQ77" s="26"/>
      <c r="QAR77" s="22"/>
      <c r="QAS77" s="167"/>
      <c r="QAT77" s="30"/>
      <c r="QAU77" s="25"/>
      <c r="QAV77" s="178"/>
      <c r="QAW77" s="26"/>
      <c r="QAX77" s="26"/>
      <c r="QAY77" s="26"/>
      <c r="QAZ77" s="26"/>
      <c r="QBA77" s="26"/>
      <c r="QBB77" s="26"/>
      <c r="QBC77" s="58"/>
      <c r="QBD77" s="26"/>
      <c r="QBE77" s="26"/>
      <c r="QBF77" s="26"/>
      <c r="QBG77" s="26"/>
      <c r="QBH77" s="22"/>
      <c r="QBI77" s="167"/>
      <c r="QBJ77" s="30"/>
      <c r="QBK77" s="25"/>
      <c r="QBL77" s="178"/>
      <c r="QBM77" s="26"/>
      <c r="QBN77" s="26"/>
      <c r="QBO77" s="26"/>
      <c r="QBP77" s="26"/>
      <c r="QBQ77" s="26"/>
      <c r="QBR77" s="26"/>
      <c r="QBS77" s="58"/>
      <c r="QBT77" s="26"/>
      <c r="QBU77" s="26"/>
      <c r="QBV77" s="26"/>
      <c r="QBW77" s="26"/>
      <c r="QBX77" s="22"/>
      <c r="QBY77" s="167"/>
      <c r="QBZ77" s="30"/>
      <c r="QCA77" s="25"/>
      <c r="QCB77" s="178"/>
      <c r="QCC77" s="26"/>
      <c r="QCD77" s="26"/>
      <c r="QCE77" s="26"/>
      <c r="QCF77" s="26"/>
      <c r="QCG77" s="26"/>
      <c r="QCH77" s="26"/>
      <c r="QCI77" s="58"/>
      <c r="QCJ77" s="26"/>
      <c r="QCK77" s="26"/>
      <c r="QCL77" s="26"/>
      <c r="QCM77" s="26"/>
      <c r="QCN77" s="22"/>
      <c r="QCO77" s="167"/>
      <c r="QCP77" s="30"/>
      <c r="QCQ77" s="25"/>
      <c r="QCR77" s="178"/>
      <c r="QCS77" s="26"/>
      <c r="QCT77" s="26"/>
      <c r="QCU77" s="26"/>
      <c r="QCV77" s="26"/>
      <c r="QCW77" s="26"/>
      <c r="QCX77" s="26"/>
      <c r="QCY77" s="58"/>
      <c r="QCZ77" s="26"/>
      <c r="QDA77" s="26"/>
      <c r="QDB77" s="26"/>
      <c r="QDC77" s="26"/>
      <c r="QDD77" s="22"/>
      <c r="QDE77" s="167"/>
      <c r="QDF77" s="30"/>
      <c r="QDG77" s="25"/>
      <c r="QDH77" s="178"/>
      <c r="QDI77" s="26"/>
      <c r="QDJ77" s="26"/>
      <c r="QDK77" s="26"/>
      <c r="QDL77" s="26"/>
      <c r="QDM77" s="26"/>
      <c r="QDN77" s="26"/>
      <c r="QDO77" s="58"/>
      <c r="QDP77" s="26"/>
      <c r="QDQ77" s="26"/>
      <c r="QDR77" s="26"/>
      <c r="QDS77" s="26"/>
      <c r="QDT77" s="22"/>
      <c r="QDU77" s="167"/>
      <c r="QDV77" s="30"/>
      <c r="QDW77" s="25"/>
      <c r="QDX77" s="178"/>
      <c r="QDY77" s="26"/>
      <c r="QDZ77" s="26"/>
      <c r="QEA77" s="26"/>
      <c r="QEB77" s="26"/>
      <c r="QEC77" s="26"/>
      <c r="QED77" s="26"/>
      <c r="QEE77" s="58"/>
      <c r="QEF77" s="26"/>
      <c r="QEG77" s="26"/>
      <c r="QEH77" s="26"/>
      <c r="QEI77" s="26"/>
      <c r="QEJ77" s="22"/>
      <c r="QEK77" s="167"/>
      <c r="QEL77" s="30"/>
      <c r="QEM77" s="25"/>
      <c r="QEN77" s="178"/>
      <c r="QEO77" s="26"/>
      <c r="QEP77" s="26"/>
      <c r="QEQ77" s="26"/>
      <c r="QER77" s="26"/>
      <c r="QES77" s="26"/>
      <c r="QET77" s="26"/>
      <c r="QEU77" s="58"/>
      <c r="QEV77" s="26"/>
      <c r="QEW77" s="26"/>
      <c r="QEX77" s="26"/>
      <c r="QEY77" s="26"/>
      <c r="QEZ77" s="22"/>
      <c r="QFA77" s="167"/>
      <c r="QFB77" s="30"/>
      <c r="QFC77" s="25"/>
      <c r="QFD77" s="178"/>
      <c r="QFE77" s="26"/>
      <c r="QFF77" s="26"/>
      <c r="QFG77" s="26"/>
      <c r="QFH77" s="26"/>
      <c r="QFI77" s="26"/>
      <c r="QFJ77" s="26"/>
      <c r="QFK77" s="58"/>
      <c r="QFL77" s="26"/>
      <c r="QFM77" s="26"/>
      <c r="QFN77" s="26"/>
      <c r="QFO77" s="26"/>
      <c r="QFP77" s="22"/>
      <c r="QFQ77" s="167"/>
      <c r="QFR77" s="30"/>
      <c r="QFS77" s="25"/>
      <c r="QFT77" s="178"/>
      <c r="QFU77" s="26"/>
      <c r="QFV77" s="26"/>
      <c r="QFW77" s="26"/>
      <c r="QFX77" s="26"/>
      <c r="QFY77" s="26"/>
      <c r="QFZ77" s="26"/>
      <c r="QGA77" s="58"/>
      <c r="QGB77" s="26"/>
      <c r="QGC77" s="26"/>
      <c r="QGD77" s="26"/>
      <c r="QGE77" s="26"/>
      <c r="QGF77" s="22"/>
      <c r="QGG77" s="167"/>
      <c r="QGH77" s="30"/>
      <c r="QGI77" s="25"/>
      <c r="QGJ77" s="178"/>
      <c r="QGK77" s="26"/>
      <c r="QGL77" s="26"/>
      <c r="QGM77" s="26"/>
      <c r="QGN77" s="26"/>
      <c r="QGO77" s="26"/>
      <c r="QGP77" s="26"/>
      <c r="QGQ77" s="58"/>
      <c r="QGR77" s="26"/>
      <c r="QGS77" s="26"/>
      <c r="QGT77" s="26"/>
      <c r="QGU77" s="26"/>
      <c r="QGV77" s="22"/>
      <c r="QGW77" s="167"/>
      <c r="QGX77" s="30"/>
      <c r="QGY77" s="25"/>
      <c r="QGZ77" s="178"/>
      <c r="QHA77" s="26"/>
      <c r="QHB77" s="26"/>
      <c r="QHC77" s="26"/>
      <c r="QHD77" s="26"/>
      <c r="QHE77" s="26"/>
      <c r="QHF77" s="26"/>
      <c r="QHG77" s="58"/>
      <c r="QHH77" s="26"/>
      <c r="QHI77" s="26"/>
      <c r="QHJ77" s="26"/>
      <c r="QHK77" s="26"/>
      <c r="QHL77" s="22"/>
      <c r="QHM77" s="167"/>
      <c r="QHN77" s="30"/>
      <c r="QHO77" s="25"/>
      <c r="QHP77" s="178"/>
      <c r="QHQ77" s="26"/>
      <c r="QHR77" s="26"/>
      <c r="QHS77" s="26"/>
      <c r="QHT77" s="26"/>
      <c r="QHU77" s="26"/>
      <c r="QHV77" s="26"/>
      <c r="QHW77" s="58"/>
      <c r="QHX77" s="26"/>
      <c r="QHY77" s="26"/>
      <c r="QHZ77" s="26"/>
      <c r="QIA77" s="26"/>
      <c r="QIB77" s="22"/>
      <c r="QIC77" s="167"/>
      <c r="QID77" s="30"/>
      <c r="QIE77" s="25"/>
      <c r="QIF77" s="178"/>
      <c r="QIG77" s="26"/>
      <c r="QIH77" s="26"/>
      <c r="QII77" s="26"/>
      <c r="QIJ77" s="26"/>
      <c r="QIK77" s="26"/>
      <c r="QIL77" s="26"/>
      <c r="QIM77" s="58"/>
      <c r="QIN77" s="26"/>
      <c r="QIO77" s="26"/>
      <c r="QIP77" s="26"/>
      <c r="QIQ77" s="26"/>
      <c r="QIR77" s="22"/>
      <c r="QIS77" s="167"/>
      <c r="QIT77" s="30"/>
      <c r="QIU77" s="25"/>
      <c r="QIV77" s="178"/>
      <c r="QIW77" s="26"/>
      <c r="QIX77" s="26"/>
      <c r="QIY77" s="26"/>
      <c r="QIZ77" s="26"/>
      <c r="QJA77" s="26"/>
      <c r="QJB77" s="26"/>
      <c r="QJC77" s="58"/>
      <c r="QJD77" s="26"/>
      <c r="QJE77" s="26"/>
      <c r="QJF77" s="26"/>
      <c r="QJG77" s="26"/>
      <c r="QJH77" s="22"/>
      <c r="QJI77" s="167"/>
      <c r="QJJ77" s="30"/>
      <c r="QJK77" s="25"/>
      <c r="QJL77" s="178"/>
      <c r="QJM77" s="26"/>
      <c r="QJN77" s="26"/>
      <c r="QJO77" s="26"/>
      <c r="QJP77" s="26"/>
      <c r="QJQ77" s="26"/>
      <c r="QJR77" s="26"/>
      <c r="QJS77" s="58"/>
      <c r="QJT77" s="26"/>
      <c r="QJU77" s="26"/>
      <c r="QJV77" s="26"/>
      <c r="QJW77" s="26"/>
      <c r="QJX77" s="22"/>
      <c r="QJY77" s="167"/>
      <c r="QJZ77" s="30"/>
      <c r="QKA77" s="25"/>
      <c r="QKB77" s="178"/>
      <c r="QKC77" s="26"/>
      <c r="QKD77" s="26"/>
      <c r="QKE77" s="26"/>
      <c r="QKF77" s="26"/>
      <c r="QKG77" s="26"/>
      <c r="QKH77" s="26"/>
      <c r="QKI77" s="58"/>
      <c r="QKJ77" s="26"/>
      <c r="QKK77" s="26"/>
      <c r="QKL77" s="26"/>
      <c r="QKM77" s="26"/>
      <c r="QKN77" s="22"/>
      <c r="QKO77" s="167"/>
      <c r="QKP77" s="30"/>
      <c r="QKQ77" s="25"/>
      <c r="QKR77" s="178"/>
      <c r="QKS77" s="26"/>
      <c r="QKT77" s="26"/>
      <c r="QKU77" s="26"/>
      <c r="QKV77" s="26"/>
      <c r="QKW77" s="26"/>
      <c r="QKX77" s="26"/>
      <c r="QKY77" s="58"/>
      <c r="QKZ77" s="26"/>
      <c r="QLA77" s="26"/>
      <c r="QLB77" s="26"/>
      <c r="QLC77" s="26"/>
      <c r="QLD77" s="22"/>
      <c r="QLE77" s="167"/>
      <c r="QLF77" s="30"/>
      <c r="QLG77" s="25"/>
      <c r="QLH77" s="178"/>
      <c r="QLI77" s="26"/>
      <c r="QLJ77" s="26"/>
      <c r="QLK77" s="26"/>
      <c r="QLL77" s="26"/>
      <c r="QLM77" s="26"/>
      <c r="QLN77" s="26"/>
      <c r="QLO77" s="58"/>
      <c r="QLP77" s="26"/>
      <c r="QLQ77" s="26"/>
      <c r="QLR77" s="26"/>
      <c r="QLS77" s="26"/>
      <c r="QLT77" s="22"/>
      <c r="QLU77" s="167"/>
      <c r="QLV77" s="30"/>
      <c r="QLW77" s="25"/>
      <c r="QLX77" s="178"/>
      <c r="QLY77" s="26"/>
      <c r="QLZ77" s="26"/>
      <c r="QMA77" s="26"/>
      <c r="QMB77" s="26"/>
      <c r="QMC77" s="26"/>
      <c r="QMD77" s="26"/>
      <c r="QME77" s="58"/>
      <c r="QMF77" s="26"/>
      <c r="QMG77" s="26"/>
      <c r="QMH77" s="26"/>
      <c r="QMI77" s="26"/>
      <c r="QMJ77" s="22"/>
      <c r="QMK77" s="167"/>
      <c r="QML77" s="30"/>
      <c r="QMM77" s="25"/>
      <c r="QMN77" s="178"/>
      <c r="QMO77" s="26"/>
      <c r="QMP77" s="26"/>
      <c r="QMQ77" s="26"/>
      <c r="QMR77" s="26"/>
      <c r="QMS77" s="26"/>
      <c r="QMT77" s="26"/>
      <c r="QMU77" s="58"/>
      <c r="QMV77" s="26"/>
      <c r="QMW77" s="26"/>
      <c r="QMX77" s="26"/>
      <c r="QMY77" s="26"/>
      <c r="QMZ77" s="22"/>
      <c r="QNA77" s="167"/>
      <c r="QNB77" s="30"/>
      <c r="QNC77" s="25"/>
      <c r="QND77" s="178"/>
      <c r="QNE77" s="26"/>
      <c r="QNF77" s="26"/>
      <c r="QNG77" s="26"/>
      <c r="QNH77" s="26"/>
      <c r="QNI77" s="26"/>
      <c r="QNJ77" s="26"/>
      <c r="QNK77" s="58"/>
      <c r="QNL77" s="26"/>
      <c r="QNM77" s="26"/>
      <c r="QNN77" s="26"/>
      <c r="QNO77" s="26"/>
      <c r="QNP77" s="22"/>
      <c r="QNQ77" s="167"/>
      <c r="QNR77" s="30"/>
      <c r="QNS77" s="25"/>
      <c r="QNT77" s="178"/>
      <c r="QNU77" s="26"/>
      <c r="QNV77" s="26"/>
      <c r="QNW77" s="26"/>
      <c r="QNX77" s="26"/>
      <c r="QNY77" s="26"/>
      <c r="QNZ77" s="26"/>
      <c r="QOA77" s="58"/>
      <c r="QOB77" s="26"/>
      <c r="QOC77" s="26"/>
      <c r="QOD77" s="26"/>
      <c r="QOE77" s="26"/>
      <c r="QOF77" s="22"/>
      <c r="QOG77" s="167"/>
      <c r="QOH77" s="30"/>
      <c r="QOI77" s="25"/>
      <c r="QOJ77" s="178"/>
      <c r="QOK77" s="26"/>
      <c r="QOL77" s="26"/>
      <c r="QOM77" s="26"/>
      <c r="QON77" s="26"/>
      <c r="QOO77" s="26"/>
      <c r="QOP77" s="26"/>
      <c r="QOQ77" s="58"/>
      <c r="QOR77" s="26"/>
      <c r="QOS77" s="26"/>
      <c r="QOT77" s="26"/>
      <c r="QOU77" s="26"/>
      <c r="QOV77" s="22"/>
      <c r="QOW77" s="167"/>
      <c r="QOX77" s="30"/>
      <c r="QOY77" s="25"/>
      <c r="QOZ77" s="178"/>
      <c r="QPA77" s="26"/>
      <c r="QPB77" s="26"/>
      <c r="QPC77" s="26"/>
      <c r="QPD77" s="26"/>
      <c r="QPE77" s="26"/>
      <c r="QPF77" s="26"/>
      <c r="QPG77" s="58"/>
      <c r="QPH77" s="26"/>
      <c r="QPI77" s="26"/>
      <c r="QPJ77" s="26"/>
      <c r="QPK77" s="26"/>
      <c r="QPL77" s="22"/>
      <c r="QPM77" s="167"/>
      <c r="QPN77" s="30"/>
      <c r="QPO77" s="25"/>
      <c r="QPP77" s="178"/>
      <c r="QPQ77" s="26"/>
      <c r="QPR77" s="26"/>
      <c r="QPS77" s="26"/>
      <c r="QPT77" s="26"/>
      <c r="QPU77" s="26"/>
      <c r="QPV77" s="26"/>
      <c r="QPW77" s="58"/>
      <c r="QPX77" s="26"/>
      <c r="QPY77" s="26"/>
      <c r="QPZ77" s="26"/>
      <c r="QQA77" s="26"/>
      <c r="QQB77" s="22"/>
      <c r="QQC77" s="167"/>
      <c r="QQD77" s="30"/>
      <c r="QQE77" s="25"/>
      <c r="QQF77" s="178"/>
      <c r="QQG77" s="26"/>
      <c r="QQH77" s="26"/>
      <c r="QQI77" s="26"/>
      <c r="QQJ77" s="26"/>
      <c r="QQK77" s="26"/>
      <c r="QQL77" s="26"/>
      <c r="QQM77" s="58"/>
      <c r="QQN77" s="26"/>
      <c r="QQO77" s="26"/>
      <c r="QQP77" s="26"/>
      <c r="QQQ77" s="26"/>
      <c r="QQR77" s="22"/>
      <c r="QQS77" s="167"/>
      <c r="QQT77" s="30"/>
      <c r="QQU77" s="25"/>
      <c r="QQV77" s="178"/>
      <c r="QQW77" s="26"/>
      <c r="QQX77" s="26"/>
      <c r="QQY77" s="26"/>
      <c r="QQZ77" s="26"/>
      <c r="QRA77" s="26"/>
      <c r="QRB77" s="26"/>
      <c r="QRC77" s="58"/>
      <c r="QRD77" s="26"/>
      <c r="QRE77" s="26"/>
      <c r="QRF77" s="26"/>
      <c r="QRG77" s="26"/>
      <c r="QRH77" s="22"/>
      <c r="QRI77" s="167"/>
      <c r="QRJ77" s="30"/>
      <c r="QRK77" s="25"/>
      <c r="QRL77" s="178"/>
      <c r="QRM77" s="26"/>
      <c r="QRN77" s="26"/>
      <c r="QRO77" s="26"/>
      <c r="QRP77" s="26"/>
      <c r="QRQ77" s="26"/>
      <c r="QRR77" s="26"/>
      <c r="QRS77" s="58"/>
      <c r="QRT77" s="26"/>
      <c r="QRU77" s="26"/>
      <c r="QRV77" s="26"/>
      <c r="QRW77" s="26"/>
      <c r="QRX77" s="22"/>
      <c r="QRY77" s="167"/>
      <c r="QRZ77" s="30"/>
      <c r="QSA77" s="25"/>
      <c r="QSB77" s="178"/>
      <c r="QSC77" s="26"/>
      <c r="QSD77" s="26"/>
      <c r="QSE77" s="26"/>
      <c r="QSF77" s="26"/>
      <c r="QSG77" s="26"/>
      <c r="QSH77" s="26"/>
      <c r="QSI77" s="58"/>
      <c r="QSJ77" s="26"/>
      <c r="QSK77" s="26"/>
      <c r="QSL77" s="26"/>
      <c r="QSM77" s="26"/>
      <c r="QSN77" s="22"/>
      <c r="QSO77" s="167"/>
      <c r="QSP77" s="30"/>
      <c r="QSQ77" s="25"/>
      <c r="QSR77" s="178"/>
      <c r="QSS77" s="26"/>
      <c r="QST77" s="26"/>
      <c r="QSU77" s="26"/>
      <c r="QSV77" s="26"/>
      <c r="QSW77" s="26"/>
      <c r="QSX77" s="26"/>
      <c r="QSY77" s="58"/>
      <c r="QSZ77" s="26"/>
      <c r="QTA77" s="26"/>
      <c r="QTB77" s="26"/>
      <c r="QTC77" s="26"/>
      <c r="QTD77" s="22"/>
      <c r="QTE77" s="167"/>
      <c r="QTF77" s="30"/>
      <c r="QTG77" s="25"/>
      <c r="QTH77" s="178"/>
      <c r="QTI77" s="26"/>
      <c r="QTJ77" s="26"/>
      <c r="QTK77" s="26"/>
      <c r="QTL77" s="26"/>
      <c r="QTM77" s="26"/>
      <c r="QTN77" s="26"/>
      <c r="QTO77" s="58"/>
      <c r="QTP77" s="26"/>
      <c r="QTQ77" s="26"/>
      <c r="QTR77" s="26"/>
      <c r="QTS77" s="26"/>
      <c r="QTT77" s="22"/>
      <c r="QTU77" s="167"/>
      <c r="QTV77" s="30"/>
      <c r="QTW77" s="25"/>
      <c r="QTX77" s="178"/>
      <c r="QTY77" s="26"/>
      <c r="QTZ77" s="26"/>
      <c r="QUA77" s="26"/>
      <c r="QUB77" s="26"/>
      <c r="QUC77" s="26"/>
      <c r="QUD77" s="26"/>
      <c r="QUE77" s="58"/>
      <c r="QUF77" s="26"/>
      <c r="QUG77" s="26"/>
      <c r="QUH77" s="26"/>
      <c r="QUI77" s="26"/>
      <c r="QUJ77" s="22"/>
      <c r="QUK77" s="167"/>
      <c r="QUL77" s="30"/>
      <c r="QUM77" s="25"/>
      <c r="QUN77" s="178"/>
      <c r="QUO77" s="26"/>
      <c r="QUP77" s="26"/>
      <c r="QUQ77" s="26"/>
      <c r="QUR77" s="26"/>
      <c r="QUS77" s="26"/>
      <c r="QUT77" s="26"/>
      <c r="QUU77" s="58"/>
      <c r="QUV77" s="26"/>
      <c r="QUW77" s="26"/>
      <c r="QUX77" s="26"/>
      <c r="QUY77" s="26"/>
      <c r="QUZ77" s="22"/>
      <c r="QVA77" s="167"/>
      <c r="QVB77" s="30"/>
      <c r="QVC77" s="25"/>
      <c r="QVD77" s="178"/>
      <c r="QVE77" s="26"/>
      <c r="QVF77" s="26"/>
      <c r="QVG77" s="26"/>
      <c r="QVH77" s="26"/>
      <c r="QVI77" s="26"/>
      <c r="QVJ77" s="26"/>
      <c r="QVK77" s="58"/>
      <c r="QVL77" s="26"/>
      <c r="QVM77" s="26"/>
      <c r="QVN77" s="26"/>
      <c r="QVO77" s="26"/>
      <c r="QVP77" s="22"/>
      <c r="QVQ77" s="167"/>
      <c r="QVR77" s="30"/>
      <c r="QVS77" s="25"/>
      <c r="QVT77" s="178"/>
      <c r="QVU77" s="26"/>
      <c r="QVV77" s="26"/>
      <c r="QVW77" s="26"/>
      <c r="QVX77" s="26"/>
      <c r="QVY77" s="26"/>
      <c r="QVZ77" s="26"/>
      <c r="QWA77" s="58"/>
      <c r="QWB77" s="26"/>
      <c r="QWC77" s="26"/>
      <c r="QWD77" s="26"/>
      <c r="QWE77" s="26"/>
      <c r="QWF77" s="22"/>
      <c r="QWG77" s="167"/>
      <c r="QWH77" s="30"/>
      <c r="QWI77" s="25"/>
      <c r="QWJ77" s="178"/>
      <c r="QWK77" s="26"/>
      <c r="QWL77" s="26"/>
      <c r="QWM77" s="26"/>
      <c r="QWN77" s="26"/>
      <c r="QWO77" s="26"/>
      <c r="QWP77" s="26"/>
      <c r="QWQ77" s="58"/>
      <c r="QWR77" s="26"/>
      <c r="QWS77" s="26"/>
      <c r="QWT77" s="26"/>
      <c r="QWU77" s="26"/>
      <c r="QWV77" s="22"/>
      <c r="QWW77" s="167"/>
      <c r="QWX77" s="30"/>
      <c r="QWY77" s="25"/>
      <c r="QWZ77" s="178"/>
      <c r="QXA77" s="26"/>
      <c r="QXB77" s="26"/>
      <c r="QXC77" s="26"/>
      <c r="QXD77" s="26"/>
      <c r="QXE77" s="26"/>
      <c r="QXF77" s="26"/>
      <c r="QXG77" s="58"/>
      <c r="QXH77" s="26"/>
      <c r="QXI77" s="26"/>
      <c r="QXJ77" s="26"/>
      <c r="QXK77" s="26"/>
      <c r="QXL77" s="22"/>
      <c r="QXM77" s="167"/>
      <c r="QXN77" s="30"/>
      <c r="QXO77" s="25"/>
      <c r="QXP77" s="178"/>
      <c r="QXQ77" s="26"/>
      <c r="QXR77" s="26"/>
      <c r="QXS77" s="26"/>
      <c r="QXT77" s="26"/>
      <c r="QXU77" s="26"/>
      <c r="QXV77" s="26"/>
      <c r="QXW77" s="58"/>
      <c r="QXX77" s="26"/>
      <c r="QXY77" s="26"/>
      <c r="QXZ77" s="26"/>
      <c r="QYA77" s="26"/>
      <c r="QYB77" s="22"/>
      <c r="QYC77" s="167"/>
      <c r="QYD77" s="30"/>
      <c r="QYE77" s="25"/>
      <c r="QYF77" s="178"/>
      <c r="QYG77" s="26"/>
      <c r="QYH77" s="26"/>
      <c r="QYI77" s="26"/>
      <c r="QYJ77" s="26"/>
      <c r="QYK77" s="26"/>
      <c r="QYL77" s="26"/>
      <c r="QYM77" s="58"/>
      <c r="QYN77" s="26"/>
      <c r="QYO77" s="26"/>
      <c r="QYP77" s="26"/>
      <c r="QYQ77" s="26"/>
      <c r="QYR77" s="22"/>
      <c r="QYS77" s="167"/>
      <c r="QYT77" s="30"/>
      <c r="QYU77" s="25"/>
      <c r="QYV77" s="178"/>
      <c r="QYW77" s="26"/>
      <c r="QYX77" s="26"/>
      <c r="QYY77" s="26"/>
      <c r="QYZ77" s="26"/>
      <c r="QZA77" s="26"/>
      <c r="QZB77" s="26"/>
      <c r="QZC77" s="58"/>
      <c r="QZD77" s="26"/>
      <c r="QZE77" s="26"/>
      <c r="QZF77" s="26"/>
      <c r="QZG77" s="26"/>
      <c r="QZH77" s="22"/>
      <c r="QZI77" s="167"/>
      <c r="QZJ77" s="30"/>
      <c r="QZK77" s="25"/>
      <c r="QZL77" s="178"/>
      <c r="QZM77" s="26"/>
      <c r="QZN77" s="26"/>
      <c r="QZO77" s="26"/>
      <c r="QZP77" s="26"/>
      <c r="QZQ77" s="26"/>
      <c r="QZR77" s="26"/>
      <c r="QZS77" s="58"/>
      <c r="QZT77" s="26"/>
      <c r="QZU77" s="26"/>
      <c r="QZV77" s="26"/>
      <c r="QZW77" s="26"/>
      <c r="QZX77" s="22"/>
      <c r="QZY77" s="167"/>
      <c r="QZZ77" s="30"/>
      <c r="RAA77" s="25"/>
      <c r="RAB77" s="178"/>
      <c r="RAC77" s="26"/>
      <c r="RAD77" s="26"/>
      <c r="RAE77" s="26"/>
      <c r="RAF77" s="26"/>
      <c r="RAG77" s="26"/>
      <c r="RAH77" s="26"/>
      <c r="RAI77" s="58"/>
      <c r="RAJ77" s="26"/>
      <c r="RAK77" s="26"/>
      <c r="RAL77" s="26"/>
      <c r="RAM77" s="26"/>
      <c r="RAN77" s="22"/>
      <c r="RAO77" s="167"/>
      <c r="RAP77" s="30"/>
      <c r="RAQ77" s="25"/>
      <c r="RAR77" s="178"/>
      <c r="RAS77" s="26"/>
      <c r="RAT77" s="26"/>
      <c r="RAU77" s="26"/>
      <c r="RAV77" s="26"/>
      <c r="RAW77" s="26"/>
      <c r="RAX77" s="26"/>
      <c r="RAY77" s="58"/>
      <c r="RAZ77" s="26"/>
      <c r="RBA77" s="26"/>
      <c r="RBB77" s="26"/>
      <c r="RBC77" s="26"/>
      <c r="RBD77" s="22"/>
      <c r="RBE77" s="167"/>
      <c r="RBF77" s="30"/>
      <c r="RBG77" s="25"/>
      <c r="RBH77" s="178"/>
      <c r="RBI77" s="26"/>
      <c r="RBJ77" s="26"/>
      <c r="RBK77" s="26"/>
      <c r="RBL77" s="26"/>
      <c r="RBM77" s="26"/>
      <c r="RBN77" s="26"/>
      <c r="RBO77" s="58"/>
      <c r="RBP77" s="26"/>
      <c r="RBQ77" s="26"/>
      <c r="RBR77" s="26"/>
      <c r="RBS77" s="26"/>
      <c r="RBT77" s="22"/>
      <c r="RBU77" s="167"/>
      <c r="RBV77" s="30"/>
      <c r="RBW77" s="25"/>
      <c r="RBX77" s="178"/>
      <c r="RBY77" s="26"/>
      <c r="RBZ77" s="26"/>
      <c r="RCA77" s="26"/>
      <c r="RCB77" s="26"/>
      <c r="RCC77" s="26"/>
      <c r="RCD77" s="26"/>
      <c r="RCE77" s="58"/>
      <c r="RCF77" s="26"/>
      <c r="RCG77" s="26"/>
      <c r="RCH77" s="26"/>
      <c r="RCI77" s="26"/>
      <c r="RCJ77" s="22"/>
      <c r="RCK77" s="167"/>
      <c r="RCL77" s="30"/>
      <c r="RCM77" s="25"/>
      <c r="RCN77" s="178"/>
      <c r="RCO77" s="26"/>
      <c r="RCP77" s="26"/>
      <c r="RCQ77" s="26"/>
      <c r="RCR77" s="26"/>
      <c r="RCS77" s="26"/>
      <c r="RCT77" s="26"/>
      <c r="RCU77" s="58"/>
      <c r="RCV77" s="26"/>
      <c r="RCW77" s="26"/>
      <c r="RCX77" s="26"/>
      <c r="RCY77" s="26"/>
      <c r="RCZ77" s="22"/>
      <c r="RDA77" s="167"/>
      <c r="RDB77" s="30"/>
      <c r="RDC77" s="25"/>
      <c r="RDD77" s="178"/>
      <c r="RDE77" s="26"/>
      <c r="RDF77" s="26"/>
      <c r="RDG77" s="26"/>
      <c r="RDH77" s="26"/>
      <c r="RDI77" s="26"/>
      <c r="RDJ77" s="26"/>
      <c r="RDK77" s="58"/>
      <c r="RDL77" s="26"/>
      <c r="RDM77" s="26"/>
      <c r="RDN77" s="26"/>
      <c r="RDO77" s="26"/>
      <c r="RDP77" s="22"/>
      <c r="RDQ77" s="167"/>
      <c r="RDR77" s="30"/>
      <c r="RDS77" s="25"/>
      <c r="RDT77" s="178"/>
      <c r="RDU77" s="26"/>
      <c r="RDV77" s="26"/>
      <c r="RDW77" s="26"/>
      <c r="RDX77" s="26"/>
      <c r="RDY77" s="26"/>
      <c r="RDZ77" s="26"/>
      <c r="REA77" s="58"/>
      <c r="REB77" s="26"/>
      <c r="REC77" s="26"/>
      <c r="RED77" s="26"/>
      <c r="REE77" s="26"/>
      <c r="REF77" s="22"/>
      <c r="REG77" s="167"/>
      <c r="REH77" s="30"/>
      <c r="REI77" s="25"/>
      <c r="REJ77" s="178"/>
      <c r="REK77" s="26"/>
      <c r="REL77" s="26"/>
      <c r="REM77" s="26"/>
      <c r="REN77" s="26"/>
      <c r="REO77" s="26"/>
      <c r="REP77" s="26"/>
      <c r="REQ77" s="58"/>
      <c r="RER77" s="26"/>
      <c r="RES77" s="26"/>
      <c r="RET77" s="26"/>
      <c r="REU77" s="26"/>
      <c r="REV77" s="22"/>
      <c r="REW77" s="167"/>
      <c r="REX77" s="30"/>
      <c r="REY77" s="25"/>
      <c r="REZ77" s="178"/>
      <c r="RFA77" s="26"/>
      <c r="RFB77" s="26"/>
      <c r="RFC77" s="26"/>
      <c r="RFD77" s="26"/>
      <c r="RFE77" s="26"/>
      <c r="RFF77" s="26"/>
      <c r="RFG77" s="58"/>
      <c r="RFH77" s="26"/>
      <c r="RFI77" s="26"/>
      <c r="RFJ77" s="26"/>
      <c r="RFK77" s="26"/>
      <c r="RFL77" s="22"/>
      <c r="RFM77" s="167"/>
      <c r="RFN77" s="30"/>
      <c r="RFO77" s="25"/>
      <c r="RFP77" s="178"/>
      <c r="RFQ77" s="26"/>
      <c r="RFR77" s="26"/>
      <c r="RFS77" s="26"/>
      <c r="RFT77" s="26"/>
      <c r="RFU77" s="26"/>
      <c r="RFV77" s="26"/>
      <c r="RFW77" s="58"/>
      <c r="RFX77" s="26"/>
      <c r="RFY77" s="26"/>
      <c r="RFZ77" s="26"/>
      <c r="RGA77" s="26"/>
      <c r="RGB77" s="22"/>
      <c r="RGC77" s="167"/>
      <c r="RGD77" s="30"/>
      <c r="RGE77" s="25"/>
      <c r="RGF77" s="178"/>
      <c r="RGG77" s="26"/>
      <c r="RGH77" s="26"/>
      <c r="RGI77" s="26"/>
      <c r="RGJ77" s="26"/>
      <c r="RGK77" s="26"/>
      <c r="RGL77" s="26"/>
      <c r="RGM77" s="58"/>
      <c r="RGN77" s="26"/>
      <c r="RGO77" s="26"/>
      <c r="RGP77" s="26"/>
      <c r="RGQ77" s="26"/>
      <c r="RGR77" s="22"/>
      <c r="RGS77" s="167"/>
      <c r="RGT77" s="30"/>
      <c r="RGU77" s="25"/>
      <c r="RGV77" s="178"/>
      <c r="RGW77" s="26"/>
      <c r="RGX77" s="26"/>
      <c r="RGY77" s="26"/>
      <c r="RGZ77" s="26"/>
      <c r="RHA77" s="26"/>
      <c r="RHB77" s="26"/>
      <c r="RHC77" s="58"/>
      <c r="RHD77" s="26"/>
      <c r="RHE77" s="26"/>
      <c r="RHF77" s="26"/>
      <c r="RHG77" s="26"/>
      <c r="RHH77" s="22"/>
      <c r="RHI77" s="167"/>
      <c r="RHJ77" s="30"/>
      <c r="RHK77" s="25"/>
      <c r="RHL77" s="178"/>
      <c r="RHM77" s="26"/>
      <c r="RHN77" s="26"/>
      <c r="RHO77" s="26"/>
      <c r="RHP77" s="26"/>
      <c r="RHQ77" s="26"/>
      <c r="RHR77" s="26"/>
      <c r="RHS77" s="58"/>
      <c r="RHT77" s="26"/>
      <c r="RHU77" s="26"/>
      <c r="RHV77" s="26"/>
      <c r="RHW77" s="26"/>
      <c r="RHX77" s="22"/>
      <c r="RHY77" s="167"/>
      <c r="RHZ77" s="30"/>
      <c r="RIA77" s="25"/>
      <c r="RIB77" s="178"/>
      <c r="RIC77" s="26"/>
      <c r="RID77" s="26"/>
      <c r="RIE77" s="26"/>
      <c r="RIF77" s="26"/>
      <c r="RIG77" s="26"/>
      <c r="RIH77" s="26"/>
      <c r="RII77" s="58"/>
      <c r="RIJ77" s="26"/>
      <c r="RIK77" s="26"/>
      <c r="RIL77" s="26"/>
      <c r="RIM77" s="26"/>
      <c r="RIN77" s="22"/>
      <c r="RIO77" s="167"/>
      <c r="RIP77" s="30"/>
      <c r="RIQ77" s="25"/>
      <c r="RIR77" s="178"/>
      <c r="RIS77" s="26"/>
      <c r="RIT77" s="26"/>
      <c r="RIU77" s="26"/>
      <c r="RIV77" s="26"/>
      <c r="RIW77" s="26"/>
      <c r="RIX77" s="26"/>
      <c r="RIY77" s="58"/>
      <c r="RIZ77" s="26"/>
      <c r="RJA77" s="26"/>
      <c r="RJB77" s="26"/>
      <c r="RJC77" s="26"/>
      <c r="RJD77" s="22"/>
      <c r="RJE77" s="167"/>
      <c r="RJF77" s="30"/>
      <c r="RJG77" s="25"/>
      <c r="RJH77" s="178"/>
      <c r="RJI77" s="26"/>
      <c r="RJJ77" s="26"/>
      <c r="RJK77" s="26"/>
      <c r="RJL77" s="26"/>
      <c r="RJM77" s="26"/>
      <c r="RJN77" s="26"/>
      <c r="RJO77" s="58"/>
      <c r="RJP77" s="26"/>
      <c r="RJQ77" s="26"/>
      <c r="RJR77" s="26"/>
      <c r="RJS77" s="26"/>
      <c r="RJT77" s="22"/>
      <c r="RJU77" s="167"/>
      <c r="RJV77" s="30"/>
      <c r="RJW77" s="25"/>
      <c r="RJX77" s="178"/>
      <c r="RJY77" s="26"/>
      <c r="RJZ77" s="26"/>
      <c r="RKA77" s="26"/>
      <c r="RKB77" s="26"/>
      <c r="RKC77" s="26"/>
      <c r="RKD77" s="26"/>
      <c r="RKE77" s="58"/>
      <c r="RKF77" s="26"/>
      <c r="RKG77" s="26"/>
      <c r="RKH77" s="26"/>
      <c r="RKI77" s="26"/>
      <c r="RKJ77" s="22"/>
      <c r="RKK77" s="167"/>
      <c r="RKL77" s="30"/>
      <c r="RKM77" s="25"/>
      <c r="RKN77" s="178"/>
      <c r="RKO77" s="26"/>
      <c r="RKP77" s="26"/>
      <c r="RKQ77" s="26"/>
      <c r="RKR77" s="26"/>
      <c r="RKS77" s="26"/>
      <c r="RKT77" s="26"/>
      <c r="RKU77" s="58"/>
      <c r="RKV77" s="26"/>
      <c r="RKW77" s="26"/>
      <c r="RKX77" s="26"/>
      <c r="RKY77" s="26"/>
      <c r="RKZ77" s="22"/>
      <c r="RLA77" s="167"/>
      <c r="RLB77" s="30"/>
      <c r="RLC77" s="25"/>
      <c r="RLD77" s="178"/>
      <c r="RLE77" s="26"/>
      <c r="RLF77" s="26"/>
      <c r="RLG77" s="26"/>
      <c r="RLH77" s="26"/>
      <c r="RLI77" s="26"/>
      <c r="RLJ77" s="26"/>
      <c r="RLK77" s="58"/>
      <c r="RLL77" s="26"/>
      <c r="RLM77" s="26"/>
      <c r="RLN77" s="26"/>
      <c r="RLO77" s="26"/>
      <c r="RLP77" s="22"/>
      <c r="RLQ77" s="167"/>
      <c r="RLR77" s="30"/>
      <c r="RLS77" s="25"/>
      <c r="RLT77" s="178"/>
      <c r="RLU77" s="26"/>
      <c r="RLV77" s="26"/>
      <c r="RLW77" s="26"/>
      <c r="RLX77" s="26"/>
      <c r="RLY77" s="26"/>
      <c r="RLZ77" s="26"/>
      <c r="RMA77" s="58"/>
      <c r="RMB77" s="26"/>
      <c r="RMC77" s="26"/>
      <c r="RMD77" s="26"/>
      <c r="RME77" s="26"/>
      <c r="RMF77" s="22"/>
      <c r="RMG77" s="167"/>
      <c r="RMH77" s="30"/>
      <c r="RMI77" s="25"/>
      <c r="RMJ77" s="178"/>
      <c r="RMK77" s="26"/>
      <c r="RML77" s="26"/>
      <c r="RMM77" s="26"/>
      <c r="RMN77" s="26"/>
      <c r="RMO77" s="26"/>
      <c r="RMP77" s="26"/>
      <c r="RMQ77" s="58"/>
      <c r="RMR77" s="26"/>
      <c r="RMS77" s="26"/>
      <c r="RMT77" s="26"/>
      <c r="RMU77" s="26"/>
      <c r="RMV77" s="22"/>
      <c r="RMW77" s="167"/>
      <c r="RMX77" s="30"/>
      <c r="RMY77" s="25"/>
      <c r="RMZ77" s="178"/>
      <c r="RNA77" s="26"/>
      <c r="RNB77" s="26"/>
      <c r="RNC77" s="26"/>
      <c r="RND77" s="26"/>
      <c r="RNE77" s="26"/>
      <c r="RNF77" s="26"/>
      <c r="RNG77" s="58"/>
      <c r="RNH77" s="26"/>
      <c r="RNI77" s="26"/>
      <c r="RNJ77" s="26"/>
      <c r="RNK77" s="26"/>
      <c r="RNL77" s="22"/>
      <c r="RNM77" s="167"/>
      <c r="RNN77" s="30"/>
      <c r="RNO77" s="25"/>
      <c r="RNP77" s="178"/>
      <c r="RNQ77" s="26"/>
      <c r="RNR77" s="26"/>
      <c r="RNS77" s="26"/>
      <c r="RNT77" s="26"/>
      <c r="RNU77" s="26"/>
      <c r="RNV77" s="26"/>
      <c r="RNW77" s="58"/>
      <c r="RNX77" s="26"/>
      <c r="RNY77" s="26"/>
      <c r="RNZ77" s="26"/>
      <c r="ROA77" s="26"/>
      <c r="ROB77" s="22"/>
      <c r="ROC77" s="167"/>
      <c r="ROD77" s="30"/>
      <c r="ROE77" s="25"/>
      <c r="ROF77" s="178"/>
      <c r="ROG77" s="26"/>
      <c r="ROH77" s="26"/>
      <c r="ROI77" s="26"/>
      <c r="ROJ77" s="26"/>
      <c r="ROK77" s="26"/>
      <c r="ROL77" s="26"/>
      <c r="ROM77" s="58"/>
      <c r="RON77" s="26"/>
      <c r="ROO77" s="26"/>
      <c r="ROP77" s="26"/>
      <c r="ROQ77" s="26"/>
      <c r="ROR77" s="22"/>
      <c r="ROS77" s="167"/>
      <c r="ROT77" s="30"/>
      <c r="ROU77" s="25"/>
      <c r="ROV77" s="178"/>
      <c r="ROW77" s="26"/>
      <c r="ROX77" s="26"/>
      <c r="ROY77" s="26"/>
      <c r="ROZ77" s="26"/>
      <c r="RPA77" s="26"/>
      <c r="RPB77" s="26"/>
      <c r="RPC77" s="58"/>
      <c r="RPD77" s="26"/>
      <c r="RPE77" s="26"/>
      <c r="RPF77" s="26"/>
      <c r="RPG77" s="26"/>
      <c r="RPH77" s="22"/>
      <c r="RPI77" s="167"/>
      <c r="RPJ77" s="30"/>
      <c r="RPK77" s="25"/>
      <c r="RPL77" s="178"/>
      <c r="RPM77" s="26"/>
      <c r="RPN77" s="26"/>
      <c r="RPO77" s="26"/>
      <c r="RPP77" s="26"/>
      <c r="RPQ77" s="26"/>
      <c r="RPR77" s="26"/>
      <c r="RPS77" s="58"/>
      <c r="RPT77" s="26"/>
      <c r="RPU77" s="26"/>
      <c r="RPV77" s="26"/>
      <c r="RPW77" s="26"/>
      <c r="RPX77" s="22"/>
      <c r="RPY77" s="167"/>
      <c r="RPZ77" s="30"/>
      <c r="RQA77" s="25"/>
      <c r="RQB77" s="178"/>
      <c r="RQC77" s="26"/>
      <c r="RQD77" s="26"/>
      <c r="RQE77" s="26"/>
      <c r="RQF77" s="26"/>
      <c r="RQG77" s="26"/>
      <c r="RQH77" s="26"/>
      <c r="RQI77" s="58"/>
      <c r="RQJ77" s="26"/>
      <c r="RQK77" s="26"/>
      <c r="RQL77" s="26"/>
      <c r="RQM77" s="26"/>
      <c r="RQN77" s="22"/>
      <c r="RQO77" s="167"/>
      <c r="RQP77" s="30"/>
      <c r="RQQ77" s="25"/>
      <c r="RQR77" s="178"/>
      <c r="RQS77" s="26"/>
      <c r="RQT77" s="26"/>
      <c r="RQU77" s="26"/>
      <c r="RQV77" s="26"/>
      <c r="RQW77" s="26"/>
      <c r="RQX77" s="26"/>
      <c r="RQY77" s="58"/>
      <c r="RQZ77" s="26"/>
      <c r="RRA77" s="26"/>
      <c r="RRB77" s="26"/>
      <c r="RRC77" s="26"/>
      <c r="RRD77" s="22"/>
      <c r="RRE77" s="167"/>
      <c r="RRF77" s="30"/>
      <c r="RRG77" s="25"/>
      <c r="RRH77" s="178"/>
      <c r="RRI77" s="26"/>
      <c r="RRJ77" s="26"/>
      <c r="RRK77" s="26"/>
      <c r="RRL77" s="26"/>
      <c r="RRM77" s="26"/>
      <c r="RRN77" s="26"/>
      <c r="RRO77" s="58"/>
      <c r="RRP77" s="26"/>
      <c r="RRQ77" s="26"/>
      <c r="RRR77" s="26"/>
      <c r="RRS77" s="26"/>
      <c r="RRT77" s="22"/>
      <c r="RRU77" s="167"/>
      <c r="RRV77" s="30"/>
      <c r="RRW77" s="25"/>
      <c r="RRX77" s="178"/>
      <c r="RRY77" s="26"/>
      <c r="RRZ77" s="26"/>
      <c r="RSA77" s="26"/>
      <c r="RSB77" s="26"/>
      <c r="RSC77" s="26"/>
      <c r="RSD77" s="26"/>
      <c r="RSE77" s="58"/>
      <c r="RSF77" s="26"/>
      <c r="RSG77" s="26"/>
      <c r="RSH77" s="26"/>
      <c r="RSI77" s="26"/>
      <c r="RSJ77" s="22"/>
      <c r="RSK77" s="167"/>
      <c r="RSL77" s="30"/>
      <c r="RSM77" s="25"/>
      <c r="RSN77" s="178"/>
      <c r="RSO77" s="26"/>
      <c r="RSP77" s="26"/>
      <c r="RSQ77" s="26"/>
      <c r="RSR77" s="26"/>
      <c r="RSS77" s="26"/>
      <c r="RST77" s="26"/>
      <c r="RSU77" s="58"/>
      <c r="RSV77" s="26"/>
      <c r="RSW77" s="26"/>
      <c r="RSX77" s="26"/>
      <c r="RSY77" s="26"/>
      <c r="RSZ77" s="22"/>
      <c r="RTA77" s="167"/>
      <c r="RTB77" s="30"/>
      <c r="RTC77" s="25"/>
      <c r="RTD77" s="178"/>
      <c r="RTE77" s="26"/>
      <c r="RTF77" s="26"/>
      <c r="RTG77" s="26"/>
      <c r="RTH77" s="26"/>
      <c r="RTI77" s="26"/>
      <c r="RTJ77" s="26"/>
      <c r="RTK77" s="58"/>
      <c r="RTL77" s="26"/>
      <c r="RTM77" s="26"/>
      <c r="RTN77" s="26"/>
      <c r="RTO77" s="26"/>
      <c r="RTP77" s="22"/>
      <c r="RTQ77" s="167"/>
      <c r="RTR77" s="30"/>
      <c r="RTS77" s="25"/>
      <c r="RTT77" s="178"/>
      <c r="RTU77" s="26"/>
      <c r="RTV77" s="26"/>
      <c r="RTW77" s="26"/>
      <c r="RTX77" s="26"/>
      <c r="RTY77" s="26"/>
      <c r="RTZ77" s="26"/>
      <c r="RUA77" s="58"/>
      <c r="RUB77" s="26"/>
      <c r="RUC77" s="26"/>
      <c r="RUD77" s="26"/>
      <c r="RUE77" s="26"/>
      <c r="RUF77" s="22"/>
      <c r="RUG77" s="167"/>
      <c r="RUH77" s="30"/>
      <c r="RUI77" s="25"/>
      <c r="RUJ77" s="178"/>
      <c r="RUK77" s="26"/>
      <c r="RUL77" s="26"/>
      <c r="RUM77" s="26"/>
      <c r="RUN77" s="26"/>
      <c r="RUO77" s="26"/>
      <c r="RUP77" s="26"/>
      <c r="RUQ77" s="58"/>
      <c r="RUR77" s="26"/>
      <c r="RUS77" s="26"/>
      <c r="RUT77" s="26"/>
      <c r="RUU77" s="26"/>
      <c r="RUV77" s="22"/>
      <c r="RUW77" s="167"/>
      <c r="RUX77" s="30"/>
      <c r="RUY77" s="25"/>
      <c r="RUZ77" s="178"/>
      <c r="RVA77" s="26"/>
      <c r="RVB77" s="26"/>
      <c r="RVC77" s="26"/>
      <c r="RVD77" s="26"/>
      <c r="RVE77" s="26"/>
      <c r="RVF77" s="26"/>
      <c r="RVG77" s="58"/>
      <c r="RVH77" s="26"/>
      <c r="RVI77" s="26"/>
      <c r="RVJ77" s="26"/>
      <c r="RVK77" s="26"/>
      <c r="RVL77" s="22"/>
      <c r="RVM77" s="167"/>
      <c r="RVN77" s="30"/>
      <c r="RVO77" s="25"/>
      <c r="RVP77" s="178"/>
      <c r="RVQ77" s="26"/>
      <c r="RVR77" s="26"/>
      <c r="RVS77" s="26"/>
      <c r="RVT77" s="26"/>
      <c r="RVU77" s="26"/>
      <c r="RVV77" s="26"/>
      <c r="RVW77" s="58"/>
      <c r="RVX77" s="26"/>
      <c r="RVY77" s="26"/>
      <c r="RVZ77" s="26"/>
      <c r="RWA77" s="26"/>
      <c r="RWB77" s="22"/>
      <c r="RWC77" s="167"/>
      <c r="RWD77" s="30"/>
      <c r="RWE77" s="25"/>
      <c r="RWF77" s="178"/>
      <c r="RWG77" s="26"/>
      <c r="RWH77" s="26"/>
      <c r="RWI77" s="26"/>
      <c r="RWJ77" s="26"/>
      <c r="RWK77" s="26"/>
      <c r="RWL77" s="26"/>
      <c r="RWM77" s="58"/>
      <c r="RWN77" s="26"/>
      <c r="RWO77" s="26"/>
      <c r="RWP77" s="26"/>
      <c r="RWQ77" s="26"/>
      <c r="RWR77" s="22"/>
      <c r="RWS77" s="167"/>
      <c r="RWT77" s="30"/>
      <c r="RWU77" s="25"/>
      <c r="RWV77" s="178"/>
      <c r="RWW77" s="26"/>
      <c r="RWX77" s="26"/>
      <c r="RWY77" s="26"/>
      <c r="RWZ77" s="26"/>
      <c r="RXA77" s="26"/>
      <c r="RXB77" s="26"/>
      <c r="RXC77" s="58"/>
      <c r="RXD77" s="26"/>
      <c r="RXE77" s="26"/>
      <c r="RXF77" s="26"/>
      <c r="RXG77" s="26"/>
      <c r="RXH77" s="22"/>
      <c r="RXI77" s="167"/>
      <c r="RXJ77" s="30"/>
      <c r="RXK77" s="25"/>
      <c r="RXL77" s="178"/>
      <c r="RXM77" s="26"/>
      <c r="RXN77" s="26"/>
      <c r="RXO77" s="26"/>
      <c r="RXP77" s="26"/>
      <c r="RXQ77" s="26"/>
      <c r="RXR77" s="26"/>
      <c r="RXS77" s="58"/>
      <c r="RXT77" s="26"/>
      <c r="RXU77" s="26"/>
      <c r="RXV77" s="26"/>
      <c r="RXW77" s="26"/>
      <c r="RXX77" s="22"/>
      <c r="RXY77" s="167"/>
      <c r="RXZ77" s="30"/>
      <c r="RYA77" s="25"/>
      <c r="RYB77" s="178"/>
      <c r="RYC77" s="26"/>
      <c r="RYD77" s="26"/>
      <c r="RYE77" s="26"/>
      <c r="RYF77" s="26"/>
      <c r="RYG77" s="26"/>
      <c r="RYH77" s="26"/>
      <c r="RYI77" s="58"/>
      <c r="RYJ77" s="26"/>
      <c r="RYK77" s="26"/>
      <c r="RYL77" s="26"/>
      <c r="RYM77" s="26"/>
      <c r="RYN77" s="22"/>
      <c r="RYO77" s="167"/>
      <c r="RYP77" s="30"/>
      <c r="RYQ77" s="25"/>
      <c r="RYR77" s="178"/>
      <c r="RYS77" s="26"/>
      <c r="RYT77" s="26"/>
      <c r="RYU77" s="26"/>
      <c r="RYV77" s="26"/>
      <c r="RYW77" s="26"/>
      <c r="RYX77" s="26"/>
      <c r="RYY77" s="58"/>
      <c r="RYZ77" s="26"/>
      <c r="RZA77" s="26"/>
      <c r="RZB77" s="26"/>
      <c r="RZC77" s="26"/>
      <c r="RZD77" s="22"/>
      <c r="RZE77" s="167"/>
      <c r="RZF77" s="30"/>
      <c r="RZG77" s="25"/>
      <c r="RZH77" s="178"/>
      <c r="RZI77" s="26"/>
      <c r="RZJ77" s="26"/>
      <c r="RZK77" s="26"/>
      <c r="RZL77" s="26"/>
      <c r="RZM77" s="26"/>
      <c r="RZN77" s="26"/>
      <c r="RZO77" s="58"/>
      <c r="RZP77" s="26"/>
      <c r="RZQ77" s="26"/>
      <c r="RZR77" s="26"/>
      <c r="RZS77" s="26"/>
      <c r="RZT77" s="22"/>
      <c r="RZU77" s="167"/>
      <c r="RZV77" s="30"/>
      <c r="RZW77" s="25"/>
      <c r="RZX77" s="178"/>
      <c r="RZY77" s="26"/>
      <c r="RZZ77" s="26"/>
      <c r="SAA77" s="26"/>
      <c r="SAB77" s="26"/>
      <c r="SAC77" s="26"/>
      <c r="SAD77" s="26"/>
      <c r="SAE77" s="58"/>
      <c r="SAF77" s="26"/>
      <c r="SAG77" s="26"/>
      <c r="SAH77" s="26"/>
      <c r="SAI77" s="26"/>
      <c r="SAJ77" s="22"/>
      <c r="SAK77" s="167"/>
      <c r="SAL77" s="30"/>
      <c r="SAM77" s="25"/>
      <c r="SAN77" s="178"/>
      <c r="SAO77" s="26"/>
      <c r="SAP77" s="26"/>
      <c r="SAQ77" s="26"/>
      <c r="SAR77" s="26"/>
      <c r="SAS77" s="26"/>
      <c r="SAT77" s="26"/>
      <c r="SAU77" s="58"/>
      <c r="SAV77" s="26"/>
      <c r="SAW77" s="26"/>
      <c r="SAX77" s="26"/>
      <c r="SAY77" s="26"/>
      <c r="SAZ77" s="22"/>
      <c r="SBA77" s="167"/>
      <c r="SBB77" s="30"/>
      <c r="SBC77" s="25"/>
      <c r="SBD77" s="178"/>
      <c r="SBE77" s="26"/>
      <c r="SBF77" s="26"/>
      <c r="SBG77" s="26"/>
      <c r="SBH77" s="26"/>
      <c r="SBI77" s="26"/>
      <c r="SBJ77" s="26"/>
      <c r="SBK77" s="58"/>
      <c r="SBL77" s="26"/>
      <c r="SBM77" s="26"/>
      <c r="SBN77" s="26"/>
      <c r="SBO77" s="26"/>
      <c r="SBP77" s="22"/>
      <c r="SBQ77" s="167"/>
      <c r="SBR77" s="30"/>
      <c r="SBS77" s="25"/>
      <c r="SBT77" s="178"/>
      <c r="SBU77" s="26"/>
      <c r="SBV77" s="26"/>
      <c r="SBW77" s="26"/>
      <c r="SBX77" s="26"/>
      <c r="SBY77" s="26"/>
      <c r="SBZ77" s="26"/>
      <c r="SCA77" s="58"/>
      <c r="SCB77" s="26"/>
      <c r="SCC77" s="26"/>
      <c r="SCD77" s="26"/>
      <c r="SCE77" s="26"/>
      <c r="SCF77" s="22"/>
      <c r="SCG77" s="167"/>
      <c r="SCH77" s="30"/>
      <c r="SCI77" s="25"/>
      <c r="SCJ77" s="178"/>
      <c r="SCK77" s="26"/>
      <c r="SCL77" s="26"/>
      <c r="SCM77" s="26"/>
      <c r="SCN77" s="26"/>
      <c r="SCO77" s="26"/>
      <c r="SCP77" s="26"/>
      <c r="SCQ77" s="58"/>
      <c r="SCR77" s="26"/>
      <c r="SCS77" s="26"/>
      <c r="SCT77" s="26"/>
      <c r="SCU77" s="26"/>
      <c r="SCV77" s="22"/>
      <c r="SCW77" s="167"/>
      <c r="SCX77" s="30"/>
      <c r="SCY77" s="25"/>
      <c r="SCZ77" s="178"/>
      <c r="SDA77" s="26"/>
      <c r="SDB77" s="26"/>
      <c r="SDC77" s="26"/>
      <c r="SDD77" s="26"/>
      <c r="SDE77" s="26"/>
      <c r="SDF77" s="26"/>
      <c r="SDG77" s="58"/>
      <c r="SDH77" s="26"/>
      <c r="SDI77" s="26"/>
      <c r="SDJ77" s="26"/>
      <c r="SDK77" s="26"/>
      <c r="SDL77" s="22"/>
      <c r="SDM77" s="167"/>
      <c r="SDN77" s="30"/>
      <c r="SDO77" s="25"/>
      <c r="SDP77" s="178"/>
      <c r="SDQ77" s="26"/>
      <c r="SDR77" s="26"/>
      <c r="SDS77" s="26"/>
      <c r="SDT77" s="26"/>
      <c r="SDU77" s="26"/>
      <c r="SDV77" s="26"/>
      <c r="SDW77" s="58"/>
      <c r="SDX77" s="26"/>
      <c r="SDY77" s="26"/>
      <c r="SDZ77" s="26"/>
      <c r="SEA77" s="26"/>
      <c r="SEB77" s="22"/>
      <c r="SEC77" s="167"/>
      <c r="SED77" s="30"/>
      <c r="SEE77" s="25"/>
      <c r="SEF77" s="178"/>
      <c r="SEG77" s="26"/>
      <c r="SEH77" s="26"/>
      <c r="SEI77" s="26"/>
      <c r="SEJ77" s="26"/>
      <c r="SEK77" s="26"/>
      <c r="SEL77" s="26"/>
      <c r="SEM77" s="58"/>
      <c r="SEN77" s="26"/>
      <c r="SEO77" s="26"/>
      <c r="SEP77" s="26"/>
      <c r="SEQ77" s="26"/>
      <c r="SER77" s="22"/>
      <c r="SES77" s="167"/>
      <c r="SET77" s="30"/>
      <c r="SEU77" s="25"/>
      <c r="SEV77" s="178"/>
      <c r="SEW77" s="26"/>
      <c r="SEX77" s="26"/>
      <c r="SEY77" s="26"/>
      <c r="SEZ77" s="26"/>
      <c r="SFA77" s="26"/>
      <c r="SFB77" s="26"/>
      <c r="SFC77" s="58"/>
      <c r="SFD77" s="26"/>
      <c r="SFE77" s="26"/>
      <c r="SFF77" s="26"/>
      <c r="SFG77" s="26"/>
      <c r="SFH77" s="22"/>
      <c r="SFI77" s="167"/>
      <c r="SFJ77" s="30"/>
      <c r="SFK77" s="25"/>
      <c r="SFL77" s="178"/>
      <c r="SFM77" s="26"/>
      <c r="SFN77" s="26"/>
      <c r="SFO77" s="26"/>
      <c r="SFP77" s="26"/>
      <c r="SFQ77" s="26"/>
      <c r="SFR77" s="26"/>
      <c r="SFS77" s="58"/>
      <c r="SFT77" s="26"/>
      <c r="SFU77" s="26"/>
      <c r="SFV77" s="26"/>
      <c r="SFW77" s="26"/>
      <c r="SFX77" s="22"/>
      <c r="SFY77" s="167"/>
      <c r="SFZ77" s="30"/>
      <c r="SGA77" s="25"/>
      <c r="SGB77" s="178"/>
      <c r="SGC77" s="26"/>
      <c r="SGD77" s="26"/>
      <c r="SGE77" s="26"/>
      <c r="SGF77" s="26"/>
      <c r="SGG77" s="26"/>
      <c r="SGH77" s="26"/>
      <c r="SGI77" s="58"/>
      <c r="SGJ77" s="26"/>
      <c r="SGK77" s="26"/>
      <c r="SGL77" s="26"/>
      <c r="SGM77" s="26"/>
      <c r="SGN77" s="22"/>
      <c r="SGO77" s="167"/>
      <c r="SGP77" s="30"/>
      <c r="SGQ77" s="25"/>
      <c r="SGR77" s="178"/>
      <c r="SGS77" s="26"/>
      <c r="SGT77" s="26"/>
      <c r="SGU77" s="26"/>
      <c r="SGV77" s="26"/>
      <c r="SGW77" s="26"/>
      <c r="SGX77" s="26"/>
      <c r="SGY77" s="58"/>
      <c r="SGZ77" s="26"/>
      <c r="SHA77" s="26"/>
      <c r="SHB77" s="26"/>
      <c r="SHC77" s="26"/>
      <c r="SHD77" s="22"/>
      <c r="SHE77" s="167"/>
      <c r="SHF77" s="30"/>
      <c r="SHG77" s="25"/>
      <c r="SHH77" s="178"/>
      <c r="SHI77" s="26"/>
      <c r="SHJ77" s="26"/>
      <c r="SHK77" s="26"/>
      <c r="SHL77" s="26"/>
      <c r="SHM77" s="26"/>
      <c r="SHN77" s="26"/>
      <c r="SHO77" s="58"/>
      <c r="SHP77" s="26"/>
      <c r="SHQ77" s="26"/>
      <c r="SHR77" s="26"/>
      <c r="SHS77" s="26"/>
      <c r="SHT77" s="22"/>
      <c r="SHU77" s="167"/>
      <c r="SHV77" s="30"/>
      <c r="SHW77" s="25"/>
      <c r="SHX77" s="178"/>
      <c r="SHY77" s="26"/>
      <c r="SHZ77" s="26"/>
      <c r="SIA77" s="26"/>
      <c r="SIB77" s="26"/>
      <c r="SIC77" s="26"/>
      <c r="SID77" s="26"/>
      <c r="SIE77" s="58"/>
      <c r="SIF77" s="26"/>
      <c r="SIG77" s="26"/>
      <c r="SIH77" s="26"/>
      <c r="SII77" s="26"/>
      <c r="SIJ77" s="22"/>
      <c r="SIK77" s="167"/>
      <c r="SIL77" s="30"/>
      <c r="SIM77" s="25"/>
      <c r="SIN77" s="178"/>
      <c r="SIO77" s="26"/>
      <c r="SIP77" s="26"/>
      <c r="SIQ77" s="26"/>
      <c r="SIR77" s="26"/>
      <c r="SIS77" s="26"/>
      <c r="SIT77" s="26"/>
      <c r="SIU77" s="58"/>
      <c r="SIV77" s="26"/>
      <c r="SIW77" s="26"/>
      <c r="SIX77" s="26"/>
      <c r="SIY77" s="26"/>
      <c r="SIZ77" s="22"/>
      <c r="SJA77" s="167"/>
      <c r="SJB77" s="30"/>
      <c r="SJC77" s="25"/>
      <c r="SJD77" s="178"/>
      <c r="SJE77" s="26"/>
      <c r="SJF77" s="26"/>
      <c r="SJG77" s="26"/>
      <c r="SJH77" s="26"/>
      <c r="SJI77" s="26"/>
      <c r="SJJ77" s="26"/>
      <c r="SJK77" s="58"/>
      <c r="SJL77" s="26"/>
      <c r="SJM77" s="26"/>
      <c r="SJN77" s="26"/>
      <c r="SJO77" s="26"/>
      <c r="SJP77" s="22"/>
      <c r="SJQ77" s="167"/>
      <c r="SJR77" s="30"/>
      <c r="SJS77" s="25"/>
      <c r="SJT77" s="178"/>
      <c r="SJU77" s="26"/>
      <c r="SJV77" s="26"/>
      <c r="SJW77" s="26"/>
      <c r="SJX77" s="26"/>
      <c r="SJY77" s="26"/>
      <c r="SJZ77" s="26"/>
      <c r="SKA77" s="58"/>
      <c r="SKB77" s="26"/>
      <c r="SKC77" s="26"/>
      <c r="SKD77" s="26"/>
      <c r="SKE77" s="26"/>
      <c r="SKF77" s="22"/>
      <c r="SKG77" s="167"/>
      <c r="SKH77" s="30"/>
      <c r="SKI77" s="25"/>
      <c r="SKJ77" s="178"/>
      <c r="SKK77" s="26"/>
      <c r="SKL77" s="26"/>
      <c r="SKM77" s="26"/>
      <c r="SKN77" s="26"/>
      <c r="SKO77" s="26"/>
      <c r="SKP77" s="26"/>
      <c r="SKQ77" s="58"/>
      <c r="SKR77" s="26"/>
      <c r="SKS77" s="26"/>
      <c r="SKT77" s="26"/>
      <c r="SKU77" s="26"/>
      <c r="SKV77" s="22"/>
      <c r="SKW77" s="167"/>
      <c r="SKX77" s="30"/>
      <c r="SKY77" s="25"/>
      <c r="SKZ77" s="178"/>
      <c r="SLA77" s="26"/>
      <c r="SLB77" s="26"/>
      <c r="SLC77" s="26"/>
      <c r="SLD77" s="26"/>
      <c r="SLE77" s="26"/>
      <c r="SLF77" s="26"/>
      <c r="SLG77" s="58"/>
      <c r="SLH77" s="26"/>
      <c r="SLI77" s="26"/>
      <c r="SLJ77" s="26"/>
      <c r="SLK77" s="26"/>
      <c r="SLL77" s="22"/>
      <c r="SLM77" s="167"/>
      <c r="SLN77" s="30"/>
      <c r="SLO77" s="25"/>
      <c r="SLP77" s="178"/>
      <c r="SLQ77" s="26"/>
      <c r="SLR77" s="26"/>
      <c r="SLS77" s="26"/>
      <c r="SLT77" s="26"/>
      <c r="SLU77" s="26"/>
      <c r="SLV77" s="26"/>
      <c r="SLW77" s="58"/>
      <c r="SLX77" s="26"/>
      <c r="SLY77" s="26"/>
      <c r="SLZ77" s="26"/>
      <c r="SMA77" s="26"/>
      <c r="SMB77" s="22"/>
      <c r="SMC77" s="167"/>
      <c r="SMD77" s="30"/>
      <c r="SME77" s="25"/>
      <c r="SMF77" s="178"/>
      <c r="SMG77" s="26"/>
      <c r="SMH77" s="26"/>
      <c r="SMI77" s="26"/>
      <c r="SMJ77" s="26"/>
      <c r="SMK77" s="26"/>
      <c r="SML77" s="26"/>
      <c r="SMM77" s="58"/>
      <c r="SMN77" s="26"/>
      <c r="SMO77" s="26"/>
      <c r="SMP77" s="26"/>
      <c r="SMQ77" s="26"/>
      <c r="SMR77" s="22"/>
      <c r="SMS77" s="167"/>
      <c r="SMT77" s="30"/>
      <c r="SMU77" s="25"/>
      <c r="SMV77" s="178"/>
      <c r="SMW77" s="26"/>
      <c r="SMX77" s="26"/>
      <c r="SMY77" s="26"/>
      <c r="SMZ77" s="26"/>
      <c r="SNA77" s="26"/>
      <c r="SNB77" s="26"/>
      <c r="SNC77" s="58"/>
      <c r="SND77" s="26"/>
      <c r="SNE77" s="26"/>
      <c r="SNF77" s="26"/>
      <c r="SNG77" s="26"/>
      <c r="SNH77" s="22"/>
      <c r="SNI77" s="167"/>
      <c r="SNJ77" s="30"/>
      <c r="SNK77" s="25"/>
      <c r="SNL77" s="178"/>
      <c r="SNM77" s="26"/>
      <c r="SNN77" s="26"/>
      <c r="SNO77" s="26"/>
      <c r="SNP77" s="26"/>
      <c r="SNQ77" s="26"/>
      <c r="SNR77" s="26"/>
      <c r="SNS77" s="58"/>
      <c r="SNT77" s="26"/>
      <c r="SNU77" s="26"/>
      <c r="SNV77" s="26"/>
      <c r="SNW77" s="26"/>
      <c r="SNX77" s="22"/>
      <c r="SNY77" s="167"/>
      <c r="SNZ77" s="30"/>
      <c r="SOA77" s="25"/>
      <c r="SOB77" s="178"/>
      <c r="SOC77" s="26"/>
      <c r="SOD77" s="26"/>
      <c r="SOE77" s="26"/>
      <c r="SOF77" s="26"/>
      <c r="SOG77" s="26"/>
      <c r="SOH77" s="26"/>
      <c r="SOI77" s="58"/>
      <c r="SOJ77" s="26"/>
      <c r="SOK77" s="26"/>
      <c r="SOL77" s="26"/>
      <c r="SOM77" s="26"/>
      <c r="SON77" s="22"/>
      <c r="SOO77" s="167"/>
      <c r="SOP77" s="30"/>
      <c r="SOQ77" s="25"/>
      <c r="SOR77" s="178"/>
      <c r="SOS77" s="26"/>
      <c r="SOT77" s="26"/>
      <c r="SOU77" s="26"/>
      <c r="SOV77" s="26"/>
      <c r="SOW77" s="26"/>
      <c r="SOX77" s="26"/>
      <c r="SOY77" s="58"/>
      <c r="SOZ77" s="26"/>
      <c r="SPA77" s="26"/>
      <c r="SPB77" s="26"/>
      <c r="SPC77" s="26"/>
      <c r="SPD77" s="22"/>
      <c r="SPE77" s="167"/>
      <c r="SPF77" s="30"/>
      <c r="SPG77" s="25"/>
      <c r="SPH77" s="178"/>
      <c r="SPI77" s="26"/>
      <c r="SPJ77" s="26"/>
      <c r="SPK77" s="26"/>
      <c r="SPL77" s="26"/>
      <c r="SPM77" s="26"/>
      <c r="SPN77" s="26"/>
      <c r="SPO77" s="58"/>
      <c r="SPP77" s="26"/>
      <c r="SPQ77" s="26"/>
      <c r="SPR77" s="26"/>
      <c r="SPS77" s="26"/>
      <c r="SPT77" s="22"/>
      <c r="SPU77" s="167"/>
      <c r="SPV77" s="30"/>
      <c r="SPW77" s="25"/>
      <c r="SPX77" s="178"/>
      <c r="SPY77" s="26"/>
      <c r="SPZ77" s="26"/>
      <c r="SQA77" s="26"/>
      <c r="SQB77" s="26"/>
      <c r="SQC77" s="26"/>
      <c r="SQD77" s="26"/>
      <c r="SQE77" s="58"/>
      <c r="SQF77" s="26"/>
      <c r="SQG77" s="26"/>
      <c r="SQH77" s="26"/>
      <c r="SQI77" s="26"/>
      <c r="SQJ77" s="22"/>
      <c r="SQK77" s="167"/>
      <c r="SQL77" s="30"/>
      <c r="SQM77" s="25"/>
      <c r="SQN77" s="178"/>
      <c r="SQO77" s="26"/>
      <c r="SQP77" s="26"/>
      <c r="SQQ77" s="26"/>
      <c r="SQR77" s="26"/>
      <c r="SQS77" s="26"/>
      <c r="SQT77" s="26"/>
      <c r="SQU77" s="58"/>
      <c r="SQV77" s="26"/>
      <c r="SQW77" s="26"/>
      <c r="SQX77" s="26"/>
      <c r="SQY77" s="26"/>
      <c r="SQZ77" s="22"/>
      <c r="SRA77" s="167"/>
      <c r="SRB77" s="30"/>
      <c r="SRC77" s="25"/>
      <c r="SRD77" s="178"/>
      <c r="SRE77" s="26"/>
      <c r="SRF77" s="26"/>
      <c r="SRG77" s="26"/>
      <c r="SRH77" s="26"/>
      <c r="SRI77" s="26"/>
      <c r="SRJ77" s="26"/>
      <c r="SRK77" s="58"/>
      <c r="SRL77" s="26"/>
      <c r="SRM77" s="26"/>
      <c r="SRN77" s="26"/>
      <c r="SRO77" s="26"/>
      <c r="SRP77" s="22"/>
      <c r="SRQ77" s="167"/>
      <c r="SRR77" s="30"/>
      <c r="SRS77" s="25"/>
      <c r="SRT77" s="178"/>
      <c r="SRU77" s="26"/>
      <c r="SRV77" s="26"/>
      <c r="SRW77" s="26"/>
      <c r="SRX77" s="26"/>
      <c r="SRY77" s="26"/>
      <c r="SRZ77" s="26"/>
      <c r="SSA77" s="58"/>
      <c r="SSB77" s="26"/>
      <c r="SSC77" s="26"/>
      <c r="SSD77" s="26"/>
      <c r="SSE77" s="26"/>
      <c r="SSF77" s="22"/>
      <c r="SSG77" s="167"/>
      <c r="SSH77" s="30"/>
      <c r="SSI77" s="25"/>
      <c r="SSJ77" s="178"/>
      <c r="SSK77" s="26"/>
      <c r="SSL77" s="26"/>
      <c r="SSM77" s="26"/>
      <c r="SSN77" s="26"/>
      <c r="SSO77" s="26"/>
      <c r="SSP77" s="26"/>
      <c r="SSQ77" s="58"/>
      <c r="SSR77" s="26"/>
      <c r="SSS77" s="26"/>
      <c r="SST77" s="26"/>
      <c r="SSU77" s="26"/>
      <c r="SSV77" s="22"/>
      <c r="SSW77" s="167"/>
      <c r="SSX77" s="30"/>
      <c r="SSY77" s="25"/>
      <c r="SSZ77" s="178"/>
      <c r="STA77" s="26"/>
      <c r="STB77" s="26"/>
      <c r="STC77" s="26"/>
      <c r="STD77" s="26"/>
      <c r="STE77" s="26"/>
      <c r="STF77" s="26"/>
      <c r="STG77" s="58"/>
      <c r="STH77" s="26"/>
      <c r="STI77" s="26"/>
      <c r="STJ77" s="26"/>
      <c r="STK77" s="26"/>
      <c r="STL77" s="22"/>
      <c r="STM77" s="167"/>
      <c r="STN77" s="30"/>
      <c r="STO77" s="25"/>
      <c r="STP77" s="178"/>
      <c r="STQ77" s="26"/>
      <c r="STR77" s="26"/>
      <c r="STS77" s="26"/>
      <c r="STT77" s="26"/>
      <c r="STU77" s="26"/>
      <c r="STV77" s="26"/>
      <c r="STW77" s="58"/>
      <c r="STX77" s="26"/>
      <c r="STY77" s="26"/>
      <c r="STZ77" s="26"/>
      <c r="SUA77" s="26"/>
      <c r="SUB77" s="22"/>
      <c r="SUC77" s="167"/>
      <c r="SUD77" s="30"/>
      <c r="SUE77" s="25"/>
      <c r="SUF77" s="178"/>
      <c r="SUG77" s="26"/>
      <c r="SUH77" s="26"/>
      <c r="SUI77" s="26"/>
      <c r="SUJ77" s="26"/>
      <c r="SUK77" s="26"/>
      <c r="SUL77" s="26"/>
      <c r="SUM77" s="58"/>
      <c r="SUN77" s="26"/>
      <c r="SUO77" s="26"/>
      <c r="SUP77" s="26"/>
      <c r="SUQ77" s="26"/>
      <c r="SUR77" s="22"/>
      <c r="SUS77" s="167"/>
      <c r="SUT77" s="30"/>
      <c r="SUU77" s="25"/>
      <c r="SUV77" s="178"/>
      <c r="SUW77" s="26"/>
      <c r="SUX77" s="26"/>
      <c r="SUY77" s="26"/>
      <c r="SUZ77" s="26"/>
      <c r="SVA77" s="26"/>
      <c r="SVB77" s="26"/>
      <c r="SVC77" s="58"/>
      <c r="SVD77" s="26"/>
      <c r="SVE77" s="26"/>
      <c r="SVF77" s="26"/>
      <c r="SVG77" s="26"/>
      <c r="SVH77" s="22"/>
      <c r="SVI77" s="167"/>
      <c r="SVJ77" s="30"/>
      <c r="SVK77" s="25"/>
      <c r="SVL77" s="178"/>
      <c r="SVM77" s="26"/>
      <c r="SVN77" s="26"/>
      <c r="SVO77" s="26"/>
      <c r="SVP77" s="26"/>
      <c r="SVQ77" s="26"/>
      <c r="SVR77" s="26"/>
      <c r="SVS77" s="58"/>
      <c r="SVT77" s="26"/>
      <c r="SVU77" s="26"/>
      <c r="SVV77" s="26"/>
      <c r="SVW77" s="26"/>
      <c r="SVX77" s="22"/>
      <c r="SVY77" s="167"/>
      <c r="SVZ77" s="30"/>
      <c r="SWA77" s="25"/>
      <c r="SWB77" s="178"/>
      <c r="SWC77" s="26"/>
      <c r="SWD77" s="26"/>
      <c r="SWE77" s="26"/>
      <c r="SWF77" s="26"/>
      <c r="SWG77" s="26"/>
      <c r="SWH77" s="26"/>
      <c r="SWI77" s="58"/>
      <c r="SWJ77" s="26"/>
      <c r="SWK77" s="26"/>
      <c r="SWL77" s="26"/>
      <c r="SWM77" s="26"/>
      <c r="SWN77" s="22"/>
      <c r="SWO77" s="167"/>
      <c r="SWP77" s="30"/>
      <c r="SWQ77" s="25"/>
      <c r="SWR77" s="178"/>
      <c r="SWS77" s="26"/>
      <c r="SWT77" s="26"/>
      <c r="SWU77" s="26"/>
      <c r="SWV77" s="26"/>
      <c r="SWW77" s="26"/>
      <c r="SWX77" s="26"/>
      <c r="SWY77" s="58"/>
      <c r="SWZ77" s="26"/>
      <c r="SXA77" s="26"/>
      <c r="SXB77" s="26"/>
      <c r="SXC77" s="26"/>
      <c r="SXD77" s="22"/>
      <c r="SXE77" s="167"/>
      <c r="SXF77" s="30"/>
      <c r="SXG77" s="25"/>
      <c r="SXH77" s="178"/>
      <c r="SXI77" s="26"/>
      <c r="SXJ77" s="26"/>
      <c r="SXK77" s="26"/>
      <c r="SXL77" s="26"/>
      <c r="SXM77" s="26"/>
      <c r="SXN77" s="26"/>
      <c r="SXO77" s="58"/>
      <c r="SXP77" s="26"/>
      <c r="SXQ77" s="26"/>
      <c r="SXR77" s="26"/>
      <c r="SXS77" s="26"/>
      <c r="SXT77" s="22"/>
      <c r="SXU77" s="167"/>
      <c r="SXV77" s="30"/>
      <c r="SXW77" s="25"/>
      <c r="SXX77" s="178"/>
      <c r="SXY77" s="26"/>
      <c r="SXZ77" s="26"/>
      <c r="SYA77" s="26"/>
      <c r="SYB77" s="26"/>
      <c r="SYC77" s="26"/>
      <c r="SYD77" s="26"/>
      <c r="SYE77" s="58"/>
      <c r="SYF77" s="26"/>
      <c r="SYG77" s="26"/>
      <c r="SYH77" s="26"/>
      <c r="SYI77" s="26"/>
      <c r="SYJ77" s="22"/>
      <c r="SYK77" s="167"/>
      <c r="SYL77" s="30"/>
      <c r="SYM77" s="25"/>
      <c r="SYN77" s="178"/>
      <c r="SYO77" s="26"/>
      <c r="SYP77" s="26"/>
      <c r="SYQ77" s="26"/>
      <c r="SYR77" s="26"/>
      <c r="SYS77" s="26"/>
      <c r="SYT77" s="26"/>
      <c r="SYU77" s="58"/>
      <c r="SYV77" s="26"/>
      <c r="SYW77" s="26"/>
      <c r="SYX77" s="26"/>
      <c r="SYY77" s="26"/>
      <c r="SYZ77" s="22"/>
      <c r="SZA77" s="167"/>
      <c r="SZB77" s="30"/>
      <c r="SZC77" s="25"/>
      <c r="SZD77" s="178"/>
      <c r="SZE77" s="26"/>
      <c r="SZF77" s="26"/>
      <c r="SZG77" s="26"/>
      <c r="SZH77" s="26"/>
      <c r="SZI77" s="26"/>
      <c r="SZJ77" s="26"/>
      <c r="SZK77" s="58"/>
      <c r="SZL77" s="26"/>
      <c r="SZM77" s="26"/>
      <c r="SZN77" s="26"/>
      <c r="SZO77" s="26"/>
      <c r="SZP77" s="22"/>
      <c r="SZQ77" s="167"/>
      <c r="SZR77" s="30"/>
      <c r="SZS77" s="25"/>
      <c r="SZT77" s="178"/>
      <c r="SZU77" s="26"/>
      <c r="SZV77" s="26"/>
      <c r="SZW77" s="26"/>
      <c r="SZX77" s="26"/>
      <c r="SZY77" s="26"/>
      <c r="SZZ77" s="26"/>
      <c r="TAA77" s="58"/>
      <c r="TAB77" s="26"/>
      <c r="TAC77" s="26"/>
      <c r="TAD77" s="26"/>
      <c r="TAE77" s="26"/>
      <c r="TAF77" s="22"/>
      <c r="TAG77" s="167"/>
      <c r="TAH77" s="30"/>
      <c r="TAI77" s="25"/>
      <c r="TAJ77" s="178"/>
      <c r="TAK77" s="26"/>
      <c r="TAL77" s="26"/>
      <c r="TAM77" s="26"/>
      <c r="TAN77" s="26"/>
      <c r="TAO77" s="26"/>
      <c r="TAP77" s="26"/>
      <c r="TAQ77" s="58"/>
      <c r="TAR77" s="26"/>
      <c r="TAS77" s="26"/>
      <c r="TAT77" s="26"/>
      <c r="TAU77" s="26"/>
      <c r="TAV77" s="22"/>
      <c r="TAW77" s="167"/>
      <c r="TAX77" s="30"/>
      <c r="TAY77" s="25"/>
      <c r="TAZ77" s="178"/>
      <c r="TBA77" s="26"/>
      <c r="TBB77" s="26"/>
      <c r="TBC77" s="26"/>
      <c r="TBD77" s="26"/>
      <c r="TBE77" s="26"/>
      <c r="TBF77" s="26"/>
      <c r="TBG77" s="58"/>
      <c r="TBH77" s="26"/>
      <c r="TBI77" s="26"/>
      <c r="TBJ77" s="26"/>
      <c r="TBK77" s="26"/>
      <c r="TBL77" s="22"/>
      <c r="TBM77" s="167"/>
      <c r="TBN77" s="30"/>
      <c r="TBO77" s="25"/>
      <c r="TBP77" s="178"/>
      <c r="TBQ77" s="26"/>
      <c r="TBR77" s="26"/>
      <c r="TBS77" s="26"/>
      <c r="TBT77" s="26"/>
      <c r="TBU77" s="26"/>
      <c r="TBV77" s="26"/>
      <c r="TBW77" s="58"/>
      <c r="TBX77" s="26"/>
      <c r="TBY77" s="26"/>
      <c r="TBZ77" s="26"/>
      <c r="TCA77" s="26"/>
      <c r="TCB77" s="22"/>
      <c r="TCC77" s="167"/>
      <c r="TCD77" s="30"/>
      <c r="TCE77" s="25"/>
      <c r="TCF77" s="178"/>
      <c r="TCG77" s="26"/>
      <c r="TCH77" s="26"/>
      <c r="TCI77" s="26"/>
      <c r="TCJ77" s="26"/>
      <c r="TCK77" s="26"/>
      <c r="TCL77" s="26"/>
      <c r="TCM77" s="58"/>
      <c r="TCN77" s="26"/>
      <c r="TCO77" s="26"/>
      <c r="TCP77" s="26"/>
      <c r="TCQ77" s="26"/>
      <c r="TCR77" s="22"/>
      <c r="TCS77" s="167"/>
      <c r="TCT77" s="30"/>
      <c r="TCU77" s="25"/>
      <c r="TCV77" s="178"/>
      <c r="TCW77" s="26"/>
      <c r="TCX77" s="26"/>
      <c r="TCY77" s="26"/>
      <c r="TCZ77" s="26"/>
      <c r="TDA77" s="26"/>
      <c r="TDB77" s="26"/>
      <c r="TDC77" s="58"/>
      <c r="TDD77" s="26"/>
      <c r="TDE77" s="26"/>
      <c r="TDF77" s="26"/>
      <c r="TDG77" s="26"/>
      <c r="TDH77" s="22"/>
      <c r="TDI77" s="167"/>
      <c r="TDJ77" s="30"/>
      <c r="TDK77" s="25"/>
      <c r="TDL77" s="178"/>
      <c r="TDM77" s="26"/>
      <c r="TDN77" s="26"/>
      <c r="TDO77" s="26"/>
      <c r="TDP77" s="26"/>
      <c r="TDQ77" s="26"/>
      <c r="TDR77" s="26"/>
      <c r="TDS77" s="58"/>
      <c r="TDT77" s="26"/>
      <c r="TDU77" s="26"/>
      <c r="TDV77" s="26"/>
      <c r="TDW77" s="26"/>
      <c r="TDX77" s="22"/>
      <c r="TDY77" s="167"/>
      <c r="TDZ77" s="30"/>
      <c r="TEA77" s="25"/>
      <c r="TEB77" s="178"/>
      <c r="TEC77" s="26"/>
      <c r="TED77" s="26"/>
      <c r="TEE77" s="26"/>
      <c r="TEF77" s="26"/>
      <c r="TEG77" s="26"/>
      <c r="TEH77" s="26"/>
      <c r="TEI77" s="58"/>
      <c r="TEJ77" s="26"/>
      <c r="TEK77" s="26"/>
      <c r="TEL77" s="26"/>
      <c r="TEM77" s="26"/>
      <c r="TEN77" s="22"/>
      <c r="TEO77" s="167"/>
      <c r="TEP77" s="30"/>
      <c r="TEQ77" s="25"/>
      <c r="TER77" s="178"/>
      <c r="TES77" s="26"/>
      <c r="TET77" s="26"/>
      <c r="TEU77" s="26"/>
      <c r="TEV77" s="26"/>
      <c r="TEW77" s="26"/>
      <c r="TEX77" s="26"/>
      <c r="TEY77" s="58"/>
      <c r="TEZ77" s="26"/>
      <c r="TFA77" s="26"/>
      <c r="TFB77" s="26"/>
      <c r="TFC77" s="26"/>
      <c r="TFD77" s="22"/>
      <c r="TFE77" s="167"/>
      <c r="TFF77" s="30"/>
      <c r="TFG77" s="25"/>
      <c r="TFH77" s="178"/>
      <c r="TFI77" s="26"/>
      <c r="TFJ77" s="26"/>
      <c r="TFK77" s="26"/>
      <c r="TFL77" s="26"/>
      <c r="TFM77" s="26"/>
      <c r="TFN77" s="26"/>
      <c r="TFO77" s="58"/>
      <c r="TFP77" s="26"/>
      <c r="TFQ77" s="26"/>
      <c r="TFR77" s="26"/>
      <c r="TFS77" s="26"/>
      <c r="TFT77" s="22"/>
      <c r="TFU77" s="167"/>
      <c r="TFV77" s="30"/>
      <c r="TFW77" s="25"/>
      <c r="TFX77" s="178"/>
      <c r="TFY77" s="26"/>
      <c r="TFZ77" s="26"/>
      <c r="TGA77" s="26"/>
      <c r="TGB77" s="26"/>
      <c r="TGC77" s="26"/>
      <c r="TGD77" s="26"/>
      <c r="TGE77" s="58"/>
      <c r="TGF77" s="26"/>
      <c r="TGG77" s="26"/>
      <c r="TGH77" s="26"/>
      <c r="TGI77" s="26"/>
      <c r="TGJ77" s="22"/>
      <c r="TGK77" s="167"/>
      <c r="TGL77" s="30"/>
      <c r="TGM77" s="25"/>
      <c r="TGN77" s="178"/>
      <c r="TGO77" s="26"/>
      <c r="TGP77" s="26"/>
      <c r="TGQ77" s="26"/>
      <c r="TGR77" s="26"/>
      <c r="TGS77" s="26"/>
      <c r="TGT77" s="26"/>
      <c r="TGU77" s="58"/>
      <c r="TGV77" s="26"/>
      <c r="TGW77" s="26"/>
      <c r="TGX77" s="26"/>
      <c r="TGY77" s="26"/>
      <c r="TGZ77" s="22"/>
      <c r="THA77" s="167"/>
      <c r="THB77" s="30"/>
      <c r="THC77" s="25"/>
      <c r="THD77" s="178"/>
      <c r="THE77" s="26"/>
      <c r="THF77" s="26"/>
      <c r="THG77" s="26"/>
      <c r="THH77" s="26"/>
      <c r="THI77" s="26"/>
      <c r="THJ77" s="26"/>
      <c r="THK77" s="58"/>
      <c r="THL77" s="26"/>
      <c r="THM77" s="26"/>
      <c r="THN77" s="26"/>
      <c r="THO77" s="26"/>
      <c r="THP77" s="22"/>
      <c r="THQ77" s="167"/>
      <c r="THR77" s="30"/>
      <c r="THS77" s="25"/>
      <c r="THT77" s="178"/>
      <c r="THU77" s="26"/>
      <c r="THV77" s="26"/>
      <c r="THW77" s="26"/>
      <c r="THX77" s="26"/>
      <c r="THY77" s="26"/>
      <c r="THZ77" s="26"/>
      <c r="TIA77" s="58"/>
      <c r="TIB77" s="26"/>
      <c r="TIC77" s="26"/>
      <c r="TID77" s="26"/>
      <c r="TIE77" s="26"/>
      <c r="TIF77" s="22"/>
      <c r="TIG77" s="167"/>
      <c r="TIH77" s="30"/>
      <c r="TII77" s="25"/>
      <c r="TIJ77" s="178"/>
      <c r="TIK77" s="26"/>
      <c r="TIL77" s="26"/>
      <c r="TIM77" s="26"/>
      <c r="TIN77" s="26"/>
      <c r="TIO77" s="26"/>
      <c r="TIP77" s="26"/>
      <c r="TIQ77" s="58"/>
      <c r="TIR77" s="26"/>
      <c r="TIS77" s="26"/>
      <c r="TIT77" s="26"/>
      <c r="TIU77" s="26"/>
      <c r="TIV77" s="22"/>
      <c r="TIW77" s="167"/>
      <c r="TIX77" s="30"/>
      <c r="TIY77" s="25"/>
      <c r="TIZ77" s="178"/>
      <c r="TJA77" s="26"/>
      <c r="TJB77" s="26"/>
      <c r="TJC77" s="26"/>
      <c r="TJD77" s="26"/>
      <c r="TJE77" s="26"/>
      <c r="TJF77" s="26"/>
      <c r="TJG77" s="58"/>
      <c r="TJH77" s="26"/>
      <c r="TJI77" s="26"/>
      <c r="TJJ77" s="26"/>
      <c r="TJK77" s="26"/>
      <c r="TJL77" s="22"/>
      <c r="TJM77" s="167"/>
      <c r="TJN77" s="30"/>
      <c r="TJO77" s="25"/>
      <c r="TJP77" s="178"/>
      <c r="TJQ77" s="26"/>
      <c r="TJR77" s="26"/>
      <c r="TJS77" s="26"/>
      <c r="TJT77" s="26"/>
      <c r="TJU77" s="26"/>
      <c r="TJV77" s="26"/>
      <c r="TJW77" s="58"/>
      <c r="TJX77" s="26"/>
      <c r="TJY77" s="26"/>
      <c r="TJZ77" s="26"/>
      <c r="TKA77" s="26"/>
      <c r="TKB77" s="22"/>
      <c r="TKC77" s="167"/>
      <c r="TKD77" s="30"/>
      <c r="TKE77" s="25"/>
      <c r="TKF77" s="178"/>
      <c r="TKG77" s="26"/>
      <c r="TKH77" s="26"/>
      <c r="TKI77" s="26"/>
      <c r="TKJ77" s="26"/>
      <c r="TKK77" s="26"/>
      <c r="TKL77" s="26"/>
      <c r="TKM77" s="58"/>
      <c r="TKN77" s="26"/>
      <c r="TKO77" s="26"/>
      <c r="TKP77" s="26"/>
      <c r="TKQ77" s="26"/>
      <c r="TKR77" s="22"/>
      <c r="TKS77" s="167"/>
      <c r="TKT77" s="30"/>
      <c r="TKU77" s="25"/>
      <c r="TKV77" s="178"/>
      <c r="TKW77" s="26"/>
      <c r="TKX77" s="26"/>
      <c r="TKY77" s="26"/>
      <c r="TKZ77" s="26"/>
      <c r="TLA77" s="26"/>
      <c r="TLB77" s="26"/>
      <c r="TLC77" s="58"/>
      <c r="TLD77" s="26"/>
      <c r="TLE77" s="26"/>
      <c r="TLF77" s="26"/>
      <c r="TLG77" s="26"/>
      <c r="TLH77" s="22"/>
      <c r="TLI77" s="167"/>
      <c r="TLJ77" s="30"/>
      <c r="TLK77" s="25"/>
      <c r="TLL77" s="178"/>
      <c r="TLM77" s="26"/>
      <c r="TLN77" s="26"/>
      <c r="TLO77" s="26"/>
      <c r="TLP77" s="26"/>
      <c r="TLQ77" s="26"/>
      <c r="TLR77" s="26"/>
      <c r="TLS77" s="58"/>
      <c r="TLT77" s="26"/>
      <c r="TLU77" s="26"/>
      <c r="TLV77" s="26"/>
      <c r="TLW77" s="26"/>
      <c r="TLX77" s="22"/>
      <c r="TLY77" s="167"/>
      <c r="TLZ77" s="30"/>
      <c r="TMA77" s="25"/>
      <c r="TMB77" s="178"/>
      <c r="TMC77" s="26"/>
      <c r="TMD77" s="26"/>
      <c r="TME77" s="26"/>
      <c r="TMF77" s="26"/>
      <c r="TMG77" s="26"/>
      <c r="TMH77" s="26"/>
      <c r="TMI77" s="58"/>
      <c r="TMJ77" s="26"/>
      <c r="TMK77" s="26"/>
      <c r="TML77" s="26"/>
      <c r="TMM77" s="26"/>
      <c r="TMN77" s="22"/>
      <c r="TMO77" s="167"/>
      <c r="TMP77" s="30"/>
      <c r="TMQ77" s="25"/>
      <c r="TMR77" s="178"/>
      <c r="TMS77" s="26"/>
      <c r="TMT77" s="26"/>
      <c r="TMU77" s="26"/>
      <c r="TMV77" s="26"/>
      <c r="TMW77" s="26"/>
      <c r="TMX77" s="26"/>
      <c r="TMY77" s="58"/>
      <c r="TMZ77" s="26"/>
      <c r="TNA77" s="26"/>
      <c r="TNB77" s="26"/>
      <c r="TNC77" s="26"/>
      <c r="TND77" s="22"/>
      <c r="TNE77" s="167"/>
      <c r="TNF77" s="30"/>
      <c r="TNG77" s="25"/>
      <c r="TNH77" s="178"/>
      <c r="TNI77" s="26"/>
      <c r="TNJ77" s="26"/>
      <c r="TNK77" s="26"/>
      <c r="TNL77" s="26"/>
      <c r="TNM77" s="26"/>
      <c r="TNN77" s="26"/>
      <c r="TNO77" s="58"/>
      <c r="TNP77" s="26"/>
      <c r="TNQ77" s="26"/>
      <c r="TNR77" s="26"/>
      <c r="TNS77" s="26"/>
      <c r="TNT77" s="22"/>
      <c r="TNU77" s="167"/>
      <c r="TNV77" s="30"/>
      <c r="TNW77" s="25"/>
      <c r="TNX77" s="178"/>
      <c r="TNY77" s="26"/>
      <c r="TNZ77" s="26"/>
      <c r="TOA77" s="26"/>
      <c r="TOB77" s="26"/>
      <c r="TOC77" s="26"/>
      <c r="TOD77" s="26"/>
      <c r="TOE77" s="58"/>
      <c r="TOF77" s="26"/>
      <c r="TOG77" s="26"/>
      <c r="TOH77" s="26"/>
      <c r="TOI77" s="26"/>
      <c r="TOJ77" s="22"/>
      <c r="TOK77" s="167"/>
      <c r="TOL77" s="30"/>
      <c r="TOM77" s="25"/>
      <c r="TON77" s="178"/>
      <c r="TOO77" s="26"/>
      <c r="TOP77" s="26"/>
      <c r="TOQ77" s="26"/>
      <c r="TOR77" s="26"/>
      <c r="TOS77" s="26"/>
      <c r="TOT77" s="26"/>
      <c r="TOU77" s="58"/>
      <c r="TOV77" s="26"/>
      <c r="TOW77" s="26"/>
      <c r="TOX77" s="26"/>
      <c r="TOY77" s="26"/>
      <c r="TOZ77" s="22"/>
      <c r="TPA77" s="167"/>
      <c r="TPB77" s="30"/>
      <c r="TPC77" s="25"/>
      <c r="TPD77" s="178"/>
      <c r="TPE77" s="26"/>
      <c r="TPF77" s="26"/>
      <c r="TPG77" s="26"/>
      <c r="TPH77" s="26"/>
      <c r="TPI77" s="26"/>
      <c r="TPJ77" s="26"/>
      <c r="TPK77" s="58"/>
      <c r="TPL77" s="26"/>
      <c r="TPM77" s="26"/>
      <c r="TPN77" s="26"/>
      <c r="TPO77" s="26"/>
      <c r="TPP77" s="22"/>
      <c r="TPQ77" s="167"/>
      <c r="TPR77" s="30"/>
      <c r="TPS77" s="25"/>
      <c r="TPT77" s="178"/>
      <c r="TPU77" s="26"/>
      <c r="TPV77" s="26"/>
      <c r="TPW77" s="26"/>
      <c r="TPX77" s="26"/>
      <c r="TPY77" s="26"/>
      <c r="TPZ77" s="26"/>
      <c r="TQA77" s="58"/>
      <c r="TQB77" s="26"/>
      <c r="TQC77" s="26"/>
      <c r="TQD77" s="26"/>
      <c r="TQE77" s="26"/>
      <c r="TQF77" s="22"/>
      <c r="TQG77" s="167"/>
      <c r="TQH77" s="30"/>
      <c r="TQI77" s="25"/>
      <c r="TQJ77" s="178"/>
      <c r="TQK77" s="26"/>
      <c r="TQL77" s="26"/>
      <c r="TQM77" s="26"/>
      <c r="TQN77" s="26"/>
      <c r="TQO77" s="26"/>
      <c r="TQP77" s="26"/>
      <c r="TQQ77" s="58"/>
      <c r="TQR77" s="26"/>
      <c r="TQS77" s="26"/>
      <c r="TQT77" s="26"/>
      <c r="TQU77" s="26"/>
      <c r="TQV77" s="22"/>
      <c r="TQW77" s="167"/>
      <c r="TQX77" s="30"/>
      <c r="TQY77" s="25"/>
      <c r="TQZ77" s="178"/>
      <c r="TRA77" s="26"/>
      <c r="TRB77" s="26"/>
      <c r="TRC77" s="26"/>
      <c r="TRD77" s="26"/>
      <c r="TRE77" s="26"/>
      <c r="TRF77" s="26"/>
      <c r="TRG77" s="58"/>
      <c r="TRH77" s="26"/>
      <c r="TRI77" s="26"/>
      <c r="TRJ77" s="26"/>
      <c r="TRK77" s="26"/>
      <c r="TRL77" s="22"/>
      <c r="TRM77" s="167"/>
      <c r="TRN77" s="30"/>
      <c r="TRO77" s="25"/>
      <c r="TRP77" s="178"/>
      <c r="TRQ77" s="26"/>
      <c r="TRR77" s="26"/>
      <c r="TRS77" s="26"/>
      <c r="TRT77" s="26"/>
      <c r="TRU77" s="26"/>
      <c r="TRV77" s="26"/>
      <c r="TRW77" s="58"/>
      <c r="TRX77" s="26"/>
      <c r="TRY77" s="26"/>
      <c r="TRZ77" s="26"/>
      <c r="TSA77" s="26"/>
      <c r="TSB77" s="22"/>
      <c r="TSC77" s="167"/>
      <c r="TSD77" s="30"/>
      <c r="TSE77" s="25"/>
      <c r="TSF77" s="178"/>
      <c r="TSG77" s="26"/>
      <c r="TSH77" s="26"/>
      <c r="TSI77" s="26"/>
      <c r="TSJ77" s="26"/>
      <c r="TSK77" s="26"/>
      <c r="TSL77" s="26"/>
      <c r="TSM77" s="58"/>
      <c r="TSN77" s="26"/>
      <c r="TSO77" s="26"/>
      <c r="TSP77" s="26"/>
      <c r="TSQ77" s="26"/>
      <c r="TSR77" s="22"/>
      <c r="TSS77" s="167"/>
      <c r="TST77" s="30"/>
      <c r="TSU77" s="25"/>
      <c r="TSV77" s="178"/>
      <c r="TSW77" s="26"/>
      <c r="TSX77" s="26"/>
      <c r="TSY77" s="26"/>
      <c r="TSZ77" s="26"/>
      <c r="TTA77" s="26"/>
      <c r="TTB77" s="26"/>
      <c r="TTC77" s="58"/>
      <c r="TTD77" s="26"/>
      <c r="TTE77" s="26"/>
      <c r="TTF77" s="26"/>
      <c r="TTG77" s="26"/>
      <c r="TTH77" s="22"/>
      <c r="TTI77" s="167"/>
      <c r="TTJ77" s="30"/>
      <c r="TTK77" s="25"/>
      <c r="TTL77" s="178"/>
      <c r="TTM77" s="26"/>
      <c r="TTN77" s="26"/>
      <c r="TTO77" s="26"/>
      <c r="TTP77" s="26"/>
      <c r="TTQ77" s="26"/>
      <c r="TTR77" s="26"/>
      <c r="TTS77" s="58"/>
      <c r="TTT77" s="26"/>
      <c r="TTU77" s="26"/>
      <c r="TTV77" s="26"/>
      <c r="TTW77" s="26"/>
      <c r="TTX77" s="22"/>
      <c r="TTY77" s="167"/>
      <c r="TTZ77" s="30"/>
      <c r="TUA77" s="25"/>
      <c r="TUB77" s="178"/>
      <c r="TUC77" s="26"/>
      <c r="TUD77" s="26"/>
      <c r="TUE77" s="26"/>
      <c r="TUF77" s="26"/>
      <c r="TUG77" s="26"/>
      <c r="TUH77" s="26"/>
      <c r="TUI77" s="58"/>
      <c r="TUJ77" s="26"/>
      <c r="TUK77" s="26"/>
      <c r="TUL77" s="26"/>
      <c r="TUM77" s="26"/>
      <c r="TUN77" s="22"/>
      <c r="TUO77" s="167"/>
      <c r="TUP77" s="30"/>
      <c r="TUQ77" s="25"/>
      <c r="TUR77" s="178"/>
      <c r="TUS77" s="26"/>
      <c r="TUT77" s="26"/>
      <c r="TUU77" s="26"/>
      <c r="TUV77" s="26"/>
      <c r="TUW77" s="26"/>
      <c r="TUX77" s="26"/>
      <c r="TUY77" s="58"/>
      <c r="TUZ77" s="26"/>
      <c r="TVA77" s="26"/>
      <c r="TVB77" s="26"/>
      <c r="TVC77" s="26"/>
      <c r="TVD77" s="22"/>
      <c r="TVE77" s="167"/>
      <c r="TVF77" s="30"/>
      <c r="TVG77" s="25"/>
      <c r="TVH77" s="178"/>
      <c r="TVI77" s="26"/>
      <c r="TVJ77" s="26"/>
      <c r="TVK77" s="26"/>
      <c r="TVL77" s="26"/>
      <c r="TVM77" s="26"/>
      <c r="TVN77" s="26"/>
      <c r="TVO77" s="58"/>
      <c r="TVP77" s="26"/>
      <c r="TVQ77" s="26"/>
      <c r="TVR77" s="26"/>
      <c r="TVS77" s="26"/>
      <c r="TVT77" s="22"/>
      <c r="TVU77" s="167"/>
      <c r="TVV77" s="30"/>
      <c r="TVW77" s="25"/>
      <c r="TVX77" s="178"/>
      <c r="TVY77" s="26"/>
      <c r="TVZ77" s="26"/>
      <c r="TWA77" s="26"/>
      <c r="TWB77" s="26"/>
      <c r="TWC77" s="26"/>
      <c r="TWD77" s="26"/>
      <c r="TWE77" s="58"/>
      <c r="TWF77" s="26"/>
      <c r="TWG77" s="26"/>
      <c r="TWH77" s="26"/>
      <c r="TWI77" s="26"/>
      <c r="TWJ77" s="22"/>
      <c r="TWK77" s="167"/>
      <c r="TWL77" s="30"/>
      <c r="TWM77" s="25"/>
      <c r="TWN77" s="178"/>
      <c r="TWO77" s="26"/>
      <c r="TWP77" s="26"/>
      <c r="TWQ77" s="26"/>
      <c r="TWR77" s="26"/>
      <c r="TWS77" s="26"/>
      <c r="TWT77" s="26"/>
      <c r="TWU77" s="58"/>
      <c r="TWV77" s="26"/>
      <c r="TWW77" s="26"/>
      <c r="TWX77" s="26"/>
      <c r="TWY77" s="26"/>
      <c r="TWZ77" s="22"/>
      <c r="TXA77" s="167"/>
      <c r="TXB77" s="30"/>
      <c r="TXC77" s="25"/>
      <c r="TXD77" s="178"/>
      <c r="TXE77" s="26"/>
      <c r="TXF77" s="26"/>
      <c r="TXG77" s="26"/>
      <c r="TXH77" s="26"/>
      <c r="TXI77" s="26"/>
      <c r="TXJ77" s="26"/>
      <c r="TXK77" s="58"/>
      <c r="TXL77" s="26"/>
      <c r="TXM77" s="26"/>
      <c r="TXN77" s="26"/>
      <c r="TXO77" s="26"/>
      <c r="TXP77" s="22"/>
      <c r="TXQ77" s="167"/>
      <c r="TXR77" s="30"/>
      <c r="TXS77" s="25"/>
      <c r="TXT77" s="178"/>
      <c r="TXU77" s="26"/>
      <c r="TXV77" s="26"/>
      <c r="TXW77" s="26"/>
      <c r="TXX77" s="26"/>
      <c r="TXY77" s="26"/>
      <c r="TXZ77" s="26"/>
      <c r="TYA77" s="58"/>
      <c r="TYB77" s="26"/>
      <c r="TYC77" s="26"/>
      <c r="TYD77" s="26"/>
      <c r="TYE77" s="26"/>
      <c r="TYF77" s="22"/>
      <c r="TYG77" s="167"/>
      <c r="TYH77" s="30"/>
      <c r="TYI77" s="25"/>
      <c r="TYJ77" s="178"/>
      <c r="TYK77" s="26"/>
      <c r="TYL77" s="26"/>
      <c r="TYM77" s="26"/>
      <c r="TYN77" s="26"/>
      <c r="TYO77" s="26"/>
      <c r="TYP77" s="26"/>
      <c r="TYQ77" s="58"/>
      <c r="TYR77" s="26"/>
      <c r="TYS77" s="26"/>
      <c r="TYT77" s="26"/>
      <c r="TYU77" s="26"/>
      <c r="TYV77" s="22"/>
      <c r="TYW77" s="167"/>
      <c r="TYX77" s="30"/>
      <c r="TYY77" s="25"/>
      <c r="TYZ77" s="178"/>
      <c r="TZA77" s="26"/>
      <c r="TZB77" s="26"/>
      <c r="TZC77" s="26"/>
      <c r="TZD77" s="26"/>
      <c r="TZE77" s="26"/>
      <c r="TZF77" s="26"/>
      <c r="TZG77" s="58"/>
      <c r="TZH77" s="26"/>
      <c r="TZI77" s="26"/>
      <c r="TZJ77" s="26"/>
      <c r="TZK77" s="26"/>
      <c r="TZL77" s="22"/>
      <c r="TZM77" s="167"/>
      <c r="TZN77" s="30"/>
      <c r="TZO77" s="25"/>
      <c r="TZP77" s="178"/>
      <c r="TZQ77" s="26"/>
      <c r="TZR77" s="26"/>
      <c r="TZS77" s="26"/>
      <c r="TZT77" s="26"/>
      <c r="TZU77" s="26"/>
      <c r="TZV77" s="26"/>
      <c r="TZW77" s="58"/>
      <c r="TZX77" s="26"/>
      <c r="TZY77" s="26"/>
      <c r="TZZ77" s="26"/>
      <c r="UAA77" s="26"/>
      <c r="UAB77" s="22"/>
      <c r="UAC77" s="167"/>
      <c r="UAD77" s="30"/>
      <c r="UAE77" s="25"/>
      <c r="UAF77" s="178"/>
      <c r="UAG77" s="26"/>
      <c r="UAH77" s="26"/>
      <c r="UAI77" s="26"/>
      <c r="UAJ77" s="26"/>
      <c r="UAK77" s="26"/>
      <c r="UAL77" s="26"/>
      <c r="UAM77" s="58"/>
      <c r="UAN77" s="26"/>
      <c r="UAO77" s="26"/>
      <c r="UAP77" s="26"/>
      <c r="UAQ77" s="26"/>
      <c r="UAR77" s="22"/>
      <c r="UAS77" s="167"/>
      <c r="UAT77" s="30"/>
      <c r="UAU77" s="25"/>
      <c r="UAV77" s="178"/>
      <c r="UAW77" s="26"/>
      <c r="UAX77" s="26"/>
      <c r="UAY77" s="26"/>
      <c r="UAZ77" s="26"/>
      <c r="UBA77" s="26"/>
      <c r="UBB77" s="26"/>
      <c r="UBC77" s="58"/>
      <c r="UBD77" s="26"/>
      <c r="UBE77" s="26"/>
      <c r="UBF77" s="26"/>
      <c r="UBG77" s="26"/>
      <c r="UBH77" s="22"/>
      <c r="UBI77" s="167"/>
      <c r="UBJ77" s="30"/>
      <c r="UBK77" s="25"/>
      <c r="UBL77" s="178"/>
      <c r="UBM77" s="26"/>
      <c r="UBN77" s="26"/>
      <c r="UBO77" s="26"/>
      <c r="UBP77" s="26"/>
      <c r="UBQ77" s="26"/>
      <c r="UBR77" s="26"/>
      <c r="UBS77" s="58"/>
      <c r="UBT77" s="26"/>
      <c r="UBU77" s="26"/>
      <c r="UBV77" s="26"/>
      <c r="UBW77" s="26"/>
      <c r="UBX77" s="22"/>
      <c r="UBY77" s="167"/>
      <c r="UBZ77" s="30"/>
      <c r="UCA77" s="25"/>
      <c r="UCB77" s="178"/>
      <c r="UCC77" s="26"/>
      <c r="UCD77" s="26"/>
      <c r="UCE77" s="26"/>
      <c r="UCF77" s="26"/>
      <c r="UCG77" s="26"/>
      <c r="UCH77" s="26"/>
      <c r="UCI77" s="58"/>
      <c r="UCJ77" s="26"/>
      <c r="UCK77" s="26"/>
      <c r="UCL77" s="26"/>
      <c r="UCM77" s="26"/>
      <c r="UCN77" s="22"/>
      <c r="UCO77" s="167"/>
      <c r="UCP77" s="30"/>
      <c r="UCQ77" s="25"/>
      <c r="UCR77" s="178"/>
      <c r="UCS77" s="26"/>
      <c r="UCT77" s="26"/>
      <c r="UCU77" s="26"/>
      <c r="UCV77" s="26"/>
      <c r="UCW77" s="26"/>
      <c r="UCX77" s="26"/>
      <c r="UCY77" s="58"/>
      <c r="UCZ77" s="26"/>
      <c r="UDA77" s="26"/>
      <c r="UDB77" s="26"/>
      <c r="UDC77" s="26"/>
      <c r="UDD77" s="22"/>
      <c r="UDE77" s="167"/>
      <c r="UDF77" s="30"/>
      <c r="UDG77" s="25"/>
      <c r="UDH77" s="178"/>
      <c r="UDI77" s="26"/>
      <c r="UDJ77" s="26"/>
      <c r="UDK77" s="26"/>
      <c r="UDL77" s="26"/>
      <c r="UDM77" s="26"/>
      <c r="UDN77" s="26"/>
      <c r="UDO77" s="58"/>
      <c r="UDP77" s="26"/>
      <c r="UDQ77" s="26"/>
      <c r="UDR77" s="26"/>
      <c r="UDS77" s="26"/>
      <c r="UDT77" s="22"/>
      <c r="UDU77" s="167"/>
      <c r="UDV77" s="30"/>
      <c r="UDW77" s="25"/>
      <c r="UDX77" s="178"/>
      <c r="UDY77" s="26"/>
      <c r="UDZ77" s="26"/>
      <c r="UEA77" s="26"/>
      <c r="UEB77" s="26"/>
      <c r="UEC77" s="26"/>
      <c r="UED77" s="26"/>
      <c r="UEE77" s="58"/>
      <c r="UEF77" s="26"/>
      <c r="UEG77" s="26"/>
      <c r="UEH77" s="26"/>
      <c r="UEI77" s="26"/>
      <c r="UEJ77" s="22"/>
      <c r="UEK77" s="167"/>
      <c r="UEL77" s="30"/>
      <c r="UEM77" s="25"/>
      <c r="UEN77" s="178"/>
      <c r="UEO77" s="26"/>
      <c r="UEP77" s="26"/>
      <c r="UEQ77" s="26"/>
      <c r="UER77" s="26"/>
      <c r="UES77" s="26"/>
      <c r="UET77" s="26"/>
      <c r="UEU77" s="58"/>
      <c r="UEV77" s="26"/>
      <c r="UEW77" s="26"/>
      <c r="UEX77" s="26"/>
      <c r="UEY77" s="26"/>
      <c r="UEZ77" s="22"/>
      <c r="UFA77" s="167"/>
      <c r="UFB77" s="30"/>
      <c r="UFC77" s="25"/>
      <c r="UFD77" s="178"/>
      <c r="UFE77" s="26"/>
      <c r="UFF77" s="26"/>
      <c r="UFG77" s="26"/>
      <c r="UFH77" s="26"/>
      <c r="UFI77" s="26"/>
      <c r="UFJ77" s="26"/>
      <c r="UFK77" s="58"/>
      <c r="UFL77" s="26"/>
      <c r="UFM77" s="26"/>
      <c r="UFN77" s="26"/>
      <c r="UFO77" s="26"/>
      <c r="UFP77" s="22"/>
      <c r="UFQ77" s="167"/>
      <c r="UFR77" s="30"/>
      <c r="UFS77" s="25"/>
      <c r="UFT77" s="178"/>
      <c r="UFU77" s="26"/>
      <c r="UFV77" s="26"/>
      <c r="UFW77" s="26"/>
      <c r="UFX77" s="26"/>
      <c r="UFY77" s="26"/>
      <c r="UFZ77" s="26"/>
      <c r="UGA77" s="58"/>
      <c r="UGB77" s="26"/>
      <c r="UGC77" s="26"/>
      <c r="UGD77" s="26"/>
      <c r="UGE77" s="26"/>
      <c r="UGF77" s="22"/>
      <c r="UGG77" s="167"/>
      <c r="UGH77" s="30"/>
      <c r="UGI77" s="25"/>
      <c r="UGJ77" s="178"/>
      <c r="UGK77" s="26"/>
      <c r="UGL77" s="26"/>
      <c r="UGM77" s="26"/>
      <c r="UGN77" s="26"/>
      <c r="UGO77" s="26"/>
      <c r="UGP77" s="26"/>
      <c r="UGQ77" s="58"/>
      <c r="UGR77" s="26"/>
      <c r="UGS77" s="26"/>
      <c r="UGT77" s="26"/>
      <c r="UGU77" s="26"/>
      <c r="UGV77" s="22"/>
      <c r="UGW77" s="167"/>
      <c r="UGX77" s="30"/>
      <c r="UGY77" s="25"/>
      <c r="UGZ77" s="178"/>
      <c r="UHA77" s="26"/>
      <c r="UHB77" s="26"/>
      <c r="UHC77" s="26"/>
      <c r="UHD77" s="26"/>
      <c r="UHE77" s="26"/>
      <c r="UHF77" s="26"/>
      <c r="UHG77" s="58"/>
      <c r="UHH77" s="26"/>
      <c r="UHI77" s="26"/>
      <c r="UHJ77" s="26"/>
      <c r="UHK77" s="26"/>
      <c r="UHL77" s="22"/>
      <c r="UHM77" s="167"/>
      <c r="UHN77" s="30"/>
      <c r="UHO77" s="25"/>
      <c r="UHP77" s="178"/>
      <c r="UHQ77" s="26"/>
      <c r="UHR77" s="26"/>
      <c r="UHS77" s="26"/>
      <c r="UHT77" s="26"/>
      <c r="UHU77" s="26"/>
      <c r="UHV77" s="26"/>
      <c r="UHW77" s="58"/>
      <c r="UHX77" s="26"/>
      <c r="UHY77" s="26"/>
      <c r="UHZ77" s="26"/>
      <c r="UIA77" s="26"/>
      <c r="UIB77" s="22"/>
      <c r="UIC77" s="167"/>
      <c r="UID77" s="30"/>
      <c r="UIE77" s="25"/>
      <c r="UIF77" s="178"/>
      <c r="UIG77" s="26"/>
      <c r="UIH77" s="26"/>
      <c r="UII77" s="26"/>
      <c r="UIJ77" s="26"/>
      <c r="UIK77" s="26"/>
      <c r="UIL77" s="26"/>
      <c r="UIM77" s="58"/>
      <c r="UIN77" s="26"/>
      <c r="UIO77" s="26"/>
      <c r="UIP77" s="26"/>
      <c r="UIQ77" s="26"/>
      <c r="UIR77" s="22"/>
      <c r="UIS77" s="167"/>
      <c r="UIT77" s="30"/>
      <c r="UIU77" s="25"/>
      <c r="UIV77" s="178"/>
      <c r="UIW77" s="26"/>
      <c r="UIX77" s="26"/>
      <c r="UIY77" s="26"/>
      <c r="UIZ77" s="26"/>
      <c r="UJA77" s="26"/>
      <c r="UJB77" s="26"/>
      <c r="UJC77" s="58"/>
      <c r="UJD77" s="26"/>
      <c r="UJE77" s="26"/>
      <c r="UJF77" s="26"/>
      <c r="UJG77" s="26"/>
      <c r="UJH77" s="22"/>
      <c r="UJI77" s="167"/>
      <c r="UJJ77" s="30"/>
      <c r="UJK77" s="25"/>
      <c r="UJL77" s="178"/>
      <c r="UJM77" s="26"/>
      <c r="UJN77" s="26"/>
      <c r="UJO77" s="26"/>
      <c r="UJP77" s="26"/>
      <c r="UJQ77" s="26"/>
      <c r="UJR77" s="26"/>
      <c r="UJS77" s="58"/>
      <c r="UJT77" s="26"/>
      <c r="UJU77" s="26"/>
      <c r="UJV77" s="26"/>
      <c r="UJW77" s="26"/>
      <c r="UJX77" s="22"/>
      <c r="UJY77" s="167"/>
      <c r="UJZ77" s="30"/>
      <c r="UKA77" s="25"/>
      <c r="UKB77" s="178"/>
      <c r="UKC77" s="26"/>
      <c r="UKD77" s="26"/>
      <c r="UKE77" s="26"/>
      <c r="UKF77" s="26"/>
      <c r="UKG77" s="26"/>
      <c r="UKH77" s="26"/>
      <c r="UKI77" s="58"/>
      <c r="UKJ77" s="26"/>
      <c r="UKK77" s="26"/>
      <c r="UKL77" s="26"/>
      <c r="UKM77" s="26"/>
      <c r="UKN77" s="22"/>
      <c r="UKO77" s="167"/>
      <c r="UKP77" s="30"/>
      <c r="UKQ77" s="25"/>
      <c r="UKR77" s="178"/>
      <c r="UKS77" s="26"/>
      <c r="UKT77" s="26"/>
      <c r="UKU77" s="26"/>
      <c r="UKV77" s="26"/>
      <c r="UKW77" s="26"/>
      <c r="UKX77" s="26"/>
      <c r="UKY77" s="58"/>
      <c r="UKZ77" s="26"/>
      <c r="ULA77" s="26"/>
      <c r="ULB77" s="26"/>
      <c r="ULC77" s="26"/>
      <c r="ULD77" s="22"/>
      <c r="ULE77" s="167"/>
      <c r="ULF77" s="30"/>
      <c r="ULG77" s="25"/>
      <c r="ULH77" s="178"/>
      <c r="ULI77" s="26"/>
      <c r="ULJ77" s="26"/>
      <c r="ULK77" s="26"/>
      <c r="ULL77" s="26"/>
      <c r="ULM77" s="26"/>
      <c r="ULN77" s="26"/>
      <c r="ULO77" s="58"/>
      <c r="ULP77" s="26"/>
      <c r="ULQ77" s="26"/>
      <c r="ULR77" s="26"/>
      <c r="ULS77" s="26"/>
      <c r="ULT77" s="22"/>
      <c r="ULU77" s="167"/>
      <c r="ULV77" s="30"/>
      <c r="ULW77" s="25"/>
      <c r="ULX77" s="178"/>
      <c r="ULY77" s="26"/>
      <c r="ULZ77" s="26"/>
      <c r="UMA77" s="26"/>
      <c r="UMB77" s="26"/>
      <c r="UMC77" s="26"/>
      <c r="UMD77" s="26"/>
      <c r="UME77" s="58"/>
      <c r="UMF77" s="26"/>
      <c r="UMG77" s="26"/>
      <c r="UMH77" s="26"/>
      <c r="UMI77" s="26"/>
      <c r="UMJ77" s="22"/>
      <c r="UMK77" s="167"/>
      <c r="UML77" s="30"/>
      <c r="UMM77" s="25"/>
      <c r="UMN77" s="178"/>
      <c r="UMO77" s="26"/>
      <c r="UMP77" s="26"/>
      <c r="UMQ77" s="26"/>
      <c r="UMR77" s="26"/>
      <c r="UMS77" s="26"/>
      <c r="UMT77" s="26"/>
      <c r="UMU77" s="58"/>
      <c r="UMV77" s="26"/>
      <c r="UMW77" s="26"/>
      <c r="UMX77" s="26"/>
      <c r="UMY77" s="26"/>
      <c r="UMZ77" s="22"/>
      <c r="UNA77" s="167"/>
      <c r="UNB77" s="30"/>
      <c r="UNC77" s="25"/>
      <c r="UND77" s="178"/>
      <c r="UNE77" s="26"/>
      <c r="UNF77" s="26"/>
      <c r="UNG77" s="26"/>
      <c r="UNH77" s="26"/>
      <c r="UNI77" s="26"/>
      <c r="UNJ77" s="26"/>
      <c r="UNK77" s="58"/>
      <c r="UNL77" s="26"/>
      <c r="UNM77" s="26"/>
      <c r="UNN77" s="26"/>
      <c r="UNO77" s="26"/>
      <c r="UNP77" s="22"/>
      <c r="UNQ77" s="167"/>
      <c r="UNR77" s="30"/>
      <c r="UNS77" s="25"/>
      <c r="UNT77" s="178"/>
      <c r="UNU77" s="26"/>
      <c r="UNV77" s="26"/>
      <c r="UNW77" s="26"/>
      <c r="UNX77" s="26"/>
      <c r="UNY77" s="26"/>
      <c r="UNZ77" s="26"/>
      <c r="UOA77" s="58"/>
      <c r="UOB77" s="26"/>
      <c r="UOC77" s="26"/>
      <c r="UOD77" s="26"/>
      <c r="UOE77" s="26"/>
      <c r="UOF77" s="22"/>
      <c r="UOG77" s="167"/>
      <c r="UOH77" s="30"/>
      <c r="UOI77" s="25"/>
      <c r="UOJ77" s="178"/>
      <c r="UOK77" s="26"/>
      <c r="UOL77" s="26"/>
      <c r="UOM77" s="26"/>
      <c r="UON77" s="26"/>
      <c r="UOO77" s="26"/>
      <c r="UOP77" s="26"/>
      <c r="UOQ77" s="58"/>
      <c r="UOR77" s="26"/>
      <c r="UOS77" s="26"/>
      <c r="UOT77" s="26"/>
      <c r="UOU77" s="26"/>
      <c r="UOV77" s="22"/>
      <c r="UOW77" s="167"/>
      <c r="UOX77" s="30"/>
      <c r="UOY77" s="25"/>
      <c r="UOZ77" s="178"/>
      <c r="UPA77" s="26"/>
      <c r="UPB77" s="26"/>
      <c r="UPC77" s="26"/>
      <c r="UPD77" s="26"/>
      <c r="UPE77" s="26"/>
      <c r="UPF77" s="26"/>
      <c r="UPG77" s="58"/>
      <c r="UPH77" s="26"/>
      <c r="UPI77" s="26"/>
      <c r="UPJ77" s="26"/>
      <c r="UPK77" s="26"/>
      <c r="UPL77" s="22"/>
      <c r="UPM77" s="167"/>
      <c r="UPN77" s="30"/>
      <c r="UPO77" s="25"/>
      <c r="UPP77" s="178"/>
      <c r="UPQ77" s="26"/>
      <c r="UPR77" s="26"/>
      <c r="UPS77" s="26"/>
      <c r="UPT77" s="26"/>
      <c r="UPU77" s="26"/>
      <c r="UPV77" s="26"/>
      <c r="UPW77" s="58"/>
      <c r="UPX77" s="26"/>
      <c r="UPY77" s="26"/>
      <c r="UPZ77" s="26"/>
      <c r="UQA77" s="26"/>
      <c r="UQB77" s="22"/>
      <c r="UQC77" s="167"/>
      <c r="UQD77" s="30"/>
      <c r="UQE77" s="25"/>
      <c r="UQF77" s="178"/>
      <c r="UQG77" s="26"/>
      <c r="UQH77" s="26"/>
      <c r="UQI77" s="26"/>
      <c r="UQJ77" s="26"/>
      <c r="UQK77" s="26"/>
      <c r="UQL77" s="26"/>
      <c r="UQM77" s="58"/>
      <c r="UQN77" s="26"/>
      <c r="UQO77" s="26"/>
      <c r="UQP77" s="26"/>
      <c r="UQQ77" s="26"/>
      <c r="UQR77" s="22"/>
      <c r="UQS77" s="167"/>
      <c r="UQT77" s="30"/>
      <c r="UQU77" s="25"/>
      <c r="UQV77" s="178"/>
      <c r="UQW77" s="26"/>
      <c r="UQX77" s="26"/>
      <c r="UQY77" s="26"/>
      <c r="UQZ77" s="26"/>
      <c r="URA77" s="26"/>
      <c r="URB77" s="26"/>
      <c r="URC77" s="58"/>
      <c r="URD77" s="26"/>
      <c r="URE77" s="26"/>
      <c r="URF77" s="26"/>
      <c r="URG77" s="26"/>
      <c r="URH77" s="22"/>
      <c r="URI77" s="167"/>
      <c r="URJ77" s="30"/>
      <c r="URK77" s="25"/>
      <c r="URL77" s="178"/>
      <c r="URM77" s="26"/>
      <c r="URN77" s="26"/>
      <c r="URO77" s="26"/>
      <c r="URP77" s="26"/>
      <c r="URQ77" s="26"/>
      <c r="URR77" s="26"/>
      <c r="URS77" s="58"/>
      <c r="URT77" s="26"/>
      <c r="URU77" s="26"/>
      <c r="URV77" s="26"/>
      <c r="URW77" s="26"/>
      <c r="URX77" s="22"/>
      <c r="URY77" s="167"/>
      <c r="URZ77" s="30"/>
      <c r="USA77" s="25"/>
      <c r="USB77" s="178"/>
      <c r="USC77" s="26"/>
      <c r="USD77" s="26"/>
      <c r="USE77" s="26"/>
      <c r="USF77" s="26"/>
      <c r="USG77" s="26"/>
      <c r="USH77" s="26"/>
      <c r="USI77" s="58"/>
      <c r="USJ77" s="26"/>
      <c r="USK77" s="26"/>
      <c r="USL77" s="26"/>
      <c r="USM77" s="26"/>
      <c r="USN77" s="22"/>
      <c r="USO77" s="167"/>
      <c r="USP77" s="30"/>
      <c r="USQ77" s="25"/>
      <c r="USR77" s="178"/>
      <c r="USS77" s="26"/>
      <c r="UST77" s="26"/>
      <c r="USU77" s="26"/>
      <c r="USV77" s="26"/>
      <c r="USW77" s="26"/>
      <c r="USX77" s="26"/>
      <c r="USY77" s="58"/>
      <c r="USZ77" s="26"/>
      <c r="UTA77" s="26"/>
      <c r="UTB77" s="26"/>
      <c r="UTC77" s="26"/>
      <c r="UTD77" s="22"/>
      <c r="UTE77" s="167"/>
      <c r="UTF77" s="30"/>
      <c r="UTG77" s="25"/>
      <c r="UTH77" s="178"/>
      <c r="UTI77" s="26"/>
      <c r="UTJ77" s="26"/>
      <c r="UTK77" s="26"/>
      <c r="UTL77" s="26"/>
      <c r="UTM77" s="26"/>
      <c r="UTN77" s="26"/>
      <c r="UTO77" s="58"/>
      <c r="UTP77" s="26"/>
      <c r="UTQ77" s="26"/>
      <c r="UTR77" s="26"/>
      <c r="UTS77" s="26"/>
      <c r="UTT77" s="22"/>
      <c r="UTU77" s="167"/>
      <c r="UTV77" s="30"/>
      <c r="UTW77" s="25"/>
      <c r="UTX77" s="178"/>
      <c r="UTY77" s="26"/>
      <c r="UTZ77" s="26"/>
      <c r="UUA77" s="26"/>
      <c r="UUB77" s="26"/>
      <c r="UUC77" s="26"/>
      <c r="UUD77" s="26"/>
      <c r="UUE77" s="58"/>
      <c r="UUF77" s="26"/>
      <c r="UUG77" s="26"/>
      <c r="UUH77" s="26"/>
      <c r="UUI77" s="26"/>
      <c r="UUJ77" s="22"/>
      <c r="UUK77" s="167"/>
      <c r="UUL77" s="30"/>
      <c r="UUM77" s="25"/>
      <c r="UUN77" s="178"/>
      <c r="UUO77" s="26"/>
      <c r="UUP77" s="26"/>
      <c r="UUQ77" s="26"/>
      <c r="UUR77" s="26"/>
      <c r="UUS77" s="26"/>
      <c r="UUT77" s="26"/>
      <c r="UUU77" s="58"/>
      <c r="UUV77" s="26"/>
      <c r="UUW77" s="26"/>
      <c r="UUX77" s="26"/>
      <c r="UUY77" s="26"/>
      <c r="UUZ77" s="22"/>
      <c r="UVA77" s="167"/>
      <c r="UVB77" s="30"/>
      <c r="UVC77" s="25"/>
      <c r="UVD77" s="178"/>
      <c r="UVE77" s="26"/>
      <c r="UVF77" s="26"/>
      <c r="UVG77" s="26"/>
      <c r="UVH77" s="26"/>
      <c r="UVI77" s="26"/>
      <c r="UVJ77" s="26"/>
      <c r="UVK77" s="58"/>
      <c r="UVL77" s="26"/>
      <c r="UVM77" s="26"/>
      <c r="UVN77" s="26"/>
      <c r="UVO77" s="26"/>
      <c r="UVP77" s="22"/>
      <c r="UVQ77" s="167"/>
      <c r="UVR77" s="30"/>
      <c r="UVS77" s="25"/>
      <c r="UVT77" s="178"/>
      <c r="UVU77" s="26"/>
      <c r="UVV77" s="26"/>
      <c r="UVW77" s="26"/>
      <c r="UVX77" s="26"/>
      <c r="UVY77" s="26"/>
      <c r="UVZ77" s="26"/>
      <c r="UWA77" s="58"/>
      <c r="UWB77" s="26"/>
      <c r="UWC77" s="26"/>
      <c r="UWD77" s="26"/>
      <c r="UWE77" s="26"/>
      <c r="UWF77" s="22"/>
      <c r="UWG77" s="167"/>
      <c r="UWH77" s="30"/>
      <c r="UWI77" s="25"/>
      <c r="UWJ77" s="178"/>
      <c r="UWK77" s="26"/>
      <c r="UWL77" s="26"/>
      <c r="UWM77" s="26"/>
      <c r="UWN77" s="26"/>
      <c r="UWO77" s="26"/>
      <c r="UWP77" s="26"/>
      <c r="UWQ77" s="58"/>
      <c r="UWR77" s="26"/>
      <c r="UWS77" s="26"/>
      <c r="UWT77" s="26"/>
      <c r="UWU77" s="26"/>
      <c r="UWV77" s="22"/>
      <c r="UWW77" s="167"/>
      <c r="UWX77" s="30"/>
      <c r="UWY77" s="25"/>
      <c r="UWZ77" s="178"/>
      <c r="UXA77" s="26"/>
      <c r="UXB77" s="26"/>
      <c r="UXC77" s="26"/>
      <c r="UXD77" s="26"/>
      <c r="UXE77" s="26"/>
      <c r="UXF77" s="26"/>
      <c r="UXG77" s="58"/>
      <c r="UXH77" s="26"/>
      <c r="UXI77" s="26"/>
      <c r="UXJ77" s="26"/>
      <c r="UXK77" s="26"/>
      <c r="UXL77" s="22"/>
      <c r="UXM77" s="167"/>
      <c r="UXN77" s="30"/>
      <c r="UXO77" s="25"/>
      <c r="UXP77" s="178"/>
      <c r="UXQ77" s="26"/>
      <c r="UXR77" s="26"/>
      <c r="UXS77" s="26"/>
      <c r="UXT77" s="26"/>
      <c r="UXU77" s="26"/>
      <c r="UXV77" s="26"/>
      <c r="UXW77" s="58"/>
      <c r="UXX77" s="26"/>
      <c r="UXY77" s="26"/>
      <c r="UXZ77" s="26"/>
      <c r="UYA77" s="26"/>
      <c r="UYB77" s="22"/>
      <c r="UYC77" s="167"/>
      <c r="UYD77" s="30"/>
      <c r="UYE77" s="25"/>
      <c r="UYF77" s="178"/>
      <c r="UYG77" s="26"/>
      <c r="UYH77" s="26"/>
      <c r="UYI77" s="26"/>
      <c r="UYJ77" s="26"/>
      <c r="UYK77" s="26"/>
      <c r="UYL77" s="26"/>
      <c r="UYM77" s="58"/>
      <c r="UYN77" s="26"/>
      <c r="UYO77" s="26"/>
      <c r="UYP77" s="26"/>
      <c r="UYQ77" s="26"/>
      <c r="UYR77" s="22"/>
      <c r="UYS77" s="167"/>
      <c r="UYT77" s="30"/>
      <c r="UYU77" s="25"/>
      <c r="UYV77" s="178"/>
      <c r="UYW77" s="26"/>
      <c r="UYX77" s="26"/>
      <c r="UYY77" s="26"/>
      <c r="UYZ77" s="26"/>
      <c r="UZA77" s="26"/>
      <c r="UZB77" s="26"/>
      <c r="UZC77" s="58"/>
      <c r="UZD77" s="26"/>
      <c r="UZE77" s="26"/>
      <c r="UZF77" s="26"/>
      <c r="UZG77" s="26"/>
      <c r="UZH77" s="22"/>
      <c r="UZI77" s="167"/>
      <c r="UZJ77" s="30"/>
      <c r="UZK77" s="25"/>
      <c r="UZL77" s="178"/>
      <c r="UZM77" s="26"/>
      <c r="UZN77" s="26"/>
      <c r="UZO77" s="26"/>
      <c r="UZP77" s="26"/>
      <c r="UZQ77" s="26"/>
      <c r="UZR77" s="26"/>
      <c r="UZS77" s="58"/>
      <c r="UZT77" s="26"/>
      <c r="UZU77" s="26"/>
      <c r="UZV77" s="26"/>
      <c r="UZW77" s="26"/>
      <c r="UZX77" s="22"/>
      <c r="UZY77" s="167"/>
      <c r="UZZ77" s="30"/>
      <c r="VAA77" s="25"/>
      <c r="VAB77" s="178"/>
      <c r="VAC77" s="26"/>
      <c r="VAD77" s="26"/>
      <c r="VAE77" s="26"/>
      <c r="VAF77" s="26"/>
      <c r="VAG77" s="26"/>
      <c r="VAH77" s="26"/>
      <c r="VAI77" s="58"/>
      <c r="VAJ77" s="26"/>
      <c r="VAK77" s="26"/>
      <c r="VAL77" s="26"/>
      <c r="VAM77" s="26"/>
      <c r="VAN77" s="22"/>
      <c r="VAO77" s="167"/>
      <c r="VAP77" s="30"/>
      <c r="VAQ77" s="25"/>
      <c r="VAR77" s="178"/>
      <c r="VAS77" s="26"/>
      <c r="VAT77" s="26"/>
      <c r="VAU77" s="26"/>
      <c r="VAV77" s="26"/>
      <c r="VAW77" s="26"/>
      <c r="VAX77" s="26"/>
      <c r="VAY77" s="58"/>
      <c r="VAZ77" s="26"/>
      <c r="VBA77" s="26"/>
      <c r="VBB77" s="26"/>
      <c r="VBC77" s="26"/>
      <c r="VBD77" s="22"/>
      <c r="VBE77" s="167"/>
      <c r="VBF77" s="30"/>
      <c r="VBG77" s="25"/>
      <c r="VBH77" s="178"/>
      <c r="VBI77" s="26"/>
      <c r="VBJ77" s="26"/>
      <c r="VBK77" s="26"/>
      <c r="VBL77" s="26"/>
      <c r="VBM77" s="26"/>
      <c r="VBN77" s="26"/>
      <c r="VBO77" s="58"/>
      <c r="VBP77" s="26"/>
      <c r="VBQ77" s="26"/>
      <c r="VBR77" s="26"/>
      <c r="VBS77" s="26"/>
      <c r="VBT77" s="22"/>
      <c r="VBU77" s="167"/>
      <c r="VBV77" s="30"/>
      <c r="VBW77" s="25"/>
      <c r="VBX77" s="178"/>
      <c r="VBY77" s="26"/>
      <c r="VBZ77" s="26"/>
      <c r="VCA77" s="26"/>
      <c r="VCB77" s="26"/>
      <c r="VCC77" s="26"/>
      <c r="VCD77" s="26"/>
      <c r="VCE77" s="58"/>
      <c r="VCF77" s="26"/>
      <c r="VCG77" s="26"/>
      <c r="VCH77" s="26"/>
      <c r="VCI77" s="26"/>
      <c r="VCJ77" s="22"/>
      <c r="VCK77" s="167"/>
      <c r="VCL77" s="30"/>
      <c r="VCM77" s="25"/>
      <c r="VCN77" s="178"/>
      <c r="VCO77" s="26"/>
      <c r="VCP77" s="26"/>
      <c r="VCQ77" s="26"/>
      <c r="VCR77" s="26"/>
      <c r="VCS77" s="26"/>
      <c r="VCT77" s="26"/>
      <c r="VCU77" s="58"/>
      <c r="VCV77" s="26"/>
      <c r="VCW77" s="26"/>
      <c r="VCX77" s="26"/>
      <c r="VCY77" s="26"/>
      <c r="VCZ77" s="22"/>
      <c r="VDA77" s="167"/>
      <c r="VDB77" s="30"/>
      <c r="VDC77" s="25"/>
      <c r="VDD77" s="178"/>
      <c r="VDE77" s="26"/>
      <c r="VDF77" s="26"/>
      <c r="VDG77" s="26"/>
      <c r="VDH77" s="26"/>
      <c r="VDI77" s="26"/>
      <c r="VDJ77" s="26"/>
      <c r="VDK77" s="58"/>
      <c r="VDL77" s="26"/>
      <c r="VDM77" s="26"/>
      <c r="VDN77" s="26"/>
      <c r="VDO77" s="26"/>
      <c r="VDP77" s="22"/>
      <c r="VDQ77" s="167"/>
      <c r="VDR77" s="30"/>
      <c r="VDS77" s="25"/>
      <c r="VDT77" s="178"/>
      <c r="VDU77" s="26"/>
      <c r="VDV77" s="26"/>
      <c r="VDW77" s="26"/>
      <c r="VDX77" s="26"/>
      <c r="VDY77" s="26"/>
      <c r="VDZ77" s="26"/>
      <c r="VEA77" s="58"/>
      <c r="VEB77" s="26"/>
      <c r="VEC77" s="26"/>
      <c r="VED77" s="26"/>
      <c r="VEE77" s="26"/>
      <c r="VEF77" s="22"/>
      <c r="VEG77" s="167"/>
      <c r="VEH77" s="30"/>
      <c r="VEI77" s="25"/>
      <c r="VEJ77" s="178"/>
      <c r="VEK77" s="26"/>
      <c r="VEL77" s="26"/>
      <c r="VEM77" s="26"/>
      <c r="VEN77" s="26"/>
      <c r="VEO77" s="26"/>
      <c r="VEP77" s="26"/>
      <c r="VEQ77" s="58"/>
      <c r="VER77" s="26"/>
      <c r="VES77" s="26"/>
      <c r="VET77" s="26"/>
      <c r="VEU77" s="26"/>
      <c r="VEV77" s="22"/>
      <c r="VEW77" s="167"/>
      <c r="VEX77" s="30"/>
      <c r="VEY77" s="25"/>
      <c r="VEZ77" s="178"/>
      <c r="VFA77" s="26"/>
      <c r="VFB77" s="26"/>
      <c r="VFC77" s="26"/>
      <c r="VFD77" s="26"/>
      <c r="VFE77" s="26"/>
      <c r="VFF77" s="26"/>
      <c r="VFG77" s="58"/>
      <c r="VFH77" s="26"/>
      <c r="VFI77" s="26"/>
      <c r="VFJ77" s="26"/>
      <c r="VFK77" s="26"/>
      <c r="VFL77" s="22"/>
      <c r="VFM77" s="167"/>
      <c r="VFN77" s="30"/>
      <c r="VFO77" s="25"/>
      <c r="VFP77" s="178"/>
      <c r="VFQ77" s="26"/>
      <c r="VFR77" s="26"/>
      <c r="VFS77" s="26"/>
      <c r="VFT77" s="26"/>
      <c r="VFU77" s="26"/>
      <c r="VFV77" s="26"/>
      <c r="VFW77" s="58"/>
      <c r="VFX77" s="26"/>
      <c r="VFY77" s="26"/>
      <c r="VFZ77" s="26"/>
      <c r="VGA77" s="26"/>
      <c r="VGB77" s="22"/>
      <c r="VGC77" s="167"/>
      <c r="VGD77" s="30"/>
      <c r="VGE77" s="25"/>
      <c r="VGF77" s="178"/>
      <c r="VGG77" s="26"/>
      <c r="VGH77" s="26"/>
      <c r="VGI77" s="26"/>
      <c r="VGJ77" s="26"/>
      <c r="VGK77" s="26"/>
      <c r="VGL77" s="26"/>
      <c r="VGM77" s="58"/>
      <c r="VGN77" s="26"/>
      <c r="VGO77" s="26"/>
      <c r="VGP77" s="26"/>
      <c r="VGQ77" s="26"/>
      <c r="VGR77" s="22"/>
      <c r="VGS77" s="167"/>
      <c r="VGT77" s="30"/>
      <c r="VGU77" s="25"/>
      <c r="VGV77" s="178"/>
      <c r="VGW77" s="26"/>
      <c r="VGX77" s="26"/>
      <c r="VGY77" s="26"/>
      <c r="VGZ77" s="26"/>
      <c r="VHA77" s="26"/>
      <c r="VHB77" s="26"/>
      <c r="VHC77" s="58"/>
      <c r="VHD77" s="26"/>
      <c r="VHE77" s="26"/>
      <c r="VHF77" s="26"/>
      <c r="VHG77" s="26"/>
      <c r="VHH77" s="22"/>
      <c r="VHI77" s="167"/>
      <c r="VHJ77" s="30"/>
      <c r="VHK77" s="25"/>
      <c r="VHL77" s="178"/>
      <c r="VHM77" s="26"/>
      <c r="VHN77" s="26"/>
      <c r="VHO77" s="26"/>
      <c r="VHP77" s="26"/>
      <c r="VHQ77" s="26"/>
      <c r="VHR77" s="26"/>
      <c r="VHS77" s="58"/>
      <c r="VHT77" s="26"/>
      <c r="VHU77" s="26"/>
      <c r="VHV77" s="26"/>
      <c r="VHW77" s="26"/>
      <c r="VHX77" s="22"/>
      <c r="VHY77" s="167"/>
      <c r="VHZ77" s="30"/>
      <c r="VIA77" s="25"/>
      <c r="VIB77" s="178"/>
      <c r="VIC77" s="26"/>
      <c r="VID77" s="26"/>
      <c r="VIE77" s="26"/>
      <c r="VIF77" s="26"/>
      <c r="VIG77" s="26"/>
      <c r="VIH77" s="26"/>
      <c r="VII77" s="58"/>
      <c r="VIJ77" s="26"/>
      <c r="VIK77" s="26"/>
      <c r="VIL77" s="26"/>
      <c r="VIM77" s="26"/>
      <c r="VIN77" s="22"/>
      <c r="VIO77" s="167"/>
      <c r="VIP77" s="30"/>
      <c r="VIQ77" s="25"/>
      <c r="VIR77" s="178"/>
      <c r="VIS77" s="26"/>
      <c r="VIT77" s="26"/>
      <c r="VIU77" s="26"/>
      <c r="VIV77" s="26"/>
      <c r="VIW77" s="26"/>
      <c r="VIX77" s="26"/>
      <c r="VIY77" s="58"/>
      <c r="VIZ77" s="26"/>
      <c r="VJA77" s="26"/>
      <c r="VJB77" s="26"/>
      <c r="VJC77" s="26"/>
      <c r="VJD77" s="22"/>
      <c r="VJE77" s="167"/>
      <c r="VJF77" s="30"/>
      <c r="VJG77" s="25"/>
      <c r="VJH77" s="178"/>
      <c r="VJI77" s="26"/>
      <c r="VJJ77" s="26"/>
      <c r="VJK77" s="26"/>
      <c r="VJL77" s="26"/>
      <c r="VJM77" s="26"/>
      <c r="VJN77" s="26"/>
      <c r="VJO77" s="58"/>
      <c r="VJP77" s="26"/>
      <c r="VJQ77" s="26"/>
      <c r="VJR77" s="26"/>
      <c r="VJS77" s="26"/>
      <c r="VJT77" s="22"/>
      <c r="VJU77" s="167"/>
      <c r="VJV77" s="30"/>
      <c r="VJW77" s="25"/>
      <c r="VJX77" s="178"/>
      <c r="VJY77" s="26"/>
      <c r="VJZ77" s="26"/>
      <c r="VKA77" s="26"/>
      <c r="VKB77" s="26"/>
      <c r="VKC77" s="26"/>
      <c r="VKD77" s="26"/>
      <c r="VKE77" s="58"/>
      <c r="VKF77" s="26"/>
      <c r="VKG77" s="26"/>
      <c r="VKH77" s="26"/>
      <c r="VKI77" s="26"/>
      <c r="VKJ77" s="22"/>
      <c r="VKK77" s="167"/>
      <c r="VKL77" s="30"/>
      <c r="VKM77" s="25"/>
      <c r="VKN77" s="178"/>
      <c r="VKO77" s="26"/>
      <c r="VKP77" s="26"/>
      <c r="VKQ77" s="26"/>
      <c r="VKR77" s="26"/>
      <c r="VKS77" s="26"/>
      <c r="VKT77" s="26"/>
      <c r="VKU77" s="58"/>
      <c r="VKV77" s="26"/>
      <c r="VKW77" s="26"/>
      <c r="VKX77" s="26"/>
      <c r="VKY77" s="26"/>
      <c r="VKZ77" s="22"/>
      <c r="VLA77" s="167"/>
      <c r="VLB77" s="30"/>
      <c r="VLC77" s="25"/>
      <c r="VLD77" s="178"/>
      <c r="VLE77" s="26"/>
      <c r="VLF77" s="26"/>
      <c r="VLG77" s="26"/>
      <c r="VLH77" s="26"/>
      <c r="VLI77" s="26"/>
      <c r="VLJ77" s="26"/>
      <c r="VLK77" s="58"/>
      <c r="VLL77" s="26"/>
      <c r="VLM77" s="26"/>
      <c r="VLN77" s="26"/>
      <c r="VLO77" s="26"/>
      <c r="VLP77" s="22"/>
      <c r="VLQ77" s="167"/>
      <c r="VLR77" s="30"/>
      <c r="VLS77" s="25"/>
      <c r="VLT77" s="178"/>
      <c r="VLU77" s="26"/>
      <c r="VLV77" s="26"/>
      <c r="VLW77" s="26"/>
      <c r="VLX77" s="26"/>
      <c r="VLY77" s="26"/>
      <c r="VLZ77" s="26"/>
      <c r="VMA77" s="58"/>
      <c r="VMB77" s="26"/>
      <c r="VMC77" s="26"/>
      <c r="VMD77" s="26"/>
      <c r="VME77" s="26"/>
      <c r="VMF77" s="22"/>
      <c r="VMG77" s="167"/>
      <c r="VMH77" s="30"/>
      <c r="VMI77" s="25"/>
      <c r="VMJ77" s="178"/>
      <c r="VMK77" s="26"/>
      <c r="VML77" s="26"/>
      <c r="VMM77" s="26"/>
      <c r="VMN77" s="26"/>
      <c r="VMO77" s="26"/>
      <c r="VMP77" s="26"/>
      <c r="VMQ77" s="58"/>
      <c r="VMR77" s="26"/>
      <c r="VMS77" s="26"/>
      <c r="VMT77" s="26"/>
      <c r="VMU77" s="26"/>
      <c r="VMV77" s="22"/>
      <c r="VMW77" s="167"/>
      <c r="VMX77" s="30"/>
      <c r="VMY77" s="25"/>
      <c r="VMZ77" s="178"/>
      <c r="VNA77" s="26"/>
      <c r="VNB77" s="26"/>
      <c r="VNC77" s="26"/>
      <c r="VND77" s="26"/>
      <c r="VNE77" s="26"/>
      <c r="VNF77" s="26"/>
      <c r="VNG77" s="58"/>
      <c r="VNH77" s="26"/>
      <c r="VNI77" s="26"/>
      <c r="VNJ77" s="26"/>
      <c r="VNK77" s="26"/>
      <c r="VNL77" s="22"/>
      <c r="VNM77" s="167"/>
      <c r="VNN77" s="30"/>
      <c r="VNO77" s="25"/>
      <c r="VNP77" s="178"/>
      <c r="VNQ77" s="26"/>
      <c r="VNR77" s="26"/>
      <c r="VNS77" s="26"/>
      <c r="VNT77" s="26"/>
      <c r="VNU77" s="26"/>
      <c r="VNV77" s="26"/>
      <c r="VNW77" s="58"/>
      <c r="VNX77" s="26"/>
      <c r="VNY77" s="26"/>
      <c r="VNZ77" s="26"/>
      <c r="VOA77" s="26"/>
      <c r="VOB77" s="22"/>
      <c r="VOC77" s="167"/>
      <c r="VOD77" s="30"/>
      <c r="VOE77" s="25"/>
      <c r="VOF77" s="178"/>
      <c r="VOG77" s="26"/>
      <c r="VOH77" s="26"/>
      <c r="VOI77" s="26"/>
      <c r="VOJ77" s="26"/>
      <c r="VOK77" s="26"/>
      <c r="VOL77" s="26"/>
      <c r="VOM77" s="58"/>
      <c r="VON77" s="26"/>
      <c r="VOO77" s="26"/>
      <c r="VOP77" s="26"/>
      <c r="VOQ77" s="26"/>
      <c r="VOR77" s="22"/>
      <c r="VOS77" s="167"/>
      <c r="VOT77" s="30"/>
      <c r="VOU77" s="25"/>
      <c r="VOV77" s="178"/>
      <c r="VOW77" s="26"/>
      <c r="VOX77" s="26"/>
      <c r="VOY77" s="26"/>
      <c r="VOZ77" s="26"/>
      <c r="VPA77" s="26"/>
      <c r="VPB77" s="26"/>
      <c r="VPC77" s="58"/>
      <c r="VPD77" s="26"/>
      <c r="VPE77" s="26"/>
      <c r="VPF77" s="26"/>
      <c r="VPG77" s="26"/>
      <c r="VPH77" s="22"/>
      <c r="VPI77" s="167"/>
      <c r="VPJ77" s="30"/>
      <c r="VPK77" s="25"/>
      <c r="VPL77" s="178"/>
      <c r="VPM77" s="26"/>
      <c r="VPN77" s="26"/>
      <c r="VPO77" s="26"/>
      <c r="VPP77" s="26"/>
      <c r="VPQ77" s="26"/>
      <c r="VPR77" s="26"/>
      <c r="VPS77" s="58"/>
      <c r="VPT77" s="26"/>
      <c r="VPU77" s="26"/>
      <c r="VPV77" s="26"/>
      <c r="VPW77" s="26"/>
      <c r="VPX77" s="22"/>
      <c r="VPY77" s="167"/>
      <c r="VPZ77" s="30"/>
      <c r="VQA77" s="25"/>
      <c r="VQB77" s="178"/>
      <c r="VQC77" s="26"/>
      <c r="VQD77" s="26"/>
      <c r="VQE77" s="26"/>
      <c r="VQF77" s="26"/>
      <c r="VQG77" s="26"/>
      <c r="VQH77" s="26"/>
      <c r="VQI77" s="58"/>
      <c r="VQJ77" s="26"/>
      <c r="VQK77" s="26"/>
      <c r="VQL77" s="26"/>
      <c r="VQM77" s="26"/>
      <c r="VQN77" s="22"/>
      <c r="VQO77" s="167"/>
      <c r="VQP77" s="30"/>
      <c r="VQQ77" s="25"/>
      <c r="VQR77" s="178"/>
      <c r="VQS77" s="26"/>
      <c r="VQT77" s="26"/>
      <c r="VQU77" s="26"/>
      <c r="VQV77" s="26"/>
      <c r="VQW77" s="26"/>
      <c r="VQX77" s="26"/>
      <c r="VQY77" s="58"/>
      <c r="VQZ77" s="26"/>
      <c r="VRA77" s="26"/>
      <c r="VRB77" s="26"/>
      <c r="VRC77" s="26"/>
      <c r="VRD77" s="22"/>
      <c r="VRE77" s="167"/>
      <c r="VRF77" s="30"/>
      <c r="VRG77" s="25"/>
      <c r="VRH77" s="178"/>
      <c r="VRI77" s="26"/>
      <c r="VRJ77" s="26"/>
      <c r="VRK77" s="26"/>
      <c r="VRL77" s="26"/>
      <c r="VRM77" s="26"/>
      <c r="VRN77" s="26"/>
      <c r="VRO77" s="58"/>
      <c r="VRP77" s="26"/>
      <c r="VRQ77" s="26"/>
      <c r="VRR77" s="26"/>
      <c r="VRS77" s="26"/>
      <c r="VRT77" s="22"/>
      <c r="VRU77" s="167"/>
      <c r="VRV77" s="30"/>
      <c r="VRW77" s="25"/>
      <c r="VRX77" s="178"/>
      <c r="VRY77" s="26"/>
      <c r="VRZ77" s="26"/>
      <c r="VSA77" s="26"/>
      <c r="VSB77" s="26"/>
      <c r="VSC77" s="26"/>
      <c r="VSD77" s="26"/>
      <c r="VSE77" s="58"/>
      <c r="VSF77" s="26"/>
      <c r="VSG77" s="26"/>
      <c r="VSH77" s="26"/>
      <c r="VSI77" s="26"/>
      <c r="VSJ77" s="22"/>
      <c r="VSK77" s="167"/>
      <c r="VSL77" s="30"/>
      <c r="VSM77" s="25"/>
      <c r="VSN77" s="178"/>
      <c r="VSO77" s="26"/>
      <c r="VSP77" s="26"/>
      <c r="VSQ77" s="26"/>
      <c r="VSR77" s="26"/>
      <c r="VSS77" s="26"/>
      <c r="VST77" s="26"/>
      <c r="VSU77" s="58"/>
      <c r="VSV77" s="26"/>
      <c r="VSW77" s="26"/>
      <c r="VSX77" s="26"/>
      <c r="VSY77" s="26"/>
      <c r="VSZ77" s="22"/>
      <c r="VTA77" s="167"/>
      <c r="VTB77" s="30"/>
      <c r="VTC77" s="25"/>
      <c r="VTD77" s="178"/>
      <c r="VTE77" s="26"/>
      <c r="VTF77" s="26"/>
      <c r="VTG77" s="26"/>
      <c r="VTH77" s="26"/>
      <c r="VTI77" s="26"/>
      <c r="VTJ77" s="26"/>
      <c r="VTK77" s="58"/>
      <c r="VTL77" s="26"/>
      <c r="VTM77" s="26"/>
      <c r="VTN77" s="26"/>
      <c r="VTO77" s="26"/>
      <c r="VTP77" s="22"/>
      <c r="VTQ77" s="167"/>
      <c r="VTR77" s="30"/>
      <c r="VTS77" s="25"/>
      <c r="VTT77" s="178"/>
      <c r="VTU77" s="26"/>
      <c r="VTV77" s="26"/>
      <c r="VTW77" s="26"/>
      <c r="VTX77" s="26"/>
      <c r="VTY77" s="26"/>
      <c r="VTZ77" s="26"/>
      <c r="VUA77" s="58"/>
      <c r="VUB77" s="26"/>
      <c r="VUC77" s="26"/>
      <c r="VUD77" s="26"/>
      <c r="VUE77" s="26"/>
      <c r="VUF77" s="22"/>
      <c r="VUG77" s="167"/>
      <c r="VUH77" s="30"/>
      <c r="VUI77" s="25"/>
      <c r="VUJ77" s="178"/>
      <c r="VUK77" s="26"/>
      <c r="VUL77" s="26"/>
      <c r="VUM77" s="26"/>
      <c r="VUN77" s="26"/>
      <c r="VUO77" s="26"/>
      <c r="VUP77" s="26"/>
      <c r="VUQ77" s="58"/>
      <c r="VUR77" s="26"/>
      <c r="VUS77" s="26"/>
      <c r="VUT77" s="26"/>
      <c r="VUU77" s="26"/>
      <c r="VUV77" s="22"/>
      <c r="VUW77" s="167"/>
      <c r="VUX77" s="30"/>
      <c r="VUY77" s="25"/>
      <c r="VUZ77" s="178"/>
      <c r="VVA77" s="26"/>
      <c r="VVB77" s="26"/>
      <c r="VVC77" s="26"/>
      <c r="VVD77" s="26"/>
      <c r="VVE77" s="26"/>
      <c r="VVF77" s="26"/>
      <c r="VVG77" s="58"/>
      <c r="VVH77" s="26"/>
      <c r="VVI77" s="26"/>
      <c r="VVJ77" s="26"/>
      <c r="VVK77" s="26"/>
      <c r="VVL77" s="22"/>
      <c r="VVM77" s="167"/>
      <c r="VVN77" s="30"/>
      <c r="VVO77" s="25"/>
      <c r="VVP77" s="178"/>
      <c r="VVQ77" s="26"/>
      <c r="VVR77" s="26"/>
      <c r="VVS77" s="26"/>
      <c r="VVT77" s="26"/>
      <c r="VVU77" s="26"/>
      <c r="VVV77" s="26"/>
      <c r="VVW77" s="58"/>
      <c r="VVX77" s="26"/>
      <c r="VVY77" s="26"/>
      <c r="VVZ77" s="26"/>
      <c r="VWA77" s="26"/>
      <c r="VWB77" s="22"/>
      <c r="VWC77" s="167"/>
      <c r="VWD77" s="30"/>
      <c r="VWE77" s="25"/>
      <c r="VWF77" s="178"/>
      <c r="VWG77" s="26"/>
      <c r="VWH77" s="26"/>
      <c r="VWI77" s="26"/>
      <c r="VWJ77" s="26"/>
      <c r="VWK77" s="26"/>
      <c r="VWL77" s="26"/>
      <c r="VWM77" s="58"/>
      <c r="VWN77" s="26"/>
      <c r="VWO77" s="26"/>
      <c r="VWP77" s="26"/>
      <c r="VWQ77" s="26"/>
      <c r="VWR77" s="22"/>
      <c r="VWS77" s="167"/>
      <c r="VWT77" s="30"/>
      <c r="VWU77" s="25"/>
      <c r="VWV77" s="178"/>
      <c r="VWW77" s="26"/>
      <c r="VWX77" s="26"/>
      <c r="VWY77" s="26"/>
      <c r="VWZ77" s="26"/>
      <c r="VXA77" s="26"/>
      <c r="VXB77" s="26"/>
      <c r="VXC77" s="58"/>
      <c r="VXD77" s="26"/>
      <c r="VXE77" s="26"/>
      <c r="VXF77" s="26"/>
      <c r="VXG77" s="26"/>
      <c r="VXH77" s="22"/>
      <c r="VXI77" s="167"/>
      <c r="VXJ77" s="30"/>
      <c r="VXK77" s="25"/>
      <c r="VXL77" s="178"/>
      <c r="VXM77" s="26"/>
      <c r="VXN77" s="26"/>
      <c r="VXO77" s="26"/>
      <c r="VXP77" s="26"/>
      <c r="VXQ77" s="26"/>
      <c r="VXR77" s="26"/>
      <c r="VXS77" s="58"/>
      <c r="VXT77" s="26"/>
      <c r="VXU77" s="26"/>
      <c r="VXV77" s="26"/>
      <c r="VXW77" s="26"/>
      <c r="VXX77" s="22"/>
      <c r="VXY77" s="167"/>
      <c r="VXZ77" s="30"/>
      <c r="VYA77" s="25"/>
      <c r="VYB77" s="178"/>
      <c r="VYC77" s="26"/>
      <c r="VYD77" s="26"/>
      <c r="VYE77" s="26"/>
      <c r="VYF77" s="26"/>
      <c r="VYG77" s="26"/>
      <c r="VYH77" s="26"/>
      <c r="VYI77" s="58"/>
      <c r="VYJ77" s="26"/>
      <c r="VYK77" s="26"/>
      <c r="VYL77" s="26"/>
      <c r="VYM77" s="26"/>
      <c r="VYN77" s="22"/>
      <c r="VYO77" s="167"/>
      <c r="VYP77" s="30"/>
      <c r="VYQ77" s="25"/>
      <c r="VYR77" s="178"/>
      <c r="VYS77" s="26"/>
      <c r="VYT77" s="26"/>
      <c r="VYU77" s="26"/>
      <c r="VYV77" s="26"/>
      <c r="VYW77" s="26"/>
      <c r="VYX77" s="26"/>
      <c r="VYY77" s="58"/>
      <c r="VYZ77" s="26"/>
      <c r="VZA77" s="26"/>
      <c r="VZB77" s="26"/>
      <c r="VZC77" s="26"/>
      <c r="VZD77" s="22"/>
      <c r="VZE77" s="167"/>
      <c r="VZF77" s="30"/>
      <c r="VZG77" s="25"/>
      <c r="VZH77" s="178"/>
      <c r="VZI77" s="26"/>
      <c r="VZJ77" s="26"/>
      <c r="VZK77" s="26"/>
      <c r="VZL77" s="26"/>
      <c r="VZM77" s="26"/>
      <c r="VZN77" s="26"/>
      <c r="VZO77" s="58"/>
      <c r="VZP77" s="26"/>
      <c r="VZQ77" s="26"/>
      <c r="VZR77" s="26"/>
      <c r="VZS77" s="26"/>
      <c r="VZT77" s="22"/>
      <c r="VZU77" s="167"/>
      <c r="VZV77" s="30"/>
      <c r="VZW77" s="25"/>
      <c r="VZX77" s="178"/>
      <c r="VZY77" s="26"/>
      <c r="VZZ77" s="26"/>
      <c r="WAA77" s="26"/>
      <c r="WAB77" s="26"/>
      <c r="WAC77" s="26"/>
      <c r="WAD77" s="26"/>
      <c r="WAE77" s="58"/>
      <c r="WAF77" s="26"/>
      <c r="WAG77" s="26"/>
      <c r="WAH77" s="26"/>
      <c r="WAI77" s="26"/>
      <c r="WAJ77" s="22"/>
      <c r="WAK77" s="167"/>
      <c r="WAL77" s="30"/>
      <c r="WAM77" s="25"/>
      <c r="WAN77" s="178"/>
      <c r="WAO77" s="26"/>
      <c r="WAP77" s="26"/>
      <c r="WAQ77" s="26"/>
      <c r="WAR77" s="26"/>
      <c r="WAS77" s="26"/>
      <c r="WAT77" s="26"/>
      <c r="WAU77" s="58"/>
      <c r="WAV77" s="26"/>
      <c r="WAW77" s="26"/>
      <c r="WAX77" s="26"/>
      <c r="WAY77" s="26"/>
      <c r="WAZ77" s="22"/>
      <c r="WBA77" s="167"/>
      <c r="WBB77" s="30"/>
      <c r="WBC77" s="25"/>
      <c r="WBD77" s="178"/>
      <c r="WBE77" s="26"/>
      <c r="WBF77" s="26"/>
      <c r="WBG77" s="26"/>
      <c r="WBH77" s="26"/>
      <c r="WBI77" s="26"/>
      <c r="WBJ77" s="26"/>
      <c r="WBK77" s="58"/>
      <c r="WBL77" s="26"/>
      <c r="WBM77" s="26"/>
      <c r="WBN77" s="26"/>
      <c r="WBO77" s="26"/>
      <c r="WBP77" s="22"/>
      <c r="WBQ77" s="167"/>
      <c r="WBR77" s="30"/>
      <c r="WBS77" s="25"/>
      <c r="WBT77" s="178"/>
      <c r="WBU77" s="26"/>
      <c r="WBV77" s="26"/>
      <c r="WBW77" s="26"/>
      <c r="WBX77" s="26"/>
      <c r="WBY77" s="26"/>
      <c r="WBZ77" s="26"/>
      <c r="WCA77" s="58"/>
      <c r="WCB77" s="26"/>
      <c r="WCC77" s="26"/>
      <c r="WCD77" s="26"/>
      <c r="WCE77" s="26"/>
      <c r="WCF77" s="22"/>
      <c r="WCG77" s="167"/>
      <c r="WCH77" s="30"/>
      <c r="WCI77" s="25"/>
      <c r="WCJ77" s="178"/>
      <c r="WCK77" s="26"/>
      <c r="WCL77" s="26"/>
      <c r="WCM77" s="26"/>
      <c r="WCN77" s="26"/>
      <c r="WCO77" s="26"/>
      <c r="WCP77" s="26"/>
      <c r="WCQ77" s="58"/>
      <c r="WCR77" s="26"/>
      <c r="WCS77" s="26"/>
      <c r="WCT77" s="26"/>
      <c r="WCU77" s="26"/>
      <c r="WCV77" s="22"/>
      <c r="WCW77" s="167"/>
      <c r="WCX77" s="30"/>
      <c r="WCY77" s="25"/>
      <c r="WCZ77" s="178"/>
      <c r="WDA77" s="26"/>
      <c r="WDB77" s="26"/>
      <c r="WDC77" s="26"/>
      <c r="WDD77" s="26"/>
      <c r="WDE77" s="26"/>
      <c r="WDF77" s="26"/>
      <c r="WDG77" s="58"/>
      <c r="WDH77" s="26"/>
      <c r="WDI77" s="26"/>
      <c r="WDJ77" s="26"/>
      <c r="WDK77" s="26"/>
      <c r="WDL77" s="22"/>
      <c r="WDM77" s="167"/>
      <c r="WDN77" s="30"/>
      <c r="WDO77" s="25"/>
      <c r="WDP77" s="178"/>
      <c r="WDQ77" s="26"/>
      <c r="WDR77" s="26"/>
      <c r="WDS77" s="26"/>
      <c r="WDT77" s="26"/>
      <c r="WDU77" s="26"/>
      <c r="WDV77" s="26"/>
      <c r="WDW77" s="58"/>
      <c r="WDX77" s="26"/>
      <c r="WDY77" s="26"/>
      <c r="WDZ77" s="26"/>
      <c r="WEA77" s="26"/>
      <c r="WEB77" s="22"/>
      <c r="WEC77" s="167"/>
      <c r="WED77" s="30"/>
      <c r="WEE77" s="25"/>
      <c r="WEF77" s="178"/>
      <c r="WEG77" s="26"/>
      <c r="WEH77" s="26"/>
      <c r="WEI77" s="26"/>
      <c r="WEJ77" s="26"/>
      <c r="WEK77" s="26"/>
      <c r="WEL77" s="26"/>
      <c r="WEM77" s="58"/>
      <c r="WEN77" s="26"/>
      <c r="WEO77" s="26"/>
      <c r="WEP77" s="26"/>
      <c r="WEQ77" s="26"/>
      <c r="WER77" s="22"/>
      <c r="WES77" s="167"/>
      <c r="WET77" s="30"/>
      <c r="WEU77" s="25"/>
      <c r="WEV77" s="178"/>
      <c r="WEW77" s="26"/>
      <c r="WEX77" s="26"/>
      <c r="WEY77" s="26"/>
      <c r="WEZ77" s="26"/>
      <c r="WFA77" s="26"/>
      <c r="WFB77" s="26"/>
      <c r="WFC77" s="58"/>
      <c r="WFD77" s="26"/>
      <c r="WFE77" s="26"/>
      <c r="WFF77" s="26"/>
      <c r="WFG77" s="26"/>
      <c r="WFH77" s="22"/>
      <c r="WFI77" s="167"/>
      <c r="WFJ77" s="30"/>
      <c r="WFK77" s="25"/>
      <c r="WFL77" s="178"/>
      <c r="WFM77" s="26"/>
      <c r="WFN77" s="26"/>
      <c r="WFO77" s="26"/>
      <c r="WFP77" s="26"/>
      <c r="WFQ77" s="26"/>
      <c r="WFR77" s="26"/>
      <c r="WFS77" s="58"/>
      <c r="WFT77" s="26"/>
      <c r="WFU77" s="26"/>
      <c r="WFV77" s="26"/>
      <c r="WFW77" s="26"/>
      <c r="WFX77" s="22"/>
      <c r="WFY77" s="167"/>
      <c r="WFZ77" s="30"/>
      <c r="WGA77" s="25"/>
      <c r="WGB77" s="178"/>
      <c r="WGC77" s="26"/>
      <c r="WGD77" s="26"/>
      <c r="WGE77" s="26"/>
      <c r="WGF77" s="26"/>
      <c r="WGG77" s="26"/>
      <c r="WGH77" s="26"/>
      <c r="WGI77" s="58"/>
      <c r="WGJ77" s="26"/>
      <c r="WGK77" s="26"/>
      <c r="WGL77" s="26"/>
      <c r="WGM77" s="26"/>
      <c r="WGN77" s="22"/>
      <c r="WGO77" s="167"/>
      <c r="WGP77" s="30"/>
      <c r="WGQ77" s="25"/>
      <c r="WGR77" s="178"/>
      <c r="WGS77" s="26"/>
      <c r="WGT77" s="26"/>
      <c r="WGU77" s="26"/>
      <c r="WGV77" s="26"/>
      <c r="WGW77" s="26"/>
      <c r="WGX77" s="26"/>
      <c r="WGY77" s="58"/>
      <c r="WGZ77" s="26"/>
      <c r="WHA77" s="26"/>
      <c r="WHB77" s="26"/>
      <c r="WHC77" s="26"/>
      <c r="WHD77" s="22"/>
      <c r="WHE77" s="167"/>
      <c r="WHF77" s="30"/>
      <c r="WHG77" s="25"/>
      <c r="WHH77" s="178"/>
      <c r="WHI77" s="26"/>
      <c r="WHJ77" s="26"/>
      <c r="WHK77" s="26"/>
      <c r="WHL77" s="26"/>
      <c r="WHM77" s="26"/>
      <c r="WHN77" s="26"/>
      <c r="WHO77" s="58"/>
      <c r="WHP77" s="26"/>
      <c r="WHQ77" s="26"/>
      <c r="WHR77" s="26"/>
      <c r="WHS77" s="26"/>
      <c r="WHT77" s="22"/>
      <c r="WHU77" s="167"/>
      <c r="WHV77" s="30"/>
      <c r="WHW77" s="25"/>
      <c r="WHX77" s="178"/>
      <c r="WHY77" s="26"/>
      <c r="WHZ77" s="26"/>
      <c r="WIA77" s="26"/>
      <c r="WIB77" s="26"/>
      <c r="WIC77" s="26"/>
      <c r="WID77" s="26"/>
      <c r="WIE77" s="58"/>
      <c r="WIF77" s="26"/>
      <c r="WIG77" s="26"/>
      <c r="WIH77" s="26"/>
      <c r="WII77" s="26"/>
      <c r="WIJ77" s="22"/>
      <c r="WIK77" s="167"/>
      <c r="WIL77" s="30"/>
      <c r="WIM77" s="25"/>
      <c r="WIN77" s="178"/>
      <c r="WIO77" s="26"/>
      <c r="WIP77" s="26"/>
      <c r="WIQ77" s="26"/>
      <c r="WIR77" s="26"/>
      <c r="WIS77" s="26"/>
      <c r="WIT77" s="26"/>
      <c r="WIU77" s="58"/>
      <c r="WIV77" s="26"/>
      <c r="WIW77" s="26"/>
      <c r="WIX77" s="26"/>
      <c r="WIY77" s="26"/>
      <c r="WIZ77" s="22"/>
      <c r="WJA77" s="167"/>
      <c r="WJB77" s="30"/>
      <c r="WJC77" s="25"/>
      <c r="WJD77" s="178"/>
      <c r="WJE77" s="26"/>
      <c r="WJF77" s="26"/>
      <c r="WJG77" s="26"/>
      <c r="WJH77" s="26"/>
      <c r="WJI77" s="26"/>
      <c r="WJJ77" s="26"/>
      <c r="WJK77" s="58"/>
      <c r="WJL77" s="26"/>
      <c r="WJM77" s="26"/>
      <c r="WJN77" s="26"/>
      <c r="WJO77" s="26"/>
      <c r="WJP77" s="22"/>
      <c r="WJQ77" s="167"/>
      <c r="WJR77" s="30"/>
      <c r="WJS77" s="25"/>
      <c r="WJT77" s="178"/>
      <c r="WJU77" s="26"/>
      <c r="WJV77" s="26"/>
      <c r="WJW77" s="26"/>
      <c r="WJX77" s="26"/>
      <c r="WJY77" s="26"/>
      <c r="WJZ77" s="26"/>
      <c r="WKA77" s="58"/>
      <c r="WKB77" s="26"/>
      <c r="WKC77" s="26"/>
      <c r="WKD77" s="26"/>
      <c r="WKE77" s="26"/>
      <c r="WKF77" s="22"/>
      <c r="WKG77" s="167"/>
      <c r="WKH77" s="30"/>
      <c r="WKI77" s="25"/>
      <c r="WKJ77" s="178"/>
      <c r="WKK77" s="26"/>
      <c r="WKL77" s="26"/>
      <c r="WKM77" s="26"/>
      <c r="WKN77" s="26"/>
      <c r="WKO77" s="26"/>
      <c r="WKP77" s="26"/>
      <c r="WKQ77" s="58"/>
      <c r="WKR77" s="26"/>
      <c r="WKS77" s="26"/>
      <c r="WKT77" s="26"/>
      <c r="WKU77" s="26"/>
      <c r="WKV77" s="22"/>
      <c r="WKW77" s="167"/>
      <c r="WKX77" s="30"/>
      <c r="WKY77" s="25"/>
      <c r="WKZ77" s="178"/>
      <c r="WLA77" s="26"/>
      <c r="WLB77" s="26"/>
      <c r="WLC77" s="26"/>
      <c r="WLD77" s="26"/>
      <c r="WLE77" s="26"/>
      <c r="WLF77" s="26"/>
      <c r="WLG77" s="58"/>
      <c r="WLH77" s="26"/>
      <c r="WLI77" s="26"/>
      <c r="WLJ77" s="26"/>
      <c r="WLK77" s="26"/>
      <c r="WLL77" s="22"/>
      <c r="WLM77" s="167"/>
      <c r="WLN77" s="30"/>
      <c r="WLO77" s="25"/>
      <c r="WLP77" s="178"/>
      <c r="WLQ77" s="26"/>
      <c r="WLR77" s="26"/>
      <c r="WLS77" s="26"/>
      <c r="WLT77" s="26"/>
      <c r="WLU77" s="26"/>
      <c r="WLV77" s="26"/>
      <c r="WLW77" s="58"/>
      <c r="WLX77" s="26"/>
      <c r="WLY77" s="26"/>
      <c r="WLZ77" s="26"/>
      <c r="WMA77" s="26"/>
      <c r="WMB77" s="22"/>
      <c r="WMC77" s="167"/>
      <c r="WMD77" s="30"/>
      <c r="WME77" s="25"/>
      <c r="WMF77" s="178"/>
      <c r="WMG77" s="26"/>
      <c r="WMH77" s="26"/>
      <c r="WMI77" s="26"/>
      <c r="WMJ77" s="26"/>
      <c r="WMK77" s="26"/>
      <c r="WML77" s="26"/>
      <c r="WMM77" s="58"/>
      <c r="WMN77" s="26"/>
      <c r="WMO77" s="26"/>
      <c r="WMP77" s="26"/>
      <c r="WMQ77" s="26"/>
      <c r="WMR77" s="22"/>
      <c r="WMS77" s="167"/>
      <c r="WMT77" s="30"/>
      <c r="WMU77" s="25"/>
      <c r="WMV77" s="178"/>
      <c r="WMW77" s="26"/>
      <c r="WMX77" s="26"/>
      <c r="WMY77" s="26"/>
      <c r="WMZ77" s="26"/>
      <c r="WNA77" s="26"/>
      <c r="WNB77" s="26"/>
      <c r="WNC77" s="58"/>
      <c r="WND77" s="26"/>
      <c r="WNE77" s="26"/>
      <c r="WNF77" s="26"/>
      <c r="WNG77" s="26"/>
      <c r="WNH77" s="22"/>
      <c r="WNI77" s="167"/>
      <c r="WNJ77" s="30"/>
      <c r="WNK77" s="25"/>
      <c r="WNL77" s="178"/>
      <c r="WNM77" s="26"/>
      <c r="WNN77" s="26"/>
      <c r="WNO77" s="26"/>
      <c r="WNP77" s="26"/>
      <c r="WNQ77" s="26"/>
      <c r="WNR77" s="26"/>
      <c r="WNS77" s="58"/>
      <c r="WNT77" s="26"/>
      <c r="WNU77" s="26"/>
      <c r="WNV77" s="26"/>
      <c r="WNW77" s="26"/>
      <c r="WNX77" s="22"/>
      <c r="WNY77" s="167"/>
      <c r="WNZ77" s="30"/>
      <c r="WOA77" s="25"/>
      <c r="WOB77" s="178"/>
      <c r="WOC77" s="26"/>
      <c r="WOD77" s="26"/>
      <c r="WOE77" s="26"/>
      <c r="WOF77" s="26"/>
      <c r="WOG77" s="26"/>
      <c r="WOH77" s="26"/>
      <c r="WOI77" s="58"/>
      <c r="WOJ77" s="26"/>
      <c r="WOK77" s="26"/>
      <c r="WOL77" s="26"/>
      <c r="WOM77" s="26"/>
      <c r="WON77" s="22"/>
      <c r="WOO77" s="167"/>
      <c r="WOP77" s="30"/>
      <c r="WOQ77" s="25"/>
      <c r="WOR77" s="178"/>
      <c r="WOS77" s="26"/>
      <c r="WOT77" s="26"/>
      <c r="WOU77" s="26"/>
      <c r="WOV77" s="26"/>
      <c r="WOW77" s="26"/>
      <c r="WOX77" s="26"/>
      <c r="WOY77" s="58"/>
      <c r="WOZ77" s="26"/>
      <c r="WPA77" s="26"/>
      <c r="WPB77" s="26"/>
      <c r="WPC77" s="26"/>
      <c r="WPD77" s="22"/>
      <c r="WPE77" s="167"/>
      <c r="WPF77" s="30"/>
      <c r="WPG77" s="25"/>
      <c r="WPH77" s="178"/>
      <c r="WPI77" s="26"/>
      <c r="WPJ77" s="26"/>
      <c r="WPK77" s="26"/>
      <c r="WPL77" s="26"/>
      <c r="WPM77" s="26"/>
      <c r="WPN77" s="26"/>
      <c r="WPO77" s="58"/>
      <c r="WPP77" s="26"/>
      <c r="WPQ77" s="26"/>
      <c r="WPR77" s="26"/>
      <c r="WPS77" s="26"/>
      <c r="WPT77" s="22"/>
      <c r="WPU77" s="167"/>
      <c r="WPV77" s="30"/>
      <c r="WPW77" s="25"/>
      <c r="WPX77" s="178"/>
      <c r="WPY77" s="26"/>
      <c r="WPZ77" s="26"/>
      <c r="WQA77" s="26"/>
      <c r="WQB77" s="26"/>
      <c r="WQC77" s="26"/>
      <c r="WQD77" s="26"/>
      <c r="WQE77" s="58"/>
      <c r="WQF77" s="26"/>
      <c r="WQG77" s="26"/>
      <c r="WQH77" s="26"/>
      <c r="WQI77" s="26"/>
      <c r="WQJ77" s="22"/>
      <c r="WQK77" s="167"/>
      <c r="WQL77" s="30"/>
      <c r="WQM77" s="25"/>
      <c r="WQN77" s="178"/>
      <c r="WQO77" s="26"/>
      <c r="WQP77" s="26"/>
      <c r="WQQ77" s="26"/>
      <c r="WQR77" s="26"/>
      <c r="WQS77" s="26"/>
      <c r="WQT77" s="26"/>
      <c r="WQU77" s="58"/>
      <c r="WQV77" s="26"/>
      <c r="WQW77" s="26"/>
      <c r="WQX77" s="26"/>
      <c r="WQY77" s="26"/>
      <c r="WQZ77" s="22"/>
      <c r="WRA77" s="167"/>
      <c r="WRB77" s="30"/>
      <c r="WRC77" s="25"/>
      <c r="WRD77" s="178"/>
      <c r="WRE77" s="26"/>
      <c r="WRF77" s="26"/>
      <c r="WRG77" s="26"/>
      <c r="WRH77" s="26"/>
      <c r="WRI77" s="26"/>
      <c r="WRJ77" s="26"/>
      <c r="WRK77" s="58"/>
      <c r="WRL77" s="26"/>
      <c r="WRM77" s="26"/>
      <c r="WRN77" s="26"/>
      <c r="WRO77" s="26"/>
      <c r="WRP77" s="22"/>
      <c r="WRQ77" s="167"/>
      <c r="WRR77" s="30"/>
      <c r="WRS77" s="25"/>
      <c r="WRT77" s="178"/>
      <c r="WRU77" s="26"/>
      <c r="WRV77" s="26"/>
      <c r="WRW77" s="26"/>
      <c r="WRX77" s="26"/>
      <c r="WRY77" s="26"/>
      <c r="WRZ77" s="26"/>
      <c r="WSA77" s="58"/>
      <c r="WSB77" s="26"/>
      <c r="WSC77" s="26"/>
      <c r="WSD77" s="26"/>
      <c r="WSE77" s="26"/>
      <c r="WSF77" s="22"/>
      <c r="WSG77" s="167"/>
      <c r="WSH77" s="30"/>
      <c r="WSI77" s="25"/>
      <c r="WSJ77" s="178"/>
      <c r="WSK77" s="26"/>
      <c r="WSL77" s="26"/>
      <c r="WSM77" s="26"/>
      <c r="WSN77" s="26"/>
      <c r="WSO77" s="26"/>
      <c r="WSP77" s="26"/>
      <c r="WSQ77" s="58"/>
      <c r="WSR77" s="26"/>
      <c r="WSS77" s="26"/>
      <c r="WST77" s="26"/>
      <c r="WSU77" s="26"/>
      <c r="WSV77" s="22"/>
      <c r="WSW77" s="167"/>
      <c r="WSX77" s="30"/>
      <c r="WSY77" s="25"/>
      <c r="WSZ77" s="178"/>
      <c r="WTA77" s="26"/>
      <c r="WTB77" s="26"/>
      <c r="WTC77" s="26"/>
      <c r="WTD77" s="26"/>
      <c r="WTE77" s="26"/>
      <c r="WTF77" s="26"/>
      <c r="WTG77" s="58"/>
      <c r="WTH77" s="26"/>
      <c r="WTI77" s="26"/>
      <c r="WTJ77" s="26"/>
      <c r="WTK77" s="26"/>
      <c r="WTL77" s="22"/>
      <c r="WTM77" s="167"/>
      <c r="WTN77" s="30"/>
      <c r="WTO77" s="25"/>
      <c r="WTP77" s="178"/>
      <c r="WTQ77" s="26"/>
      <c r="WTR77" s="26"/>
      <c r="WTS77" s="26"/>
      <c r="WTT77" s="26"/>
      <c r="WTU77" s="26"/>
      <c r="WTV77" s="26"/>
      <c r="WTW77" s="58"/>
      <c r="WTX77" s="26"/>
      <c r="WTY77" s="26"/>
      <c r="WTZ77" s="26"/>
      <c r="WUA77" s="26"/>
      <c r="WUB77" s="22"/>
      <c r="WUC77" s="167"/>
      <c r="WUD77" s="30"/>
      <c r="WUE77" s="25"/>
      <c r="WUF77" s="178"/>
      <c r="WUG77" s="26"/>
      <c r="WUH77" s="26"/>
      <c r="WUI77" s="26"/>
      <c r="WUJ77" s="26"/>
      <c r="WUK77" s="26"/>
      <c r="WUL77" s="26"/>
      <c r="WUM77" s="58"/>
      <c r="WUN77" s="26"/>
      <c r="WUO77" s="26"/>
      <c r="WUP77" s="26"/>
      <c r="WUQ77" s="26"/>
      <c r="WUR77" s="22"/>
      <c r="WUS77" s="167"/>
      <c r="WUT77" s="30"/>
      <c r="WUU77" s="25"/>
      <c r="WUV77" s="178"/>
      <c r="WUW77" s="26"/>
      <c r="WUX77" s="26"/>
      <c r="WUY77" s="26"/>
      <c r="WUZ77" s="26"/>
      <c r="WVA77" s="26"/>
      <c r="WVB77" s="26"/>
      <c r="WVC77" s="58"/>
      <c r="WVD77" s="26"/>
      <c r="WVE77" s="26"/>
      <c r="WVF77" s="26"/>
      <c r="WVG77" s="26"/>
      <c r="WVH77" s="22"/>
      <c r="WVI77" s="167"/>
      <c r="WVJ77" s="30"/>
      <c r="WVK77" s="25"/>
      <c r="WVL77" s="178"/>
      <c r="WVM77" s="26"/>
      <c r="WVN77" s="26"/>
      <c r="WVO77" s="26"/>
      <c r="WVP77" s="26"/>
      <c r="WVQ77" s="26"/>
      <c r="WVR77" s="26"/>
      <c r="WVS77" s="58"/>
      <c r="WVT77" s="26"/>
      <c r="WVU77" s="26"/>
      <c r="WVV77" s="26"/>
      <c r="WVW77" s="26"/>
      <c r="WVX77" s="22"/>
      <c r="WVY77" s="167"/>
      <c r="WVZ77" s="30"/>
      <c r="WWA77" s="25"/>
      <c r="WWB77" s="178"/>
      <c r="WWC77" s="26"/>
      <c r="WWD77" s="26"/>
      <c r="WWE77" s="26"/>
      <c r="WWF77" s="26"/>
      <c r="WWG77" s="26"/>
      <c r="WWH77" s="26"/>
      <c r="WWI77" s="58"/>
      <c r="WWJ77" s="26"/>
      <c r="WWK77" s="26"/>
      <c r="WWL77" s="26"/>
      <c r="WWM77" s="26"/>
      <c r="WWN77" s="22"/>
      <c r="WWO77" s="167"/>
      <c r="WWP77" s="30"/>
      <c r="WWQ77" s="25"/>
      <c r="WWR77" s="178"/>
      <c r="WWS77" s="26"/>
      <c r="WWT77" s="26"/>
      <c r="WWU77" s="26"/>
      <c r="WWV77" s="26"/>
      <c r="WWW77" s="26"/>
      <c r="WWX77" s="26"/>
      <c r="WWY77" s="58"/>
      <c r="WWZ77" s="26"/>
      <c r="WXA77" s="26"/>
      <c r="WXB77" s="26"/>
      <c r="WXC77" s="26"/>
      <c r="WXD77" s="22"/>
      <c r="WXE77" s="167"/>
      <c r="WXF77" s="30"/>
      <c r="WXG77" s="25"/>
      <c r="WXH77" s="178"/>
      <c r="WXI77" s="26"/>
      <c r="WXJ77" s="26"/>
      <c r="WXK77" s="26"/>
      <c r="WXL77" s="26"/>
      <c r="WXM77" s="26"/>
      <c r="WXN77" s="26"/>
      <c r="WXO77" s="58"/>
      <c r="WXP77" s="26"/>
      <c r="WXQ77" s="26"/>
      <c r="WXR77" s="26"/>
      <c r="WXS77" s="26"/>
      <c r="WXT77" s="22"/>
      <c r="WXU77" s="167"/>
      <c r="WXV77" s="30"/>
      <c r="WXW77" s="25"/>
      <c r="WXX77" s="178"/>
      <c r="WXY77" s="26"/>
      <c r="WXZ77" s="26"/>
      <c r="WYA77" s="26"/>
      <c r="WYB77" s="26"/>
      <c r="WYC77" s="26"/>
      <c r="WYD77" s="26"/>
      <c r="WYE77" s="58"/>
      <c r="WYF77" s="26"/>
      <c r="WYG77" s="26"/>
      <c r="WYH77" s="26"/>
      <c r="WYI77" s="26"/>
      <c r="WYJ77" s="22"/>
      <c r="WYK77" s="167"/>
      <c r="WYL77" s="30"/>
      <c r="WYM77" s="25"/>
      <c r="WYN77" s="178"/>
      <c r="WYO77" s="26"/>
      <c r="WYP77" s="26"/>
      <c r="WYQ77" s="26"/>
      <c r="WYR77" s="26"/>
      <c r="WYS77" s="26"/>
      <c r="WYT77" s="26"/>
      <c r="WYU77" s="58"/>
      <c r="WYV77" s="26"/>
      <c r="WYW77" s="26"/>
      <c r="WYX77" s="26"/>
      <c r="WYY77" s="26"/>
      <c r="WYZ77" s="22"/>
      <c r="WZA77" s="167"/>
      <c r="WZB77" s="30"/>
      <c r="WZC77" s="25"/>
      <c r="WZD77" s="178"/>
      <c r="WZE77" s="26"/>
      <c r="WZF77" s="26"/>
      <c r="WZG77" s="26"/>
      <c r="WZH77" s="26"/>
      <c r="WZI77" s="26"/>
      <c r="WZJ77" s="26"/>
      <c r="WZK77" s="58"/>
      <c r="WZL77" s="26"/>
      <c r="WZM77" s="26"/>
      <c r="WZN77" s="26"/>
      <c r="WZO77" s="26"/>
      <c r="WZP77" s="22"/>
      <c r="WZQ77" s="167"/>
      <c r="WZR77" s="30"/>
      <c r="WZS77" s="25"/>
      <c r="WZT77" s="178"/>
      <c r="WZU77" s="26"/>
      <c r="WZV77" s="26"/>
      <c r="WZW77" s="26"/>
      <c r="WZX77" s="26"/>
      <c r="WZY77" s="26"/>
      <c r="WZZ77" s="26"/>
      <c r="XAA77" s="58"/>
      <c r="XAB77" s="26"/>
      <c r="XAC77" s="26"/>
      <c r="XAD77" s="26"/>
      <c r="XAE77" s="26"/>
      <c r="XAF77" s="22"/>
      <c r="XAG77" s="167"/>
      <c r="XAH77" s="30"/>
      <c r="XAI77" s="25"/>
      <c r="XAJ77" s="178"/>
      <c r="XAK77" s="26"/>
      <c r="XAL77" s="26"/>
      <c r="XAM77" s="26"/>
      <c r="XAN77" s="26"/>
      <c r="XAO77" s="26"/>
      <c r="XAP77" s="26"/>
      <c r="XAQ77" s="58"/>
      <c r="XAR77" s="26"/>
      <c r="XAS77" s="26"/>
      <c r="XAT77" s="26"/>
      <c r="XAU77" s="26"/>
      <c r="XAV77" s="22"/>
      <c r="XAW77" s="167"/>
      <c r="XAX77" s="30"/>
      <c r="XAY77" s="25"/>
      <c r="XAZ77" s="178"/>
      <c r="XBA77" s="26"/>
      <c r="XBB77" s="26"/>
      <c r="XBC77" s="26"/>
      <c r="XBD77" s="26"/>
      <c r="XBE77" s="26"/>
      <c r="XBF77" s="26"/>
      <c r="XBG77" s="58"/>
      <c r="XBH77" s="26"/>
      <c r="XBI77" s="26"/>
      <c r="XBJ77" s="26"/>
      <c r="XBK77" s="26"/>
      <c r="XBL77" s="22"/>
      <c r="XBM77" s="167"/>
      <c r="XBN77" s="30"/>
      <c r="XBO77" s="25"/>
      <c r="XBP77" s="178"/>
      <c r="XBQ77" s="26"/>
      <c r="XBR77" s="26"/>
      <c r="XBS77" s="26"/>
      <c r="XBT77" s="26"/>
      <c r="XBU77" s="26"/>
      <c r="XBV77" s="26"/>
      <c r="XBW77" s="58"/>
      <c r="XBX77" s="26"/>
      <c r="XBY77" s="26"/>
      <c r="XBZ77" s="26"/>
      <c r="XCA77" s="26"/>
      <c r="XCB77" s="22"/>
      <c r="XCC77" s="167"/>
      <c r="XCD77" s="30"/>
      <c r="XCE77" s="25"/>
      <c r="XCF77" s="178"/>
      <c r="XCG77" s="26"/>
      <c r="XCH77" s="26"/>
      <c r="XCI77" s="26"/>
      <c r="XCJ77" s="26"/>
      <c r="XCK77" s="26"/>
      <c r="XCL77" s="26"/>
      <c r="XCM77" s="58"/>
      <c r="XCN77" s="26"/>
      <c r="XCO77" s="26"/>
      <c r="XCP77" s="26"/>
      <c r="XCQ77" s="26"/>
      <c r="XCR77" s="22"/>
      <c r="XCS77" s="167"/>
      <c r="XCT77" s="30"/>
      <c r="XCU77" s="25"/>
      <c r="XCV77" s="178"/>
      <c r="XCW77" s="26"/>
      <c r="XCX77" s="26"/>
      <c r="XCY77" s="26"/>
      <c r="XCZ77" s="26"/>
      <c r="XDA77" s="26"/>
      <c r="XDB77" s="26"/>
      <c r="XDC77" s="58"/>
      <c r="XDD77" s="26"/>
      <c r="XDE77" s="26"/>
      <c r="XDF77" s="26"/>
      <c r="XDG77" s="26"/>
      <c r="XDH77" s="22"/>
      <c r="XDI77" s="167"/>
      <c r="XDJ77" s="30"/>
      <c r="XDK77" s="25"/>
      <c r="XDL77" s="178"/>
      <c r="XDM77" s="26"/>
      <c r="XDN77" s="26"/>
      <c r="XDO77" s="26"/>
      <c r="XDP77" s="26"/>
      <c r="XDQ77" s="26"/>
      <c r="XDR77" s="26"/>
      <c r="XDS77" s="58"/>
      <c r="XDT77" s="26"/>
      <c r="XDU77" s="26"/>
      <c r="XDV77" s="26"/>
      <c r="XDW77" s="26"/>
      <c r="XDX77" s="22"/>
      <c r="XDY77" s="167"/>
      <c r="XDZ77" s="30"/>
      <c r="XEA77" s="25"/>
      <c r="XEB77" s="178"/>
      <c r="XEC77" s="26"/>
      <c r="XED77" s="26"/>
      <c r="XEE77" s="26"/>
      <c r="XEF77" s="26"/>
      <c r="XEG77" s="26"/>
      <c r="XEH77" s="26"/>
      <c r="XEI77" s="58"/>
      <c r="XEJ77" s="26"/>
      <c r="XEK77" s="26"/>
      <c r="XEL77" s="26"/>
      <c r="XEM77" s="26"/>
      <c r="XEN77" s="22"/>
      <c r="XEO77" s="167"/>
      <c r="XEP77" s="30"/>
      <c r="XEQ77" s="25"/>
      <c r="XER77" s="178"/>
      <c r="XES77" s="26"/>
      <c r="XET77" s="26"/>
      <c r="XEU77" s="26"/>
      <c r="XEV77" s="26"/>
      <c r="XEW77" s="26"/>
      <c r="XEX77" s="26"/>
      <c r="XEY77" s="58"/>
      <c r="XEZ77" s="26"/>
      <c r="XFA77" s="26"/>
      <c r="XFB77" s="26"/>
      <c r="XFC77" s="26"/>
      <c r="XFD77" s="22"/>
    </row>
    <row r="78" spans="1:16384" s="32" customFormat="1" ht="15.75" customHeight="1" thickBot="1" x14ac:dyDescent="0.25">
      <c r="A78" s="225"/>
      <c r="B78" s="232" t="s">
        <v>1487</v>
      </c>
      <c r="C78" s="135" t="s">
        <v>938</v>
      </c>
      <c r="D78" s="177">
        <v>0</v>
      </c>
      <c r="E78" s="36">
        <v>0</v>
      </c>
      <c r="F78" s="36">
        <v>0</v>
      </c>
      <c r="G78" s="36">
        <v>0</v>
      </c>
      <c r="H78" s="36">
        <v>0</v>
      </c>
      <c r="I78" s="36">
        <v>0</v>
      </c>
      <c r="J78" s="56">
        <v>54</v>
      </c>
      <c r="K78" s="62">
        <f>SUM(D78:J78)</f>
        <v>54</v>
      </c>
      <c r="L78" s="26">
        <v>0</v>
      </c>
      <c r="M78" s="26">
        <v>0</v>
      </c>
      <c r="N78" s="26">
        <f>L78+M78</f>
        <v>0</v>
      </c>
      <c r="O78" s="26"/>
      <c r="P78" s="22">
        <f>N78*K78</f>
        <v>0</v>
      </c>
      <c r="Q78" s="37"/>
    </row>
    <row r="79" spans="1:16384" s="32" customFormat="1" ht="15.75" customHeight="1" x14ac:dyDescent="0.2">
      <c r="A79" s="201"/>
      <c r="B79" s="281"/>
      <c r="C79" s="25"/>
      <c r="D79" s="178"/>
      <c r="E79" s="26"/>
      <c r="F79" s="26"/>
      <c r="G79" s="26"/>
      <c r="H79" s="26"/>
      <c r="I79" s="26"/>
      <c r="J79" s="26"/>
      <c r="K79" s="58"/>
      <c r="L79" s="26"/>
      <c r="M79" s="26"/>
      <c r="N79" s="26"/>
      <c r="O79" s="26"/>
      <c r="P79" s="22"/>
      <c r="Q79" s="37"/>
    </row>
    <row r="80" spans="1:16384" s="32" customFormat="1" ht="14.25" customHeight="1" x14ac:dyDescent="0.2">
      <c r="A80" s="225" t="s">
        <v>1494</v>
      </c>
      <c r="B80" s="226" t="s">
        <v>1495</v>
      </c>
      <c r="C80" s="28"/>
      <c r="D80" s="181"/>
      <c r="E80" s="28"/>
      <c r="F80" s="28"/>
      <c r="G80" s="28"/>
      <c r="H80" s="28"/>
      <c r="I80" s="28"/>
      <c r="J80" s="28"/>
      <c r="K80" s="60"/>
      <c r="L80" s="29"/>
      <c r="M80" s="29"/>
      <c r="N80" s="29"/>
      <c r="O80" s="29"/>
      <c r="P80" s="23"/>
      <c r="Q80" s="37"/>
    </row>
    <row r="81" spans="1:21" s="32" customFormat="1" ht="64.5" customHeight="1" thickBot="1" x14ac:dyDescent="0.25">
      <c r="A81" s="201"/>
      <c r="B81" s="281" t="s">
        <v>1496</v>
      </c>
      <c r="C81" s="25"/>
      <c r="D81" s="178"/>
      <c r="E81" s="26"/>
      <c r="F81" s="26"/>
      <c r="G81" s="26"/>
      <c r="H81" s="26"/>
      <c r="I81" s="26"/>
      <c r="J81" s="26"/>
      <c r="K81" s="58"/>
      <c r="L81" s="26"/>
      <c r="M81" s="26"/>
      <c r="N81" s="26"/>
      <c r="O81" s="26"/>
      <c r="P81" s="22"/>
      <c r="Q81" s="37"/>
    </row>
    <row r="82" spans="1:21" s="32" customFormat="1" ht="15.75" customHeight="1" thickBot="1" x14ac:dyDescent="0.25">
      <c r="A82" s="225"/>
      <c r="B82" s="232" t="s">
        <v>1369</v>
      </c>
      <c r="C82" s="135" t="s">
        <v>1001</v>
      </c>
      <c r="D82" s="177">
        <v>0</v>
      </c>
      <c r="E82" s="36">
        <v>0</v>
      </c>
      <c r="F82" s="36">
        <v>0</v>
      </c>
      <c r="G82" s="36">
        <v>0</v>
      </c>
      <c r="H82" s="36">
        <v>0</v>
      </c>
      <c r="I82" s="36">
        <v>0</v>
      </c>
      <c r="J82" s="56">
        <v>44</v>
      </c>
      <c r="K82" s="62">
        <f>SUM(D82:J82)</f>
        <v>44</v>
      </c>
      <c r="L82" s="26">
        <v>0</v>
      </c>
      <c r="M82" s="26">
        <v>0</v>
      </c>
      <c r="N82" s="26">
        <f>L82+M82</f>
        <v>0</v>
      </c>
      <c r="O82" s="26"/>
      <c r="P82" s="22">
        <f>N82*K82</f>
        <v>0</v>
      </c>
      <c r="Q82" s="37"/>
    </row>
    <row r="83" spans="1:21" s="32" customFormat="1" ht="12.75" customHeight="1" x14ac:dyDescent="0.2">
      <c r="A83" s="159"/>
      <c r="B83" s="24"/>
      <c r="C83" s="25"/>
      <c r="D83" s="174"/>
      <c r="E83" s="25"/>
      <c r="F83" s="25"/>
      <c r="G83" s="25"/>
      <c r="H83" s="25"/>
      <c r="I83" s="25"/>
      <c r="J83" s="25"/>
      <c r="K83" s="58"/>
      <c r="L83" s="26"/>
      <c r="M83" s="26"/>
      <c r="N83" s="26"/>
      <c r="O83" s="26"/>
      <c r="P83" s="22"/>
      <c r="Q83" s="37"/>
    </row>
    <row r="86" spans="1:21" s="185" customFormat="1" ht="15.75" customHeight="1" x14ac:dyDescent="0.25">
      <c r="A86" s="183" t="s">
        <v>1497</v>
      </c>
      <c r="B86" s="440" t="s">
        <v>1500</v>
      </c>
      <c r="C86" s="387"/>
      <c r="D86" s="387"/>
      <c r="E86" s="387"/>
      <c r="F86" s="387"/>
      <c r="G86" s="387"/>
      <c r="H86" s="387"/>
      <c r="I86" s="387"/>
      <c r="J86" s="387"/>
      <c r="K86" s="387"/>
      <c r="L86" s="387"/>
      <c r="M86" s="388"/>
      <c r="N86" s="34" t="s">
        <v>1107</v>
      </c>
      <c r="O86" s="34"/>
      <c r="P86" s="9">
        <f>SUM(P59:P82)</f>
        <v>0</v>
      </c>
      <c r="Q86" s="184"/>
    </row>
    <row r="88" spans="1:21" s="132" customFormat="1" ht="15.75" customHeight="1" x14ac:dyDescent="0.25">
      <c r="A88" s="160" t="s">
        <v>1497</v>
      </c>
      <c r="B88" s="130" t="s">
        <v>1501</v>
      </c>
      <c r="C88" s="49"/>
      <c r="D88" s="49"/>
      <c r="E88" s="49"/>
      <c r="F88" s="49"/>
      <c r="G88" s="49"/>
      <c r="H88" s="49"/>
      <c r="I88" s="49"/>
      <c r="J88" s="49"/>
      <c r="K88" s="49"/>
      <c r="L88" s="49"/>
      <c r="M88" s="49"/>
      <c r="N88" s="49"/>
      <c r="O88" s="131"/>
      <c r="P88" s="49"/>
      <c r="Q88" s="49"/>
      <c r="R88" s="435" t="s">
        <v>946</v>
      </c>
      <c r="S88" s="388"/>
      <c r="T88" s="50">
        <f>P86*6</f>
        <v>0</v>
      </c>
      <c r="U88" s="151"/>
    </row>
    <row r="90" spans="1:21" s="132" customFormat="1" ht="15.75" customHeight="1" x14ac:dyDescent="0.25">
      <c r="A90" s="160"/>
      <c r="B90" s="130" t="s">
        <v>963</v>
      </c>
      <c r="C90" s="49"/>
      <c r="D90" s="49"/>
      <c r="E90" s="49"/>
      <c r="F90" s="49"/>
      <c r="G90" s="49"/>
      <c r="H90" s="49"/>
      <c r="I90" s="49"/>
      <c r="J90" s="49"/>
      <c r="K90" s="49"/>
      <c r="L90" s="49"/>
      <c r="M90" s="49"/>
      <c r="N90" s="49"/>
      <c r="O90" s="131"/>
      <c r="P90" s="49"/>
      <c r="Q90" s="49"/>
      <c r="R90" s="435"/>
      <c r="S90" s="388"/>
      <c r="T90" s="50">
        <f>SUM(T88,T48)</f>
        <v>0</v>
      </c>
      <c r="U90" s="151"/>
    </row>
  </sheetData>
  <mergeCells count="14">
    <mergeCell ref="R90:S90"/>
    <mergeCell ref="D7:N7"/>
    <mergeCell ref="O54:P54"/>
    <mergeCell ref="B2:R3"/>
    <mergeCell ref="R88:S88"/>
    <mergeCell ref="B44:Q44"/>
    <mergeCell ref="B54:N54"/>
    <mergeCell ref="D51:J51"/>
    <mergeCell ref="B14:R14"/>
    <mergeCell ref="R48:S48"/>
    <mergeCell ref="B86:M86"/>
    <mergeCell ref="B5:T5"/>
    <mergeCell ref="D8:N8"/>
    <mergeCell ref="D50:J50"/>
  </mergeCells>
  <conditionalFormatting sqref="P86">
    <cfRule type="cellIs" dxfId="7" priority="10" stopIfTrue="1" operator="greaterThan">
      <formula>0</formula>
    </cfRule>
  </conditionalFormatting>
  <conditionalFormatting sqref="T11">
    <cfRule type="cellIs" dxfId="6" priority="15" stopIfTrue="1" operator="greaterThan">
      <formula>0</formula>
    </cfRule>
  </conditionalFormatting>
  <conditionalFormatting sqref="T15 T17:T19 T21 T23:T24 T27 T29 T31 T33">
    <cfRule type="cellIs" dxfId="5" priority="5" stopIfTrue="1" operator="greaterThan">
      <formula>0</formula>
    </cfRule>
  </conditionalFormatting>
  <conditionalFormatting sqref="T37">
    <cfRule type="cellIs" dxfId="4" priority="3" stopIfTrue="1" operator="greaterThan">
      <formula>0</formula>
    </cfRule>
  </conditionalFormatting>
  <conditionalFormatting sqref="T41">
    <cfRule type="cellIs" dxfId="3" priority="2" stopIfTrue="1" operator="greaterThan">
      <formula>0</formula>
    </cfRule>
  </conditionalFormatting>
  <conditionalFormatting sqref="T43:T48">
    <cfRule type="cellIs" dxfId="2" priority="4" stopIfTrue="1" operator="greaterThan">
      <formula>0</formula>
    </cfRule>
  </conditionalFormatting>
  <conditionalFormatting sqref="T88">
    <cfRule type="cellIs" dxfId="1" priority="7" stopIfTrue="1" operator="greaterThan">
      <formula>0</formula>
    </cfRule>
  </conditionalFormatting>
  <conditionalFormatting sqref="T90">
    <cfRule type="cellIs" dxfId="0" priority="6" stopIfTrue="1" operator="greaterThan">
      <formula>0</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Naslovnica</vt:lpstr>
      <vt:lpstr>Opci-GOR</vt:lpstr>
      <vt:lpstr>CEMENTNI ESTRIH</vt:lpstr>
      <vt:lpstr>HIDROIZOLACIJA</vt:lpstr>
      <vt:lpstr>GIPS KARTON</vt:lpstr>
      <vt:lpstr>FASADERSKI</vt:lpstr>
      <vt:lpstr>SOBOSLIKARSKI</vt:lpstr>
      <vt:lpstr>KERAMIČARSKI</vt:lpstr>
      <vt:lpstr>PODOPOLAGAČKI</vt:lpstr>
      <vt:lpstr>STEKLARSKI</vt:lpstr>
      <vt:lpstr>BRAVARSKI</vt:lpstr>
      <vt:lpstr>KROVNA KONSTR.</vt:lpstr>
      <vt:lpstr>KROV</vt:lpstr>
      <vt:lpstr>Naslovnica!Print_Area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Marko Marendić</dc:creator>
  <cp:lastModifiedBy>Ivan Cakaric</cp:lastModifiedBy>
  <cp:lastPrinted>2025-07-30T11:30:23Z</cp:lastPrinted>
  <dcterms:created xsi:type="dcterms:W3CDTF">2024-09-16T09:45:21Z</dcterms:created>
  <dcterms:modified xsi:type="dcterms:W3CDTF">2026-09-01T14:44:55Z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0x010100183012C601FB0C4D8E4C0505AE29F9A7</vt:lpwstr>
  </property>
  <property fmtid="{D5CDD505-2E9C-101B-9397-08002B2CF9AE}" pid="3" name="MediaServiceImageTags">
    <vt:lpwstr/>
  </property>
</Properties>
</file>