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revidirani troskovnici\"/>
    </mc:Choice>
  </mc:AlternateContent>
  <xr:revisionPtr revIDLastSave="0" documentId="13_ncr:1_{049C476F-9CF4-4E77-89E0-D1A337644481}" xr6:coauthVersionLast="47" xr6:coauthVersionMax="47" xr10:uidLastSave="{00000000-0000-0000-0000-000000000000}"/>
  <bookViews>
    <workbookView xWindow="22725" yWindow="480" windowWidth="33135" windowHeight="20055" tabRatio="650" activeTab="4" xr2:uid="{00000000-000D-0000-FFFF-FFFF00000000}"/>
  </bookViews>
  <sheets>
    <sheet name="NASLOVNICA" sheetId="1" r:id="rId1"/>
    <sheet name="REKAPITULACIJA" sheetId="2" r:id="rId2"/>
    <sheet name="A.GRAĐEVINSKI RADOVI" sheetId="3" r:id="rId3"/>
    <sheet name="B.OBRTNIČKI RADOVI" sheetId="4" r:id="rId4"/>
    <sheet name="C.POTPORNI ZID I PARAPET" sheetId="5" r:id="rId5"/>
  </sheets>
  <externalReferences>
    <externalReference r:id="rId6"/>
    <externalReference r:id="rId7"/>
  </externalReferences>
  <definedNames>
    <definedName name="A">#REF!</definedName>
    <definedName name="aaa">#REF!</definedName>
    <definedName name="all">#REF!</definedName>
    <definedName name="aluminijska">#REF!</definedName>
    <definedName name="BE_Price">#REF!</definedName>
    <definedName name="betonska">#REF!</definedName>
    <definedName name="BETONSKI_I_ARM.BETONSKI_RADOVI">#REF!</definedName>
    <definedName name="BRAVARIJA_SKLONIŠTA">#REF!</definedName>
    <definedName name="Countr.">#REF!</definedName>
    <definedName name="Countr.no">#REF!</definedName>
    <definedName name="Country">#REF!</definedName>
    <definedName name="CRNA_BRAVARIJA">#REF!</definedName>
    <definedName name="ČELIČNA_KONSTRUKCIJA">#REF!</definedName>
    <definedName name="D">#REF!</definedName>
    <definedName name="Data_base_result">#REF!</definedName>
    <definedName name="_xlnm.Database">#REF!</definedName>
    <definedName name="DIMNJACI">#REF!</definedName>
    <definedName name="DIZALA">#REF!</definedName>
    <definedName name="EODB">#REF!</definedName>
    <definedName name="euro">#REF!</definedName>
    <definedName name="euronew">#REF!</definedName>
    <definedName name="FASADERSKI_RADOVI">#REF!</definedName>
    <definedName name="fizika_zgrade">#REF!</definedName>
    <definedName name="gradbena">#REF!</definedName>
    <definedName name="H">#REF!</definedName>
    <definedName name="HR">#REF!</definedName>
    <definedName name="I">#REF!</definedName>
    <definedName name="Inew">#REF!</definedName>
    <definedName name="INOX_BRAVARIJA">#REF!</definedName>
    <definedName name="IZOLATERSKI_RADOVI">#REF!</definedName>
    <definedName name="jj">[1]VIIIc.0.E!#REF!</definedName>
    <definedName name="KAMENARSKI_RADOVI">#REF!</definedName>
    <definedName name="keramicarska">#REF!</definedName>
    <definedName name="KERAMIČARSKI_RADOVI">#REF!</definedName>
    <definedName name="kljucavnicarska">#REF!</definedName>
    <definedName name="KROVOPOKRIVAČKI_RADOVI">#REF!</definedName>
    <definedName name="krovskokleparska">#REF!</definedName>
    <definedName name="Kurs">#REF!</definedName>
    <definedName name="l">#REF!</definedName>
    <definedName name="Langua.">#REF!</definedName>
    <definedName name="Langua.no">#REF!</definedName>
    <definedName name="Language">#REF!</definedName>
    <definedName name="Last_up_date">#REF!</definedName>
    <definedName name="LIMARSKI_RADOVI">#REF!</definedName>
    <definedName name="m">#REF!</definedName>
    <definedName name="mavcnokartonska">#REF!</definedName>
    <definedName name="min">#REF!</definedName>
    <definedName name="minE">#REF!</definedName>
    <definedName name="mr">#REF!</definedName>
    <definedName name="NEHRĐAJUĆA_BRAVARIJA">#REF!</definedName>
    <definedName name="Null">#REF!</definedName>
    <definedName name="obrtniska">#REF!</definedName>
    <definedName name="OSTALI_RADOVI">#REF!</definedName>
    <definedName name="p">#REF!</definedName>
    <definedName name="Partno">#REF!</definedName>
    <definedName name="PILOTI">#REF!</definedName>
    <definedName name="pn">[1]VIIIc.0.E!#REF!</definedName>
    <definedName name="PODOVI">#REF!</definedName>
    <definedName name="PREGRADNE_STIJENE">#REF!</definedName>
    <definedName name="Price_code">#REF!</definedName>
    <definedName name="_xlnm.Print_Area" localSheetId="3">'B.OBRTNIČKI RADOVI'!$A$1:$G$464</definedName>
    <definedName name="_xlnm.Print_Area" localSheetId="0">NASLOVNICA!$A$1:$C$117</definedName>
    <definedName name="_xlnm.Print_Area" localSheetId="1">REKAPITULACIJA!$A$2:$D$25</definedName>
    <definedName name="_xlnm.Print_Titles" localSheetId="3">'B.OBRTNIČKI RADOVI'!$1:$3</definedName>
    <definedName name="PROTUPOŽARNA_BRAVARIJA" localSheetId="3">#REF!</definedName>
    <definedName name="PROTUPOŽARNA_BRAVARIJA">#REF!</definedName>
    <definedName name="R_E_K_A_P_I_T_U_L_A_C_I_J_A">#REF!</definedName>
    <definedName name="reserve">#REF!</definedName>
    <definedName name="RTG_BRAVARIJA">#REF!</definedName>
    <definedName name="RUŠENJA_I_PRILAGODBE_GRAĐEVINSKIH_ELEMENATA_POSTOJEĆIH_GRAĐEVINA">#REF!</definedName>
    <definedName name="s">#REF!</definedName>
    <definedName name="sat">#REF!</definedName>
    <definedName name="satE">#REF!</definedName>
    <definedName name="Seins">#REF!</definedName>
    <definedName name="slikopleskarska">#REF!</definedName>
    <definedName name="sn">[1]VIIIc.0.E!#REF!</definedName>
    <definedName name="SOBOSLIKARSKI_RADOVI">#REF!</definedName>
    <definedName name="SPUŠTENI_STROPOVI">#REF!</definedName>
    <definedName name="tesarska">#REF!</definedName>
    <definedName name="type">#REF!</definedName>
    <definedName name="u">#REF!</definedName>
    <definedName name="UKLANJANJE_OBJEKATA_I_IZGRADNJA_PRIVREMENE_SAOBRAČAJNICE">#REF!</definedName>
    <definedName name="UNUTARNJA_ALUMINIJSKA_BRAVARIJA">#REF!</definedName>
    <definedName name="VANJSKA_ALUMINIJSKA_BRAVARIJA">#REF!</definedName>
    <definedName name="VI">#REF!</definedName>
    <definedName name="VP">#REF!</definedName>
    <definedName name="vvv">[2]Preisfindung!#REF!</definedName>
    <definedName name="Wrg">#REF!</definedName>
    <definedName name="zemeljska">#REF!</definedName>
    <definedName name="ZEMLJANI_RADOVI">#REF!</definedName>
    <definedName name="zidarska">#REF!</definedName>
    <definedName name="ZIDARSKI_RADOVI">#REF!</definedName>
  </definedNames>
  <calcPr calcId="191029" iterateDelta="1E-4" fullPrecision="0"/>
</workbook>
</file>

<file path=xl/calcChain.xml><?xml version="1.0" encoding="utf-8"?>
<calcChain xmlns="http://schemas.openxmlformats.org/spreadsheetml/2006/main">
  <c r="F54" i="5" l="1"/>
  <c r="F50" i="5"/>
  <c r="F49" i="5"/>
  <c r="D49" i="5"/>
  <c r="F47" i="5"/>
  <c r="D47" i="5"/>
  <c r="D46" i="5"/>
  <c r="D48" i="5" s="1"/>
  <c r="F48" i="5" s="1"/>
  <c r="D44" i="5"/>
  <c r="F44" i="5" s="1"/>
  <c r="D43" i="5"/>
  <c r="F43" i="5" s="1"/>
  <c r="F41" i="5"/>
  <c r="D41" i="5"/>
  <c r="F40" i="5"/>
  <c r="D40" i="5"/>
  <c r="F39" i="5"/>
  <c r="D39" i="5"/>
  <c r="F38" i="5"/>
  <c r="F34" i="5"/>
  <c r="F33" i="5"/>
  <c r="F32" i="5"/>
  <c r="F31" i="5"/>
  <c r="F30" i="5"/>
  <c r="F28" i="5"/>
  <c r="F27" i="5"/>
  <c r="F25" i="5"/>
  <c r="F24" i="5"/>
  <c r="F23" i="5"/>
  <c r="F22" i="5"/>
  <c r="F21" i="5"/>
  <c r="F20" i="5"/>
  <c r="F16" i="5"/>
  <c r="D16" i="5"/>
  <c r="F15" i="5"/>
  <c r="D15" i="5"/>
  <c r="F14" i="5"/>
  <c r="D14" i="5"/>
  <c r="F13" i="5"/>
  <c r="D12" i="5"/>
  <c r="F12" i="5" s="1"/>
  <c r="F11" i="5"/>
  <c r="D11" i="5"/>
  <c r="F10" i="5"/>
  <c r="D10" i="5"/>
  <c r="D9" i="5"/>
  <c r="F9" i="5" s="1"/>
  <c r="D8" i="5"/>
  <c r="F8" i="5" s="1"/>
  <c r="F7" i="5"/>
  <c r="A463" i="4"/>
  <c r="B462" i="4"/>
  <c r="A462" i="4"/>
  <c r="B461" i="4"/>
  <c r="A461" i="4"/>
  <c r="B460" i="4"/>
  <c r="A460" i="4"/>
  <c r="B459" i="4"/>
  <c r="A459" i="4"/>
  <c r="B458" i="4"/>
  <c r="A458" i="4"/>
  <c r="B457" i="4"/>
  <c r="A457" i="4"/>
  <c r="F450" i="4"/>
  <c r="F439" i="4"/>
  <c r="F432" i="4"/>
  <c r="F427" i="4"/>
  <c r="F426" i="4"/>
  <c r="F418" i="4"/>
  <c r="F413" i="4"/>
  <c r="F408" i="4"/>
  <c r="F403" i="4"/>
  <c r="F398" i="4"/>
  <c r="F393" i="4"/>
  <c r="F388" i="4"/>
  <c r="F383" i="4"/>
  <c r="F378" i="4"/>
  <c r="F373" i="4"/>
  <c r="F368" i="4"/>
  <c r="F361" i="4"/>
  <c r="A358" i="4"/>
  <c r="F356" i="4"/>
  <c r="A353" i="4"/>
  <c r="F351" i="4"/>
  <c r="F452" i="4" s="1"/>
  <c r="F462" i="4" s="1"/>
  <c r="A348" i="4"/>
  <c r="F344" i="4"/>
  <c r="F329" i="4"/>
  <c r="F461" i="4" s="1"/>
  <c r="F327" i="4"/>
  <c r="F323" i="4"/>
  <c r="F317" i="4"/>
  <c r="F312" i="4"/>
  <c r="F307" i="4"/>
  <c r="A304" i="4"/>
  <c r="F288" i="4"/>
  <c r="F284" i="4"/>
  <c r="F280" i="4"/>
  <c r="A278" i="4"/>
  <c r="F276" i="4"/>
  <c r="A274" i="4"/>
  <c r="F270" i="4"/>
  <c r="A268" i="4"/>
  <c r="F266" i="4"/>
  <c r="F290" i="4" s="1"/>
  <c r="F460" i="4" s="1"/>
  <c r="F262" i="4"/>
  <c r="A260" i="4"/>
  <c r="F258" i="4"/>
  <c r="F242" i="4"/>
  <c r="F238" i="4"/>
  <c r="F227" i="4"/>
  <c r="F223" i="4"/>
  <c r="F217" i="4"/>
  <c r="F211" i="4"/>
  <c r="F205" i="4"/>
  <c r="A202" i="4"/>
  <c r="F198" i="4"/>
  <c r="F197" i="4"/>
  <c r="F244" i="4" s="1"/>
  <c r="F459" i="4" s="1"/>
  <c r="A194" i="4"/>
  <c r="F192" i="4"/>
  <c r="F191" i="4"/>
  <c r="F170" i="4"/>
  <c r="F169" i="4"/>
  <c r="F167" i="4"/>
  <c r="F166" i="4"/>
  <c r="F164" i="4"/>
  <c r="F163" i="4"/>
  <c r="F161" i="4"/>
  <c r="F160" i="4"/>
  <c r="A156" i="4"/>
  <c r="F154" i="4"/>
  <c r="F153" i="4"/>
  <c r="F151" i="4"/>
  <c r="F150" i="4"/>
  <c r="F148" i="4"/>
  <c r="F147" i="4"/>
  <c r="F145" i="4"/>
  <c r="F144" i="4"/>
  <c r="F142" i="4"/>
  <c r="F141" i="4"/>
  <c r="F139" i="4"/>
  <c r="F138" i="4"/>
  <c r="A134" i="4"/>
  <c r="F130" i="4"/>
  <c r="F129" i="4"/>
  <c r="A125" i="4"/>
  <c r="F123" i="4"/>
  <c r="F172" i="4" s="1"/>
  <c r="F458" i="4" s="1"/>
  <c r="F122" i="4"/>
  <c r="F103" i="4"/>
  <c r="F457" i="4" s="1"/>
  <c r="F101" i="4"/>
  <c r="F97" i="4"/>
  <c r="F93" i="4"/>
  <c r="F87" i="4"/>
  <c r="F82" i="4"/>
  <c r="F77" i="4"/>
  <c r="F70" i="4"/>
  <c r="F63" i="4"/>
  <c r="F56" i="4"/>
  <c r="F49" i="4"/>
  <c r="F42" i="4"/>
  <c r="F35" i="4"/>
  <c r="A30" i="4"/>
  <c r="F28" i="4"/>
  <c r="A424" i="3"/>
  <c r="B423" i="3"/>
  <c r="B11" i="2" s="1"/>
  <c r="A423" i="3"/>
  <c r="A11" i="2" s="1"/>
  <c r="B422" i="3"/>
  <c r="B10" i="2" s="1"/>
  <c r="B421" i="3"/>
  <c r="B420" i="3"/>
  <c r="B8" i="2" s="1"/>
  <c r="B419" i="3"/>
  <c r="B7" i="2" s="1"/>
  <c r="B418" i="3"/>
  <c r="A418" i="3"/>
  <c r="A6" i="2" s="1"/>
  <c r="B417" i="3"/>
  <c r="A417" i="3"/>
  <c r="A5" i="2" s="1"/>
  <c r="F410" i="3"/>
  <c r="A408" i="3"/>
  <c r="F406" i="3"/>
  <c r="F412" i="3" s="1"/>
  <c r="F423" i="3" s="1"/>
  <c r="C11" i="2" s="1"/>
  <c r="A395" i="3"/>
  <c r="A422" i="3" s="1"/>
  <c r="A10" i="2" s="1"/>
  <c r="F393" i="3"/>
  <c r="F392" i="3"/>
  <c r="F382" i="3"/>
  <c r="F373" i="3"/>
  <c r="F364" i="3"/>
  <c r="F349" i="3"/>
  <c r="F347" i="3"/>
  <c r="F345" i="3"/>
  <c r="F339" i="3"/>
  <c r="F330" i="3"/>
  <c r="A327" i="3"/>
  <c r="F325" i="3"/>
  <c r="F395" i="3" s="1"/>
  <c r="F422" i="3" s="1"/>
  <c r="A318" i="3"/>
  <c r="A421" i="3" s="1"/>
  <c r="A9" i="2" s="1"/>
  <c r="F316" i="3"/>
  <c r="F312" i="3"/>
  <c r="F306" i="3"/>
  <c r="F301" i="3"/>
  <c r="F297" i="3"/>
  <c r="F288" i="3"/>
  <c r="F280" i="3"/>
  <c r="F275" i="3"/>
  <c r="F271" i="3"/>
  <c r="F265" i="3"/>
  <c r="F260" i="3"/>
  <c r="F259" i="3"/>
  <c r="F318" i="3" s="1"/>
  <c r="F421" i="3" s="1"/>
  <c r="C9" i="2" s="1"/>
  <c r="F247" i="3"/>
  <c r="F242" i="3"/>
  <c r="F241" i="3"/>
  <c r="A237" i="3"/>
  <c r="A244" i="3" s="1"/>
  <c r="F233" i="3"/>
  <c r="F232" i="3"/>
  <c r="A211" i="3"/>
  <c r="A420" i="3" s="1"/>
  <c r="A8" i="2" s="1"/>
  <c r="F209" i="3"/>
  <c r="F211" i="3" s="1"/>
  <c r="F420" i="3" s="1"/>
  <c r="C8" i="2" s="1"/>
  <c r="D209" i="3"/>
  <c r="A203" i="3"/>
  <c r="A419" i="3" s="1"/>
  <c r="A7" i="2" s="1"/>
  <c r="F201" i="3"/>
  <c r="F200" i="3"/>
  <c r="F195" i="3"/>
  <c r="F194" i="3"/>
  <c r="F187" i="3"/>
  <c r="F186" i="3"/>
  <c r="F180" i="3"/>
  <c r="F179" i="3"/>
  <c r="F177" i="3"/>
  <c r="F176" i="3"/>
  <c r="F174" i="3"/>
  <c r="F173" i="3"/>
  <c r="F171" i="3"/>
  <c r="F170" i="3"/>
  <c r="F162" i="3"/>
  <c r="F161" i="3"/>
  <c r="F153" i="3"/>
  <c r="F152" i="3"/>
  <c r="F147" i="3"/>
  <c r="F146" i="3"/>
  <c r="F141" i="3"/>
  <c r="F140" i="3"/>
  <c r="F132" i="3"/>
  <c r="F131" i="3"/>
  <c r="F126" i="3"/>
  <c r="F125" i="3"/>
  <c r="F119" i="3"/>
  <c r="F118" i="3"/>
  <c r="F110" i="3"/>
  <c r="F105" i="3"/>
  <c r="A102" i="3"/>
  <c r="F100" i="3"/>
  <c r="F203" i="3" s="1"/>
  <c r="F419" i="3" s="1"/>
  <c r="C7" i="2" s="1"/>
  <c r="A81" i="3"/>
  <c r="F79" i="3"/>
  <c r="F75" i="3"/>
  <c r="F71" i="3"/>
  <c r="F67" i="3"/>
  <c r="F63" i="3"/>
  <c r="F58" i="3"/>
  <c r="F52" i="3"/>
  <c r="F47" i="3"/>
  <c r="F42" i="3"/>
  <c r="F37" i="3"/>
  <c r="F81" i="3" s="1"/>
  <c r="F418" i="3" s="1"/>
  <c r="C6" i="2" s="1"/>
  <c r="A34" i="3"/>
  <c r="F25" i="3"/>
  <c r="F417" i="3" s="1"/>
  <c r="F23" i="3"/>
  <c r="A21" i="3"/>
  <c r="F19" i="3"/>
  <c r="A16" i="3"/>
  <c r="F14" i="3"/>
  <c r="C20" i="2"/>
  <c r="B20" i="2"/>
  <c r="A20" i="2"/>
  <c r="C19" i="2"/>
  <c r="B19" i="2"/>
  <c r="A19" i="2"/>
  <c r="C18" i="2"/>
  <c r="B18" i="2"/>
  <c r="A18" i="2"/>
  <c r="C17" i="2"/>
  <c r="B17" i="2"/>
  <c r="A17" i="2"/>
  <c r="C16" i="2"/>
  <c r="B16" i="2"/>
  <c r="A16" i="2"/>
  <c r="C15" i="2"/>
  <c r="C21" i="2" s="1"/>
  <c r="B15" i="2"/>
  <c r="A15" i="2"/>
  <c r="C10" i="2"/>
  <c r="B9" i="2"/>
  <c r="B6" i="2"/>
  <c r="B5" i="2"/>
  <c r="A286" i="4" l="1"/>
  <c r="C23" i="2"/>
  <c r="F463" i="4"/>
  <c r="F424" i="3"/>
  <c r="C5" i="2"/>
  <c r="C12" i="2" s="1"/>
  <c r="A213" i="4"/>
  <c r="A251" i="3"/>
  <c r="A262" i="3" s="1"/>
  <c r="F46" i="5"/>
  <c r="F52" i="5" s="1"/>
  <c r="F56" i="5" s="1"/>
  <c r="A309" i="4"/>
  <c r="A314" i="4" s="1"/>
  <c r="A365" i="4"/>
  <c r="A39" i="3"/>
  <c r="A207" i="4"/>
  <c r="A107" i="3"/>
  <c r="A37" i="4"/>
  <c r="A225" i="4"/>
  <c r="A114" i="3"/>
  <c r="A336" i="3"/>
  <c r="A282" i="4"/>
  <c r="A219" i="4"/>
  <c r="F58" i="5" l="1"/>
  <c r="F60" i="5" s="1"/>
  <c r="A269" i="3"/>
  <c r="A44" i="4"/>
  <c r="A231" i="4"/>
  <c r="A240" i="4" s="1"/>
  <c r="A44" i="3"/>
  <c r="A54" i="3" s="1"/>
  <c r="A121" i="3"/>
  <c r="A321" i="4"/>
  <c r="A325" i="4" s="1"/>
  <c r="A49" i="3"/>
  <c r="A375" i="4"/>
  <c r="A380" i="4" s="1"/>
  <c r="A370" i="4"/>
  <c r="A341" i="3"/>
  <c r="A395" i="4" l="1"/>
  <c r="A277" i="3"/>
  <c r="A385" i="4"/>
  <c r="A273" i="3"/>
  <c r="A60" i="3"/>
  <c r="A65" i="3" s="1"/>
  <c r="A390" i="4"/>
  <c r="A128" i="3"/>
  <c r="A51" i="4"/>
  <c r="A357" i="3"/>
  <c r="A405" i="4" l="1"/>
  <c r="A410" i="4" s="1"/>
  <c r="A136" i="3"/>
  <c r="A282" i="3"/>
  <c r="A290" i="3" s="1"/>
  <c r="A58" i="4"/>
  <c r="A65" i="4" s="1"/>
  <c r="A74" i="4" s="1"/>
  <c r="A69" i="3"/>
  <c r="A73" i="3" s="1"/>
  <c r="A400" i="4"/>
  <c r="A366" i="3"/>
  <c r="A375" i="3" s="1"/>
  <c r="A415" i="4" l="1"/>
  <c r="A422" i="4" s="1"/>
  <c r="A429" i="4" s="1"/>
  <c r="A436" i="4" s="1"/>
  <c r="A441" i="4" s="1"/>
  <c r="A386" i="3"/>
  <c r="A79" i="4"/>
  <c r="A299" i="3"/>
  <c r="A303" i="3" s="1"/>
  <c r="A308" i="3" s="1"/>
  <c r="A314" i="3" s="1"/>
  <c r="A143" i="3"/>
  <c r="A149" i="3" s="1"/>
  <c r="A157" i="3" s="1"/>
  <c r="A84" i="4" l="1"/>
  <c r="A89" i="4" s="1"/>
  <c r="A95" i="4" s="1"/>
  <c r="A99" i="4" s="1"/>
  <c r="A446" i="4"/>
  <c r="A166" i="3"/>
  <c r="A182" i="3" s="1"/>
  <c r="A191" i="3" s="1"/>
  <c r="A19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E14" authorId="0" shapeId="0" xr:uid="{00000000-0006-0000-0200-000001000000}">
      <text>
        <r>
          <rPr>
            <sz val="11"/>
            <color theme="1"/>
            <rFont val="Calibri"/>
            <family val="2"/>
            <scheme val="minor"/>
          </rPr>
          <t>GLAVA (glavna stavka):
Uklanjanje postojeće građevine Uklanjanje postojeće građevine ukupne tlocrtne površine cca P=99,00 m2. Potrebno je ukloniti sve elemente konstrukcije sa oblogama, pokrovom, prozorima, vratima itd. te postojeće opločenje u okolišu. Uklanjanje elemenata koji se nalaze neposredno uz susjednu građevinu izvesti pažljivo i po potrebi ručno ukloniti. Rušenju građevine ne smije se pristupiti dok nisu izvršene sve potrebne pripreme, sva potrebna rasterećenja, te eventualno potrebna osiguranja na pojedinim mjestima. U cijenu je uračunato i čišćenje zone izgradnje prije izvođenja radova (sakupljanje svog otpadnog materijala i sječenje grmlja, šiblja sa uklanjanjem korijena, te utovar u kamion i odvoz na gradsku deponiju, uključivo i naknada za deponiranje).
STAVKA (podstavka):
Obračun po kompletu.
———
Ako je gore TOČNO — preskoči.
Ako nije — ispravi tekst u ovom komentaru.
(jmj kpl · količina 1.0 · oznaka 1)</t>
        </r>
      </text>
    </comment>
    <comment ref="E19" authorId="0" shapeId="0" xr:uid="{00000000-0006-0000-0200-000002000000}">
      <text>
        <r>
          <rPr>
            <sz val="11"/>
            <color theme="1"/>
            <rFont val="Calibri"/>
            <family val="2"/>
            <scheme val="minor"/>
          </rPr>
          <t>GLAVA (glavna stavka):
Iskolčenje i izrada izjave o iskolčenju Izrada iskolčenja i izjave o provedenom iskolčenju parcele, građevine, prometnih i hodnih površina, instalacija i elemenata krajobraznog uređenja sukladno geodetskom projektu izrađenom od strane ovlaštenog geodeta. Iskolčenje objekta obuhvaća sva geodetska mjerenja kojima se podaci s projekta prenose na teren (vertikalno i horizontalno), obnavljanje i održavanje iskolčenih oznaka na terenu za sve vrijeme građenja. Izjavu o provedenom iskolčenju građevine sukladno geodetskom projektu potrebno je izraditi u skladu s Zakonom o gradnji i Pravilnikom o geodetskom projektu.
STAVKA (podstavka):
Obračun za komplet.
———
Ako je gore TOČNO — preskoči.
Ako nije — ispravi tekst u ovom komentaru.
(jmj kpl · količina 1.0 · oznaka 2)</t>
        </r>
      </text>
    </comment>
    <comment ref="E23" authorId="0" shapeId="0" xr:uid="{00000000-0006-0000-0200-000003000000}">
      <text>
        <r>
          <rPr>
            <sz val="11"/>
            <color theme="1"/>
            <rFont val="Calibri"/>
            <family val="2"/>
            <scheme val="minor"/>
          </rPr>
          <t>GLAVA (glavna stavka):
Završno čišćenje Generalno fino završno čišćenje zgrada nakon tehničkog pregleda, a prije konačne primopredaje i otklanjanja svih nedostataka građevine uključivo i komplet sva potrebna čišćenja interijera zgrade.
STAVKA (podstavka):
Obračun po m2 bruto površine prostora.
———
Ako je gore TOČNO — preskoči.
Ako nije — ispravi tekst u ovom komentaru.
(jmj m2 · količina 345.0 · oznaka 3)</t>
        </r>
      </text>
    </comment>
    <comment ref="E37" authorId="0" shapeId="0" xr:uid="{00000000-0006-0000-0200-000004000000}">
      <text>
        <r>
          <rPr>
            <sz val="11"/>
            <color theme="1"/>
            <rFont val="Calibri"/>
            <family val="2"/>
            <scheme val="minor"/>
          </rPr>
          <t>GLAVA (glavna stavka):
Široki iskop za temeljenje građevine Široki iskop zemlje B kategorije u svrhu formiranja građevinske jame za izvedbu temeljne ploče. Materijal iz iskopa odložiti na gradilištu i iskoristiti za nasipavanje (obračun u zasebnoj stavci). U jediničnu stavku cijene je uključeno planiranje dna jame ispod temeljne ploče sa zbijanjem površine na točnost +/- 2 cm. Oznaka sloja: P1, P2
STAVKA (podstavka):
Obračun po m3 u sraslom stanju.
———
Ako je gore TOČNO — preskoči.
Ako nije — ispravi tekst u ovom komentaru.
(jmj m3 · količina 82.5 · oznaka 1)</t>
        </r>
      </text>
    </comment>
    <comment ref="E42" authorId="0" shapeId="0" xr:uid="{00000000-0006-0000-0200-000005000000}">
      <text>
        <r>
          <rPr>
            <sz val="11"/>
            <color theme="1"/>
            <rFont val="Calibri"/>
            <family val="2"/>
            <scheme val="minor"/>
          </rPr>
          <t>GLAVA (glavna stavka):
Iskop za uređenje okoliša Iskop zemlje B kategorije za uređenje okoliša. Materijal iz iskopa odložiti na gradilištu i iskoristiti za nasipavanje (obračun u zasebnoj stavci). U jediničnu stavku cijene je uključeno planiranje dna sa zbijanjem površine na točnost +/- 2 cm. Pozicija: hodna i kolna površina
STAVKA (podstavka):
Obračun po m3 u sraslom stanju.
———
Ako je gore TOČNO — preskoči.
Ako nije — ispravi tekst u ovom komentaru.
(jmj m3 · količina 91.39 · oznaka 2)</t>
        </r>
      </text>
    </comment>
    <comment ref="E47" authorId="0" shapeId="0" xr:uid="{00000000-0006-0000-0200-000006000000}">
      <text>
        <r>
          <rPr>
            <sz val="11"/>
            <color theme="1"/>
            <rFont val="Calibri"/>
            <family val="2"/>
            <scheme val="minor"/>
          </rPr>
          <t>GLAVA (glavna stavka):
Nasip od nabijenoga krupnog šljunka Dobava, doprema materijala i zasipavanje nasipa od krupnog šljunka d=30 cm, granulacije prema projektu. Potrebna zbijenost zamjenskog sloja je 30 MPa što se dokazuje potrebnim ispitivanjima tla. Nakon iskopa na kotu podložnog betona ispitati će se temeljno tlo, te nakon toga pristupiti eventualnoj zamjeni materijala. Stavka obuhvaća dobavu, dopremu kamenog materijala, razastiranje i valjanje u kompaktni sloj i sve ostalo potrebno za potpuno dovršenje rada. Ovaj sloj se može izvoditi tek nakon što je nadzorni inženjer primio posteljicu. Oznaka sloja: P1, P2
STAVKA (podstavka):
Obračun po m3 izvedenoga nasipa u sraslome stanju.
———
Ako je gore TOČNO — preskoči.
Ako nije — ispravi tekst u ovom komentaru.
(jmj m3 · količina 73.37 · oznaka 3)</t>
        </r>
      </text>
    </comment>
    <comment ref="E52" authorId="0" shapeId="0" xr:uid="{00000000-0006-0000-0200-000007000000}">
      <text>
        <r>
          <rPr>
            <sz val="11"/>
            <color theme="1"/>
            <rFont val="Calibri"/>
            <family val="2"/>
            <scheme val="minor"/>
          </rPr>
          <t>GLAVA (glavna stavka):
Geotekstil 300g/m2 Dobava, doprema i ugradnja geotekstila 300g/m2 pod sloj nabijenoga kamenog materijala bez veziva. U jediničnu cijenu stavke uključeni svi preklopi, te sav potreban rad te spojni i pričvrsni materijal. Pozicija: hodna i kolna površina
STAVKA (podstavka):
Obračun po m2 ugrađenoga geotekstila.
———
Ako je gore TOČNO — preskoči.
Ako nije — ispravi tekst u ovom komentaru.
(jmj m2 · količina 194.44 · oznaka 4)</t>
        </r>
      </text>
    </comment>
    <comment ref="E58" authorId="0" shapeId="0" xr:uid="{00000000-0006-0000-0200-000008000000}">
      <text>
        <r>
          <rPr>
            <sz val="11"/>
            <color theme="1"/>
            <rFont val="Calibri"/>
            <family val="2"/>
            <scheme val="minor"/>
          </rPr>
          <t>GLAVA (glavna stavka):
Nosivi sloj od mehanički zbijenog zrnatog kamenog materijala bez veziva Stavkom je obuhvaćena dobava, dovoz i ugradnja zrnatog kamenog materijala vibracijskim sredstvom za nabijanje d=25 cm, granulacije 0-63 mm u nosivi sloj kolničke konstrukcije prema projektu. Nosivi sloj od zrnatog kamenog materijala može se raditi kada nadzorni inženjer preuzme posteljicu te odobri početak rada. Nadzorni inženjer provjerava: ravnost od +/- 1cm, projektiranje nagiba, pravilno izvedenu odvodnju, položaj i tražene uvjete kakvoće. Traženi modul stišljivosti na prometnim površinama kolnika Ms≥100 MN/m², mjereno metodom kružne ploče prema normi HRN U.B1.046. Pozicija: hodna i kolna površina
STAVKA (podstavka):
Obračun po m3.
———
Ako je gore TOČNO — preskoči.
Ako nije — ispravi tekst u ovom komentaru.
(jmj m3 · količina 48.61 · oznaka 5)</t>
        </r>
      </text>
    </comment>
    <comment ref="E63" authorId="0" shapeId="0" xr:uid="{00000000-0006-0000-0200-000009000000}">
      <text>
        <r>
          <rPr>
            <sz val="11"/>
            <color theme="1"/>
            <rFont val="Calibri"/>
            <family val="2"/>
            <scheme val="minor"/>
          </rPr>
          <t>GLAVA (glavna stavka):
Nosivi sloj od cementom stabiliziranog drobljenog kamenog materijala Izrada nosivog sloja od cementom stabiliziranog drobljenog kamenog materijala d=15 cm, maksimalne krupnoće zrna od 8 do 32 mm, stabilizacija - Portlandski cement 100 kg/m3 šljunka. U cijenu je uključena nabava prethodno proizvedene stabilizacijske mješavine, utovar, prijevoz i ugradnja (strojno razastiranje, planiranje i zbijanje do traženog stupnja zbijenosti). Pozicija: hodna i kolna površina
STAVKA (podstavka):
Obračun po m3.
———
Ako je gore TOČNO — preskoči.
Ako nije — ispravi tekst u ovom komentaru.
(jmj m3 · količina 29.17 · oznaka 6)</t>
        </r>
      </text>
    </comment>
    <comment ref="E67" authorId="0" shapeId="0" xr:uid="{00000000-0006-0000-0200-00000A000000}">
      <text>
        <r>
          <rPr>
            <sz val="11"/>
            <color theme="1"/>
            <rFont val="Calibri"/>
            <family val="2"/>
            <scheme val="minor"/>
          </rPr>
          <t>GLAVA (glavna stavka):
Zatrpavanje zemljom iz iskopa Zatrpavanje zemljom iz iskopa, kontrolirano na pripremljeno, čišćeno i zbijeno temeljno tlo do kota predviđenih projektnom dokumentacijom.
STAVKA (podstavka):
Obračun po m3 izvedenoga nasipa u sraslome stanju.
———
Ako je gore TOČNO — preskoči.
Ako nije — ispravi tekst u ovom komentaru.
(jmj m3 · količina 9.07 · oznaka 7)</t>
        </r>
      </text>
    </comment>
    <comment ref="E71" authorId="0" shapeId="0" xr:uid="{00000000-0006-0000-0200-00000B000000}">
      <text>
        <r>
          <rPr>
            <sz val="11"/>
            <color theme="1"/>
            <rFont val="Calibri"/>
            <family val="2"/>
            <scheme val="minor"/>
          </rPr>
          <t>GLAVA (glavna stavka):
Odvoz viška zemlje Strojni utovar i odvoz na propisno odlagalište zemlje iz iskopa. Predočiti potvrdu o propisno zbrinutom materijalu.
STAVKA (podstavka):
Obračun po m3 u sraslom stanju.
———
Ako je gore TOČNO — preskoči.
Ako nije — ispravi tekst u ovom komentaru.
(jmj m3 · količina 164.82 · oznaka 8)</t>
        </r>
      </text>
    </comment>
    <comment ref="E75" authorId="0" shapeId="0" xr:uid="{00000000-0006-0000-0200-00000C000000}">
      <text>
        <r>
          <rPr>
            <sz val="11"/>
            <color theme="1"/>
            <rFont val="Calibri"/>
            <family val="2"/>
            <scheme val="minor"/>
          </rPr>
          <t>GLAVA (glavna stavka):
Ispitivanje zbijenosti i izrada izvještaja Ispitivanje zbijenosti i izrada izvještaja o provedenom ispitivanju zbijenosti podloge izrađenog od strane ovlaštene institucije. Izvještaj obuhvaća sva potrebna ispitivanja zbijenosti svih podloga na cijeloj zoni obuhvata radova.
STAVKA (podstavka):
Obračun za komplet.
———
Ako je gore TOČNO — preskoči.
Ako nije — ispravi tekst u ovom komentaru.
(jmj kpl · količina 1.0 · oznaka 9)</t>
        </r>
      </text>
    </comment>
    <comment ref="E79" authorId="0" shapeId="0" xr:uid="{00000000-0006-0000-0200-00000D000000}">
      <text>
        <r>
          <rPr>
            <sz val="11"/>
            <color theme="1"/>
            <rFont val="Calibri"/>
            <family val="2"/>
            <scheme val="minor"/>
          </rPr>
          <t>GLAVA (glavna stavka):
Šljunak na ravnom neprohodnom krovu Dobava, doprema i ugradnja sloja šljunka granulacije 8-16 mm, za ravne neprohodne krovove. U cijenu je uključena ugradnja šljunka na visini te razastiranje i planiranje u sloju debljine 7 cm.
STAVKA (podstavka):
Obračun po m3.
———
Ako je gore TOČNO — preskoči.
Ako nije — ispravi tekst u ovom komentaru.
(jmj m3 · količina 5.52 · oznaka 10)</t>
        </r>
      </text>
    </comment>
    <comment ref="E100" authorId="0" shapeId="0" xr:uid="{00000000-0006-0000-0200-00000E000000}">
      <text>
        <r>
          <rPr>
            <sz val="11"/>
            <color theme="1"/>
            <rFont val="Calibri"/>
            <family val="2"/>
            <scheme val="minor"/>
          </rPr>
          <t>GLAVA (glavna stavka):
Podložni beton d=8 cm Dobava, doprema i ugradnja betona za nearmirani sloj podložnoga betona d=8 cm, razreda tlačne čvrstoće C12/15. U cijenu je uključena potrebna oplata i svi pripremni radovi za izvođenje betonske podloge. Podložni beton se izvodi na uređeno temeljno tlo, a gornja površina se izvodi fino zaglađena za postavu slojeva hidroizolacije. Oznaka slojeva: P1, P2
STAVKA (podstavka):
Obračun po m2.
———
Ako je gore TOČNO — preskoči.
Ako nije — ispravi tekst u ovom komentaru.
(jmj m2 · količina 244.57 · oznaka 1)</t>
        </r>
      </text>
    </comment>
    <comment ref="E105" authorId="0" shapeId="0" xr:uid="{00000000-0006-0000-0200-00000F000000}">
      <text>
        <r>
          <rPr>
            <sz val="11"/>
            <color theme="1"/>
            <rFont val="Calibri"/>
            <family val="2"/>
            <scheme val="minor"/>
          </rPr>
          <t>GLAVA (glavna stavka):
Zaštitni beton d=5 cm Dobava, doprema i ugradnja sloja betona razreda tlačne čvrstoće C12/15 za zaštitu hidroizolacije ispod temeljne ploče, d=5 cm. Sloj se izvodi prije postavljanja armature za temeljnu ploču. U cijenu je uključena oplata i svi pripremni radovi za izvođenje betonske podloge. Oznaka slojeva: P1, P2
STAVKA (podstavka):
Obračun po m2.
———
Ako je gore TOČNO — preskoči.
Ako nije — ispravi tekst u ovom komentaru.
(jmj m2 · količina 234.36 · oznaka 2)</t>
        </r>
      </text>
    </comment>
    <comment ref="E110" authorId="0" shapeId="0" xr:uid="{00000000-0006-0000-0200-000010000000}">
      <text>
        <r>
          <rPr>
            <sz val="11"/>
            <color theme="1"/>
            <rFont val="Calibri"/>
            <family val="2"/>
            <scheme val="minor"/>
          </rPr>
          <t>GLAVA (glavna stavka):
Lagani beton za pad na krovu d=4-6 cm Dobava, doprema i izvedba laganog betona za pad na krovu d=4-6 cm, (2400kg/m3), razreda tlačne čvrstoće C12/15, u nagibu ≥ 2,0% prema slivniku. U cijenu je uključena potrebna oplata i svi pripremni radovi za izvođenje betonske podloge. Oznaka slojeva: K1, K2 —  TEMELJNE, MEĐUKATNE I KROVNE PLOČE
STAVKA (podstavka):
Obračun po m2.
———
Ako je gore TOČNO — preskoči.
Ako nije — ispravi tekst u ovom komentaru.
(jmj m2 · količina 80.64 · oznaka 3)</t>
        </r>
      </text>
    </comment>
    <comment ref="E118" authorId="0" shapeId="0" xr:uid="{00000000-0006-0000-0200-000011000000}">
      <text>
        <r>
          <rPr>
            <sz val="11"/>
            <color theme="1"/>
            <rFont val="Calibri"/>
            <family val="2"/>
            <scheme val="minor"/>
          </rPr>
          <t>GLAVA (glavna stavka):
Temeljna ploča d=40 cm Dobava, doprema materijala i iranje armirano ske temeljne ploče debljine d=40 cm, razreda tlačne čvrstoće C30/37, XC2. Prilikom ugradnje  vibrirati, a zatim  pravilno njegovati. Oznaka slojeva: P1, P2 Obračun po m3 skoga elementa i m2 oplate.
STAVKA (podstavka):
beton
———
Ako je gore TOČNO — preskoči.
Ako nije — ispravi tekst u ovom komentaru.
(jmj m3 · količina 93.74 · oznaka 4)</t>
        </r>
      </text>
    </comment>
    <comment ref="E119" authorId="0" shapeId="0" xr:uid="{00000000-0006-0000-0200-000012000000}">
      <text>
        <r>
          <rPr>
            <sz val="11"/>
            <color theme="1"/>
            <rFont val="Calibri"/>
            <family val="2"/>
            <scheme val="minor"/>
          </rPr>
          <t>GLAVA (glavna stavka):
Temeljna ploča d=40 cm Dobava, doprema materijala i betoniranje armirano betonske temeljne ploče debljine d=40 cm, razreda tlačne čvrstoće C30/37, XC2. Prilikom ugradnje beton vibrirati, a zatim beton pravilno njegovati. Oznaka slojeva: P1, P2 Obračun po m3 betonskoga elementa i m2 oplate.
STAVKA (podstavka):
oplata
———
Ako je gore TOČNO — preskoči.
Ako nije — ispravi tekst u ovom komentaru.
(jmj m2 · količina 28.96 · oznaka 4)</t>
        </r>
      </text>
    </comment>
    <comment ref="E125" authorId="0" shapeId="0" xr:uid="{00000000-0006-0000-0200-000013000000}">
      <text>
        <r>
          <rPr>
            <sz val="11"/>
            <color theme="1"/>
            <rFont val="Calibri"/>
            <family val="2"/>
            <scheme val="minor"/>
          </rPr>
          <t>GLAVA (glavna stavka):
Međukatna i krovne ploče d=22 cm Dobava, doprema materijala i iranje armirano ske ploče debljine d=22 cm, razreda tlačne čvrstoće C25/30, XC1. Prilikom ugradnje  vibrirati, a zatim  pravilno njegovati. U jediničnu cijenu stavke uključena sva potrebna podupiranja konstrukcije, sve dok se ne postigne projektirana nosivost. Oznaka slojeva: K1, K2, S1 Obračun po m3 skoga elementa i m2 oplate.
STAVKA (podstavka):
beton
———
Ako je gore TOČNO — preskoči.
Ako nije — ispravi tekst u ovom komentaru.
(jmj m3 · količina 69.23 · oznaka 5)</t>
        </r>
      </text>
    </comment>
    <comment ref="E126" authorId="0" shapeId="0" xr:uid="{00000000-0006-0000-0200-000014000000}">
      <text>
        <r>
          <rPr>
            <sz val="11"/>
            <color theme="1"/>
            <rFont val="Calibri"/>
            <family val="2"/>
            <scheme val="minor"/>
          </rPr>
          <t>GLAVA (glavna stavka):
Međukatna i krovne ploče d=22 cm Dobava, doprema materijala i betoniranje armirano betonske ploče debljine d=22 cm, razreda tlačne čvrstoće C25/30, XC1. Prilikom ugradnje beton vibrirati, a zatim beton pravilno njegovati. U jediničnu cijenu stavke uključena sva potrebna podupiranja konstrukcije, sve dok se ne postigne projektirana nosivost. Oznaka slojeva: K1, K2, S1 Obračun po m3 betonskoga elementa i m2 oplate.
STAVKA (podstavka):
oplata
———
Ako je gore TOČNO — preskoči.
Ako nije — ispravi tekst u ovom komentaru.
(jmj m2 · količina 306.46 · oznaka 5)</t>
        </r>
      </text>
    </comment>
    <comment ref="E131" authorId="0" shapeId="0" xr:uid="{00000000-0006-0000-0200-000015000000}">
      <text>
        <r>
          <rPr>
            <sz val="11"/>
            <color theme="1"/>
            <rFont val="Calibri"/>
            <family val="2"/>
            <scheme val="minor"/>
          </rPr>
          <t>GLAVA (glavna stavka):
Ploča bazena d=20 cm Dobava, doprema materijala i iranje armirano ske ploče bazena debljine d=20 cm, razreda tlačne čvrstoće C25/30. Prilikom ugradnje  vibrirati, a zatim  pravilno njegovati. U jediničnu cijenu stavke uključena sva potrebna podupiranja konstrukcije, sve dok se ne postigne projektirana nosivost. Obračun po m3 skoga elementa i m2 oplate. —  ZIDOVI
STAVKA (podstavka):
beton
———
Ako je gore TOČNO — preskoči.
Ako nije — ispravi tekst u ovom komentaru.
(jmj m3 · količina 3.67 · oznaka 6)</t>
        </r>
      </text>
    </comment>
    <comment ref="E132" authorId="0" shapeId="0" xr:uid="{00000000-0006-0000-0200-000016000000}">
      <text>
        <r>
          <rPr>
            <sz val="11"/>
            <color theme="1"/>
            <rFont val="Calibri"/>
            <family val="2"/>
            <scheme val="minor"/>
          </rPr>
          <t>GLAVA (glavna stavka):
Ploča bazena d=20 cm Dobava, doprema materijala i betoniranje armirano betonske ploče bazena debljine d=20 cm, razreda tlačne čvrstoće C25/30. Prilikom ugradnje beton vibrirati, a zatim beton pravilno njegovati. U jediničnu cijenu stavke uključena sva potrebna podupiranja konstrukcije, sve dok se ne postigne projektirana nosivost. Obračun po m3 betonskoga elementa i m2 oplate. —  ZIDOVI
STAVKA (podstavka):
oplata
———
Ako je gore TOČNO — preskoči.
Ako nije — ispravi tekst u ovom komentaru.
(jmj m2 · količina 3.52 · oznaka 6)</t>
        </r>
      </text>
    </comment>
    <comment ref="E140" authorId="0" shapeId="0" xr:uid="{00000000-0006-0000-0200-000017000000}">
      <text>
        <r>
          <rPr>
            <sz val="11"/>
            <color theme="1"/>
            <rFont val="Calibri"/>
            <family val="2"/>
            <scheme val="minor"/>
          </rPr>
          <t>GLAVA (glavna stavka):
AB zidovi, d=20 cm Dobava, doprema materijala i iranje armiranoskih zidova u dvostranoj, glatkoj oplati, debljine d=20 cm, om razreda tlačne čvrstoće C25/30, XC1. Prilikom ugradnje  vibrirati, a zatim  pravilno njegovati. Oznaka slojeva: ZV1, ZV2, Z1, Z2, Z3 Obračun po m3 skoga elementa i m2 oplate.
STAVKA (podstavka):
beton
———
Ako je gore TOČNO — preskoči.
Ako nije — ispravi tekst u ovom komentaru.
(jmj m3 · količina 74.01 · oznaka 7)</t>
        </r>
      </text>
    </comment>
    <comment ref="E141" authorId="0" shapeId="0" xr:uid="{00000000-0006-0000-0200-000018000000}">
      <text>
        <r>
          <rPr>
            <sz val="11"/>
            <color theme="1"/>
            <rFont val="Calibri"/>
            <family val="2"/>
            <scheme val="minor"/>
          </rPr>
          <t>GLAVA (glavna stavka):
AB zidovi, d=20 cm Dobava, doprema materijala i betoniranje armiranobetonskih zidova u dvostranoj, glatkoj oplati, debljine d=20 cm, betonom razreda tlačne čvrstoće C25/30, XC1. Prilikom ugradnje beton vibrirati, a zatim beton pravilno njegovati. Oznaka slojeva: ZV1, ZV2, Z1, Z2, Z3 Obračun po m3 betonskoga elementa i m2 oplate.
STAVKA (podstavka):
oplata
———
Ako je gore TOČNO — preskoči.
Ako nije — ispravi tekst u ovom komentaru.
(jmj m2 · količina 763.61 · oznaka 7)</t>
        </r>
      </text>
    </comment>
    <comment ref="E146" authorId="0" shapeId="0" xr:uid="{00000000-0006-0000-0200-000019000000}">
      <text>
        <r>
          <rPr>
            <sz val="11"/>
            <color theme="1"/>
            <rFont val="Calibri"/>
            <family val="2"/>
            <scheme val="minor"/>
          </rPr>
          <t>GLAVA (glavna stavka):
AB parapet ravnog krova, d=20 cm Dobava, doprema materijala i iranje armiranoskog parapeta ravnog krova u dvostranoj, glatkoj oplati, debljine d= 20 cm, om razreda tlačne čvrstoće C25/30, XC1. Prilikom ugradnje  vibrirati, a zatim  pravilno njegovati. Obračun po m3 skoga elementa i m2 oplate.
STAVKA (podstavka):
beton
———
Ako je gore TOČNO — preskoči.
Ako nije — ispravi tekst u ovom komentaru.
(jmj m3 · količina 11.88 · oznaka 8)</t>
        </r>
      </text>
    </comment>
    <comment ref="E147" authorId="0" shapeId="0" xr:uid="{00000000-0006-0000-0200-00001A000000}">
      <text>
        <r>
          <rPr>
            <sz val="11"/>
            <color theme="1"/>
            <rFont val="Calibri"/>
            <family val="2"/>
            <scheme val="minor"/>
          </rPr>
          <t>GLAVA (glavna stavka):
AB parapet ravnog krova, d=20 cm Dobava, doprema materijala i betoniranje armiranobetonskog parapeta ravnog krova u dvostranoj, glatkoj oplati, debljine d= 20 cm, betonom razreda tlačne čvrstoće C25/30, XC1. Prilikom ugradnje beton vibrirati, a zatim beton pravilno njegovati. Obračun po m3 betonskoga elementa i m2 oplate.
STAVKA (podstavka):
oplata
———
Ako je gore TOČNO — preskoči.
Ako nije — ispravi tekst u ovom komentaru.
(jmj m2 · količina 118.77 · oznaka 8)</t>
        </r>
      </text>
    </comment>
    <comment ref="E152" authorId="0" shapeId="0" xr:uid="{00000000-0006-0000-0200-00001B000000}">
      <text>
        <r>
          <rPr>
            <sz val="11"/>
            <color theme="1"/>
            <rFont val="Calibri"/>
            <family val="2"/>
            <scheme val="minor"/>
          </rPr>
          <t>GLAVA (glavna stavka):
AB zidovi bazena, d=20 cm Dobava, doprema materijala i iranje armiranoskih zidova bazena u dvostranoj, glatkoj oplati, debljine d=20 cm, om razreda tlačne čvrstoće C25/30, XC1. Prilikom ugradnje  vibrirati, a zatim  pravilno njegovati. Obračun po m3 skoga elementa i m2 oplate. —  STUPOVI
STAVKA (podstavka):
beton
———
Ako je gore TOČNO — preskoči.
Ako nije — ispravi tekst u ovom komentaru.
(jmj m3 · količina 4.03 · oznaka 9)</t>
        </r>
      </text>
    </comment>
    <comment ref="E153" authorId="0" shapeId="0" xr:uid="{00000000-0006-0000-0200-00001C000000}">
      <text>
        <r>
          <rPr>
            <sz val="11"/>
            <color theme="1"/>
            <rFont val="Calibri"/>
            <family val="2"/>
            <scheme val="minor"/>
          </rPr>
          <t>GLAVA (glavna stavka):
AB zidovi bazena, d=20 cm Dobava, doprema materijala i betoniranje armiranobetonskih zidova bazena u dvostranoj, glatkoj oplati, debljine d=20 cm, betonom razreda tlačne čvrstoće C25/30, XC1. Prilikom ugradnje beton vibrirati, a zatim beton pravilno njegovati. Obračun po m3 betonskoga elementa i m2 oplate. —  STUPOVI
STAVKA (podstavka):
oplata
———
Ako je gore TOČNO — preskoči.
Ako nije — ispravi tekst u ovom komentaru.
(jmj m2 · količina 40.32 · oznaka 9)</t>
        </r>
      </text>
    </comment>
    <comment ref="E161" authorId="0" shapeId="0" xr:uid="{00000000-0006-0000-0200-00001D000000}">
      <text>
        <r>
          <rPr>
            <sz val="11"/>
            <color theme="1"/>
            <rFont val="Calibri"/>
            <family val="2"/>
            <scheme val="minor"/>
          </rPr>
          <t>GLAVA (glavna stavka):
AB stupovi pergole Dobava, doprema materijala i iranje armiranoskih stupova pergole, om razreda tlačne čvrstoće C25/30, XC1. Prilikom ugradnje  vibrirati, a zatim  pravilno njegovati. Stupovi se izvode u vidljivom arhitektonskom u. Obračun po m3 skoga elementa i m2 oplate. Dimenzija: 20/20 cm —  GREDE
STAVKA (podstavka):
beton
———
Ako je gore TOČNO — preskoči.
Ako nije — ispravi tekst u ovom komentaru.
(jmj m3 · količina 1.08 · oznaka 10)</t>
        </r>
      </text>
    </comment>
    <comment ref="E162" authorId="0" shapeId="0" xr:uid="{00000000-0006-0000-0200-00001E000000}">
      <text>
        <r>
          <rPr>
            <sz val="11"/>
            <color theme="1"/>
            <rFont val="Calibri"/>
            <family val="2"/>
            <scheme val="minor"/>
          </rPr>
          <t>GLAVA (glavna stavka):
AB stupovi pergole Dobava, doprema materijala i betoniranje armiranobetonskih stupova pergole, betonom razreda tlačne čvrstoće C25/30, XC1. Prilikom ugradnje beton vibrirati, a zatim beton pravilno njegovati. Stupovi se izvode u vidljivom arhitektonskom betonu. Obračun po m3 betonskoga elementa i m2 oplate. Dimenzija: 20/20 cm —  GREDE
STAVKA (podstavka):
oplata
———
Ako je gore TOČNO — preskoči.
Ako nije — ispravi tekst u ovom komentaru.
(jmj m2 · količina 21.16 · oznaka 10)</t>
        </r>
      </text>
    </comment>
    <comment ref="E170" authorId="0" shapeId="0" xr:uid="{00000000-0006-0000-0200-00001F000000}">
      <text>
        <r>
          <rPr>
            <sz val="11"/>
            <color theme="1"/>
            <rFont val="Calibri"/>
            <family val="2"/>
            <scheme val="minor"/>
          </rPr>
          <t>GLAVA (glavna stavka):
AB grede Dobava, doprema materijala i iranje armiranoskih greda, om razreda tlačne čvrstoće C25/30, XC1. Prilikom ugradnje  vibrirati, a zatim  pravilno njegovati. Obračun po m3 skoga elementa i m2 oplate. a) Dimenzija: 20/70 cm
STAVKA (podstavka):
beton
———
Ako je gore TOČNO — preskoči.
Ako nije — ispravi tekst u ovom komentaru.
(jmj m3 · količina 0.61 · oznaka 11)</t>
        </r>
      </text>
    </comment>
    <comment ref="E171" authorId="0" shapeId="0" xr:uid="{00000000-0006-0000-0200-000020000000}">
      <text>
        <r>
          <rPr>
            <sz val="11"/>
            <color theme="1"/>
            <rFont val="Calibri"/>
            <family val="2"/>
            <scheme val="minor"/>
          </rPr>
          <t>GLAVA (glavna stavka):
AB grede Dobava, doprema materijala i betoniranje armiranobetonskih greda, betonom razreda tlačne čvrstoće C25/30, XC1. Prilikom ugradnje beton vibrirati, a zatim beton pravilno njegovati. Obračun po m3 betonskoga elementa i m2 oplate. a) Dimenzija: 20/70 cm
STAVKA (podstavka):
oplata
———
Ako je gore TOČNO — preskoči.
Ako nije — ispravi tekst u ovom komentaru.
(jmj m2 · količina 7.52 · oznaka 11)</t>
        </r>
      </text>
    </comment>
    <comment ref="E173" authorId="0" shapeId="0" xr:uid="{00000000-0006-0000-0200-000021000000}">
      <text>
        <r>
          <rPr>
            <sz val="11"/>
            <color theme="1"/>
            <rFont val="Calibri"/>
            <family val="2"/>
            <scheme val="minor"/>
          </rPr>
          <t>GLAVA (glavna stavka):
AB grede Dobava, doprema materijala i iranje armiranoskih greda, om razreda tlačne čvrstoće C25/30, XC1. Prilikom ugradnje  vibrirati, a zatim  pravilno njegovati. Obračun po m3 skoga elementa i m2 oplate. b) Dimenzija: 20/80 cm
STAVKA (podstavka):
beton
———
Ako je gore TOČNO — preskoči.
Ako nije — ispravi tekst u ovom komentaru.
(jmj m3 · količina 0.55 · oznaka 11)</t>
        </r>
      </text>
    </comment>
    <comment ref="E174" authorId="0" shapeId="0" xr:uid="{00000000-0006-0000-0200-000022000000}">
      <text>
        <r>
          <rPr>
            <sz val="11"/>
            <color theme="1"/>
            <rFont val="Calibri"/>
            <family val="2"/>
            <scheme val="minor"/>
          </rPr>
          <t>GLAVA (glavna stavka):
AB grede Dobava, doprema materijala i betoniranje armiranobetonskih greda, betonom razreda tlačne čvrstoće C25/30, XC1. Prilikom ugradnje beton vibrirati, a zatim beton pravilno njegovati. Obračun po m3 betonskoga elementa i m2 oplate. b) Dimenzija: 20/80 cm
STAVKA (podstavka):
oplata
———
Ako je gore TOČNO — preskoči.
Ako nije — ispravi tekst u ovom komentaru.
(jmj m2 · količina 6.39 · oznaka 11)</t>
        </r>
      </text>
    </comment>
    <comment ref="E176" authorId="0" shapeId="0" xr:uid="{00000000-0006-0000-0200-000023000000}">
      <text>
        <r>
          <rPr>
            <sz val="11"/>
            <color theme="1"/>
            <rFont val="Calibri"/>
            <family val="2"/>
            <scheme val="minor"/>
          </rPr>
          <t>GLAVA (glavna stavka):
AB grede Dobava, doprema materijala i iranje armiranoskih greda, om razreda tlačne čvrstoće C25/30, XC1. Prilikom ugradnje  vibrirati, a zatim  pravilno njegovati. Obračun po m3 skoga elementa i m2 oplate. c) Dimenzija: 25/100 cm
STAVKA (podstavka):
beton
———
Ako je gore TOČNO — preskoči.
Ako nije — ispravi tekst u ovom komentaru.
(jmj m3 · količina 3.2 · oznaka 11)</t>
        </r>
      </text>
    </comment>
    <comment ref="E177" authorId="0" shapeId="0" xr:uid="{00000000-0006-0000-0200-000024000000}">
      <text>
        <r>
          <rPr>
            <sz val="11"/>
            <color theme="1"/>
            <rFont val="Calibri"/>
            <family val="2"/>
            <scheme val="minor"/>
          </rPr>
          <t>GLAVA (glavna stavka):
AB grede Dobava, doprema materijala i betoniranje armiranobetonskih greda, betonom razreda tlačne čvrstoće C25/30, XC1. Prilikom ugradnje beton vibrirati, a zatim beton pravilno njegovati. Obračun po m3 betonskoga elementa i m2 oplate. c) Dimenzija: 25/100 cm
STAVKA (podstavka):
oplata
———
Ako je gore TOČNO — preskoči.
Ako nije — ispravi tekst u ovom komentaru.
(jmj m2 · količina 55.27 · oznaka 11)</t>
        </r>
      </text>
    </comment>
    <comment ref="E179" authorId="0" shapeId="0" xr:uid="{00000000-0006-0000-0200-000025000000}">
      <text>
        <r>
          <rPr>
            <sz val="11"/>
            <color theme="1"/>
            <rFont val="Calibri"/>
            <family val="2"/>
            <scheme val="minor"/>
          </rPr>
          <t>GLAVA (glavna stavka):
AB grede Dobava, doprema materijala i iranje armiranoskih greda, om razreda tlačne čvrstoće C25/30, XC1. Prilikom ugradnje  vibrirati, a zatim  pravilno njegovati. Obračun po m3 skoga elementa i m2 oplate. d) Dimenzija: 20/108 cm
STAVKA (podstavka):
beton
———
Ako je gore TOČNO — preskoči.
Ako nije — ispravi tekst u ovom komentaru.
(jmj m3 · količina 0.81 · oznaka 11)</t>
        </r>
      </text>
    </comment>
    <comment ref="E180" authorId="0" shapeId="0" xr:uid="{00000000-0006-0000-0200-000026000000}">
      <text>
        <r>
          <rPr>
            <sz val="11"/>
            <color theme="1"/>
            <rFont val="Calibri"/>
            <family val="2"/>
            <scheme val="minor"/>
          </rPr>
          <t>GLAVA (glavna stavka):
AB grede Dobava, doprema materijala i betoniranje armiranobetonskih greda, betonom razreda tlačne čvrstoće C25/30, XC1. Prilikom ugradnje beton vibrirati, a zatim beton pravilno njegovati. Obračun po m3 betonskoga elementa i m2 oplate. d) Dimenzija: 20/108 cm
STAVKA (podstavka):
oplata
———
Ako je gore TOČNO — preskoči.
Ako nije — ispravi tekst u ovom komentaru.
(jmj m2 · količina 9.52 · oznaka 11)</t>
        </r>
      </text>
    </comment>
    <comment ref="E186" authorId="0" shapeId="0" xr:uid="{00000000-0006-0000-0200-000027000000}">
      <text>
        <r>
          <rPr>
            <sz val="11"/>
            <color theme="1"/>
            <rFont val="Calibri"/>
            <family val="2"/>
            <scheme val="minor"/>
          </rPr>
          <t>GLAVA (glavna stavka):
AB grede pergole Dobava, doprema materijala i iranje armiranoskih greda pergole, om razreda tlačne čvrstoće C25/30, XC1. Prilikom ugradnje  vibrirati, a zatim  pravilno njegovati. Grede se izvode u vidljivom arhitektonskom u. Obračun po m3 skoga elementa i m2 oplate. Dimenzija: 20/30 cm —  STUBIŠTE
STAVKA (podstavka):
beton
———
Ako je gore TOČNO — preskoči.
Ako nije — ispravi tekst u ovom komentaru.
(jmj m3 · količina 3.12 · oznaka 12)</t>
        </r>
      </text>
    </comment>
    <comment ref="E187" authorId="0" shapeId="0" xr:uid="{00000000-0006-0000-0200-000028000000}">
      <text>
        <r>
          <rPr>
            <sz val="11"/>
            <color theme="1"/>
            <rFont val="Calibri"/>
            <family val="2"/>
            <scheme val="minor"/>
          </rPr>
          <t>GLAVA (glavna stavka):
AB grede pergole Dobava, doprema materijala i betoniranje armiranobetonskih greda pergole, betonom razreda tlačne čvrstoće C25/30, XC1. Prilikom ugradnje beton vibrirati, a zatim beton pravilno njegovati. Grede se izvode u vidljivom arhitektonskom betonu. Obračun po m3 betonskoga elementa i m2 oplate. Dimenzija: 20/30 cm —  STUBIŠTE
STAVKA (podstavka):
oplata
———
Ako je gore TOČNO — preskoči.
Ako nije — ispravi tekst u ovom komentaru.
(jmj m2 · količina 41.9 · oznaka 12)</t>
        </r>
      </text>
    </comment>
    <comment ref="E194" authorId="0" shapeId="0" xr:uid="{00000000-0006-0000-0200-000029000000}">
      <text>
        <r>
          <rPr>
            <sz val="11"/>
            <color theme="1"/>
            <rFont val="Calibri"/>
            <family val="2"/>
            <scheme val="minor"/>
          </rPr>
          <t>GLAVA (glavna stavka):
AB unutarnje stubište Dobava, doprema materijala i iranje armiranoskog stubišta u glatkoj oplati, om razreda tlačne čvrstoće C25/30, XC1. Prilikom ugradnje  vibrirati, a zatim  pravilno njegovati. Površina gornje strane (gazišta), treba biti ravna i zaglađena tako da je pogodna za ugradnju završne podne obloge. Obračun po m3 skoga elementa i m2 oplate.
STAVKA (podstavka):
beton
———
Ako je gore TOČNO — preskoči.
Ako nije — ispravi tekst u ovom komentaru.
(jmj m3 · količina 2.08 · oznaka 13)</t>
        </r>
      </text>
    </comment>
    <comment ref="E195" authorId="0" shapeId="0" xr:uid="{00000000-0006-0000-0200-00002A000000}">
      <text>
        <r>
          <rPr>
            <sz val="11"/>
            <color theme="1"/>
            <rFont val="Calibri"/>
            <family val="2"/>
            <scheme val="minor"/>
          </rPr>
          <t>GLAVA (glavna stavka):
AB unutarnje stubište Dobava, doprema materijala i betoniranje armiranobetonskog stubišta u glatkoj oplati, betonom razreda tlačne čvrstoće C25/30, XC1. Prilikom ugradnje beton vibrirati, a zatim beton pravilno njegovati. Površina gornje strane (gazišta), treba biti ravna i zaglađena tako da je pogodna za ugradnju završne podne obloge. Obračun po m3 betonskoga elementa i m2 oplate.
STAVKA (podstavka):
oplata
———
Ako je gore TOČNO — preskoči.
Ako nije — ispravi tekst u ovom komentaru.
(jmj m2 · količina 14.74 · oznaka 13)</t>
        </r>
      </text>
    </comment>
    <comment ref="E200" authorId="0" shapeId="0" xr:uid="{00000000-0006-0000-0200-00002B000000}">
      <text>
        <r>
          <rPr>
            <sz val="11"/>
            <color theme="1"/>
            <rFont val="Calibri"/>
            <family val="2"/>
            <scheme val="minor"/>
          </rPr>
          <t>GLAVA (glavna stavka):
AB stubište bazena i strojarnica Dobava, doprema materijala i iranje armiranoskog stubišta bazena i strojarnice u glatkoj oplati, om razreda tlačne čvrstoće C25/30, XC1. Prilikom ugradnje  vibrirati, a zatim  pravilno njegovati. Površina gornje strane (gazišta), treba biti ravna i zaglađena tako da je pogodna za ugradnju završne podne obloge. Obračun po m3 skoga elementa i m2 oplate.
STAVKA (podstavka):
beton
———
Ako je gore TOČNO — preskoči.
Ako nije — ispravi tekst u ovom komentaru.
(jmj m3 · količina 1.51 · oznaka 14)</t>
        </r>
      </text>
    </comment>
    <comment ref="E201" authorId="0" shapeId="0" xr:uid="{00000000-0006-0000-0200-00002C000000}">
      <text>
        <r>
          <rPr>
            <sz val="11"/>
            <color theme="1"/>
            <rFont val="Calibri"/>
            <family val="2"/>
            <scheme val="minor"/>
          </rPr>
          <t>GLAVA (glavna stavka):
AB stubište bazena i strojarnica Dobava, doprema materijala i betoniranje armiranobetonskog stubišta bazena i strojarnice u glatkoj oplati, betonom razreda tlačne čvrstoće C25/30, XC1. Prilikom ugradnje beton vibrirati, a zatim beton pravilno njegovati. Površina gornje strane (gazišta), treba biti ravna i zaglađena tako da je pogodna za ugradnju završne podne obloge. Obračun po m3 betonskoga elementa i m2 oplate.
STAVKA (podstavka):
oplata
———
Ako je gore TOČNO — preskoči.
Ako nije — ispravi tekst u ovom komentaru.
(jmj m2 · količina 17.23 · oznaka 14)</t>
        </r>
      </text>
    </comment>
    <comment ref="E209" authorId="0" shapeId="0" xr:uid="{00000000-0006-0000-0200-00002D000000}">
      <text>
        <r>
          <rPr>
            <sz val="11"/>
            <color theme="1"/>
            <rFont val="Calibri"/>
            <family val="2"/>
            <scheme val="minor"/>
          </rPr>
          <t>GLAVA (glavna stavka):
Sveukupna armatura objekta Dobava, čišćenje, ispravljanje, sječenje, savijanje, postavljanje i vezivanje sveukupne armature građevine (glavna, pomoćna, jahači, podlošci i sl.). Elementi su armirani armaturom kvalitete B500 B u svemu prema nacrtima armature i statičkom proračunu.
STAVKA (podstavka):
Obračun po neto kg ugrađene armature.
———
Ako je gore TOČNO — preskoči.
Ako nije — ispravi tekst u ovom komentaru.
(jmj kg · količina 30994.8 · oznaka 1)</t>
        </r>
      </text>
    </comment>
    <comment ref="E232" authorId="0" shapeId="0" xr:uid="{00000000-0006-0000-0200-00002E000000}">
      <text>
        <r>
          <rPr>
            <sz val="11"/>
            <color theme="1"/>
            <rFont val="Calibri"/>
            <family val="2"/>
            <scheme val="minor"/>
          </rPr>
          <t>GLAVA (glavna stavka):
Sintetska hidroizolacija temelja Dobava, doprema, transport i ugradnja sintetske hidroizolacijske folije. Prema projektnim detaljima izvesti potrebna vertikalna dizanja izolacije do sokla, sve uključeno u cijenu. Rubovi folija se međusobno preklapaju 10cm i zavaruju vrućim zrakom kako bi se postigao potpuno homogen spoj. Izvode se slojevi: c) PES filc, geotekstil u svrhu razdjelnog sloja, d=0,3 cm Stavka uključuje rubno učvrščenje folije koje se izvodi mehaničkim pričvršćenjem kaširanim TPO limom te brtvi trajnoelastičnim kitom. Oznaka slojeva: P1, P2 Obračun po m2 izolacije i m lima. —  POLIMERCEMENTNI PREMAZI
STAVKA (podstavka):
a) izolacija
———
Ako je gore TOČNO — preskoči.
Ako nije — ispravi tekst u ovom komentaru.
(jmj m2 · količina 279.25 · oznaka 1)</t>
        </r>
      </text>
    </comment>
    <comment ref="E233" authorId="0" shapeId="0" xr:uid="{00000000-0006-0000-0200-00002F000000}">
      <text>
        <r>
          <rPr>
            <sz val="11"/>
            <color theme="1"/>
            <rFont val="Calibri"/>
            <family val="2"/>
            <scheme val="minor"/>
          </rPr>
          <t>GLAVA (glavna stavka):
Sintetska hidroizolacija temelja Dobava, doprema, transport i ugradnja sintetske hidroizolacijske folije. Prema projektnim detaljima izvesti potrebna vertikalna dizanja izolacije do sokla, sve uključeno u cijenu. Rubovi folija se međusobno preklapaju 10cm i zavaruju vrućim zrakom kako bi se postigao potpuno homogen spoj. Izvode se slojevi: c) PES filc, geotekstil u svrhu razdjelnog sloja, d=0,3 cm Stavka uključuje rubno učvrščenje folije koje se izvodi mehaničkim pričvršćenjem kaširanim TPO limom te brtvi trajnoelastičnim kitom. Oznaka slojeva: P1, P2 Obračun po m2 izolacije i m lima. —  POLIMERCEMENTNI PREMAZI
STAVKA (podstavka):
b) PVC lim
———
Ako je gore TOČNO — preskoči.
Ako nije — ispravi tekst u ovom komentaru.
(jmj m · količina 72.4 · oznaka 1)</t>
        </r>
      </text>
    </comment>
    <comment ref="E241" authorId="0" shapeId="0" xr:uid="{00000000-0006-0000-0200-000030000000}">
      <text>
        <r>
          <rPr>
            <sz val="11"/>
            <color theme="1"/>
            <rFont val="Calibri"/>
            <family val="2"/>
            <scheme val="minor"/>
          </rPr>
          <t>GLAVA (glavna stavka):
Polimercementna izolacija mokrih prostora Dobava, doprema i ugradnja polimercementnog premaza d=0,2 cm u mokrim prostorima. Na rubovima poda sanitarija izvodi se vertikalna hidroizolacija u visini od h=15 cm, a na zidove uz tuš/kadu u visini h=220 cm. Pozicija: sanitarije Obračun po m2.
STAVKA (podstavka):
a) pod + holker
———
Ako je gore TOČNO — preskoči.
Ako nije — ispravi tekst u ovom komentaru.
(jmj m2 · količina 15.46 · oznaka 2)</t>
        </r>
      </text>
    </comment>
    <comment ref="E242" authorId="0" shapeId="0" xr:uid="{00000000-0006-0000-0200-000031000000}">
      <text>
        <r>
          <rPr>
            <sz val="11"/>
            <color theme="1"/>
            <rFont val="Calibri"/>
            <family val="2"/>
            <scheme val="minor"/>
          </rPr>
          <t>GLAVA (glavna stavka):
Polimercementna izolacija mokrih prostora Dobava, doprema i ugradnja polimercementnog premaza d=0,2 cm u mokrim prostorima. Na rubovima poda sanitarija izvodi se vertikalna hidroizolacija u visini od h=15 cm, a na zidove uz tuš/kadu u visini h=220 cm. Pozicija: sanitarije Obračun po m2.
STAVKA (podstavka):
b) zid
———
Ako je gore TOČNO — preskoči.
Ako nije — ispravi tekst u ovom komentaru.
(jmj m2 · količina 7.26 · oznaka 2)</t>
        </r>
      </text>
    </comment>
    <comment ref="E247" authorId="0" shapeId="0" xr:uid="{00000000-0006-0000-0200-000032000000}">
      <text>
        <r>
          <rPr>
            <sz val="11"/>
            <color theme="1"/>
            <rFont val="Calibri"/>
            <family val="2"/>
            <scheme val="minor"/>
          </rPr>
          <t>GLAVA (glavna stavka):
Polimercementna izolacija terase Dobava, doprema i ugradnja polimercementnog premaza d=0,2 cm na terasi 1. kata. Na rubovima poda izvodi se vertikalna hidroizolacija u visini od h=20 cm. Oznaka slojeva: K1 —  HIDROIZOLACIJA KROVA
STAVKA (podstavka):
Obračun po m2.
———
Ako je gore TOČNO — preskoči.
Ako nije — ispravi tekst u ovom komentaru.
(jmj m2 · količina 131.35 · oznaka 3)</t>
        </r>
      </text>
    </comment>
    <comment ref="E259" authorId="0" shapeId="0" xr:uid="{00000000-0006-0000-0200-000033000000}">
      <text>
        <r>
          <rPr>
            <sz val="11"/>
            <color theme="1"/>
            <rFont val="Calibri"/>
            <family val="2"/>
            <scheme val="minor"/>
          </rPr>
          <t>GLAVA (glavna stavka):
Sintetska hidroizolacija ravnog krova i terase 1. kata Dobava, doprema, transport i ugradnja krovne sintetske hidroizolacijske folije. Prema projektnim detaljima izvesti potrebna vertikalna dizanja izolacije, sve uključeno u cijenu. Rubovi folija se međusobno preklapaju 10cm i zavaruju vrućim zrakom kako bi se postigao potpuno homogen spoj. Izvode se slojevi: c) PES filc, geotekstil u svrhu razdjelnog sloja, d=0,3 cm Stavka uključuje rubno učvrščenje folije koje se izvodi mehaničkim pričvršćenjem kaširanim TPO limom te brtvi trajnoelastičnim kitom. Oznaka slojeva: K1, K2 Obračun po m2 izolacije i m lima.
STAVKA (podstavka):
a) izolacija
———
Ako je gore TOČNO — preskoči.
Ako nije — ispravi tekst u ovom komentaru.
(jmj m2 · količina 246.41 · oznaka 4)</t>
        </r>
      </text>
    </comment>
    <comment ref="E260" authorId="0" shapeId="0" xr:uid="{00000000-0006-0000-0200-000034000000}">
      <text>
        <r>
          <rPr>
            <sz val="11"/>
            <color theme="1"/>
            <rFont val="Calibri"/>
            <family val="2"/>
            <scheme val="minor"/>
          </rPr>
          <t>GLAVA (glavna stavka):
Sintetska hidroizolacija ravnog krova i terase 1. kata Dobava, doprema, transport i ugradnja krovne sintetske hidroizolacijske folije. Prema projektnim detaljima izvesti potrebna vertikalna dizanja izolacije, sve uključeno u cijenu. Rubovi folija se međusobno preklapaju 10cm i zavaruju vrućim zrakom kako bi se postigao potpuno homogen spoj. Izvode se slojevi: c) PES filc, geotekstil u svrhu razdjelnog sloja, d=0,3 cm Stavka uključuje rubno učvrščenje folije koje se izvodi mehaničkim pričvršćenjem kaširanim TPO limom te brtvi trajnoelastičnim kitom. Oznaka slojeva: K1, K2 Obračun po m2 izolacije i m lima.
STAVKA (podstavka):
b) PVC lim
———
Ako je gore TOČNO — preskoči.
Ako nije — ispravi tekst u ovom komentaru.
(jmj m · količina 81.1 · oznaka 4)</t>
        </r>
      </text>
    </comment>
    <comment ref="E265" authorId="0" shapeId="0" xr:uid="{00000000-0006-0000-0200-000035000000}">
      <text>
        <r>
          <rPr>
            <sz val="11"/>
            <color theme="1"/>
            <rFont val="Calibri"/>
            <family val="2"/>
            <scheme val="minor"/>
          </rPr>
          <t>GLAVA (glavna stavka):
Parna brana Dobava, doprema, transport i ugradnja parne brane, polimerbitumenske trake za zavarivanje s uloškom od aluminijske folije, d= 0,5 cm, polagana vrućim zavarivanjem na podlogu na hladni bitumenski prednamaz što je uključeno u cijenu stavke. U stavku su uključena i potrebna vertikalna dizanja izolacije na AB zidove, sve uključeno u cijenu. Oznaka slojeva: K1, K2 —  TOPLINSKE IZOLACIJE
STAVKA (podstavka):
Obračun po m2.
———
Ako je gore TOČNO — preskoči.
Ako nije — ispravi tekst u ovom komentaru.
(jmj m2 · količina 248.12 · oznaka 5)</t>
        </r>
      </text>
    </comment>
    <comment ref="E271" authorId="0" shapeId="0" xr:uid="{00000000-0006-0000-0200-000036000000}">
      <text>
        <r>
          <rPr>
            <sz val="11"/>
            <color theme="1"/>
            <rFont val="Calibri"/>
            <family val="2"/>
            <scheme val="minor"/>
          </rPr>
          <t>GLAVA (glavna stavka):
Izolacija zidova u tlu Dobava, doprema i ugradnja toplinske izolacije pločama XPS-a (30 kg/m3), λ= 0,035 W/m2K, d=7 cm. Ploče se postavljaju prema uputama proizvođača (lijepljene i prema potrebi dodatno mehaničko pričvršćene).
STAVKA (podstavka):
Obračun po m2 izvedene toplinske izolacije.
———
Ako je gore TOČNO — preskoči.
Ako nije — ispravi tekst u ovom komentaru.
(jmj m2 · količina 45.24 · oznaka 6)</t>
        </r>
      </text>
    </comment>
    <comment ref="E275" authorId="0" shapeId="0" xr:uid="{00000000-0006-0000-0200-000037000000}">
      <text>
        <r>
          <rPr>
            <sz val="11"/>
            <color theme="1"/>
            <rFont val="Calibri"/>
            <family val="2"/>
            <scheme val="minor"/>
          </rPr>
          <t>GLAVA (glavna stavka):
Čepasta drenažna folija Dobava, doprema i ugradnja sloja drenažne čepaste folije, debljine d=1 cm, za zaštitu izolacije.
STAVKA (podstavka):
Obračun po m2.
———
Ako je gore TOČNO — preskoči.
Ako nije — ispravi tekst u ovom komentaru.
(jmj m2 · količina 45.58 · oznaka 7)</t>
        </r>
      </text>
    </comment>
    <comment ref="E280" authorId="0" shapeId="0" xr:uid="{00000000-0006-0000-0200-000038000000}">
      <text>
        <r>
          <rPr>
            <sz val="11"/>
            <color theme="1"/>
            <rFont val="Calibri"/>
            <family val="2"/>
            <scheme val="minor"/>
          </rPr>
          <t>GLAVA (glavna stavka):
Izolacija zida između grijanog i negrijanog prostora Dobava, doprema i ugradnja toplinske izolacije pločama mineralne vune - ploče za kontaktne sustave (30 kg/m3), λ= 0,036 W/m2K, debljina d=8 cm. Ploče se postavljaju prema uputama proizvođača (lijepljene i prema potrebi dodatno mehaničko pričvršćene). Na izolaciji se izvodi sloj polimercementne podložne žbuke, uključeno u jediničnu cijenu stavke. Oznaka slojeva: Z1
STAVKA (podstavka):
Obračun po m2 izvedene toplinske izolacije.
———
Ako je gore TOČNO — preskoči.
Ako nije — ispravi tekst u ovom komentaru.
(jmj m2 · količina 69.59 · oznaka 8)</t>
        </r>
      </text>
    </comment>
    <comment ref="E288" authorId="0" shapeId="0" xr:uid="{00000000-0006-0000-0200-000039000000}">
      <text>
        <r>
          <rPr>
            <sz val="11"/>
            <color theme="1"/>
            <rFont val="Calibri"/>
            <family val="2"/>
            <scheme val="minor"/>
          </rPr>
          <t>GLAVA (glavna stavka):
Izolacija plivajućeg poda na tlu Dobava, doprema i ugradnja slojeva izolacije ispod cementne glazure. Izvode se sljedeći slojevi: c) toplinska izolacija - EPS-T (15 kg/m3), s λ ≤ 0,035 W/m2K u dva sloja, d=2+1 cm Oznaka slojeva: P1, P2
STAVKA (podstavka):
Obračun po m2.
———
Ako je gore TOČNO — preskoči.
Ako nije — ispravi tekst u ovom komentaru.
(jmj m2 · količina 214.63 · oznaka 9)</t>
        </r>
      </text>
    </comment>
    <comment ref="E297" authorId="0" shapeId="0" xr:uid="{00000000-0006-0000-0200-00003A000000}">
      <text>
        <r>
          <rPr>
            <sz val="11"/>
            <color theme="1"/>
            <rFont val="Calibri"/>
            <family val="2"/>
            <scheme val="minor"/>
          </rPr>
          <t>GLAVA (glavna stavka):
Izolacija plivajućeg poda međukatnih konstrukcija Dobava, doprema i ugradnja slojeva izolacije ispod cementne glazure. Izvode se sljedeći slojevi: d) toplinska izolacija - EPS (15 kg/m3), s λ ≤ 0,035 W/m2K, u dva sloja, d=2 cm Oznaka slojeva: S1
STAVKA (podstavka):
Obračun po m2.
———
Ako je gore TOČNO — preskoči.
Ako nije — ispravi tekst u ovom komentaru.
(jmj m2 · količina 69.31 · oznaka 10)</t>
        </r>
      </text>
    </comment>
    <comment ref="E301" authorId="0" shapeId="0" xr:uid="{00000000-0006-0000-0200-00003B000000}">
      <text>
        <r>
          <rPr>
            <sz val="11"/>
            <color theme="1"/>
            <rFont val="Calibri"/>
            <family val="2"/>
            <scheme val="minor"/>
          </rPr>
          <t>GLAVA (glavna stavka):
Izolacija stubišta Dobava, doprema materijala i ugradnja sloja toplinske izolacije pločama mineralne vune (MW), 30 kg/m3, λ=0,036 W/m2K, d=5 cm. Na izolaciji se izvodi sloj polimercementne podložne žbuke, uklučeno u jediničnu cijenu stavke.
STAVKA (podstavka):
Obračun po m2 izvedene toplinske izolacije.
———
Ako je gore TOČNO — preskoči.
Ako nije — ispravi tekst u ovom komentaru.
(jmj m2 · količina 14.67 · oznaka 11)</t>
        </r>
      </text>
    </comment>
    <comment ref="E306" authorId="0" shapeId="0" xr:uid="{00000000-0006-0000-0200-00003C000000}">
      <text>
        <r>
          <rPr>
            <sz val="11"/>
            <color theme="1"/>
            <rFont val="Calibri"/>
            <family val="2"/>
            <scheme val="minor"/>
          </rPr>
          <t>GLAVA (glavna stavka):
Izolacija ravnog prohodnog krova - terasa 1. kata Dobava, doprema materijala i ugradnja sloja toplinske izolacije pločama mineralne vune (MW), 30 kg/m3, λ=0,035 W/m2K, d=20 cm. Ploče se postavljaju na parnu branu u svemu prema uputama proizvođača. Oznaka slojeva: K2
STAVKA (podstavka):
Obračun po m2 izvedene toplinske izolacije.
———
Ako je gore TOČNO — preskoči.
Ako nije — ispravi tekst u ovom komentaru.
(jmj m2 · količina 80.64 · oznaka 12)</t>
        </r>
      </text>
    </comment>
    <comment ref="E312" authorId="0" shapeId="0" xr:uid="{00000000-0006-0000-0200-00003D000000}">
      <text>
        <r>
          <rPr>
            <sz val="11"/>
            <color theme="1"/>
            <rFont val="Calibri"/>
            <family val="2"/>
            <scheme val="minor"/>
          </rPr>
          <t>GLAVA (glavna stavka):
Izolacija ravnog neprohodnog krova Dobava, doprema materijala i ugradnja sloja toplinske izolacije pločama XPS-a (30 kg/m3) u padu s preklopom, λ ≤ 0,035 W/m2K, debljine d=15 -17 cm. Ploče se postavljaju na parnu branu u svemu prema uputama proizvođača. Ispod kanalice gdje je XPS manji od 12 cm, kao zamjenski sloj ugraditi pur pjenu. Oznaka slojeva: K1, K3, K4, K5
STAVKA (podstavka):
Obračun po m2 izvedene toplinske izolacije.
———
Ako je gore TOČNO — preskoči.
Ako nije — ispravi tekst u ovom komentaru.
(jmj m2 · količina 137.76 · oznaka 13)</t>
        </r>
      </text>
    </comment>
    <comment ref="E316" authorId="0" shapeId="0" xr:uid="{00000000-0006-0000-0200-00003E000000}">
      <text>
        <r>
          <rPr>
            <sz val="11"/>
            <color theme="1"/>
            <rFont val="Calibri"/>
            <family val="2"/>
            <scheme val="minor"/>
          </rPr>
          <t>GLAVA (glavna stavka):
Izolacija atike krova Dobava, doprema i ugradnja toplinske izolacije pločama XPS-a ( 30 kg/m3), λ ≤ 0,035 W/m2K, d= 2-4 cm, horizontalno na atiku ravnog krova, u svemu prema uputama proizvođača (lijepljene i prema potrebi dodatno mehaničko pričvršćene).
STAVKA (podstavka):
Obračun po m2 izvedene toplinske izolacije.
———
Ako je gore TOČNO — preskoči.
Ako nije — ispravi tekst u ovom komentaru.
(jmj m2 · količina 15.96 · oznaka 14)</t>
        </r>
      </text>
    </comment>
    <comment ref="E325" authorId="0" shapeId="0" xr:uid="{00000000-0006-0000-0200-00003F000000}">
      <text>
        <r>
          <rPr>
            <sz val="11"/>
            <color theme="1"/>
            <rFont val="Calibri"/>
            <family val="2"/>
            <scheme val="minor"/>
          </rPr>
          <t>GLAVA (glavna stavka):
Žbukanje zidova (stambeni prostor) Dobava, doprema materijala i žbukanje ploha zidova cementnom žbukom. Žbuka se nanosi na zidove strojno u sloju debljine ukupno cca 15 mm. Bridovi moraju biti ravni, oštri i ojačani pocinčanim kutnim profilima. Površina i struktura pripremljena za izvedbu završnih soboslikarskih radova. Pripremu podloge i postupak izvedbe strojne žbuke potrebno je prilagoditi proizvođaču i podlozi za žbukanje. Oznaka sloja: ZV1, ZV2, Z1, Z2, Z3
STAVKA (podstavka):
Obračun po m2.
———
Ako je gore TOČNO — preskoči.
Ako nije — ispravi tekst u ovom komentaru.
(jmj m2 · količina 114.25 · oznaka 1)</t>
        </r>
      </text>
    </comment>
    <comment ref="E330" authorId="0" shapeId="0" xr:uid="{00000000-0006-0000-0200-000040000000}">
      <text>
        <r>
          <rPr>
            <sz val="11"/>
            <color theme="1"/>
            <rFont val="Calibri"/>
            <family val="2"/>
            <scheme val="minor"/>
          </rPr>
          <t>GLAVA (glavna stavka):
Žbukanje stropova (stambeni prostor) Dobava, doprema materijala i žbukanje ploha stropova cementnom žbukom. Žbuka se nanosi na stropove strojno u sloju debljine ukupno cca 15 mm. Bridovi moraju biti ravni, oštri i ojačani pocinčanim kutnim profilima. Površina i struktura pripremljena za izvedbu završnih soboslikarskih radova. Pripremu podloge i postupak izvedbe strojne žbuke potrebno je prilagoditi proizvođaču i podlozi za žbukanje. Oznaka sloja: K1, K2, S1 —  ESTRIH Stavke uključuju potrebnu oplatu. Prije izvedbe estriha potrebno je postaviti rubnu traku (stavka obračunata u sklopu izolaterskih radova).
STAVKA (podstavka):
Obračun po m2.
———
Ako je gore TOČNO — preskoči.
Ako nije — ispravi tekst u ovom komentaru.
(jmj m2 · količina 77.12 · oznaka 2)</t>
        </r>
      </text>
    </comment>
    <comment ref="E339" authorId="0" shapeId="0" xr:uid="{00000000-0006-0000-0200-000041000000}">
      <text>
        <r>
          <rPr>
            <sz val="11"/>
            <color theme="1"/>
            <rFont val="Calibri"/>
            <family val="2"/>
            <scheme val="minor"/>
          </rPr>
          <t>GLAVA (glavna stavka):
Estrih u padu (podno grijanje) Dobava, doprema potrebnog materijala i izvedba lagano armirane betonske podloge (2000 kg/m3) u padu 4-5 cm. Izvođač je dužan izvesti estrih s dodatkom aditiva za grijani estrih (aditiv obračunat u stavkama strojarskih radova). Estrih se izvodi elastično dilatirana od podloge i obodnih pregrada, fino zaglađena u izvedbi kao podloga za završne slojeve poda. Oznaka slojeva: S1
STAVKA (podstavka):
Obračun po m2.
———
Ako je gore TOČNO — preskoči.
Ako nije — ispravi tekst u ovom komentaru.
(jmj m2 · količina 66.78 · oznaka 3)</t>
        </r>
      </text>
    </comment>
    <comment ref="E345" authorId="0" shapeId="0" xr:uid="{00000000-0006-0000-0200-000042000000}">
      <text>
        <r>
          <rPr>
            <sz val="11"/>
            <color theme="1"/>
            <rFont val="Calibri"/>
            <family val="2"/>
            <scheme val="minor"/>
          </rPr>
          <t>GLAVA (glavna stavka):
Estrih Dobava, doprema potrebnog materijala i izvedba lagano armirane betonske podloge (2000 kg/m3). Estrih se izvodi elastično dilatirana od podloge i obodnih pregrada, fino zaglađena u izvedbi kao podloga za završne slojeve poda. Obračun po m2. a) d=3,5 cm
STAVKA (podstavka):
a) d=3,5 cm 
Oznaka slojeva: P2
———
Ako je gore TOČNO — preskoči.
Ako nije — ispravi tekst u ovom komentaru.
(jmj m2 · količina 3.74 · oznaka 4)</t>
        </r>
      </text>
    </comment>
    <comment ref="E347" authorId="0" shapeId="0" xr:uid="{00000000-0006-0000-0200-000043000000}">
      <text>
        <r>
          <rPr>
            <sz val="11"/>
            <color theme="1"/>
            <rFont val="Calibri"/>
            <family val="2"/>
            <scheme val="minor"/>
          </rPr>
          <t>GLAVA (glavna stavka):
Estrih Dobava, doprema potrebnog materijala i izvedba lagano armirane betonske podloge (2000 kg/m3). Estrih se izvodi elastično dilatirana od podloge i obodnih pregrada, fino zaglađena u izvedbi kao podloga za završne slojeve poda. Obračun po m2. a) d=4 cm
STAVKA (podstavka):
a) d=4 cm 
Oznaka slojeva: K1, K3, K4, K5
———
Ako je gore TOČNO — preskoči.
Ako nije — ispravi tekst u ovom komentaru.
(jmj m2 · količina 114.42 · oznaka 4)</t>
        </r>
      </text>
    </comment>
    <comment ref="E349" authorId="0" shapeId="0" xr:uid="{00000000-0006-0000-0200-000044000000}">
      <text>
        <r>
          <rPr>
            <sz val="11"/>
            <color theme="1"/>
            <rFont val="Calibri"/>
            <family val="2"/>
            <scheme val="minor"/>
          </rPr>
          <t>GLAVA (glavna stavka):
Estrih Dobava, doprema potrebnog materijala i izvedba lagano armirane betonske podloge (2000 kg/m3). Estrih se izvodi elastično dilatirana od podloge i obodnih pregrada, fino zaglađena u izvedbi kao podloga za završne slojeve poda. Obračun po m2. b) d=5 cm
STAVKA (podstavka):
b) d=5 cm 
Oznaka slojeva: P1
———
Ako je gore TOČNO — preskoči.
Ako nije — ispravi tekst u ovom komentaru.
(jmj m2 · količina 212.04 · oznaka 4)</t>
        </r>
      </text>
    </comment>
    <comment ref="E364" authorId="0" shapeId="0" xr:uid="{00000000-0006-0000-0200-000045000000}">
      <text>
        <r>
          <rPr>
            <sz val="11"/>
            <color theme="1"/>
            <rFont val="Calibri"/>
            <family val="2"/>
            <scheme val="minor"/>
          </rPr>
          <t>GLAVA (glavna stavka):
Fasada vanjskih zidova GRUBO ZRNO 6 mm, MW d=16 cm Dobava, doprema i izrada klasificiranog ETICS fasadnog sustava sa završnom dekorativnom tehnikom prema uputama proizvođača. Stavka uključuje: . c) odgovarajuća završna fasadna žbuka za ETICS sustave, d=0,3 cm, RAL prema odabiru projektanta, bojanje zaštitnom bojom Oznaka slojeva: ZV2
STAVKA (podstavka):
Obračun po m2 izvedenoga pročelja.
———
Ako je gore TOČNO — preskoči.
Ako nije — ispravi tekst u ovom komentaru.
(jmj m2 · količina 190.98 · oznaka 5)</t>
        </r>
      </text>
    </comment>
    <comment ref="E373" authorId="0" shapeId="0" xr:uid="{00000000-0006-0000-0200-000046000000}">
      <text>
        <r>
          <rPr>
            <sz val="11"/>
            <color theme="1"/>
            <rFont val="Calibri"/>
            <family val="2"/>
            <scheme val="minor"/>
          </rPr>
          <t>GLAVA (glavna stavka):
Fasada vanjskih zidova, MW d=16 cm Dobava, doprema i izrada klasificiranog ETICS fasadnog sustava sa završnom dekorativnom tehnikom prema uputama proizvođača. Stavka uključuje: . c) odgovarajuća završna fasadna žbuka za ETICS sustave, d=0,3 cm, RAL prema odabiru projektanta Oznaka slojeva: ZV2
STAVKA (podstavka):
Obračun po m2 izvedenoga pročelja.
———
Ako je gore TOČNO — preskoči.
Ako nije — ispravi tekst u ovom komentaru.
(jmj m2 · količina 235.14 · oznaka 6)</t>
        </r>
      </text>
    </comment>
    <comment ref="E382" authorId="0" shapeId="0" xr:uid="{00000000-0006-0000-0200-000047000000}">
      <text>
        <r>
          <rPr>
            <sz val="11"/>
            <color theme="1"/>
            <rFont val="Calibri"/>
            <family val="2"/>
            <scheme val="minor"/>
          </rPr>
          <t>GLAVA (glavna stavka):
Fasada vanjskih zidova, MW d=5 cm Dobava, doprema i izrada klasificiranog ETICS fasadnog sustava sa završnom dekorativnom tehnikom prema uputama proizvođača. Stavka uključuje: . c) odgovarajuća završna fasadna žbuka za ETICS sustave, d=0,3 cm, RAL prema odabiru projektanta Pozicija: terasa 1. kata —  SKELA
STAVKA (podstavka):
Obračun po m2 izvedenoga pročelja.
———
Ako je gore TOČNO — preskoči.
Ako nije — ispravi tekst u ovom komentaru.
(jmj m2 · količina 33.05 · oznaka 7)</t>
        </r>
      </text>
    </comment>
    <comment ref="E392" authorId="0" shapeId="0" xr:uid="{00000000-0006-0000-0200-000048000000}">
      <text>
        <r>
          <rPr>
            <sz val="11"/>
            <color theme="1"/>
            <rFont val="Calibri"/>
            <family val="2"/>
            <scheme val="minor"/>
          </rPr>
          <t>GLAVA (glavna stavka):
Fasadna skela Doprema potrebnih elementa te izvedba fasadne skele za izvedbu svih fasadnih sustava na objektu. Stavka uključuje sve zaštitne (ogradne) elemente, dovoz i montažu te demontažu i odvoz skele nakon dovršetka radova. Skelu u svemu izvesti i zaštititi u skladu sa važećim pravilnicima i propisima. Stavka se odnosi samo na fasadnu skelu, radna skela za izvođenje ostalih radova obračunava se u jediničnoj cijeni stavke. Skela mora biti montirana na način da ne oštećuje izvedenu konstrukciju. Za skelu je potrebno dostaviti projekt skele i sve važeće ateste što je uključeno u jediničnu cijenu stavke. Cijenu stavke ponuditi za ukupno vrijeme trajanja izvedbe radova.
STAVKA (podstavka):
Obračun po m2 projektirane površine fasade.
———
Ako je gore TOČNO — preskoči.
Ako nije — ispravi tekst u ovom komentaru.
(jmj m2 · količina 552.34 · oznaka 8)</t>
        </r>
      </text>
    </comment>
    <comment ref="E393" authorId="0" shapeId="0" xr:uid="{00000000-0006-0000-0200-000049000000}">
      <text>
        <r>
          <rPr>
            <sz val="11"/>
            <color theme="1"/>
            <rFont val="Calibri"/>
            <family val="2"/>
            <scheme val="minor"/>
          </rPr>
          <t>GLAVA (glavna stavka):
Obrada stupova sa XPS 2-5cm, armaturni sloj sa profilima, impregnacija i završni sloj 1,5mm (HBW iznad 25, C1 ton). Uključena skela
STAVKA (podstavka):
———
Ako je gore TOČNO — preskoči.
Ako nije — ispravi tekst u ovom komentaru.
(jmj m' · količina 95.0 · oznaka 8)</t>
        </r>
      </text>
    </comment>
    <comment ref="E406" authorId="0" shapeId="0" xr:uid="{00000000-0006-0000-0200-00004A000000}">
      <text>
        <r>
          <rPr>
            <sz val="11"/>
            <color theme="1"/>
            <rFont val="Calibri"/>
            <family val="2"/>
            <scheme val="minor"/>
          </rPr>
          <t>GLAVA (glavna stavka):
Opšav parapeta terase Dobava, doprema i izvedba opšava parapeta terase od pocinčanog bojanog lima s okapom s obje strane, d= 2 mm. Plastificirano u boju prema izboru projektanta. Stavka uključuje i nosač opšava - čelični pocinčani profil. Sva pričvršćenja, nosač opšava i opšav prema projektnim detaljima uključena u cijenu. Razvijena širina cca 62 cm.
STAVKA (podstavka):
Obračun po m.
———
Ako je gore TOČNO — preskoči.
Ako nije — ispravi tekst u ovom komentaru.
(jmj m · količina 44.3 · oznaka 1)</t>
        </r>
      </text>
    </comment>
    <comment ref="E410" authorId="0" shapeId="0" xr:uid="{00000000-0006-0000-0200-00004B000000}">
      <text>
        <r>
          <rPr>
            <sz val="11"/>
            <color theme="1"/>
            <rFont val="Calibri"/>
            <family val="2"/>
            <scheme val="minor"/>
          </rPr>
          <t>GLAVA (glavna stavka):
Opšav atike Dobava, doprema i izvedba opšava krovnog nadozida od pocinčanog bojanog lima s okapom s obje strane, d= 2 mm. Plastificirano u boju prema izboru projektanta. Stavka uključuje i nosač opšava - čelični pocinčani profil. Sva pričvršćenja, nosač opšava i opšav prema projektnim detaljima uključena u cijenu. Razvijena širina cca 62 cm.
STAVKA (podstavka):
Obračun po m.
———
Ako je gore TOČNO — preskoči.
Ako nije — ispravi tekst u ovom komentaru.
(jmj m · količina 36.8 · oznaka 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E28" authorId="0" shapeId="0" xr:uid="{00000000-0006-0000-0300-000001000000}">
      <text>
        <r>
          <rPr>
            <sz val="11"/>
            <color theme="1"/>
            <rFont val="Calibri"/>
            <family val="2"/>
            <scheme val="minor"/>
          </rPr>
          <t>GLAVA (glavna stavka):
Pregradni zid sa izolacijom, d=10 cm, GK-GK Dobava, doprema materijala i izrada lake pregradne stijene od dvostrukih gipskartonskih ploča na metalnoj potkonstrukciji. Sastav zida je: c) dvostruka gipskartonska ploča (900 kg/m3) na potkonstrukciji d=2x1,25 cm
STAVKA (podstavka):
Obračun po m2.
———
Ako je gore TOČNO — preskoči.
Ako nije — ispravi tekst u ovom komentaru.
(jmj m2 · količina 9.48 · oznaka 1)</t>
        </r>
      </text>
    </comment>
    <comment ref="E35" authorId="0" shapeId="0" xr:uid="{00000000-0006-0000-0300-000002000000}">
      <text>
        <r>
          <rPr>
            <sz val="11"/>
            <color theme="1"/>
            <rFont val="Calibri"/>
            <family val="2"/>
            <scheme val="minor"/>
          </rPr>
          <t>GLAVA (glavna stavka):
Pregradni zid sa izolacijom, d=10 cm, GK-GKI Dobava, doprema materijala i izrada lake pregradne stijene od dvostrukih gipskartonskih ploča na metalnoj potkonstrukciji. Sastav zida je: c) dvostruka vodootporna gipskartonska ploča (900 kg/m3) na potkonstrukciji d=2x1,25 cm
STAVKA (podstavka):
Obračun po m2.
———
Ako je gore TOČNO — preskoči.
Ako nije — ispravi tekst u ovom komentaru.
(jmj m2 · količina 9.57 · oznaka 2)</t>
        </r>
      </text>
    </comment>
    <comment ref="E42" authorId="0" shapeId="0" xr:uid="{00000000-0006-0000-0300-000003000000}">
      <text>
        <r>
          <rPr>
            <sz val="11"/>
            <color theme="1"/>
            <rFont val="Calibri"/>
            <family val="2"/>
            <scheme val="minor"/>
          </rPr>
          <t>GLAVA (glavna stavka):
Pregradni zid sa izolacijom, d=10 cm, GKI-GKI Dobava, doprema materijala i izrada lake pregradne stijene od dvostrukih gipskartonskih ploča na metalnoj potkonstrukciji. Sastav zida je: c) dvostruka vodootporna gipskartonska ploča (900 kg/m3) na potkonstrukciji d=2x1,25 cm
STAVKA (podstavka):
Obračun po m2.
———
Ako je gore TOČNO — preskoči.
Ako nije — ispravi tekst u ovom komentaru.
(jmj m2 · količina 5.09 · oznaka 3)</t>
        </r>
      </text>
    </comment>
    <comment ref="E49" authorId="0" shapeId="0" xr:uid="{00000000-0006-0000-0300-000004000000}">
      <text>
        <r>
          <rPr>
            <sz val="11"/>
            <color theme="1"/>
            <rFont val="Calibri"/>
            <family val="2"/>
            <scheme val="minor"/>
          </rPr>
          <t>GLAVA (glavna stavka):
Pregradni zid sa izolacijom, d=15 cm, GK-GKI Dobava, doprema materijala i izrada lake pregradne stijene od dvostrukih gipskartonskih ploča na metalnoj potkonstrukciji. Sastav zida je: c) dvostruka vodootporna gipskartonska ploča (900 kg/m3) na potkonstrukciji d=2x1,25 cm
STAVKA (podstavka):
Obračun po m2.
———
Ako je gore TOČNO — preskoči.
Ako nije — ispravi tekst u ovom komentaru.
(jmj m2 · količina 8.56 · oznaka 4)</t>
        </r>
      </text>
    </comment>
    <comment ref="E56" authorId="0" shapeId="0" xr:uid="{00000000-0006-0000-0300-000005000000}">
      <text>
        <r>
          <rPr>
            <sz val="11"/>
            <color theme="1"/>
            <rFont val="Calibri"/>
            <family val="2"/>
            <scheme val="minor"/>
          </rPr>
          <t>GLAVA (glavna stavka):
Pregradni zid sa izolacijom, d=15 cm, DF-DF Dobava, doprema materijala i izrada lake pregradne stijene od dvostrukih gipskartonskih ploča na metalnoj potkonstrukciji. Sastav zida je: c) dvostruka protupožarna gipskartonska ploča ( 900 kg/m3) na potkonstrukciji d=2x1,25 cm
STAVKA (podstavka):
Obračun po m2.
———
Ako je gore TOČNO — preskoči.
Ako nije — ispravi tekst u ovom komentaru.
(jmj m2 · količina 7.28 · oznaka 5)</t>
        </r>
      </text>
    </comment>
    <comment ref="E63" authorId="0" shapeId="0" xr:uid="{00000000-0006-0000-0300-000006000000}">
      <text>
        <r>
          <rPr>
            <sz val="11"/>
            <color theme="1"/>
            <rFont val="Calibri"/>
            <family val="2"/>
            <scheme val="minor"/>
          </rPr>
          <t>GLAVA (glavna stavka):
Pregradni zid sa izolacijom, d=20 cm, GK-GKI Dobava, doprema materijala i izrada lake pregradne stijene od dvostrukih gipskartonskih ploča na metalnoj potkonstrukciji. Sastav zida je: c) dvostruka vodootporna gipskartonska ploča (900 kg/m3) na potkonstrukciji d=2x1,25 cm
STAVKA (podstavka):
Obračun po m2.
———
Ako je gore TOČNO — preskoči.
Ako nije — ispravi tekst u ovom komentaru.
(jmj m2 · količina 4.09 · oznaka 6)</t>
        </r>
      </text>
    </comment>
    <comment ref="E70" authorId="0" shapeId="0" xr:uid="{00000000-0006-0000-0300-000007000000}">
      <text>
        <r>
          <rPr>
            <sz val="11"/>
            <color theme="1"/>
            <rFont val="Calibri"/>
            <family val="2"/>
            <scheme val="minor"/>
          </rPr>
          <t>GLAVA (glavna stavka):
Obloga ugradbenog vodokotlića Dobava, doprema materijala i izrada zidne obloge ugradbenog vodokotlića. Sastav obloge je: c) zračni sloj potkonstrukcije —  OSTALO
STAVKA (podstavka):
Obračun po m2.
———
Ako je gore TOČNO — preskoči.
Ako nije — ispravi tekst u ovom komentaru.
(jmj m2 · količina 2.44 · oznaka 7)</t>
        </r>
      </text>
    </comment>
    <comment ref="E77" authorId="0" shapeId="0" xr:uid="{00000000-0006-0000-0300-000008000000}">
      <text>
        <r>
          <rPr>
            <sz val="11"/>
            <color theme="1"/>
            <rFont val="Calibri"/>
            <family val="2"/>
            <scheme val="minor"/>
          </rPr>
          <t>GLAVA (glavna stavka):
Sistem nosača za WC školjku Dobava, doprema i montaža ovjesa za wc školjku koji se postavlja između potkonstrukcije pregradnog zida, na mjestu ugradnje obavezno postavljanje 2 UA profila (sa svake stane 1) na utične kutnike. Ovjes je pocinčan, ima mogućnost podešavanja nosivih vijaka i dolazi sa pripadajućim setom za montažu. Pri izradi držati se smjernica i uputa proizvođača. Obavezno usklađenje sa potkonstrukcijom GK zida i pozicijama instalacija i elemenata za koje je potrebno ojačanje te odabranim proizvođačem instalacije. Pozicija: sanitarije
STAVKA (podstavka):
Obračun po kom.
———
Ako je gore TOČNO — preskoči.
Ako nije — ispravi tekst u ovom komentaru.
(jmj kom · količina 2.0 · oznaka 8)</t>
        </r>
      </text>
    </comment>
    <comment ref="E82" authorId="0" shapeId="0" xr:uid="{00000000-0006-0000-0300-000009000000}">
      <text>
        <r>
          <rPr>
            <sz val="11"/>
            <color theme="1"/>
            <rFont val="Calibri"/>
            <family val="2"/>
            <scheme val="minor"/>
          </rPr>
          <t>GLAVA (glavna stavka):
Ojačanje za umivaonik Dobava, doprema i montaža ovjesa za umivaonik koji se postavlja između potkonstrukcije pregradnog zida, na mjestu ugradnje obavezno postavljanje 2 UA profila (sa svake stane 1) na utične kutnike. Ovjes je pocinčan, ima mogućnost podešavanja nosivih vijaka i dolazi sa pripadajućim setom za montažu. Pri izradi držati se smjernica i uputa proizvođača. Obavezno usklađenje sa potkonstrukcijom GK zida i pozicijama instalacija i elemenata za koje je potrebno ojačanje te odabranim proizvođačem instalacije. Pozicija: sanitarije
STAVKA (podstavka):
Obračun po kom.
———
Ako je gore TOČNO — preskoči.
Ako nije — ispravi tekst u ovom komentaru.
(jmj kom · količina 1.0 · oznaka 9)</t>
        </r>
      </text>
    </comment>
    <comment ref="E87" authorId="0" shapeId="0" xr:uid="{00000000-0006-0000-0300-00000A000000}">
      <text>
        <r>
          <rPr>
            <sz val="11"/>
            <color theme="1"/>
            <rFont val="Calibri"/>
            <family val="2"/>
            <scheme val="minor"/>
          </rPr>
          <t>GLAVA (glavna stavka):
Ojačanje za podžbukne instalacije Dobava, doprema i ugradnja ojačanja za podžbukne instalacije - miješalica tuša i umivaonika. Izvodi se ojačanje vodootpornom šperpločom sa učvršćivačima profila. Obavezno usklađenje sa potkonstrukcijom GK zida i pozicijama instalacija te odabranim proizvođačem podžbukne instalacije. Pozicija: sanitarije
STAVKA (podstavka):
Obračun po kom.
———
Ako je gore TOČNO — preskoči.
Ako nije — ispravi tekst u ovom komentaru.
(jmj kom · količina 2.0 · oznaka 10)</t>
        </r>
      </text>
    </comment>
    <comment ref="E93" authorId="0" shapeId="0" xr:uid="{00000000-0006-0000-0300-00000B000000}">
      <text>
        <r>
          <rPr>
            <sz val="11"/>
            <color theme="1"/>
            <rFont val="Calibri"/>
            <family val="2"/>
            <scheme val="minor"/>
          </rPr>
          <t>GLAVA (glavna stavka):
UA profili kod otvora vrata Dobava, dostava i montaža UA 50 profila na utičnim kutnicima na mjestima otvora vrata za sustav zida. UA čelični pocinčani profili debljine 2 mm. UA profili se postavljaju u utične kutnike koji su pričvršćeni za međukatnu konstrukciju, što je uključeno u cijenu stavke. Visina ugradnje od vrha AB podne ploče do nosive konstrukcije. Pozicija: hodnik
STAVKA (podstavka):
Obračun po m.
———
Ako je gore TOČNO — preskoči.
Ako nije — ispravi tekst u ovom komentaru.
(jmj m · količina 6.0 · oznaka 11)</t>
        </r>
      </text>
    </comment>
    <comment ref="E97" authorId="0" shapeId="0" xr:uid="{00000000-0006-0000-0300-00000C000000}">
      <text>
        <r>
          <rPr>
            <sz val="11"/>
            <color theme="1"/>
            <rFont val="Calibri"/>
            <family val="2"/>
            <scheme val="minor"/>
          </rPr>
          <t>GLAVA (glavna stavka):
Izvedba kazete za klizna vrata Dobava, doprema i izvedba sustava za izvedbu kliznih vrata unutar gipskartonskog zida. Kazeta se izvodi unutar zida debljine 15 cm prema projektnim detaljima. Prema potrebi i detalju proizvođača, izvesti prilagodbu potkonstrukcije, dodatno ojačanje i ovjese na poziciji ugradnje te završna obrada prema uputama i sistemu proizvođača. U jediničnu cijenu stavke je uključena i obrada rubova kazete. Špalete se obrađuju sa jednostrukom GK pločom debljine d=12,5 mm, zatim se postavlja aluminijska kutna šina za ojačanje ruba, sve obostrano bandažirano i gletano do Q2 kvalitete.
STAVKA (podstavka):
Obračun za komad.
———
Ako je gore TOČNO — preskoči.
Ako nije — ispravi tekst u ovom komentaru.
(jmj kom · količina 2.0 · oznaka 12)</t>
        </r>
      </text>
    </comment>
    <comment ref="E101" authorId="0" shapeId="0" xr:uid="{00000000-0006-0000-0300-00000D000000}">
      <text>
        <r>
          <rPr>
            <sz val="11"/>
            <color theme="1"/>
            <rFont val="Calibri"/>
            <family val="2"/>
            <scheme val="minor"/>
          </rPr>
          <t>GLAVA (glavna stavka):
GK 'I' maske Dobava, doprema materijala te izrada jednostranih GK maski 'I' forme, 1xGK pločom, bandažirano i gletano do Q2 kvalitete. Stavka uključuje i postavu aluminijske šine kao ojačanja rubova. Stavka uključuje sav rad i materijal do potpune gotovosti i funkcionalnosti.
STAVKA (podstavka):
Obračun za m.
———
Ako je gore TOČNO — preskoči.
Ako nije — ispravi tekst u ovom komentaru.
(jmj m · količina 2.3 · oznaka 13)</t>
        </r>
      </text>
    </comment>
    <comment ref="E122" authorId="0" shapeId="0" xr:uid="{00000000-0006-0000-0300-00000E000000}">
      <text>
        <r>
          <rPr>
            <sz val="11"/>
            <color theme="1"/>
            <rFont val="Calibri"/>
            <family val="2"/>
            <scheme val="minor"/>
          </rPr>
          <t>GLAVA (glavna stavka):
Opločenje zidova sanitarnih čvorova Dobava i doprema a, te opločenje zidova sanitarija keramičkim pločicama, u svemu prema projektnim detaljima i izboru projektanta. Stavka uključuje i izvedbu kutnih profila, prema odabiru projektanta i konačno odabranom tipu keramike. Obračun po m2.
STAVKA (podstavka):
materijal
———
Ako je gore TOČNO — preskoči.
Ako nije — ispravi tekst u ovom komentaru.
(jmj m2 · količina 34.42 · oznaka 1)</t>
        </r>
      </text>
    </comment>
    <comment ref="E123" authorId="0" shapeId="0" xr:uid="{00000000-0006-0000-0300-00000F000000}">
      <text>
        <r>
          <rPr>
            <sz val="11"/>
            <color theme="1"/>
            <rFont val="Calibri"/>
            <family val="2"/>
            <scheme val="minor"/>
          </rPr>
          <t>GLAVA (glavna stavka):
Opločenje zidova sanitarnih čvorova Dobava i doprema materijala, te opločenje zidova sanitarija keramičkim pločicama, u svemu prema projektnim detaljima i izboru projektanta. Stavka uključuje i izvedbu kutnih profila, prema odabiru projektanta i konačno odabranom tipu keramike. Obračun po m2.
STAVKA (podstavka):
rad
———
Ako je gore TOČNO — preskoči.
Ako nije — ispravi tekst u ovom komentaru.
(jmj m2 · količina 34.43 · oznaka 1)</t>
        </r>
      </text>
    </comment>
    <comment ref="E129" authorId="0" shapeId="0" xr:uid="{00000000-0006-0000-0300-000010000000}">
      <text>
        <r>
          <rPr>
            <sz val="11"/>
            <color theme="1"/>
            <rFont val="Calibri"/>
            <family val="2"/>
            <scheme val="minor"/>
          </rPr>
          <t>GLAVA (glavna stavka):
Opločenje zidova kuhinje Dobava i doprema a, te opločenje zidova kuhinje keramičkim pločicama u svemu prema projektnim detaljima i izboru projektanta, između elemenata u visini h=70 cm. Stavka uključuje i izvedbu kutnih profila, prema odabiru projektanta i konačno odabranom tipu keramike. Obračun po m2. —  PODOVI
STAVKA (podstavka):
materijal
———
Ako je gore TOČNO — preskoči.
Ako nije — ispravi tekst u ovom komentaru.
(jmj m2 · količina 4.05 · oznaka 2)</t>
        </r>
      </text>
    </comment>
    <comment ref="E130" authorId="0" shapeId="0" xr:uid="{00000000-0006-0000-0300-000011000000}">
      <text>
        <r>
          <rPr>
            <sz val="11"/>
            <color theme="1"/>
            <rFont val="Calibri"/>
            <family val="2"/>
            <scheme val="minor"/>
          </rPr>
          <t>GLAVA (glavna stavka):
Opločenje zidova kuhinje Dobava i doprema materijala, te opločenje zidova kuhinje keramičkim pločicama u svemu prema projektnim detaljima i izboru projektanta, između elemenata u visini h=70 cm. Stavka uključuje i izvedbu kutnih profila, prema odabiru projektanta i konačno odabranom tipu keramike. Obračun po m2. —  PODOVI
STAVKA (podstavka):
rad
———
Ako je gore TOČNO — preskoči.
Ako nije — ispravi tekst u ovom komentaru.
(jmj m2 · količina 4.05 · oznaka 2)</t>
        </r>
      </text>
    </comment>
    <comment ref="E138" authorId="0" shapeId="0" xr:uid="{00000000-0006-0000-0300-000012000000}">
      <text>
        <r>
          <rPr>
            <sz val="11"/>
            <color theme="1"/>
            <rFont val="Calibri"/>
            <family val="2"/>
            <scheme val="minor"/>
          </rPr>
          <t>GLAVA (glavna stavka):
Opločenje podova Dobava i doprema a te opločenje podova pločicama u svemu prema projektnim detaljima i izboru projektanta. Obračun po m2. a) hodnik
STAVKA (podstavka):
materijal
———
Ako je gore TOČNO — preskoči.
Ako nije — ispravi tekst u ovom komentaru.
(jmj m2 · količina 3.02 · oznaka 3)</t>
        </r>
      </text>
    </comment>
    <comment ref="E139" authorId="0" shapeId="0" xr:uid="{00000000-0006-0000-0300-000013000000}">
      <text>
        <r>
          <rPr>
            <sz val="11"/>
            <color theme="1"/>
            <rFont val="Calibri"/>
            <family val="2"/>
            <scheme val="minor"/>
          </rPr>
          <t>GLAVA (glavna stavka):
Opločenje podova Dobava i doprema materijala te opločenje podova pločicama u svemu prema projektnim detaljima i izboru projektanta. Obračun po m2. a) hodnik
STAVKA (podstavka):
rad
———
Ako je gore TOČNO — preskoči.
Ako nije — ispravi tekst u ovom komentaru.
(jmj m2 · količina 3.02 · oznaka 3)</t>
        </r>
      </text>
    </comment>
    <comment ref="E141" authorId="0" shapeId="0" xr:uid="{00000000-0006-0000-0300-000014000000}">
      <text>
        <r>
          <rPr>
            <sz val="11"/>
            <color theme="1"/>
            <rFont val="Calibri"/>
            <family val="2"/>
            <scheme val="minor"/>
          </rPr>
          <t>GLAVA (glavna stavka):
Opločenje podova Dobava i doprema a te opločenje podova pločicama u svemu prema projektnim detaljima i izboru projektanta. Obračun po m2. b) sanitarije
STAVKA (podstavka):
materijal
———
Ako je gore TOČNO — preskoči.
Ako nije — ispravi tekst u ovom komentaru.
(jmj m2 · količina 10.15 · oznaka 3)</t>
        </r>
      </text>
    </comment>
    <comment ref="E142" authorId="0" shapeId="0" xr:uid="{00000000-0006-0000-0300-000015000000}">
      <text>
        <r>
          <rPr>
            <sz val="11"/>
            <color theme="1"/>
            <rFont val="Calibri"/>
            <family val="2"/>
            <scheme val="minor"/>
          </rPr>
          <t>GLAVA (glavna stavka):
Opločenje podova Dobava i doprema materijala te opločenje podova pločicama u svemu prema projektnim detaljima i izboru projektanta. Obračun po m2. b) sanitarije
STAVKA (podstavka):
rad
———
Ako je gore TOČNO — preskoči.
Ako nije — ispravi tekst u ovom komentaru.
(jmj m2 · količina 10.15 · oznaka 3)</t>
        </r>
      </text>
    </comment>
    <comment ref="E144" authorId="0" shapeId="0" xr:uid="{00000000-0006-0000-0300-000016000000}">
      <text>
        <r>
          <rPr>
            <sz val="11"/>
            <color theme="1"/>
            <rFont val="Calibri"/>
            <family val="2"/>
            <scheme val="minor"/>
          </rPr>
          <t>GLAVA (glavna stavka):
Opločenje podova Dobava i doprema a te opločenje podova pločicama u svemu prema projektnim detaljima i izboru projektanta. Obračun po m2. c) kuhinja
STAVKA (podstavka):
materijal
———
Ako je gore TOČNO — preskoči.
Ako nije — ispravi tekst u ovom komentaru.
(jmj m2 · količina 8.87 · oznaka 3)</t>
        </r>
      </text>
    </comment>
    <comment ref="E145" authorId="0" shapeId="0" xr:uid="{00000000-0006-0000-0300-000017000000}">
      <text>
        <r>
          <rPr>
            <sz val="11"/>
            <color theme="1"/>
            <rFont val="Calibri"/>
            <family val="2"/>
            <scheme val="minor"/>
          </rPr>
          <t>GLAVA (glavna stavka):
Opločenje podova Dobava i doprema materijala te opločenje podova pločicama u svemu prema projektnim detaljima i izboru projektanta. Obračun po m2. c) kuhinja
STAVKA (podstavka):
rad
———
Ako je gore TOČNO — preskoči.
Ako nije — ispravi tekst u ovom komentaru.
(jmj m2 · količina 8.87 · oznaka 3)</t>
        </r>
      </text>
    </comment>
    <comment ref="E147" authorId="0" shapeId="0" xr:uid="{00000000-0006-0000-0300-000018000000}">
      <text>
        <r>
          <rPr>
            <sz val="11"/>
            <color theme="1"/>
            <rFont val="Calibri"/>
            <family val="2"/>
            <scheme val="minor"/>
          </rPr>
          <t>GLAVA (glavna stavka):
Opločenje podova Dobava i doprema a te opločenje podova pločicama u svemu prema projektnim detaljima i izboru projektanta. Obračun po m2. d) spremište
STAVKA (podstavka):
materijal
———
Ako je gore TOČNO — preskoči.
Ako nije — ispravi tekst u ovom komentaru.
(jmj m2 · količina 3.71 · oznaka 3)</t>
        </r>
      </text>
    </comment>
    <comment ref="E148" authorId="0" shapeId="0" xr:uid="{00000000-0006-0000-0300-000019000000}">
      <text>
        <r>
          <rPr>
            <sz val="11"/>
            <color theme="1"/>
            <rFont val="Calibri"/>
            <family val="2"/>
            <scheme val="minor"/>
          </rPr>
          <t>GLAVA (glavna stavka):
Opločenje podova Dobava i doprema materijala te opločenje podova pločicama u svemu prema projektnim detaljima i izboru projektanta. Obračun po m2. d) spremište
STAVKA (podstavka):
rad
———
Ako je gore TOČNO — preskoči.
Ako nije — ispravi tekst u ovom komentaru.
(jmj m2 · količina 3.71 · oznaka 3)</t>
        </r>
      </text>
    </comment>
    <comment ref="E150" authorId="0" shapeId="0" xr:uid="{00000000-0006-0000-0300-00001A000000}">
      <text>
        <r>
          <rPr>
            <sz val="11"/>
            <color theme="1"/>
            <rFont val="Calibri"/>
            <family val="2"/>
            <scheme val="minor"/>
          </rPr>
          <t>GLAVA (glavna stavka):
Opločenje podova Dobava i doprema a te opločenje podova pločicama u svemu prema projektnim detaljima i izboru projektanta. Obračun po m2. e) strojarnica
STAVKA (podstavka):
materijal
———
Ako je gore TOČNO — preskoči.
Ako nije — ispravi tekst u ovom komentaru.
(jmj m2 · količina 5.76 · oznaka 3)</t>
        </r>
      </text>
    </comment>
    <comment ref="E151" authorId="0" shapeId="0" xr:uid="{00000000-0006-0000-0300-00001B000000}">
      <text>
        <r>
          <rPr>
            <sz val="11"/>
            <color theme="1"/>
            <rFont val="Calibri"/>
            <family val="2"/>
            <scheme val="minor"/>
          </rPr>
          <t>GLAVA (glavna stavka):
Opločenje podova Dobava i doprema materijala te opločenje podova pločicama u svemu prema projektnim detaljima i izboru projektanta. Obračun po m2. e) strojarnica
STAVKA (podstavka):
rad
———
Ako je gore TOČNO — preskoči.
Ako nije — ispravi tekst u ovom komentaru.
(jmj m2 · količina 5.76 · oznaka 3)</t>
        </r>
      </text>
    </comment>
    <comment ref="E153" authorId="0" shapeId="0" xr:uid="{00000000-0006-0000-0300-00001C000000}">
      <text>
        <r>
          <rPr>
            <sz val="11"/>
            <color theme="1"/>
            <rFont val="Calibri"/>
            <family val="2"/>
            <scheme val="minor"/>
          </rPr>
          <t>GLAVA (glavna stavka):
Opločenje podova Dobava i doprema a te opločenje podova pločicama u svemu prema projektnim detaljima i izboru projektanta. Obračun po m2. f) stepenice ispred bazena
STAVKA (podstavka):
materijal
———
Ako je gore TOČNO — preskoči.
Ako nije — ispravi tekst u ovom komentaru.
(jmj m2 · količina 10.31 · oznaka 3)</t>
        </r>
      </text>
    </comment>
    <comment ref="E154" authorId="0" shapeId="0" xr:uid="{00000000-0006-0000-0300-00001D000000}">
      <text>
        <r>
          <rPr>
            <sz val="11"/>
            <color theme="1"/>
            <rFont val="Calibri"/>
            <family val="2"/>
            <scheme val="minor"/>
          </rPr>
          <t>GLAVA (glavna stavka):
Opločenje podova Dobava i doprema materijala te opločenje podova pločicama u svemu prema projektnim detaljima i izboru projektanta. Obračun po m2. f) stepenice ispred bazena
STAVKA (podstavka):
rad
———
Ako je gore TOČNO — preskoči.
Ako nije — ispravi tekst u ovom komentaru.
(jmj m2 · količina 10.31 · oznaka 3)</t>
        </r>
      </text>
    </comment>
    <comment ref="E160" authorId="0" shapeId="0" xr:uid="{00000000-0006-0000-0300-00001E000000}">
      <text>
        <r>
          <rPr>
            <sz val="11"/>
            <color theme="1"/>
            <rFont val="Calibri"/>
            <family val="2"/>
            <scheme val="minor"/>
          </rPr>
          <t>GLAVA (glavna stavka):
Keramički sokl Dobava, doprema i izvedba keramičkog sokla. Sokl izvesti u svemu prema projektnim detaljima i izboru projektanta. Obračun po m. a) hodnik
STAVKA (podstavka):
materijal
———
Ako je gore TOČNO — preskoči.
Ako nije — ispravi tekst u ovom komentaru.
(jmj m · količina 4.19 · oznaka 4)</t>
        </r>
      </text>
    </comment>
    <comment ref="E161" authorId="0" shapeId="0" xr:uid="{00000000-0006-0000-0300-00001F000000}">
      <text>
        <r>
          <rPr>
            <sz val="11"/>
            <color theme="1"/>
            <rFont val="Calibri"/>
            <family val="2"/>
            <scheme val="minor"/>
          </rPr>
          <t>GLAVA (glavna stavka):
Keramički sokl Dobava, doprema i izvedba keramičkog sokla. Sokl izvesti u svemu prema projektnim detaljima i izboru projektanta. Obračun po m. a) hodnik
STAVKA (podstavka):
rad
———
Ako je gore TOČNO — preskoči.
Ako nije — ispravi tekst u ovom komentaru.
(jmj m · količina 4.19 · oznaka 4)</t>
        </r>
      </text>
    </comment>
    <comment ref="E163" authorId="0" shapeId="0" xr:uid="{00000000-0006-0000-0300-000020000000}">
      <text>
        <r>
          <rPr>
            <sz val="11"/>
            <color theme="1"/>
            <rFont val="Calibri"/>
            <family val="2"/>
            <scheme val="minor"/>
          </rPr>
          <t>GLAVA (glavna stavka):
Keramički sokl Dobava, doprema i izvedba keramičkog sokla. Sokl izvesti u svemu prema projektnim detaljima i izboru projektanta. Obračun po m. b) kuhinja
STAVKA (podstavka):
materijal
———
Ako je gore TOČNO — preskoči.
Ako nije — ispravi tekst u ovom komentaru.
(jmj m · količina 8.8 · oznaka 4)</t>
        </r>
      </text>
    </comment>
    <comment ref="E164" authorId="0" shapeId="0" xr:uid="{00000000-0006-0000-0300-000021000000}">
      <text>
        <r>
          <rPr>
            <sz val="11"/>
            <color theme="1"/>
            <rFont val="Calibri"/>
            <family val="2"/>
            <scheme val="minor"/>
          </rPr>
          <t>GLAVA (glavna stavka):
Keramički sokl Dobava, doprema i izvedba keramičkog sokla. Sokl izvesti u svemu prema projektnim detaljima i izboru projektanta. Obračun po m. b) kuhinja
STAVKA (podstavka):
rad
———
Ako je gore TOČNO — preskoči.
Ako nije — ispravi tekst u ovom komentaru.
(jmj m · količina 8.8 · oznaka 4)</t>
        </r>
      </text>
    </comment>
    <comment ref="E166" authorId="0" shapeId="0" xr:uid="{00000000-0006-0000-0300-000022000000}">
      <text>
        <r>
          <rPr>
            <sz val="11"/>
            <color theme="1"/>
            <rFont val="Calibri"/>
            <family val="2"/>
            <scheme val="minor"/>
          </rPr>
          <t>GLAVA (glavna stavka):
Keramički sokl Dobava, doprema i izvedba keramičkog sokla. Sokl izvesti u svemu prema projektnim detaljima i izboru projektanta. Obračun po m. c) spremište
STAVKA (podstavka):
materijal
———
Ako je gore TOČNO — preskoči.
Ako nije — ispravi tekst u ovom komentaru.
(jmj m · količina 7.06 · oznaka 4)</t>
        </r>
      </text>
    </comment>
    <comment ref="E167" authorId="0" shapeId="0" xr:uid="{00000000-0006-0000-0300-000023000000}">
      <text>
        <r>
          <rPr>
            <sz val="11"/>
            <color theme="1"/>
            <rFont val="Calibri"/>
            <family val="2"/>
            <scheme val="minor"/>
          </rPr>
          <t>GLAVA (glavna stavka):
Keramički sokl Dobava, doprema i izvedba keramičkog sokla. Sokl izvesti u svemu prema projektnim detaljima i izboru projektanta. Obračun po m. c) spremište
STAVKA (podstavka):
rad
———
Ako je gore TOČNO — preskoči.
Ako nije — ispravi tekst u ovom komentaru.
(jmj m · količina 7.06 · oznaka 4)</t>
        </r>
      </text>
    </comment>
    <comment ref="E169" authorId="0" shapeId="0" xr:uid="{00000000-0006-0000-0300-000024000000}">
      <text>
        <r>
          <rPr>
            <sz val="11"/>
            <color theme="1"/>
            <rFont val="Calibri"/>
            <family val="2"/>
            <scheme val="minor"/>
          </rPr>
          <t>GLAVA (glavna stavka):
Keramički sokl Dobava, doprema i izvedba keramičkog sokla. Sokl izvesti u svemu prema projektnim detaljima i izboru projektanta. Obračun po m. d) strojarnica
STAVKA (podstavka):
materijal
———
Ako je gore TOČNO — preskoči.
Ako nije — ispravi tekst u ovom komentaru.
(jmj m · količina 7.09 · oznaka 4)</t>
        </r>
      </text>
    </comment>
    <comment ref="E170" authorId="0" shapeId="0" xr:uid="{00000000-0006-0000-0300-000025000000}">
      <text>
        <r>
          <rPr>
            <sz val="11"/>
            <color theme="1"/>
            <rFont val="Calibri"/>
            <family val="2"/>
            <scheme val="minor"/>
          </rPr>
          <t>GLAVA (glavna stavka):
Keramički sokl Dobava, doprema i izvedba keramičkog sokla. Sokl izvesti u svemu prema projektnim detaljima i izboru projektanta. Obračun po m. d) strojarnica
STAVKA (podstavka):
rad
———
Ako je gore TOČNO — preskoči.
Ako nije — ispravi tekst u ovom komentaru.
(jmj m · količina 7.09 · oznaka 4)</t>
        </r>
      </text>
    </comment>
    <comment ref="E191" authorId="0" shapeId="0" xr:uid="{00000000-0006-0000-0300-000026000000}">
      <text>
        <r>
          <rPr>
            <sz val="11"/>
            <color theme="1"/>
            <rFont val="Calibri"/>
            <family val="2"/>
            <scheme val="minor"/>
          </rPr>
          <t>GLAVA (glavna stavka):
Parket Dobava, doprema i polaganje gotovog lakiranog parketa, , boja i dimenzije prema izboru projektanta. Parket se postavlja na dobro očišćenu podnu površinu lijepljenjem dvokomponentnim ljepilom. Pozicija: soba, dnevni boravak Obračun po m2.
STAVKA (podstavka):
materijal
———
Ako je gore TOČNO — preskoči.
Ako nije — ispravi tekst u ovom komentaru.
(jmj m2 · količina 41.55 · oznaka 1)</t>
        </r>
      </text>
    </comment>
    <comment ref="E192" authorId="0" shapeId="0" xr:uid="{00000000-0006-0000-0300-000027000000}">
      <text>
        <r>
          <rPr>
            <sz val="11"/>
            <color theme="1"/>
            <rFont val="Calibri"/>
            <family val="2"/>
            <scheme val="minor"/>
          </rPr>
          <t>GLAVA (glavna stavka):
Parket Dobava, doprema i polaganje gotovog lakiranog parketa, materijal, boja i dimenzije prema izboru projektanta. Parket se postavlja na dobro očišćenu podnu površinu lijepljenjem dvokomponentnim ljepilom. Pozicija: soba, dnevni boravak Obračun po m2.
STAVKA (podstavka):
rad
———
Ako je gore TOČNO — preskoči.
Ako nije — ispravi tekst u ovom komentaru.
(jmj m2 · količina 41.55 · oznaka 1)</t>
        </r>
      </text>
    </comment>
    <comment ref="E197" authorId="0" shapeId="0" xr:uid="{00000000-0006-0000-0300-000028000000}">
      <text>
        <r>
          <rPr>
            <sz val="11"/>
            <color theme="1"/>
            <rFont val="Calibri"/>
            <family val="2"/>
            <scheme val="minor"/>
          </rPr>
          <t>GLAVA (glavna stavka):
Sokl Dobava, doprema i izvedba ravnog nadgradnog sokla. Sokl izvesti u svemu prema projektnim detaljima i izboru projektanta. Obračun po m. —  OSTALO
STAVKA (podstavka):
materijal
———
Ako je gore TOČNO — preskoči.
Ako nije — ispravi tekst u ovom komentaru.
(jmj m · količina 21.77 · oznaka 2)</t>
        </r>
      </text>
    </comment>
    <comment ref="E198" authorId="0" shapeId="0" xr:uid="{00000000-0006-0000-0300-000029000000}">
      <text>
        <r>
          <rPr>
            <sz val="11"/>
            <color theme="1"/>
            <rFont val="Calibri"/>
            <family val="2"/>
            <scheme val="minor"/>
          </rPr>
          <t>GLAVA (glavna stavka):
Sokl Dobava, doprema i izvedba ravnog nadgnog sokla. Sokl izvesti u svemu prema projektnim detaljima i izboru projektanta. Obračun po m. —  OSTALO
STAVKA (podstavka):
rad
———
Ako je gore TOČNO — preskoči.
Ako nije — ispravi tekst u ovom komentaru.
(jmj m · količina 21.77 · oznaka 2)</t>
        </r>
      </text>
    </comment>
    <comment ref="E205" authorId="0" shapeId="0" xr:uid="{00000000-0006-0000-0300-00002A000000}">
      <text>
        <r>
          <rPr>
            <sz val="11"/>
            <color theme="1"/>
            <rFont val="Calibri"/>
            <family val="2"/>
            <scheme val="minor"/>
          </rPr>
          <t>GLAVA (glavna stavka):
Epoxy pod Dobava, doprema svih potrebnih materijala i izvedba epoxy poda, boje prema izboru projektanta, izveden na cementnu glazuru. U jediničnoj cijeni stavke obračunate sve radnje pripreme površine, čišćenje, dobave svog potrebnog materijala i rada do konačne izvedbe poda. Izvedba u svemu prema uputama proizvođača izabranog sustava.
STAVKA (podstavka):
Obračun po m2.
———
Ako je gore TOČNO — preskoči.
Ako nije — ispravi tekst u ovom komentaru.
(jmj m2 · količina 225.69 · oznaka 3)</t>
        </r>
      </text>
    </comment>
    <comment ref="E217" authorId="0" shapeId="0" xr:uid="{00000000-0006-0000-0300-00002B000000}">
      <text>
        <r>
          <rPr>
            <sz val="11"/>
            <color theme="1"/>
            <rFont val="Calibri"/>
            <family val="2"/>
            <scheme val="minor"/>
          </rPr>
          <t>GLAVA (glavna stavka):
Decking obloga Dobava, doprema svih potrebnih materijala i izvedba decking obloge od drvo - polimernih profila (WPC) . Diletacijska fuga na uzdužnim spojevima 3,5 mm/m, žljebasta površina s gornje strane, donja strana nazubljena, protukliznost - razred R11, boje prema izboru projektanta. U jediničnoj cijeni stavke obračunate sve radnje pripreme površine, čišćenje, dobave svog potrebnog materijala i rada do konačne izvedbe poda. Izvedba u svemu prema uputama proizvođača izabranog sustava. Oznaka slojeva: K3
STAVKA (podstavka):
Obračun po m2.
———
Ako je gore TOČNO — preskoči.
Ako nije — ispravi tekst u ovom komentaru.
(jmj m2 · količina 35.57 · oznaka 5)</t>
        </r>
      </text>
    </comment>
    <comment ref="E223" authorId="0" shapeId="0" xr:uid="{00000000-0006-0000-0300-00002C000000}">
      <text>
        <r>
          <rPr>
            <sz val="11"/>
            <color theme="1"/>
            <rFont val="Calibri"/>
            <family val="2"/>
            <scheme val="minor"/>
          </rPr>
          <t>GLAVA (glavna stavka):
Umjetna trava Dobava, doprema svih potrebnih materijala i ugradnja umjetna trave. U jediničnoj cijeni stavke obračunate sve radnje pripreme površine, čišćenje, dobave svog potrebnog materijala i rada do konačne izvedbe poda. Izvedba u svemu prema uputama proizvođača izabranog sustava. Oznaka slojeva: K1
STAVKA (podstavka):
Obračun po m2.
———
Ako je gore TOČNO — preskoči.
Ako nije — ispravi tekst u ovom komentaru.
(jmj m2 · količina 71.77 · oznaka 6)</t>
        </r>
      </text>
    </comment>
    <comment ref="E227" authorId="0" shapeId="0" xr:uid="{00000000-0006-0000-0300-00002D000000}">
      <text>
        <r>
          <rPr>
            <sz val="11"/>
            <color theme="1"/>
            <rFont val="Calibri"/>
            <family val="2"/>
            <scheme val="minor"/>
          </rPr>
          <t>GLAVA (glavna stavka):
Razdjelni podni profil Dobava, doprema i ugradnja razdjelnog aluminijskog L profila prema odabiru projektanta na spoju različitih vrsta podnih obloga. Profil izvesti u razini završnih podnih obloga. Stavka uključuje sav potreban pričvrsni materijal. —  ASFALT I RUBNJACI
STAVKA (podstavka):
Obračun po m.
———
Ako je gore TOČNO — preskoči.
Ako nije — ispravi tekst u ovom komentaru.
(jmj m · količina 7.4 · oznaka 7)</t>
        </r>
      </text>
    </comment>
    <comment ref="E238" authorId="0" shapeId="0" xr:uid="{00000000-0006-0000-0300-00002E000000}">
      <text>
        <r>
          <rPr>
            <sz val="11"/>
            <color theme="1"/>
            <rFont val="Calibri"/>
            <family val="2"/>
            <scheme val="minor"/>
          </rPr>
          <t>GLAVA (glavna stavka):
Izrada nosivo-habajućeg sloja kolnika od asfaltbetona Dobava, doprema i izvedba habajućeg sloja asfalta AC 16 SURF 50/70, d=7 cm. Izradi nosivo-habajućeg sloja smije se pristupiti tek nakon što je nadzorni inženjer primio prethodni sloj u pogledu sastava, zbijenosti, ravnosti i podudarnosti s projektom. Materijali za izradu ovog sloja moraju zadovoljavati važećim standardima. Ugrađeni nosivo-habajući sloj ocjenjuje i preuzima nadzorni inženjer na temelju rezultata provedenih tekućih i kontrolnih ispitivanja. Udio bitumena, granulometrijski sastav kamene smjese, te fizičko-mehanička svojstva asfaltne mješavine određena na uzorcima asfaltne mješavine u okviru provedenih tekućih i kontrolnih ispitivanja moraju zadovoljavati uvjete dane u Razradi tehničkih svojstava i zahtjeva za građevne proizvode za proizvodnju asfaltnih mješavina i za asfaltne slojeve kolnika. U cijeni su sadržani svi troškovi nabave materijala, proizvodnje i ugradnje asfaltne mješavine, prijevoz, oprema i sve ostalo što je potrebno za izvođenje radova. Pozicija: hodna i kolna površina
STAVKA (podstavka):
Obračun po m2.
———
Ako je gore TOČNO — preskoči.
Ako nije — ispravi tekst u ovom komentaru.
(jmj m2 · količina 194.44 · oznaka 8)</t>
        </r>
      </text>
    </comment>
    <comment ref="E242" authorId="0" shapeId="0" xr:uid="{00000000-0006-0000-0300-00002F000000}">
      <text>
        <r>
          <rPr>
            <sz val="11"/>
            <color theme="1"/>
            <rFont val="Calibri"/>
            <family val="2"/>
            <scheme val="minor"/>
          </rPr>
          <t>GLAVA (glavna stavka):
Betonski rubnjak Dobava, doprema i montaža betonskog rubnjaka. Ugradba na prethodno pripremljenu betonsku podlogu, što je uključeno u cijenu. Rubnjaci se ugrađuju na svim rubovima pristupnog puta i parkinga prema uređenim površinama planiranim za izgradnju odnosno zaravnatom terenu, a postavljaju se tako da gornji rub rubnjaka bude ravan sa zelenom površinom i opločenjem. Stavka uključuje dobavu, dopremu, utovar, istovar, ugradnju, pripasivanje, usklađivanje detalja te vezni materijal i fugiranje.
STAVKA (podstavka):
Obračun po m rubnjaka.
———
Ako je gore TOČNO — preskoči.
Ako nije — ispravi tekst u ovom komentaru.
(jmj m · količina 50.48 · oznaka 9)</t>
        </r>
      </text>
    </comment>
    <comment ref="E258" authorId="0" shapeId="0" xr:uid="{00000000-0006-0000-0300-000030000000}">
      <text>
        <r>
          <rPr>
            <sz val="11"/>
            <color theme="1"/>
            <rFont val="Calibri"/>
            <family val="2"/>
            <scheme val="minor"/>
          </rPr>
          <t>GLAVA (glavna stavka):
Gletanje AB zidnih elemenata (stambeni prostor) Dobava potrebnog materijala i gletanje AB zidova. Prije nanošenja novih slojeva podlogu pripremiti odgovarajućim mehaničkim postupkom. Nanijeti grebani sloj kako bi se ispravile eventualne nejednolikosti podloge te u još mokri sloj nanijeti fini polimercementni mort u debljini sloja od 1-3 mm kao priprema za završne obrade.
STAVKA (podstavka):
Obračun po m2.
———
Ako je gore TOČNO — preskoči.
Ako nije — ispravi tekst u ovom komentaru.
(jmj m2 · količina 114.25 · oznaka 1)</t>
        </r>
      </text>
    </comment>
    <comment ref="E262" authorId="0" shapeId="0" xr:uid="{00000000-0006-0000-0300-000031000000}">
      <text>
        <r>
          <rPr>
            <sz val="11"/>
            <color theme="1"/>
            <rFont val="Calibri"/>
            <family val="2"/>
            <scheme val="minor"/>
          </rPr>
          <t>GLAVA (glavna stavka):
Gletanje AB stropova i podgleda stubišta (stambeni prostor) Dobava potrebnog materijala i gletanje AB stropova. Prije nanošenja novih slojeva podlogu pripremiti odgovarajućim mehaničkim postupkom. Nanijeti grebani sloj kako bi se ispravile eventualne nejednolikosti podloge te u još mokri sloj nanijeti fini polimercementni mort u debljini sloja od 1-3 mm kao priprema za završne obrade.
STAVKA (podstavka):
Obračun po m2.
———
Ako je gore TOČNO — preskoči.
Ako nije — ispravi tekst u ovom komentaru.
(jmj m2 · količina 77.12 · oznaka 2)</t>
        </r>
      </text>
    </comment>
    <comment ref="E270" authorId="0" shapeId="0" xr:uid="{00000000-0006-0000-0300-000032000000}">
      <text>
        <r>
          <rPr>
            <sz val="11"/>
            <color theme="1"/>
            <rFont val="Calibri"/>
            <family val="2"/>
            <scheme val="minor"/>
          </rPr>
          <t>GLAVA (glavna stavka):
Obrada AB stropova (poslovni prostor) Dobava, doprama potrebnog materijala i obrada neravnina AB stropova nakon uklanjanja oplate. —  BOJANJA
STAVKA (podstavka):
Obračun po m2.
———
Ako je gore TOČNO — preskoči.
Ako nije — ispravi tekst u ovom komentaru.
(jmj m2 · količina 238.79 · oznaka 4)</t>
        </r>
      </text>
    </comment>
    <comment ref="E276" authorId="0" shapeId="0" xr:uid="{00000000-0006-0000-0300-000033000000}">
      <text>
        <r>
          <rPr>
            <sz val="11"/>
            <color theme="1"/>
            <rFont val="Calibri"/>
            <family val="2"/>
            <scheme val="minor"/>
          </rPr>
          <t>GLAVA (glavna stavka):
Bojanje zidova Dobava, doprema materijala i bojanje zidova i obloga stanova, stubišta i hodnika, bojom prema izboru projektanta.
STAVKA (podstavka):
Obračun po m2.
———
Ako je gore TOČNO — preskoči.
Ako nije — ispravi tekst u ovom komentaru.
(jmj m2 · količina 534.61 · oznaka 5)</t>
        </r>
      </text>
    </comment>
    <comment ref="E280" authorId="0" shapeId="0" xr:uid="{00000000-0006-0000-0300-000034000000}">
      <text>
        <r>
          <rPr>
            <sz val="11"/>
            <color theme="1"/>
            <rFont val="Calibri"/>
            <family val="2"/>
            <scheme val="minor"/>
          </rPr>
          <t>GLAVA (glavna stavka):
Bojanje zidova perivom bojom Dobava, doprema materijala i bojanje zidova kupaonice poslovnog protora, perivom bojom prema izboru projektanta.
STAVKA (podstavka):
Obračun po m2.
———
Ako je gore TOČNO — preskoči.
Ako nije — ispravi tekst u ovom komentaru.
(jmj m2 · količina 26.46 · oznaka 6)</t>
        </r>
      </text>
    </comment>
    <comment ref="E284" authorId="0" shapeId="0" xr:uid="{00000000-0006-0000-0300-000035000000}">
      <text>
        <r>
          <rPr>
            <sz val="11"/>
            <color theme="1"/>
            <rFont val="Calibri"/>
            <family val="2"/>
            <scheme val="minor"/>
          </rPr>
          <t>GLAVA (glavna stavka):
Bojanje stropova Dobava, doprema materijala i bojanje stropova uključivo i bojanje svih maski, bojom prema izboru projektanta.
STAVKA (podstavka):
Obračun po m2.
———
Ako je gore TOČNO — preskoči.
Ako nije — ispravi tekst u ovom komentaru.
(jmj m2 · količina 331.78 · oznaka 7)</t>
        </r>
      </text>
    </comment>
    <comment ref="E288" authorId="0" shapeId="0" xr:uid="{00000000-0006-0000-0300-000036000000}">
      <text>
        <r>
          <rPr>
            <sz val="11"/>
            <color theme="1"/>
            <rFont val="Calibri"/>
            <family val="2"/>
            <scheme val="minor"/>
          </rPr>
          <t>GLAVA (glavna stavka):
Ptotuprašni premaz Dobava, doprema materijala i ugradnja protuprašnog premaza na zidove poslovnog protora i garaže.
STAVKA (podstavka):
Obračun po m2.
———
Ako je gore TOČNO — preskoči.
Ako nije — ispravi tekst u ovom komentaru.
(jmj m2 · količina 277.7 · oznaka 8)</t>
        </r>
      </text>
    </comment>
    <comment ref="E307" authorId="0" shapeId="0" xr:uid="{00000000-0006-0000-0300-000037000000}">
      <text>
        <r>
          <rPr>
            <sz val="11"/>
            <color theme="1"/>
            <rFont val="Calibri"/>
            <family val="2"/>
            <scheme val="minor"/>
          </rPr>
          <t>GLAVA (glavna stavka):
Unutarnja vrata Izrada, dobava i ugradnja punih drvenih jednokrilnih zaokretnih vrata sanitarija i garderobe u AB zid prema shemi. Vrata u svemu prema izboru projektanta. Dimenzije: 100/220 cm
STAVKA (podstavka):
Obračun po kom.
———
Ako je gore TOČNO — preskoči.
Ako nije — ispravi tekst u ovom komentaru.
(jmj kom · količina 2.0 · oznaka 1)</t>
        </r>
      </text>
    </comment>
    <comment ref="E312" authorId="0" shapeId="0" xr:uid="{00000000-0006-0000-0300-000038000000}">
      <text>
        <r>
          <rPr>
            <sz val="11"/>
            <color theme="1"/>
            <rFont val="Calibri"/>
            <family val="2"/>
            <scheme val="minor"/>
          </rPr>
          <t>GLAVA (glavna stavka):
Unutarnja vrata Izrada, dobava i ugradnja punih drvenih jednokrilnih zaokretnih vrata sanitarija, garderobe i spremišta u GK zid prema shemi. Vrata u svemu prema izboru projektanta. Dimenzije: 70/220 cm
STAVKA (podstavka):
Obračun po kom.
———
Ako je gore TOČNO — preskoči.
Ako nije — ispravi tekst u ovom komentaru.
(jmj kom · količina 2.0 · oznaka 2)</t>
        </r>
      </text>
    </comment>
    <comment ref="E317" authorId="0" shapeId="0" xr:uid="{00000000-0006-0000-0300-000039000000}">
      <text>
        <r>
          <rPr>
            <sz val="11"/>
            <color theme="1"/>
            <rFont val="Calibri"/>
            <family val="2"/>
            <scheme val="minor"/>
          </rPr>
          <t>GLAVA (glavna stavka):
Unutarnja vrata Izrada, dobava i ugradnja punih drvenih jednokrilnih zaokretnih vrata sanitarija s prestrujnom rešetkom u GK zid prema shemi. Vrata u svemu prema izboru projektanta. Dimenzije: 70/220 cm —  OSTALO
STAVKA (podstavka):
Obračun po kom.
———
Ako je gore TOČNO — preskoči.
Ako nije — ispravi tekst u ovom komentaru.
(jmj kom · količina 1.0 · oznaka 3)</t>
        </r>
      </text>
    </comment>
    <comment ref="E323" authorId="0" shapeId="0" xr:uid="{00000000-0006-0000-0300-00003A000000}">
      <text>
        <r>
          <rPr>
            <sz val="11"/>
            <color theme="1"/>
            <rFont val="Calibri"/>
            <family val="2"/>
            <scheme val="minor"/>
          </rPr>
          <t>GLAVA (glavna stavka):
Unutarnja stepenica Izrada, dobava i ugradnja drvene stepenice s konstrukcijom za izlaz na terasu 1.kata u svemu prema projektnoj dokumentaciji. Stavka uključuje sav potreban spojni i pričvrsni materijal.
STAVKA (podstavka):
Obračun po kompletu.
———
Ako je gore TOČNO — preskoči.
Ako nije — ispravi tekst u ovom komentaru.
(jmj kpl · količina 1.0 · oznaka 4)</t>
        </r>
      </text>
    </comment>
    <comment ref="E327" authorId="0" shapeId="0" xr:uid="{00000000-0006-0000-0300-00003B000000}">
      <text>
        <r>
          <rPr>
            <sz val="11"/>
            <color theme="1"/>
            <rFont val="Calibri"/>
            <family val="2"/>
            <scheme val="minor"/>
          </rPr>
          <t>GLAVA (glavna stavka):
Vrata strojarnice Izrada, dobava i ugradnja drvenih vrata strojarnice na terasi 1.kata u svemu prema projektnoj dokumentaciji. Stavka uključuje sav potreban spojni i pričvrsni materijal.
STAVKA (podstavka):
Obračun po m2.
———
Ako je gore TOČNO — preskoči.
Ako nije — ispravi tekst u ovom komentaru.
(jmj m2 · količina 2.02 · oznaka 5)</t>
        </r>
      </text>
    </comment>
    <comment ref="E344" authorId="0" shapeId="0" xr:uid="{00000000-0006-0000-0300-00003C000000}">
      <text>
        <r>
          <rPr>
            <sz val="11"/>
            <color theme="1"/>
            <rFont val="Calibri"/>
            <family val="2"/>
            <scheme val="minor"/>
          </rPr>
          <t>GLAVA (glavna stavka):
Ulazna vrata stana Izrada, dobava i ugradnja protupožarnih punih glatkih jednokrilnih zaokretnih ulaznih vrata prema shemi. Vrata u svemu prema izboru projektanta. Dimenzije: 110/220 cm —  VRATA
STAVKA (podstavka):
Obračun po kom.
———
Ako je gore TOČNO — preskoči.
Ako nije — ispravi tekst u ovom komentaru.
(jmj kom · količina 1.0 · oznaka 1)</t>
        </r>
      </text>
    </comment>
    <comment ref="E351" authorId="0" shapeId="0" xr:uid="{00000000-0006-0000-0300-00003D000000}">
      <text>
        <r>
          <rPr>
            <sz val="11"/>
            <color theme="1"/>
            <rFont val="Calibri"/>
            <family val="2"/>
            <scheme val="minor"/>
          </rPr>
          <t>GLAVA (glavna stavka):
Ulazna vrata Izrada, dobava i ugradnja dvokrilinih ulaznih vrata s nadsvjetlom, armiranim staklom i maskom od Alu profila s prekinutim toplinskim mostom, završno obrađenim plastificiranjem u svemu prema izboru projektanta. Dimenzije: 200/260+120 cm
STAVKA (podstavka):
Obračun po kom.
———
Ako je gore TOČNO — preskoči.
Ako nije — ispravi tekst u ovom komentaru.
(jmj kom · količina 1.0 · oznaka 2)</t>
        </r>
      </text>
    </comment>
    <comment ref="E356" authorId="0" shapeId="0" xr:uid="{00000000-0006-0000-0300-00003E000000}">
      <text>
        <r>
          <rPr>
            <sz val="11"/>
            <color theme="1"/>
            <rFont val="Calibri"/>
            <family val="2"/>
            <scheme val="minor"/>
          </rPr>
          <t>GLAVA (glavna stavka):
Ulazna vrata Izrada, dobava i ugradnja dvokrilnih ulaznih vrata s nadsvjetlom i armiranim staklom od Alu profila s prekinutim toplinskim mostom, završno obrađenim plastificiranjem u svemu prema izboru projektanta. Dimenzije: 250/260 cm
STAVKA (podstavka):
Obračun po kom.
———
Ako je gore TOČNO — preskoči.
Ako nije — ispravi tekst u ovom komentaru.
(jmj kom · količina 2.0 · oznaka 3)</t>
        </r>
      </text>
    </comment>
    <comment ref="E361" authorId="0" shapeId="0" xr:uid="{00000000-0006-0000-0300-00003F000000}">
      <text>
        <r>
          <rPr>
            <sz val="11"/>
            <color theme="1"/>
            <rFont val="Calibri"/>
            <family val="2"/>
            <scheme val="minor"/>
          </rPr>
          <t>GLAVA (glavna stavka):
Ulazna vrata Izrada, dobava i ugradnja jednokrilnih ulaznih vrata s nadsvjetlom od Alu profila s prekinutim toplinskim mostom, završno obrađenim plastificiranjem u svemu prema izboru projektanta. Dimenzije: 120/260 cm —  PROZORI
STAVKA (podstavka):
Obračun po kom.
———
Ako je gore TOČNO — preskoči.
Ako nije — ispravi tekst u ovom komentaru.
(jmj kom · količina 2.0 · oznaka 4)</t>
        </r>
      </text>
    </comment>
    <comment ref="E368" authorId="0" shapeId="0" xr:uid="{00000000-0006-0000-0300-000040000000}">
      <text>
        <r>
          <rPr>
            <sz val="11"/>
            <color theme="1"/>
            <rFont val="Calibri"/>
            <family val="2"/>
            <scheme val="minor"/>
          </rPr>
          <t>GLAVA (glavna stavka):
Jednokrilni prozor Izrada, dobava i ugradnja jednokrilnog prozora od Alu profila s prekinutim toplinskim mostom, završno obrađenim plastificiranjem u svemu prema izboru projektanta. Dimenzije: 60/60 cm
STAVKA (podstavka):
Obračun po kom.
———
Ako je gore TOČNO — preskoči.
Ako nije — ispravi tekst u ovom komentaru.
(jmj kom · količina 3.0 · oznaka 5)</t>
        </r>
      </text>
    </comment>
    <comment ref="E373" authorId="0" shapeId="0" xr:uid="{00000000-0006-0000-0300-000041000000}">
      <text>
        <r>
          <rPr>
            <sz val="11"/>
            <color theme="1"/>
            <rFont val="Calibri"/>
            <family val="2"/>
            <scheme val="minor"/>
          </rPr>
          <t>GLAVA (glavna stavka):
Jednokrilni prozor Izrada, dobava i ugradnja jednokrilnog prozora s armiranim staklom od Alu profila s prekinutim toplinskim mostom, završno obrađenim plastificiranjem u svemu prema izboru projektanta. Dimenzije: 60/120 cm
STAVKA (podstavka):
Obračun po kom.
———
Ako je gore TOČNO — preskoči.
Ako nije — ispravi tekst u ovom komentaru.
(jmj kom · količina 1.0 · oznaka 6)</t>
        </r>
      </text>
    </comment>
    <comment ref="E378" authorId="0" shapeId="0" xr:uid="{00000000-0006-0000-0300-000042000000}">
      <text>
        <r>
          <rPr>
            <sz val="11"/>
            <color theme="1"/>
            <rFont val="Calibri"/>
            <family val="2"/>
            <scheme val="minor"/>
          </rPr>
          <t>GLAVA (glavna stavka):
Jednokrilni prozor Izrada, dobava i ugradnja jednokrilnog prozora s nadsvjetlom od Alu profila s prekinutim toplinskim mostom, završno obrađenim plastificiranjem u svemu prema izboru projektanta. Dimenzije: 80/180 cm
STAVKA (podstavka):
Obračun po kom.
———
Ako je gore TOČNO — preskoči.
Ako nije — ispravi tekst u ovom komentaru.
(jmj kom · količina 1.0 · oznaka 7)</t>
        </r>
      </text>
    </comment>
    <comment ref="E383" authorId="0" shapeId="0" xr:uid="{00000000-0006-0000-0300-000043000000}">
      <text>
        <r>
          <rPr>
            <sz val="11"/>
            <color theme="1"/>
            <rFont val="Calibri"/>
            <family val="2"/>
            <scheme val="minor"/>
          </rPr>
          <t>GLAVA (glavna stavka):
Jednokrilni prozor Izrada, dobava i ugradnja jednokrilnog prozora s armiranim staklom i nadsvjetlom od Alu profila s prekinutim toplinskim mostom, završno obrađenim plastificiranjem u svemu prema izboru projektanta. Dimenzije: 80/180 cm
STAVKA (podstavka):
Obračun po kom.
———
Ako je gore TOČNO — preskoči.
Ako nije — ispravi tekst u ovom komentaru.
(jmj kom · količina 1.0 · oznaka 8)</t>
        </r>
      </text>
    </comment>
    <comment ref="E388" authorId="0" shapeId="0" xr:uid="{00000000-0006-0000-0300-000044000000}">
      <text>
        <r>
          <rPr>
            <sz val="11"/>
            <color theme="1"/>
            <rFont val="Calibri"/>
            <family val="2"/>
            <scheme val="minor"/>
          </rPr>
          <t>GLAVA (glavna stavka):
Jednokrilni prozor Izrada, dobava i ugradnja jednokrilnog prozora od Alu profila s prekinutim toplinskim mostom, završno obrađenim plastificiranjem u svemu prema izboru projektanta. Dimenzije: 60/260 cm
STAVKA (podstavka):
Obračun po kom.
———
Ako je gore TOČNO — preskoči.
Ako nije — ispravi tekst u ovom komentaru.
(jmj kom · količina 1.0 · oznaka 9)</t>
        </r>
      </text>
    </comment>
    <comment ref="E393" authorId="0" shapeId="0" xr:uid="{00000000-0006-0000-0300-000045000000}">
      <text>
        <r>
          <rPr>
            <sz val="11"/>
            <color theme="1"/>
            <rFont val="Calibri"/>
            <family val="2"/>
            <scheme val="minor"/>
          </rPr>
          <t>GLAVA (glavna stavka):
Jednokrilni prozor Izrada, dobava i ugradnja jednokrilnog prozora od Alu profila s prekinutim toplinskim mostom, završno obrađenim plastificiranjem u svemu prema izboru projektanta. Dimenzije: 100/260 cm
STAVKA (podstavka):
Obračun po kom.
———
Ako je gore TOČNO — preskoči.
Ako nije — ispravi tekst u ovom komentaru.
(jmj kom · količina 1.0 · oznaka 10)</t>
        </r>
      </text>
    </comment>
    <comment ref="E398" authorId="0" shapeId="0" xr:uid="{00000000-0006-0000-0300-000046000000}">
      <text>
        <r>
          <rPr>
            <sz val="11"/>
            <color theme="1"/>
            <rFont val="Calibri"/>
            <family val="2"/>
            <scheme val="minor"/>
          </rPr>
          <t>GLAVA (glavna stavka):
Jednokrilni prozor Izrada, dobava i ugradnja jednokrilnog prozora od Alu profila s prekinutim toplinskim mostom, završno obrađenim plastificiranjem u svemu prema izboru projektanta. Dimenzije: 60/270 cm
STAVKA (podstavka):
Obračun po kom.
———
Ako je gore TOČNO — preskoči.
Ako nije — ispravi tekst u ovom komentaru.
(jmj kom · količina 1.0 · oznaka 11)</t>
        </r>
      </text>
    </comment>
    <comment ref="E403" authorId="0" shapeId="0" xr:uid="{00000000-0006-0000-0300-000047000000}">
      <text>
        <r>
          <rPr>
            <sz val="11"/>
            <color theme="1"/>
            <rFont val="Calibri"/>
            <family val="2"/>
            <scheme val="minor"/>
          </rPr>
          <t>GLAVA (glavna stavka):
Jednokrilni prozor Izrada, dobava i ugradnja jednokrilnog prozora od Alu profila s prekinutim toplinskim mostom, završno obrađenim plastificiranjem u svemu prema izboru projektanta. Dimenzije: 100/270 cm
STAVKA (podstavka):
Obračun po kom.
———
Ako je gore TOČNO — preskoči.
Ako nije — ispravi tekst u ovom komentaru.
(jmj kom · količina 1.0 · oznaka 12)</t>
        </r>
      </text>
    </comment>
    <comment ref="E408" authorId="0" shapeId="0" xr:uid="{00000000-0006-0000-0300-000048000000}">
      <text>
        <r>
          <rPr>
            <sz val="11"/>
            <color theme="1"/>
            <rFont val="Calibri"/>
            <family val="2"/>
            <scheme val="minor"/>
          </rPr>
          <t>GLAVA (glavna stavka):
Trodijelni prozor Izrada, dobava i ugradnja trodijelnog prozora od Alu profila s prekinutim toplinskim mostom, završno obrađenim plastificiranjem u svemu prema izboru projektanta. Dimenzije: 230/260 cm
STAVKA (podstavka):
Obračun po kom.
———
Ako je gore TOČNO — preskoči.
Ako nije — ispravi tekst u ovom komentaru.
(jmj kom · količina 2.0 · oznaka 13)</t>
        </r>
      </text>
    </comment>
    <comment ref="E413" authorId="0" shapeId="0" xr:uid="{00000000-0006-0000-0300-000049000000}">
      <text>
        <r>
          <rPr>
            <sz val="11"/>
            <color theme="1"/>
            <rFont val="Calibri"/>
            <family val="2"/>
            <scheme val="minor"/>
          </rPr>
          <t>GLAVA (glavna stavka):
Trodijelni prozor Izrada, dobava i ugradnja trodijelnog prozora s maskom od Alu profila s prekinutim toplinskim mostom, završno obrađenim plastificiranjem u svemu prema izboru projektanta. Dimenzije: 300/120 cm
STAVKA (podstavka):
Obračun po kom.
———
Ako je gore TOČNO — preskoči.
Ako nije — ispravi tekst u ovom komentaru.
(jmj kom · količina 1.0 · oznaka 14)</t>
        </r>
      </text>
    </comment>
    <comment ref="E418" authorId="0" shapeId="0" xr:uid="{00000000-0006-0000-0300-00004A000000}">
      <text>
        <r>
          <rPr>
            <sz val="11"/>
            <color theme="1"/>
            <rFont val="Calibri"/>
            <family val="2"/>
            <scheme val="minor"/>
          </rPr>
          <t>GLAVA (glavna stavka):
Višedijelni prozor Izrada, dobava i ugradnja višedijelnog prozora s armiranim staklom i maskom od Alu profila s prekinutim toplinskim mostom, završno obrađenim plastificiranjem u svemu prema izboru projektanta. Dimenzije: 495/60 cm —  STAKLENE STIJENE
STAVKA (podstavka):
Obračun po kom.
———
Ako je gore TOČNO — preskoči.
Ako nije — ispravi tekst u ovom komentaru.
(jmj kom · količina 1.0 · oznaka 15)</t>
        </r>
      </text>
    </comment>
    <comment ref="E426" authorId="0" shapeId="0" xr:uid="{00000000-0006-0000-0300-00004B000000}">
      <text>
        <r>
          <rPr>
            <sz val="11"/>
            <color theme="1"/>
            <rFont val="Calibri"/>
            <family val="2"/>
            <scheme val="minor"/>
          </rPr>
          <t>GLAVA (glavna stavka):
Četverodijelna stijena Izrada, dobava i ugradnja četverodijelne stijene od Alu profila s prekinutim toplinskim mostom, završno obrađenim plastificiranjem u svemu prema izboru projektanta. Ojačanje stijene izvesti između dnevnog boravka i sobe, kvadratnim čeličnim profilom dimanzija 100x100 mm, d= 5 mm. Dimenzije: 570/250 cm
STAVKA (podstavka):
Obračun po komadu staklene stijene.
———
Ako je gore TOČNO — preskoči.
Ako nije — ispravi tekst u ovom komentaru.
(jmj kom · količina 1.0 · oznaka 16)</t>
        </r>
      </text>
    </comment>
    <comment ref="E427" authorId="0" shapeId="0" xr:uid="{00000000-0006-0000-0300-00004C000000}">
      <text>
        <r>
          <rPr>
            <sz val="11"/>
            <color theme="1"/>
            <rFont val="Calibri"/>
            <family val="2"/>
            <scheme val="minor"/>
          </rPr>
          <t>GLAVA (glavna stavka):
Četverodijelna stijena Izrada, dobava i ugradnja četverodijelne stijene od Alu profila s prekinutim toplinskim mostom, završno obrađenim plastificiranjem u svemu prema izboru projektanta. Ojačanje stijene izvesti između dnevnog boravka i sobe, kvadratnim čeličnim profilom dimanzija 100x100 mm, d= 5 mm. Dimenzije: 570/250 cm
STAVKA (podstavka):
Obračun po kg ojačanja.
———
Ako je gore TOČNO — preskoči.
Ako nije — ispravi tekst u ovom komentaru.
(jmj kg · količina 37.14 · oznaka 16)</t>
        </r>
      </text>
    </comment>
    <comment ref="E432" authorId="0" shapeId="0" xr:uid="{00000000-0006-0000-0300-00004D000000}">
      <text>
        <r>
          <rPr>
            <sz val="11"/>
            <color theme="1"/>
            <rFont val="Calibri"/>
            <family val="2"/>
            <scheme val="minor"/>
          </rPr>
          <t>GLAVA (glavna stavka):
Višedijelna stijena Izrada, dobava i ugradnja višedijelne stijene s armiranim staklom i maskom od Alu profila s prekinutim toplinskim mostom, završno obrađenim plastificiranjem u svemu prema izboru projektanta. Dimenzije: 200/270+80 cm —  OSTALO
STAVKA (podstavka):
Obračun po kom.
———
Ako je gore TOČNO — preskoči.
Ako nije — ispravi tekst u ovom komentaru.
(jmj kom · količina 1.0 · oznaka 17)</t>
        </r>
      </text>
    </comment>
    <comment ref="E439" authorId="0" shapeId="0" xr:uid="{00000000-0006-0000-0300-00004E000000}">
      <text>
        <r>
          <rPr>
            <sz val="11"/>
            <color theme="1"/>
            <rFont val="Calibri"/>
            <family val="2"/>
            <scheme val="minor"/>
          </rPr>
          <t>GLAVA (glavna stavka):
Garažna vrata Izrada, dobava i ugradnja garažnih vrata od Alu profila s prekinutim toplinskim mostom, završno obrađenim plastificiranjem u svemu prema izboru projektanta. Dimenzije: 300/272 cm
STAVKA (podstavka):
Obračun po kom.
———
Ako je gore TOČNO — preskoči.
Ako nije — ispravi tekst u ovom komentaru.
(jmj kom · količina 1.0 · oznaka 18)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E7" authorId="0" shapeId="0" xr:uid="{00000000-0006-0000-0400-000001000000}">
      <text>
        <r>
          <rPr>
            <sz val="11"/>
            <color theme="1"/>
            <rFont val="Calibri"/>
            <family val="2"/>
            <scheme val="minor"/>
          </rPr>
          <t>GLAVA (glavna stavka):
AB POTPORNI ZID – POSTOJEĆA ZGRADA
STAVKA (podstavka):
Iskolčenje potpornog zida
———
Ako je gore TOČNO — preskoči.
Ako nije — ispravi tekst u ovom komentaru.
(jmj kpl · količina 1.0 · oznaka ?)</t>
        </r>
      </text>
    </comment>
    <comment ref="E8" authorId="0" shapeId="0" xr:uid="{00000000-0006-0000-0400-000002000000}">
      <text>
        <r>
          <rPr>
            <sz val="11"/>
            <color theme="1"/>
            <rFont val="Calibri"/>
            <family val="2"/>
            <scheme val="minor"/>
          </rPr>
          <t>GLAVA (glavna stavka):
AB POTPORNI ZID – POSTOJEĆA ZGRADA
STAVKA (podstavka):
Rušenje postojećeg zida do visine za izradu vanjskog uređenja.
———
Ako je gore TOČNO — preskoči.
Ako nije — ispravi tekst u ovom komentaru.
(jmj m3 · količina 2.13 · oznaka ?)</t>
        </r>
      </text>
    </comment>
    <comment ref="E9" authorId="0" shapeId="0" xr:uid="{00000000-0006-0000-0400-000003000000}">
      <text>
        <r>
          <rPr>
            <sz val="11"/>
            <color theme="1"/>
            <rFont val="Calibri"/>
            <family val="2"/>
            <scheme val="minor"/>
          </rPr>
          <t>GLAVA (glavna stavka):
AB POTPORNI ZID – POSTOJEĆA ZGRADA
STAVKA (podstavka):
Rušenje postojećeg betonskog poda za izradu novog zida.
———
Ako je gore TOČNO — preskoči.
Ako nije — ispravi tekst u ovom komentaru.
(jmj m2 · količina 56.72 · oznaka ?)</t>
        </r>
      </text>
    </comment>
    <comment ref="E10" authorId="0" shapeId="0" xr:uid="{00000000-0006-0000-0400-000004000000}">
      <text>
        <r>
          <rPr>
            <sz val="11"/>
            <color theme="1"/>
            <rFont val="Calibri"/>
            <family val="2"/>
            <scheme val="minor"/>
          </rPr>
          <t>GLAVA (glavna stavka):
AB POTPORNI ZID – POSTOJEĆA ZGRADA
STAVKA (podstavka):
Iskop za temelje, sa utovarom i odvozom na deponiju.
———
Ako je gore TOČNO — preskoči.
Ako nije — ispravi tekst u ovom komentaru.
(jmj m3 · količina 22.69 · oznaka ?)</t>
        </r>
      </text>
    </comment>
    <comment ref="E11" authorId="0" shapeId="0" xr:uid="{00000000-0006-0000-0400-000005000000}">
      <text>
        <r>
          <rPr>
            <sz val="11"/>
            <color theme="1"/>
            <rFont val="Calibri"/>
            <family val="2"/>
            <scheme val="minor"/>
          </rPr>
          <t>GLAVA (glavna stavka):
AB POTPORNI ZID – POSTOJEĆA ZGRADA
STAVKA (podstavka):
Dobava i ugradnja betona C25/30 u temelje.
———
Ako je gore TOČNO — preskoči.
Ako nije — ispravi tekst u ovom komentaru.
(jmj m3 · količina 9.93 · oznaka ?)</t>
        </r>
      </text>
    </comment>
    <comment ref="E12" authorId="0" shapeId="0" xr:uid="{00000000-0006-0000-0400-000006000000}">
      <text>
        <r>
          <rPr>
            <sz val="11"/>
            <color theme="1"/>
            <rFont val="Calibri"/>
            <family val="2"/>
            <scheme val="minor"/>
          </rPr>
          <t>GLAVA (glavna stavka):
AB POTPORNI ZID – POSTOJEĆA ZGRADA
STAVKA (podstavka):
Oplata temelja zida, oplata temelja se izvodi u ravnim segmentima.
———
Ako je gore TOČNO — preskoči.
Ako nije — ispravi tekst u ovom komentaru.
(jmj m2 · količina 15.27 · oznaka ?)</t>
        </r>
      </text>
    </comment>
    <comment ref="E13" authorId="0" shapeId="0" xr:uid="{00000000-0006-0000-0400-000007000000}">
      <text>
        <r>
          <rPr>
            <sz val="11"/>
            <color theme="1"/>
            <rFont val="Calibri"/>
            <family val="2"/>
            <scheme val="minor"/>
          </rPr>
          <t>GLAVA (glavna stavka):
AB POTPORNI ZID – POSTOJEĆA ZGRADA
STAVKA (podstavka):
Dobava i ugradnja betona C25/30 u potporni zid
———
Ako je gore TOČNO — preskoči.
Ako nije — ispravi tekst u ovom komentaru.
(jmj m3 · količina 4.9 · oznaka ?)</t>
        </r>
      </text>
    </comment>
    <comment ref="E14" authorId="0" shapeId="0" xr:uid="{00000000-0006-0000-0400-000008000000}">
      <text>
        <r>
          <rPr>
            <sz val="11"/>
            <color theme="1"/>
            <rFont val="Calibri"/>
            <family val="2"/>
            <scheme val="minor"/>
          </rPr>
          <t>GLAVA (glavna stavka):
AB POTPORNI ZID – POSTOJEĆA ZGRADA
STAVKA (podstavka):
Oplata zida izvedena u lukovima prema projektu
———
Ako je gore TOČNO — preskoči.
Ako nije — ispravi tekst u ovom komentaru.
(jmj m2 · količina 45.82 · oznaka ?)</t>
        </r>
      </text>
    </comment>
    <comment ref="E15" authorId="0" shapeId="0" xr:uid="{00000000-0006-0000-0400-000009000000}">
      <text>
        <r>
          <rPr>
            <sz val="11"/>
            <color theme="1"/>
            <rFont val="Calibri"/>
            <family val="2"/>
            <scheme val="minor"/>
          </rPr>
          <t>GLAVA (glavna stavka):
AB POTPORNI ZID – POSTOJEĆA ZGRADA
STAVKA (podstavka):
Doba i ugradnja armature prema projektu
———
Ako je gore TOČNO — preskoči.
Ako nije — ispravi tekst u ovom komentaru.
(jmj kg · količina 690.39 · oznaka ?)</t>
        </r>
      </text>
    </comment>
    <comment ref="E16" authorId="0" shapeId="0" xr:uid="{00000000-0006-0000-0400-00000A000000}">
      <text>
        <r>
          <rPr>
            <sz val="11"/>
            <color theme="1"/>
            <rFont val="Calibri"/>
            <family val="2"/>
            <scheme val="minor"/>
          </rPr>
          <t>GLAVA (glavna stavka):
AB POTPORNI ZID – POSTOJEĆA ZGRADA
STAVKA (podstavka):
Zatrpavanje sa kamenim materijalom.
———
Ako je gore TOČNO — preskoči.
Ako nije — ispravi tekst u ovom komentaru.
(jmj m3 · količina 45.82 · oznaka ?)</t>
        </r>
      </text>
    </comment>
    <comment ref="E20" authorId="0" shapeId="0" xr:uid="{00000000-0006-0000-0400-00000B000000}">
      <text>
        <r>
          <rPr>
            <sz val="11"/>
            <color theme="1"/>
            <rFont val="Calibri"/>
            <family val="2"/>
            <scheme val="minor"/>
          </rPr>
          <t>GLAVA (glavna stavka):
RUŠENJE I PONOVA IZGRADNJA PARAPETNOG ZIDA SA UKLANJANJEM I MONTAŽU POSTOJEĆE OGRADE
STAVKA (podstavka):
Uklanjanje postojeće ograde
———
Ako je gore TOČNO — preskoči.
Ako nije — ispravi tekst u ovom komentaru.
(jmj kom. · količina 1.0 · oznaka ?)</t>
        </r>
      </text>
    </comment>
    <comment ref="E21" authorId="0" shapeId="0" xr:uid="{00000000-0006-0000-0400-00000C000000}">
      <text>
        <r>
          <rPr>
            <sz val="11"/>
            <color theme="1"/>
            <rFont val="Calibri"/>
            <family val="2"/>
            <scheme val="minor"/>
          </rPr>
          <t>GLAVA (glavna stavka):
RUŠENJE I PONOVA IZGRADNJA PARAPETNOG ZIDA SA UKLANJANJEM I MONTAŽU POSTOJEĆE OGRADE
STAVKA (podstavka):
Rušenje postojećega zida, odvoz materijala na trajnu deponiju
———
Ako je gore TOČNO — preskoči.
Ako nije — ispravi tekst u ovom komentaru.
(jmj kom. · količina 1.0 · oznaka ?)</t>
        </r>
      </text>
    </comment>
    <comment ref="E22" authorId="0" shapeId="0" xr:uid="{00000000-0006-0000-0400-00000D000000}">
      <text>
        <r>
          <rPr>
            <sz val="11"/>
            <color theme="1"/>
            <rFont val="Calibri"/>
            <family val="2"/>
            <scheme val="minor"/>
          </rPr>
          <t>GLAVA (glavna stavka):
RUŠENJE I PONOVA IZGRADNJA PARAPETNOG ZIDA SA UKLANJANJEM I MONTAŽU POSTOJEĆE OGRADE
STAVKA (podstavka):
Iskoličenje parcelne granice i novog zida
———
Ako je gore TOČNO — preskoči.
Ako nije — ispravi tekst u ovom komentaru.
(jmj kom. · količina 1.0 · oznaka ?)</t>
        </r>
      </text>
    </comment>
    <comment ref="E23" authorId="0" shapeId="0" xr:uid="{00000000-0006-0000-0400-00000E000000}">
      <text>
        <r>
          <rPr>
            <sz val="11"/>
            <color theme="1"/>
            <rFont val="Calibri"/>
            <family val="2"/>
            <scheme val="minor"/>
          </rPr>
          <t>GLAVA (glavna stavka):
RUŠENJE I PONOVA IZGRADNJA PARAPETNOG ZIDA SA UKLANJANJEM I MONTAŽU POSTOJEĆE OGRADE
STAVKA (podstavka):
iskop za temeljenje zidu
———
Ako je gore TOČNO — preskoči.
Ako nije — ispravi tekst u ovom komentaru.
(jmj m3 · količina 16.8 · oznaka ?)</t>
        </r>
      </text>
    </comment>
    <comment ref="E24" authorId="0" shapeId="0" xr:uid="{00000000-0006-0000-0400-00000F000000}">
      <text>
        <r>
          <rPr>
            <sz val="11"/>
            <color theme="1"/>
            <rFont val="Calibri"/>
            <family val="2"/>
            <scheme val="minor"/>
          </rPr>
          <t>GLAVA (glavna stavka):
RUŠENJE I PONOVA IZGRADNJA PARAPETNOG ZIDA SA UKLANJANJEM I MONTAŽU POSTOJEĆE OGRADE
STAVKA (podstavka):
Nosivni sloj od mehanički zbijenog zrnatog kamenog materijala 0/32, d=20cm
———
Ako je gore TOČNO — preskoči.
Ako nije — ispravi tekst u ovom komentaru.
(jmj m3 · količina 4.8 · oznaka ?)</t>
        </r>
      </text>
    </comment>
    <comment ref="E25" authorId="0" shapeId="0" xr:uid="{00000000-0006-0000-0400-000010000000}">
      <text>
        <r>
          <rPr>
            <sz val="11"/>
            <color theme="1"/>
            <rFont val="Calibri"/>
            <family val="2"/>
            <scheme val="minor"/>
          </rPr>
          <t>GLAVA (glavna stavka):
RUŠENJE I PONOVA IZGRADNJA PARAPETNOG ZIDA SA UKLANJANJEM I MONTAŽU POSTOJEĆE OGRADE
STAVKA (podstavka):
Geotekstil 300g/m2, dobava i ugradnja
———
Ako je gore TOČNO — preskoči.
Ako nije — ispravi tekst u ovom komentaru.
(jmj m2 · količina 24.0 · oznaka ?)</t>
        </r>
      </text>
    </comment>
    <comment ref="E27" authorId="0" shapeId="0" xr:uid="{00000000-0006-0000-0400-000011000000}">
      <text>
        <r>
          <rPr>
            <sz val="11"/>
            <color theme="1"/>
            <rFont val="Calibri"/>
            <family val="2"/>
            <scheme val="minor"/>
          </rPr>
          <t>⚠ AGENT SAM SUMNJA: Stavka nema ni opis posla ni specifikaciju (5 znakova) — vjerojatno nije dobila glavu svog bloka ili redak uopće nije stavka.
GLAVA (glavna stavka):
RUŠENJE I PONOVA IZGRADNJA PARAPETNOG ZIDA SA UKLANJANJEM I MONTAŽU POSTOJEĆE OGRADE
STAVKA (podstavka):
beton
———
Ako je gore TOČNO — preskoči.
Ako nije — ispravi tekst u ovom komentaru.
(jmj m3 · količina 3.6 · oznaka 8.)</t>
        </r>
      </text>
    </comment>
    <comment ref="E28" authorId="0" shapeId="0" xr:uid="{00000000-0006-0000-0400-000012000000}">
      <text>
        <r>
          <rPr>
            <sz val="11"/>
            <color theme="1"/>
            <rFont val="Calibri"/>
            <family val="2"/>
            <scheme val="minor"/>
          </rPr>
          <t>GLAVA (glavna stavka):
RUŠENJE I PONOVA IZGRADNJA PARAPETNOG ZIDA SA UKLANJANJEM I MONTAŽU POSTOJEĆE OGRADE
STAVKA (podstavka):
oplata
———
Ako je gore TOČNO — preskoči.
Ako nije — ispravi tekst u ovom komentaru.
(jmj m2 · količina 14.7 · oznaka 8.)</t>
        </r>
      </text>
    </comment>
    <comment ref="E30" authorId="0" shapeId="0" xr:uid="{00000000-0006-0000-0400-000013000000}">
      <text>
        <r>
          <rPr>
            <sz val="11"/>
            <color theme="1"/>
            <rFont val="Calibri"/>
            <family val="2"/>
            <scheme val="minor"/>
          </rPr>
          <t>⚠ AGENT SAM SUMNJA: Stavka nema ni opis posla ni specifikaciju (5 znakova) — vjerojatno nije dobila glavu svog bloka ili redak uopće nije stavka.
GLAVA (glavna stavka):
RUŠENJE I PONOVA IZGRADNJA PARAPETNOG ZIDA SA UKLANJANJEM I MONTAŽU POSTOJEĆE OGRADE
STAVKA (podstavka):
beton
———
Ako je gore TOČNO — preskoči.
Ako nije — ispravi tekst u ovom komentaru.
(jmj m3 · količina 3.3 · oznaka 11.)</t>
        </r>
      </text>
    </comment>
    <comment ref="E31" authorId="0" shapeId="0" xr:uid="{00000000-0006-0000-0400-000014000000}">
      <text>
        <r>
          <rPr>
            <sz val="11"/>
            <color theme="1"/>
            <rFont val="Calibri"/>
            <family val="2"/>
            <scheme val="minor"/>
          </rPr>
          <t>GLAVA (glavna stavka):
RUŠENJE I PONOVA IZGRADNJA PARAPETNOG ZIDA SA UKLANJANJEM I MONTAŽU POSTOJEĆE OGRADE
STAVKA (podstavka):
oplata
———
Ako je gore TOČNO — preskoči.
Ako nije — ispravi tekst u ovom komentaru.
(jmj m2 · količina 33.3 · oznaka 11.)</t>
        </r>
      </text>
    </comment>
    <comment ref="E32" authorId="0" shapeId="0" xr:uid="{00000000-0006-0000-0400-000015000000}">
      <text>
        <r>
          <rPr>
            <sz val="11"/>
            <color theme="1"/>
            <rFont val="Calibri"/>
            <family val="2"/>
            <scheme val="minor"/>
          </rPr>
          <t>GLAVA (glavna stavka):
RUŠENJE I PONOVA IZGRADNJA PARAPETNOG ZIDA SA UKLANJANJEM I MONTAŽU POSTOJEĆE OGRADE
STAVKA (podstavka):
Dobava i ugradnja armature
———
Ako je gore TOČNO — preskoči.
Ako nije — ispravi tekst u ovom komentaru.
(jmj kg · količina 814.2 · oznaka 13.)</t>
        </r>
      </text>
    </comment>
    <comment ref="E33" authorId="0" shapeId="0" xr:uid="{00000000-0006-0000-0400-000016000000}">
      <text>
        <r>
          <rPr>
            <sz val="11"/>
            <color theme="1"/>
            <rFont val="Calibri"/>
            <family val="2"/>
            <scheme val="minor"/>
          </rPr>
          <t>GLAVA (glavna stavka):
RUŠENJE I PONOVA IZGRADNJA PARAPETNOG ZIDA SA UKLANJANJEM I MONTAŽU POSTOJEĆE OGRADE
STAVKA (podstavka):
Izvedba drenažne cjevi uz dno AB zida, posip sa šljunkom i umotano u filc
———
Ako je gore TOČNO — preskoči.
Ako nije — ispravi tekst u ovom komentaru.
(jmj m1 · količina 24.0 · oznaka 14.)</t>
        </r>
      </text>
    </comment>
    <comment ref="E34" authorId="0" shapeId="0" xr:uid="{00000000-0006-0000-0400-000017000000}">
      <text>
        <r>
          <rPr>
            <sz val="11"/>
            <color theme="1"/>
            <rFont val="Calibri"/>
            <family val="2"/>
            <scheme val="minor"/>
          </rPr>
          <t>GLAVA (glavna stavka):
RUŠENJE I PONOVA IZGRADNJA PARAPETNOG ZIDA SA UKLANJANJEM I MONTAŽU POSTOJEĆE OGRADE
STAVKA (podstavka):
Izvedba revizijskog okna i spajanje drenaže na odvodni kanal
———
Ako je gore TOČNO — preskoči.
Ako nije — ispravi tekst u ovom komentaru.
(jmj kom · količina 1.0 · oznaka 15.)</t>
        </r>
      </text>
    </comment>
    <comment ref="E38" authorId="0" shapeId="0" xr:uid="{00000000-0006-0000-0400-000018000000}">
      <text>
        <r>
          <rPr>
            <sz val="11"/>
            <color theme="1"/>
            <rFont val="Calibri"/>
            <family val="2"/>
            <scheme val="minor"/>
          </rPr>
          <t>GLAVA (glavna stavka):
PARAPETNI ZID ZA MONTAŽU PANELNE OGRADE
STAVKA (podstavka):
Iskoličenje parcelne granice i novog zida
———
Ako je gore TOČNO — preskoči.
Ako nije — ispravi tekst u ovom komentaru.
(jmj kom. · količina 1.0 · oznaka 15.)</t>
        </r>
      </text>
    </comment>
    <comment ref="E39" authorId="0" shapeId="0" xr:uid="{00000000-0006-0000-0400-000019000000}">
      <text>
        <r>
          <rPr>
            <sz val="11"/>
            <color theme="1"/>
            <rFont val="Calibri"/>
            <family val="2"/>
            <scheme val="minor"/>
          </rPr>
          <t>GLAVA (glavna stavka):
PARAPETNI ZID ZA MONTAŽU PANELNE OGRADE
STAVKA (podstavka):
Iskop za temeljenje zidu
———
Ako je gore TOČNO — preskoči.
Ako nije — ispravi tekst u ovom komentaru.
(jmj m3 · količina 71.81 · oznaka 15.)</t>
        </r>
      </text>
    </comment>
    <comment ref="E40" authorId="0" shapeId="0" xr:uid="{00000000-0006-0000-0400-00001A000000}">
      <text>
        <r>
          <rPr>
            <sz val="11"/>
            <color theme="1"/>
            <rFont val="Calibri"/>
            <family val="2"/>
            <scheme val="minor"/>
          </rPr>
          <t>GLAVA (glavna stavka):
PARAPETNI ZID ZA MONTAŽU PANELNE OGRADE
STAVKA (podstavka):
Zatrpavanje sa iskopnim materijalom do potrebne visine.
———
Ako je gore TOČNO — preskoči.
Ako nije — ispravi tekst u ovom komentaru.
(jmj m3 · količina 186.71 · oznaka 15.)</t>
        </r>
      </text>
    </comment>
    <comment ref="E41" authorId="0" shapeId="0" xr:uid="{00000000-0006-0000-0400-00001B000000}">
      <text>
        <r>
          <rPr>
            <sz val="11"/>
            <color theme="1"/>
            <rFont val="Calibri"/>
            <family val="2"/>
            <scheme val="minor"/>
          </rPr>
          <t>GLAVA (glavna stavka):
PARAPETNI ZID ZA MONTAŽU PANELNE OGRADE
STAVKA (podstavka):
Geotekstil 300g/m2, dobava i ugradnja
———
Ako je gore TOČNO — preskoči.
Ako nije — ispravi tekst u ovom komentaru.
(jmj m2 · količina 143.63 · oznaka 15.)</t>
        </r>
      </text>
    </comment>
    <comment ref="E43" authorId="0" shapeId="0" xr:uid="{00000000-0006-0000-0400-00001C000000}">
      <text>
        <r>
          <rPr>
            <sz val="11"/>
            <color theme="1"/>
            <rFont val="Calibri"/>
            <family val="2"/>
            <scheme val="minor"/>
          </rPr>
          <t>⚠ AGENT SAM SUMNJA: Stavka nema ni opis posla ni specifikaciju (5 znakova) — vjerojatno nije dobila glavu svog bloka ili redak uopće nije stavka.
GLAVA (glavna stavka):
PARAPETNI ZID ZA MONTAŽU PANELNE OGRADE
STAVKA (podstavka):
beton
———
Ako je gore TOČNO — preskoči.
Ako nije — ispravi tekst u ovom komentaru.
(jmj m3 · količina 57.45 · oznaka 6.)</t>
        </r>
      </text>
    </comment>
    <comment ref="E44" authorId="0" shapeId="0" xr:uid="{00000000-0006-0000-0400-00001D000000}">
      <text>
        <r>
          <rPr>
            <sz val="11"/>
            <color theme="1"/>
            <rFont val="Calibri"/>
            <family val="2"/>
            <scheme val="minor"/>
          </rPr>
          <t>GLAVA (glavna stavka):
PARAPETNI ZID ZA MONTAŽU PANELNE OGRADE
STAVKA (podstavka):
oplata
———
Ako je gore TOČNO — preskoči.
Ako nije — ispravi tekst u ovom komentaru.
(jmj m2 · količina 95.75 · oznaka 6.)</t>
        </r>
      </text>
    </comment>
    <comment ref="E46" authorId="0" shapeId="0" xr:uid="{00000000-0006-0000-0400-00001E000000}">
      <text>
        <r>
          <rPr>
            <sz val="11"/>
            <color theme="1"/>
            <rFont val="Calibri"/>
            <family val="2"/>
            <scheme val="minor"/>
          </rPr>
          <t>⚠ AGENT SAM SUMNJA: Stavka nema ni opis posla ni specifikaciju (5 znakova) — vjerojatno nije dobila glavu svog bloka ili redak uopće nije stavka.
GLAVA (glavna stavka):
PARAPETNI ZID ZA MONTAŽU PANELNE OGRADE
STAVKA (podstavka):
beton
———
Ako je gore TOČNO — preskoči.
Ako nije — ispravi tekst u ovom komentaru.
(jmj m3 · količina 25.85 · oznaka 9.)</t>
        </r>
      </text>
    </comment>
    <comment ref="E47" authorId="0" shapeId="0" xr:uid="{00000000-0006-0000-0400-00001F000000}">
      <text>
        <r>
          <rPr>
            <sz val="11"/>
            <color theme="1"/>
            <rFont val="Calibri"/>
            <family val="2"/>
            <scheme val="minor"/>
          </rPr>
          <t>GLAVA (glavna stavka):
PARAPETNI ZID ZA MONTAŽU PANELNE OGRADE
STAVKA (podstavka):
oplata
———
Ako je gore TOČNO — preskoči.
Ako nije — ispravi tekst u ovom komentaru.
(jmj m2 · količina 258.53 · oznaka 9.)</t>
        </r>
      </text>
    </comment>
    <comment ref="E48" authorId="0" shapeId="0" xr:uid="{00000000-0006-0000-0400-000020000000}">
      <text>
        <r>
          <rPr>
            <sz val="11"/>
            <color theme="1"/>
            <rFont val="Calibri"/>
            <family val="2"/>
            <scheme val="minor"/>
          </rPr>
          <t>GLAVA (glavna stavka):
PARAPETNI ZID ZA MONTAŽU PANELNE OGRADE
STAVKA (podstavka):
Dobava i ugradnja armature
———
Ako je gore TOČNO — preskoči.
Ako nije — ispravi tekst u ovom komentaru.
(jmj kg · količina 4047.35 · oznaka 11.)</t>
        </r>
      </text>
    </comment>
    <comment ref="E49" authorId="0" shapeId="0" xr:uid="{00000000-0006-0000-0400-000021000000}">
      <text>
        <r>
          <rPr>
            <sz val="11"/>
            <color theme="1"/>
            <rFont val="Calibri"/>
            <family val="2"/>
            <scheme val="minor"/>
          </rPr>
          <t>GLAVA (glavna stavka):
PARAPETNI ZID ZA MONTAŽU PANELNE OGRADE
STAVKA (podstavka):
Izvedba drenažne cjevi uz dno AB zida, posip sa šljunkom i umotano u filc
———
Ako je gore TOČNO — preskoči.
Ako nije — ispravi tekst u ovom komentaru.
(jmj m1 · količina 95.75 · oznaka 12.)</t>
        </r>
      </text>
    </comment>
    <comment ref="E50" authorId="0" shapeId="0" xr:uid="{00000000-0006-0000-0400-000022000000}">
      <text>
        <r>
          <rPr>
            <sz val="11"/>
            <color theme="1"/>
            <rFont val="Calibri"/>
            <family val="2"/>
            <scheme val="minor"/>
          </rPr>
          <t>GLAVA (glavna stavka):
PARAPETNI ZID ZA MONTAŽU PANELNE OGRADE
STAVKA (podstavka):
Izvedba revizijskog okna i spajanje drenaže na odvodni kanal
———
Ako je gore TOČNO — preskoči.
Ako nije — ispravi tekst u ovom komentaru.
(jmj kom · količina 2.0 · oznaka 13.)</t>
        </r>
      </text>
    </comment>
    <comment ref="E54" authorId="0" shapeId="0" xr:uid="{00000000-0006-0000-0400-000023000000}">
      <text>
        <r>
          <rPr>
            <sz val="11"/>
            <color theme="1"/>
            <rFont val="Calibri"/>
            <family val="2"/>
            <scheme val="minor"/>
          </rPr>
          <t>GLAVA (glavna stavka):
PARAPETNI ZID ZA MONTAŽU PANELNE OGRADE
STAVKA (podstavka):
Nepredviđeni radovi
———
Ako je gore TOČNO — preskoči.
Ako nije — ispravi tekst u ovom komentaru.
(jmj % · količina 10.0 · oznaka 11.)</t>
        </r>
      </text>
    </comment>
  </commentList>
</comments>
</file>

<file path=xl/sharedStrings.xml><?xml version="1.0" encoding="utf-8"?>
<sst xmlns="http://schemas.openxmlformats.org/spreadsheetml/2006/main" count="1033" uniqueCount="558">
  <si>
    <t>TROŠKOVNIK GRAĐEVINSKO-OBRTNIČKIH RADOVA</t>
  </si>
  <si>
    <t>Investitor:</t>
  </si>
  <si>
    <t>MACAN d.o.o.</t>
  </si>
  <si>
    <t>Ljubljanska 52, 10000 Zagreb</t>
  </si>
  <si>
    <t>OIB: 66000671692</t>
  </si>
  <si>
    <t xml:space="preserve">Zastupano po direktoru: Božidar Macan </t>
  </si>
  <si>
    <t>Projekt:</t>
  </si>
  <si>
    <t xml:space="preserve">Rekonstrukcija postojeće poluugrađene poslovne građevine u stambeno-poslovnu polugrađenu građevinu </t>
  </si>
  <si>
    <t>Lokacija:</t>
  </si>
  <si>
    <t>k.č.br. 4139/1</t>
  </si>
  <si>
    <t>k.o. Dubrava, Ljubijska 52, 10000 Zagreb</t>
  </si>
  <si>
    <t>REKAPITULACIJA</t>
  </si>
  <si>
    <t>A.</t>
  </si>
  <si>
    <t>GRAĐEVINSKI RADOVI</t>
  </si>
  <si>
    <t>GRAĐEVINSKI RADOVI UKUPNO:</t>
  </si>
  <si>
    <t>B.</t>
  </si>
  <si>
    <t>OBRTNIČKI RADOVI</t>
  </si>
  <si>
    <t>REKAPITULACIJA SVEUKUPNO:</t>
  </si>
  <si>
    <t>r.br.</t>
  </si>
  <si>
    <t>opis stavke</t>
  </si>
  <si>
    <t>jed. mj.</t>
  </si>
  <si>
    <t>količina</t>
  </si>
  <si>
    <t>jed. cijena</t>
  </si>
  <si>
    <t>ukupno</t>
  </si>
  <si>
    <t>napomena</t>
  </si>
  <si>
    <t>Sve stavke građevinskih radova uključuju sav rad i materijal, radnu skelu, potreban spojni i pričvrsni materijal sukladno odabranom sistemu izvedbe i uputi proizvođača, sve izvedeno do potpune gotovosti i funkcionalnosti.</t>
  </si>
  <si>
    <t>A.01.</t>
  </si>
  <si>
    <t>PRIPREMNI I GEODETSKI RADOVI</t>
  </si>
  <si>
    <t>Uklanjanje postojeće građevine</t>
  </si>
  <si>
    <t>Uklanjanje postojeće građevine ukupne tlocrtne površine cca P=99,00 m2. Potrebno je ukloniti sve elemente konstrukcije sa oblogama, pokrovom, prozorima, vratima itd. te postojeće opločenje u okolišu. Uklanjanje elemenata koji se nalaze neposredno uz susjednu građevinu izvesti pažljivo i po potrebi ručno ukloniti.</t>
  </si>
  <si>
    <t xml:space="preserve">Rušenju građevine ne smije se pristupiti dok nisu izvršene sve potrebne pripreme, sva potrebna rasterećenja, te eventualno potrebna osiguranja na pojedinim mjestima. </t>
  </si>
  <si>
    <t>U cijenu je uračunato i čišćenje zone izgradnje prije izvođenja radova (sakupljanje svog otpadnog materijala i sječenje grmlja, šiblja sa uklanjanjem korijena, te utovar u kamion i odvoz na gradsku deponiju, uključivo i naknada za deponiranje).</t>
  </si>
  <si>
    <t>Obračun po kompletu.</t>
  </si>
  <si>
    <t>kpl</t>
  </si>
  <si>
    <t>Iskolčenje i izrada izjave o iskolčenju</t>
  </si>
  <si>
    <t>Izrada iskolčenja i izjave o provedenom iskolčenju parcele, građevine, prometnih i hodnih površina, instalacija i elemenata krajobraznog uređenja sukladno geodetskom projektu izrađenom od strane ovlaštenog geodeta. Iskolčenje objekta obuhvaća sva geodetska mjerenja kojima se podaci s projekta prenose na teren (vertikalno i horizontalno), obnavljanje i održavanje iskolčenih oznaka na terenu za sve vrijeme građenja.</t>
  </si>
  <si>
    <t>Izjavu o provedenom iskolčenju građevine sukladno geodetskom projektu potrebno je izraditi u skladu s Zakonom o gradnji i Pravilnikom o geodetskom projektu.</t>
  </si>
  <si>
    <t>Obračun za komplet.</t>
  </si>
  <si>
    <t>Završno čišćenje</t>
  </si>
  <si>
    <t xml:space="preserve">Generalno fino završno čišćenje zgrada nakon tehničkog pregleda, a prije konačne primopredaje i otklanjanja svih nedostataka građevine uključivo i komplet sva potrebna čišćenja interijera zgrade. </t>
  </si>
  <si>
    <t>Obračun po m2 bruto površine prostora.</t>
  </si>
  <si>
    <t>m2</t>
  </si>
  <si>
    <t>PRIPREMNI I GEODETSKI RADOVI UKUPNO:</t>
  </si>
  <si>
    <t>A.02.</t>
  </si>
  <si>
    <t>ZEMLJANI RADOVI</t>
  </si>
  <si>
    <t>Svi iskopi i nasipi moraju se izvesti prema profilima, kotama i nagibima iz projekta uz korištenje odgovarajuće mehanizacije.</t>
  </si>
  <si>
    <t>Dubina iskopa prema dimenzijama i pozicijama danim u  izvedbenom projektu, sve prema podložnim slojevima predviđenim za ugradnju. Svo temeljno tlo potrebno je urediti i pripremiti za daljnju izvedbu.</t>
  </si>
  <si>
    <t>Planiranje se izvodi na kote iz izvedbenog projekta.
Posteljica mora biti preuzeta u pogledu visina, padova i zbijenosti po nadzornom inženjeru.</t>
  </si>
  <si>
    <t>Po provedenom iskopu obaveza je izvođača da obavijesti ovlaštenog geomehaničara da pregleda temeljno tlo prije nastavka radova i da izda potvrdu o stanju tla, sukladno uvjetima iz projekta što se upisuje u građevni dnevnik od strane geomehaničara.</t>
  </si>
  <si>
    <t xml:space="preserve">Široki iskop za temeljenje građevine </t>
  </si>
  <si>
    <t>Široki iskop zemlje B kategorije u svrhu formiranja građevinske jame za izvedbu temeljne ploče.
Materijal iz iskopa odložiti na gradilištu i iskoristiti za nasipavanje (obračun u zasebnoj stavci). U jediničnu stavku cijene je uključeno planiranje dna jame ispod temeljne ploče sa zbijanjem površine na točnost +/- 2 cm.</t>
  </si>
  <si>
    <t>Oznaka sloja: P1, P2</t>
  </si>
  <si>
    <t>Obračun po m3 u sraslom stanju.</t>
  </si>
  <si>
    <t>m3</t>
  </si>
  <si>
    <t>Iskop za uređenje okoliša</t>
  </si>
  <si>
    <t>Iskop zemlje B kategorije za uređenje okoliša.
Materijal iz iskopa odložiti na gradilištu i iskoristiti za nasipavanje (obračun u zasebnoj stavci). U jediničnu stavku cijene je uključeno planiranje dna sa zbijanjem površine na točnost +/- 2 cm.</t>
  </si>
  <si>
    <t>Pozicija: hodna i kolna površina</t>
  </si>
  <si>
    <t>Nasip od nabijenoga krupnog šljunka</t>
  </si>
  <si>
    <t>Dobava, doprema materijala i zasipavanje nasipa od krupnog šljunka d=30 cm, granulacije prema projektu. Potrebna zbijenost zamjenskog sloja je 30 MPa što se dokazuje potrebnim ispitivanjima tla. Nakon iskopa na kotu podložnog betona ispitati će se temeljno tlo, te nakon toga pristupiti eventualnoj zamjeni materijala.
Stavka obuhvaća dobavu, dopremu kamenog materijala, razastiranje i valjanje u kompaktni sloj i sve ostalo potrebno za potpuno dovršenje rada. Ovaj sloj se može izvoditi tek nakon što je nadzorni inženjer primio posteljicu.</t>
  </si>
  <si>
    <t>Obračun po m3 izvedenoga nasipa u sraslome stanju.</t>
  </si>
  <si>
    <t xml:space="preserve">Geotekstil 300g/m2 </t>
  </si>
  <si>
    <t>Dobava, doprema i ugradnja geotekstila 300g/m2 pod sloj nabijenoga kamenog materijala bez veziva.
U jediničnu cijenu stavke uključeni svi preklopi, te sav potreban rad te spojni i pričvrsni materijal.</t>
  </si>
  <si>
    <t>Obračun po m2 ugrađenoga geotekstila.</t>
  </si>
  <si>
    <t xml:space="preserve">Nosivi sloj od mehanički zbijenog zrnatog kamenog materijala bez veziva </t>
  </si>
  <si>
    <t>Stavkom je obuhvaćena dobava, dovoz i ugradnja zrnatog kamenog materijala vibracijskim sredstvom za nabijanje d=25 cm, granulacije 0-63 mm u nosivi sloj kolničke konstrukcije prema projektu.</t>
  </si>
  <si>
    <t>Nosivi sloj od zrnatog kamenog materijala može se raditi kada nadzorni inženjer preuzme posteljicu te odobri početak rada. Nadzorni inženjer provjerava: ravnost od +/- 1cm, projektiranje nagiba, pravilno izvedenu odvodnju, položaj i tražene uvjete kakvoće.
Traženi modul stišljivosti na prometnim površinama kolnika Ms≥100 MN/m², mjereno metodom kružne ploče prema normi HRN U.B1.046.</t>
  </si>
  <si>
    <t>Obračun po m3.</t>
  </si>
  <si>
    <t>Nosivi sloj od cementom stabiliziranog drobljenog kamenog materijala</t>
  </si>
  <si>
    <t>Izrada nosivog sloja od cementom stabiliziranog drobljenog kamenog materijala d=15 cm, maksimalne krupnoće zrna od 8 do 32 mm, stabilizacija - Portlandski cement 100 kg/m3 šljunka. U cijenu je uključena nabava prethodno proizvedene stabilizacijske mješavine, utovar, prijevoz i ugradnja (strojno razastiranje, planiranje i zbijanje do traženog stupnja zbijenosti).</t>
  </si>
  <si>
    <t>Zatrpavanje zemljom iz iskopa</t>
  </si>
  <si>
    <t>Zatrpavanje zemljom iz iskopa, kontrolirano na pripremljeno, čišćeno i zbijeno temeljno tlo do kota predviđenih projektnom dokumentacijom.</t>
  </si>
  <si>
    <t xml:space="preserve">Odvoz viška zemlje </t>
  </si>
  <si>
    <t>Strojni utovar i odvoz na propisno odlagalište zemlje iz iskopa.
Predočiti potvrdu o propisno zbrinutom materijalu.</t>
  </si>
  <si>
    <t>Ispitivanje zbijenosti i izrada izvještaja</t>
  </si>
  <si>
    <t>Ispitivanje zbijenosti i izrada izvještaja o provedenom ispitivanju zbijenosti podloge izrađenog od strane ovlaštene institucije. Izvještaj obuhvaća sva potrebna ispitivanja zbijenosti svih podloga na cijeloj zoni obuhvata radova.</t>
  </si>
  <si>
    <t>Šljunak na ravnom neprohodnom krovu</t>
  </si>
  <si>
    <t>Dobava, doprema i ugradnja sloja šljunka granulacije 8-16 mm, za ravne neprohodne krovove. U cijenu je uključena ugradnja šljunka na visini te razastiranje i planiranje u sloju debljine 7 cm.</t>
  </si>
  <si>
    <t>ZEMLJANI RADOVI UKUPNO:</t>
  </si>
  <si>
    <t>A.03.</t>
  </si>
  <si>
    <t>BETONSKI I ARMIRANOBETONSKI RADOVI</t>
  </si>
  <si>
    <t>Prilikom izvedbe betonskih i armiranobetonskih radova te za korištenje i ispitivanje materijala opisanih u troškovniku izvođač radova se mora pridržavati uvjeta i opisa iz projektne dokumentacije, Pravilniku o tehničkim mjerama 
za beton i armirani beton, kao i ostalih važećih propisa i normi.</t>
  </si>
  <si>
    <t>Izvođač je dužan sustavno pratiti izvedbu konstrukcije geodetskom kontrolom vertikalnosti i horizontalnosti elemenata te ponašanje konstrukcije glede slegavanja, a o svim pojavama koje nisu u skladu sa predviđanjima projekta dužan je hitno obavijestiti odgovornog projektanta i nadzornog inženjera.</t>
  </si>
  <si>
    <t>Za sve betonske radove mora biti pripremljena tehnologija koja osigurava dobivanje betona u skladu sa projektom i zahtijevanim svojstvima propisanim Tehničkim propisom za građevinske konstrukcije i normama. 
Za izradu pojedine vrste betona upotrijebiti istu vrstu cementa i granulirani agregat.
Za izradu betona predviđa se prirodno granulirani šljunak ili drobljeni agregat. Kameni agregat mora imati propisani granulometrijski sastav, mora biti dovoljno čvrst i postojan, ne smije sadržavati zemljanih i organskih sastojaka, niti drugih primjesa štetnih za beton i armaturu.
Voda koja se koristi prilikom pripreme betona mora imati tehnička svojstva i druge zahtjeve, te potvrđivanje prikladnosti vode prema zahtjevima i norme.</t>
  </si>
  <si>
    <t>Izrada projekta betona i ispitivanja betona je u obvezi izvođača. Izvođač treba angažirati tehnologa za armiranobetonske konstrukcije, koji treba izraditi projekt betona i tehnologiju ugradnje betona koji trebaju biti usklađeni sa projektom konstrukcije i sa arhitektonskim zahtjevima za beton.</t>
  </si>
  <si>
    <t>S ugradnjom betona može se započeti tek kada je oplata i armatura definitivno postavljena i učvršćena te postoje zadovoljavajući klimatski uvjeti. Prije ugradnje betona oplata i armatura moraju biti pregledane i odobrene od strane nadzornog inzenjera za konstrukciju a podaci uneseni u građ. dnevnik.</t>
  </si>
  <si>
    <t>Obrada gornjih površina treba biti ravno zaglađena. Površina betonskih horizontalnih i vertikalnih elemenata mora biti izvedena na način da bude pripremljena za izvedbu završnih slojeva kao što su glet masa, premazi i boje za beton te sloj hidroizolacije. Nije dopušteno postavljati provizorne daske umjesto oplata niti su dopušteni neuredni spojevi oplatnih ploča sa vidljivim naborima od curenja cementnog mlijeka i slične neuredne izvedbe, međusobni spojevi oplate moraju biti zabrtvljeni.
Sve visine pri izradi oplate određivati, a nakon betoniranja kontrolirati instrumentom. Armirano-betonski elementi moraju imati potpuno ravne i glatke površine i izvode se u glatkoj velikoplošnoj oplati. Prilikom betoniranja naročito treba paziti da armatura ostane u položaju predviđenom statičkim proračunom i nacrtom.</t>
  </si>
  <si>
    <t xml:space="preserve">Izvođač je dužan izvesti sve otvore i prodore u AB konstrukcijama sukladno planovima oplate i nacrtima instalacija, što je uključeno u jediničnu cijenu rada. </t>
  </si>
  <si>
    <t>Za izradu vidljivih betonskih površina mora se koristiti oplatni sustav bez otiska okvira, a ploče moraju biti neoštećene, glatke i ravne. Prilikom spajanja oplate na svim spojevima mora se koristiti sustav brtvljenja za vidljive betone koje preporuča proizvođač oplatnog sustava (brtvena traka, specijalni akrilni kit...)
Svi rubovi oštri, bez korištenja trokutaste letvice. S preciznom izradom i brtvljenjem oplatnih ploča potrebno je osigurati nepropusnost oplate – mora biti tako zatvorena da je spriječeno svako curenje cementnog mlijeka na kontaktu između dvije oplate ili na kontaktu oplate i betona.
Vidljivo lice betona obrađuje se mehanički pjeskarenjem, a prije same obrade beton mora postići min 70% projektirane čvrstoće.
Nakon završene mehaničke obrade potrebno je ujednačiti teksturu betona strojnim četkanjem abrazivnim četkama u tri uzastopna koraka sa sve finijom granulacijom.
Završna zaštita betona izvodi se hidrofobnim premazom prema uputama proizvođača.</t>
  </si>
  <si>
    <t>Obračun betona u m3 i oplate u m2. Svi otvori se odbijaju bez obzira na veličinu.</t>
  </si>
  <si>
    <t>PODLOŽNI I ZAŠTITNI BETONI</t>
  </si>
  <si>
    <t>Podložni beton d=8 cm</t>
  </si>
  <si>
    <t>Dobava, doprema i ugradnja betona za nearmirani sloj podložnoga betona d=8 cm, razreda tlačne čvrstoće C12/15. U cijenu je uključena potrebna oplata i svi pripremni radovi za izvođenje betonske podloge. Podložni beton se izvodi na uređeno temeljno tlo, a gornja površina se izvodi fino zaglađena za postavu slojeva hidroizolacije.</t>
  </si>
  <si>
    <t>Oznaka slojeva: P1, P2</t>
  </si>
  <si>
    <t>Obračun po m2.</t>
  </si>
  <si>
    <t>Zaštitni beton d=5 cm</t>
  </si>
  <si>
    <t>Dobava, doprema i ugradnja sloja betona razreda tlačne čvrstoće C12/15 za zaštitu hidroizolacije ispod temeljne ploče, d=5 cm. Sloj se izvodi prije postavljanja armature za temeljnu ploču. U cijenu je uključena oplata i svi pripremni radovi za izvođenje betonske podloge.</t>
  </si>
  <si>
    <t>Lagani beton za pad na krovu d=4-6 cm</t>
  </si>
  <si>
    <t xml:space="preserve">Dobava, doprema i izvedba laganog betona za pad na krovu d=4-6 cm, (2400kg/m3), razreda tlačne čvrstoće C12/15, u nagibu ≥ 2,0% prema slivniku. U cijenu je uključena potrebna oplata i svi pripremni radovi za izvođenje betonske podloge. </t>
  </si>
  <si>
    <t>Oznaka slojeva: K1, K2</t>
  </si>
  <si>
    <t>TEMELJNE, MEĐUKATNE I KROVNE PLOČE</t>
  </si>
  <si>
    <t>Temeljna ploča d=40 cm</t>
  </si>
  <si>
    <t xml:space="preserve">Dobava, doprema materijala i betoniranje armirano betonske temeljne ploče debljine d=40 cm, razreda tlačne čvrstoće C30/37, XC2. Prilikom ugradnje beton vibrirati, a zatim beton pravilno njegovati. </t>
  </si>
  <si>
    <t>Obračun po m3 betonskoga elementa i m2 oplate.</t>
  </si>
  <si>
    <t>beton</t>
  </si>
  <si>
    <t>oplata</t>
  </si>
  <si>
    <t>Međukatna i krovne ploče d=22 cm</t>
  </si>
  <si>
    <t>Dobava, doprema materijala i betoniranje armirano betonske ploče debljine d=22 cm, razreda tlačne čvrstoće C25/30, XC1. Prilikom ugradnje beton vibrirati, a zatim beton pravilno njegovati. U jediničnu cijenu stavke uključena sva potrebna podupiranja konstrukcije, sve dok se ne postigne projektirana nosivost.</t>
  </si>
  <si>
    <t>Oznaka slojeva: K1, K2, S1</t>
  </si>
  <si>
    <t>Ploča bazena d=20 cm</t>
  </si>
  <si>
    <t>Dobava, doprema materijala i betoniranje armirano betonske ploče bazena debljine d=20 cm, razreda tlačne čvrstoće C25/30. Prilikom ugradnje beton vibrirati, a zatim beton pravilno njegovati. U jediničnu cijenu stavke uključena sva potrebna podupiranja konstrukcije, sve dok se ne postigne projektirana nosivost.</t>
  </si>
  <si>
    <t xml:space="preserve">ZIDOVI </t>
  </si>
  <si>
    <t>AB zidovi, d=20 cm</t>
  </si>
  <si>
    <t>Dobava, doprema materijala i betoniranje armiranobetonskih zidova u dvostranoj, glatkoj oplati, debljine d=20 cm, betonom razreda tlačne čvrstoće C25/30, XC1. Prilikom ugradnje beton vibrirati, a zatim beton pravilno njegovati.</t>
  </si>
  <si>
    <t>Oznaka slojeva: ZV1, ZV2, Z1, Z2, Z3</t>
  </si>
  <si>
    <t>AB parapet ravnog krova, d=20 cm</t>
  </si>
  <si>
    <t>Dobava, doprema materijala i betoniranje armiranobetonskog parapeta ravnog krova u dvostranoj, glatkoj oplati, debljine d= 20 cm, betonom razreda tlačne čvrstoće C25/30, XC1. Prilikom ugradnje beton vibrirati, a zatim beton pravilno njegovati.</t>
  </si>
  <si>
    <t>AB zidovi bazena, d=20 cm</t>
  </si>
  <si>
    <t>Dobava, doprema materijala i betoniranje armiranobetonskih zidova bazena u dvostranoj, glatkoj oplati, debljine d=20 cm, betonom razreda tlačne čvrstoće C25/30, XC1. Prilikom ugradnje beton vibrirati, a zatim beton pravilno njegovati.</t>
  </si>
  <si>
    <t>STUPOVI</t>
  </si>
  <si>
    <t>AB stupovi pergole</t>
  </si>
  <si>
    <t>Dobava, doprema materijala i betoniranje armiranobetonskih stupova pergole, betonom razreda tlačne čvrstoće C25/30, XC1. Prilikom ugradnje beton vibrirati, a zatim beton pravilno njegovati. Stupovi se izvode u vidljivom arhitektonskom betonu.</t>
  </si>
  <si>
    <t xml:space="preserve">Dimenzija: 20/20 cm </t>
  </si>
  <si>
    <t>GREDE</t>
  </si>
  <si>
    <t>AB grede</t>
  </si>
  <si>
    <t xml:space="preserve">Dobava, doprema materijala i betoniranje armiranobetonskih greda, betonom razreda tlačne čvrstoće C25/30, XC1. Prilikom ugradnje beton vibrirati, a zatim beton pravilno njegovati. </t>
  </si>
  <si>
    <t xml:space="preserve">a) Dimenzija: 20/70 cm </t>
  </si>
  <si>
    <t xml:space="preserve">b) Dimenzija: 20/80 cm </t>
  </si>
  <si>
    <t xml:space="preserve">c) Dimenzija: 25/100 cm </t>
  </si>
  <si>
    <t xml:space="preserve">d) Dimenzija: 20/108 cm </t>
  </si>
  <si>
    <t>AB grede pergole</t>
  </si>
  <si>
    <t>Dobava, doprema materijala i betoniranje armiranobetonskih greda pergole, betonom razreda tlačne čvrstoće C25/30, XC1. Prilikom ugradnje beton vibrirati, a zatim beton pravilno njegovati. Grede se izvode u vidljivom arhitektonskom betonu.</t>
  </si>
  <si>
    <t xml:space="preserve">Dimenzija: 20/30 cm </t>
  </si>
  <si>
    <t>STUBIŠTE</t>
  </si>
  <si>
    <t>AB unutarnje stubište</t>
  </si>
  <si>
    <t>Dobava, doprema materijala i betoniranje armiranobetonskog stubišta u glatkoj oplati, betonom razreda tlačne čvrstoće C25/30, XC1. Prilikom ugradnje beton vibrirati, a zatim beton pravilno njegovati. Površina gornje strane (gazišta), treba biti ravna i zaglađena tako da je pogodna za ugradnju završne podne obloge.</t>
  </si>
  <si>
    <t>AB stubište bazena i strojarnica</t>
  </si>
  <si>
    <t>Dobava, doprema materijala i betoniranje armiranobetonskog stubišta bazena i strojarnice u glatkoj oplati, betonom razreda tlačne čvrstoće C25/30, XC1. Prilikom ugradnje beton vibrirati, a zatim beton pravilno njegovati. Površina gornje strane (gazišta), treba biti ravna i zaglađena tako da je pogodna za ugradnju završne podne obloge.</t>
  </si>
  <si>
    <t>BETONSKI I ARMIRANOBETONSKI RADOVI UKUPNO:</t>
  </si>
  <si>
    <t>A.04.</t>
  </si>
  <si>
    <t>ARMIRAČKI RADOVI</t>
  </si>
  <si>
    <t>Sveukupna armatura objekta</t>
  </si>
  <si>
    <t xml:space="preserve">Dobava, čišćenje, ispravljanje, sječenje, savijanje, postavljanje i vezivanje sveukupne armature građevine (glavna, pomoćna, jahači, podlošci i sl.). Elementi su armirani armaturom kvalitete B500 B u svemu prema nacrtima armature i statičkom proračunu.  </t>
  </si>
  <si>
    <t>Obračun po neto kg ugrađene armature.</t>
  </si>
  <si>
    <t>kg</t>
  </si>
  <si>
    <t>ARMIRAČKI RADOVI UKUPNO:</t>
  </si>
  <si>
    <t>A.05.</t>
  </si>
  <si>
    <t>IZOLATERSKI RADOVI</t>
  </si>
  <si>
    <t>Sve spojeve i preklope izolacije izvesti sukladno uvjetima proizvođača te projektnim detaljima, što je uključeno u jediničnu cijenu stavke.
Postavu izolacije sa svim potrebnim radnjama i spojnim sredstvima prema uputama proizvođača i projektnim detaljima.</t>
  </si>
  <si>
    <t>Stavke uključuju potrebnu količinu za potrebne preklope, obradu oko prodora, klinove i razna brtvljenja te sve radnje i materijale za izvedbu neprekinutog spoja sa ostalim izolacijama na objektu. Komplet pripremu površine za postavu izolacije prema uputama proizvođača odabranog sustava. Sva potrebna dizanja hidroizolacije na AB zidove prema projektnim detaljima.</t>
  </si>
  <si>
    <t>U jediničnu cijenu uračunata i obrada svih prodora i brtvljenja do kompletne vodonepropusnosti. Obrada detalja kroz prodor hidroizolacije prema uputama proizvođača odabranog sustava. Obradu izvesti na način da se postigne vodotjednost pomoću pričvrsnica i brtvila, sve izolirati prema uputama proizvođača.
Jedinična cijena hidroizolacije uključuje sve opšavne limove, hidroizolaciju atike, odzrake, prodore, klinove, razna brtvljenja.</t>
  </si>
  <si>
    <t>Nakon postave hidroizolacije ispitivanjem dokazati njenu vodonepropusnost što je uključeno u cijenu.</t>
  </si>
  <si>
    <t>Izvedbu elastificiranog ekspandiranog polistirena na spoju poda sa zidom (rubno uza zid) debljine d=1 cm. Područje dodira podnog sustava potrebno je odvojiti/dilatirati od bočnih zidova trakom iz elastificiranog ekspandiranog polistirena do visine gotovog poda. Traku je potrebno postaviti prije početka ugradnje cementne glazure.</t>
  </si>
  <si>
    <t>NAPOMENA: Izolacija bazena će se definirati naknadno u dogovoru s Izvođačem!</t>
  </si>
  <si>
    <t>HIDROIZOLACIJE U ZEMLJI</t>
  </si>
  <si>
    <t xml:space="preserve">Sintetska hidroizolacija temelja </t>
  </si>
  <si>
    <t>Dobava, doprema, transport i ugradnja sintetske hidroizolacijske folije. Prema projektnim detaljima izvesti potrebna vertikalna dizanja izolacije do sokla, sve uključeno u cijenu. Rubovi folija se međusobno preklapaju 10cm i zavaruju vrućim zrakom kako bi se postigao potpuno homogen spoj.  Izvode se slojevi:</t>
  </si>
  <si>
    <t>a) PES filc, geotekstil u svrhu razdjelnog sloja, d=0,3 cm</t>
  </si>
  <si>
    <t>b) Sintetska hidroizolacijska traka na bazi TPO/FPO (1600 kg/m3), λ=0,26 W/mK, d=0,2 cm</t>
  </si>
  <si>
    <t>c) PES filc, geotekstil u svrhu razdjelnog sloja, d=0,3 cm</t>
  </si>
  <si>
    <t>Stavka uključuje rubno učvrščenje folije koje se izvodi  mehaničkim pričvršćenjem kaširanim TPO limom te brtvi trajnoelastičnim kitom.</t>
  </si>
  <si>
    <t>Obračun po m2 izolacije i m lima.</t>
  </si>
  <si>
    <t>a) izolacija</t>
  </si>
  <si>
    <t>b) PVC lim</t>
  </si>
  <si>
    <t>m</t>
  </si>
  <si>
    <t>POLIMERCEMENTNI PREMAZI</t>
  </si>
  <si>
    <t>Polimercementna izolacija mokrih prostora</t>
  </si>
  <si>
    <t>Dobava, doprema i ugradnja polimercementnog premaza d=0,2 cm u mokrim prostorima. Na rubovima poda sanitarija izvodi se vertikalna hidroizolacija u visini od h=15 cm, a na zidove uz tuš/kadu u visini h=220 cm.</t>
  </si>
  <si>
    <t>Pozicija: sanitarije</t>
  </si>
  <si>
    <t>a) pod + holker</t>
  </si>
  <si>
    <t>b) zid</t>
  </si>
  <si>
    <t>Polimercementna izolacija terase</t>
  </si>
  <si>
    <t>Dobava, doprema i ugradnja polimercementnog premaza d=0,2 cm na terasi 1. kata.  Na rubovima poda izvodi se vertikalna hidroizolacija u visini od h=20 cm.</t>
  </si>
  <si>
    <t>Oznaka slojeva: K1</t>
  </si>
  <si>
    <t>HIDROIZOLACIJA KROVA</t>
  </si>
  <si>
    <t>Sintetska hidroizolacija ravnog krova i terase 1. kata</t>
  </si>
  <si>
    <t>Dobava, doprema, transport i ugradnja krovne sintetske hidroizolacijske folije. Prema projektnim detaljima izvesti potrebna vertikalna dizanja izolacije, sve uključeno u cijenu. Rubovi folija se međusobno preklapaju 10cm i zavaruju vrućim zrakom kako bi se postigao potpuno homogen spoj.  Izvode se slojevi:</t>
  </si>
  <si>
    <t xml:space="preserve">Parna brana </t>
  </si>
  <si>
    <t>Dobava, doprema, transport i ugradnja parne brane, polimerbitumenske trake za zavarivanje s uloškom od aluminijske folije, d= 0,5 cm, polagana vrućim zavarivanjem na podlogu na hladni bitumenski prednamaz što je uključeno u cijenu stavke.
U stavku su uključena i potrebna vertikalna dizanja izolacije na AB zidove, sve uključeno u cijenu.</t>
  </si>
  <si>
    <t>TOPLINSKE IZOLACIJE</t>
  </si>
  <si>
    <t>Izolacija zidova u tlu</t>
  </si>
  <si>
    <t>Dobava, doprema i ugradnja toplinske izolacije pločama XPS-a (30 kg/m3), λ= 0,035 W/m2K, d=7 cm. Ploče se postavljaju prema uputama proizvođača (lijepljene i prema potrebi dodatno mehaničko pričvršćene).</t>
  </si>
  <si>
    <t>Obračun po m2 izvedene toplinske izolacije.</t>
  </si>
  <si>
    <t>Čepasta drenažna folija</t>
  </si>
  <si>
    <t>Dobava, doprema i ugradnja sloja drenažne čepaste folije, debljine d=1 cm, za zaštitu izolacije.</t>
  </si>
  <si>
    <t>Izolacija zida između grijanog i negrijanog prostora</t>
  </si>
  <si>
    <t>Dobava, doprema i ugradnja toplinske izolacije pločama mineralne vune - ploče za kontaktne sustave (30 kg/m3), λ= 0,036 W/m2K, debljina d=8 cm. Ploče se postavljaju prema uputama proizvođača (lijepljene i prema potrebi dodatno mehaničko pričvršćene). Na izolaciji se izvodi sloj polimercementne podložne žbuke, uključeno u jediničnu cijenu stavke.</t>
  </si>
  <si>
    <t>Oznaka slojeva: Z1</t>
  </si>
  <si>
    <t>Izolacija plivajućeg poda na tlu</t>
  </si>
  <si>
    <t xml:space="preserve">Dobava, doprema i ugradnja slojeva izolacije ispod cementne glazure. Izvode se sljedeći slojevi: </t>
  </si>
  <si>
    <t>a) polietilenska folija, pričvršćena metalnim spojnicama, podignuta vertikalno do visine cementne glazure, d=0,02 cm</t>
  </si>
  <si>
    <t>b) toplinska izolacija - EPS (25 kg/m3), s λ ≤ 0,036 W/m2K, d= 8 cm</t>
  </si>
  <si>
    <t>c) toplinska izolacija - EPS-T (15 kg/m3), s λ ≤ 0,035 W/m2K u dva sloja, d=2+1 cm</t>
  </si>
  <si>
    <t>Izolacija plivajućeg poda međukatnih konstrukcija</t>
  </si>
  <si>
    <t>a) toplinska izolacija - EPS podni elementi za podno grijanje (20 kg/m3), s λ ≤ 0,036 W/m2K, d=2 cm</t>
  </si>
  <si>
    <t>b) polietilenska folija, pričvršćena metalnim spojnicama, podignuta vertikalno do visine cementne glazure, d=0,02 cm</t>
  </si>
  <si>
    <t>c) toplinska izolacija - EPS (25 kg/m3), s λ ≤ 0,036 W/m2K, d=2 cm</t>
  </si>
  <si>
    <t>d) toplinska izolacija - EPS (15 kg/m3), s λ ≤ 0,035 W/m2K, u dva sloja, d=2 cm</t>
  </si>
  <si>
    <t>Oznaka slojeva: S1</t>
  </si>
  <si>
    <t>Izolacija stubišta</t>
  </si>
  <si>
    <t>Dobava, doprema materijala i ugradnja sloja toplinske izolacije pločama mineralne vune (MW), 30 kg/m3, λ=0,036 W/m2K, d=5 cm. Na izolaciji se izvodi sloj polimercementne podložne žbuke, uklučeno u jediničnu cijenu stavke.</t>
  </si>
  <si>
    <t>Izolacija ravnog prohodnog krova - terasa 1. kata</t>
  </si>
  <si>
    <t>Dobava, doprema materijala i ugradnja sloja toplinske izolacije pločama mineralne vune (MW), 30 kg/m3, λ=0,035 W/m2K, d=20 cm. Ploče se postavljaju na parnu branu u svemu prema uputama proizvođača.</t>
  </si>
  <si>
    <t>Oznaka slojeva: K2</t>
  </si>
  <si>
    <t>Izolacija ravnog neprohodnog krova</t>
  </si>
  <si>
    <t>Dobava, doprema materijala i ugradnja sloja toplinske izolacije pločama XPS-a (30 kg/m3) u padu s preklopom, λ ≤ 0,035 W/m2K, debljine d=15 -17 cm. Ploče se postavljaju na parnu branu u svemu prema uputama proizvođača.</t>
  </si>
  <si>
    <t>Ispod kanalice gdje je XPS manji od 12 cm, kao zamjenski sloj ugraditi pur pjenu.</t>
  </si>
  <si>
    <t>Oznaka slojeva: K1, K3, K4, K5</t>
  </si>
  <si>
    <t>Izolacija atike krova</t>
  </si>
  <si>
    <t>Dobava, doprema i ugradnja toplinske izolacije pločama XPS-a ( 30 kg/m3), λ ≤ 0,035 W/m2K, d= 2-4 cm, horizontalno na atiku ravnog krova, u svemu prema uputama proizvođača (lijepljene i prema potrebi dodatno mehaničko pričvršćene).</t>
  </si>
  <si>
    <t>IZOLATERSKI RADOVI UKUPNO:</t>
  </si>
  <si>
    <t>A.06.</t>
  </si>
  <si>
    <t>ZIDARSKO - FASADERSKI RADOVI</t>
  </si>
  <si>
    <t>Žbukanje zidova (stambeni prostor)</t>
  </si>
  <si>
    <t xml:space="preserve">Dobava, doprema materijala i žbukanje ploha zidova cementnom žbukom. Žbuka se nanosi na zidove strojno u sloju debljine ukupno cca 15 mm. Bridovi moraju biti ravni, oštri i ojačani pocinčanim kutnim profilima. Površina i struktura pripremljena za izvedbu završnih soboslikarskih radova. Pripremu podloge i postupak izvedbe strojne žbuke potrebno je prilagoditi proizvođaču i podlozi za žbukanje.
</t>
  </si>
  <si>
    <t>Oznaka sloja: ZV1, ZV2, Z1, Z2, Z3</t>
  </si>
  <si>
    <t>Žbukanje stropova (stambeni prostor)</t>
  </si>
  <si>
    <t>Dobava, doprema materijala i žbukanje ploha stropova cementnom žbukom. Žbuka se nanosi na stropove strojno u sloju debljine ukupno cca 15 mm. Bridovi moraju biti ravni, oštri i ojačani pocinčanim kutnim profilima. Površina i struktura pripremljena za izvedbu završnih soboslikarskih radova. Pripremu podloge i postupak izvedbe strojne žbuke potrebno je prilagoditi proizvođaču i podlozi za žbukanje.</t>
  </si>
  <si>
    <t>Oznaka sloja: K1, K2, S1</t>
  </si>
  <si>
    <t>ESTRIH</t>
  </si>
  <si>
    <t>Stavke uključuju potrebnu oplatu.</t>
  </si>
  <si>
    <t>Prije izvedbe estriha potrebno je postaviti rubnu traku (stavka obračunata u sklopu izolaterskih radova).</t>
  </si>
  <si>
    <t>Estrih u padu (podno grijanje)</t>
  </si>
  <si>
    <t>Dobava, doprema potrebnog materijala i izvedba lagano armirane betonske podloge (2000 kg/m3) u padu 4-5 cm. Izvođač je dužan izvesti estrih s dodatkom aditiva za grijani estrih (aditiv obračunat u stavkama strojarskih radova). Estrih se izvodi elastično dilatirana od podloge i obodnih pregrada, fino zaglađena u izvedbi kao podloga za završne slojeve poda.</t>
  </si>
  <si>
    <t>Estrih</t>
  </si>
  <si>
    <t>Dobava, doprema potrebnog materijala i izvedba lagano armirane betonske podloge (2000 kg/m3). Estrih se izvodi elastično dilatirana od podloge i obodnih pregrada, fino zaglađena u izvedbi kao podloga za završne slojeve poda.</t>
  </si>
  <si>
    <t xml:space="preserve">a) d=3,5 cm </t>
  </si>
  <si>
    <t>Oznaka slojeva: P2</t>
  </si>
  <si>
    <t xml:space="preserve">a) d=4 cm </t>
  </si>
  <si>
    <t xml:space="preserve">b) d=5 cm </t>
  </si>
  <si>
    <t>Oznaka slojeva: P1</t>
  </si>
  <si>
    <t>FASADNI SUSTAVI</t>
  </si>
  <si>
    <t xml:space="preserve">Jedinična cijena uključuje: </t>
  </si>
  <si>
    <t>Pripremu podloge  - podloga mora biti suha, čista, bez nataloženih slojeva, prljavštine, prašine ili masnoće, ravna i nosiva.
Obavezna je zaštita bravarije, stolarije, klupčica i okapa.</t>
  </si>
  <si>
    <t>Stavke uključuju sav potreban rad i materijal te sve potrebne pripremne radnje za izvedbu fasadnog sustava do potpune gotovosti i funkcionalnosti.</t>
  </si>
  <si>
    <t>Fasada vanjskih zidova GRUBO ZRNO 6 mm, MW d=16 cm</t>
  </si>
  <si>
    <t>Dobava, doprema i izrada klasificiranog ETICS fasadnog sustava sa završnom dekorativnom tehnikom prema uputama proizvođača.</t>
  </si>
  <si>
    <t xml:space="preserve">Stavka uključuje:
.
</t>
  </si>
  <si>
    <t>a) toplinsku izolaciju pločama mineralne vune za ETICS fasade, dodatno učvršćene građevinskim ljepilom i pričvrsnicama, sve prema uputama i preporukama proizvođača i pravilima za izvedbu ETICS fasada, λ ≤ 0,036 W/mK, d=16 cm</t>
  </si>
  <si>
    <t>b) polimercementna žbuka armirana staklenom mrežicom (1100 kg/m3), d=0,5 cm</t>
  </si>
  <si>
    <t>c) odgovarajuća završna fasadna žbuka za ETICS sustave, d=0,3 cm, RAL prema odabiru projektanta, bojanje zaštitnom bojom</t>
  </si>
  <si>
    <t>Oznaka slojeva: ZV2</t>
  </si>
  <si>
    <t>Obračun po m2 izvedenoga pročelja.</t>
  </si>
  <si>
    <t>Nudimo dobavu i ugradnju STO Mineral sustava d=16cm sa udarnim tiplama, StoLevel Uni armaturni sloj, završna Stolit K 6 mm i prebojavanje sa Lotusan G (HBW iznad 25, C1 ton)</t>
  </si>
  <si>
    <t>Fasada vanjskih zidova, MW d=16 cm</t>
  </si>
  <si>
    <t>c) odgovarajuća završna fasadna žbuka za ETICS sustave, d=0,3 cm, RAL prema odabiru projektanta</t>
  </si>
  <si>
    <t>Nudimo dobavu i ugradnju STO Mineral sustava d=16cm sa udarnim tiplama, StoLevel Uni armaturni sloj, završna Stolit K 1,5 mm  (HBW iznad 25, C1 ton)</t>
  </si>
  <si>
    <t>Fasada vanjskih zidova, MW d=5 cm</t>
  </si>
  <si>
    <t>a) toplinsku izolaciju pločama mineralne vune za ETICS fasade, dodatno učvršćene građevinskim ljepilom i pričvrsnicama, sve prema uputama i preporukama proizvođača i pravilima za izvedbu ETICS fasada, λ ≤ 0,036 W/mK, d=5 cm</t>
  </si>
  <si>
    <t>Pozicija: terasa 1. kata</t>
  </si>
  <si>
    <t>SKELA</t>
  </si>
  <si>
    <t>Fasadna skela</t>
  </si>
  <si>
    <t xml:space="preserve">Doprema potrebnih elementa te izvedba fasadne skele za izvedbu svih fasadnih sustava na objektu. Stavka uključuje sve zaštitne (ogradne) elemente, dovoz i montažu te demontažu i odvoz skele nakon dovršetka radova.  </t>
  </si>
  <si>
    <t>Skelu u svemu izvesti i zaštititi u skladu sa važećim pravilnicima i propisima. Stavka se odnosi samo na fasadnu skelu, radna skela za izvođenje ostalih radova obračunava se u jediničnoj cijeni stavke.</t>
  </si>
  <si>
    <t>Skela mora biti montirana na način da ne oštećuje izvedenu konstrukciju.</t>
  </si>
  <si>
    <t>Za skelu je potrebno dostaviti projekt skele i sve važeće ateste što je uključeno u jediničnu cijenu stavke. Cijenu stavke ponuditi za ukupno vrijeme trajanja izvedbe radova.</t>
  </si>
  <si>
    <t>Obračun po m2 projektirane površine fasade.</t>
  </si>
  <si>
    <t>VTR</t>
  </si>
  <si>
    <t>Obrada stupova sa XPS 2-5cm, armaturni sloj sa profilima, impregnacija i završni sloj 1,5mm (HBW iznad 25, C1 ton). Uključena skela</t>
  </si>
  <si>
    <t>m'</t>
  </si>
  <si>
    <t>ZIDARSKO - FASADERSKI RADOVI UKUPNO:</t>
  </si>
  <si>
    <t>A.07.</t>
  </si>
  <si>
    <t>LIMARSKI RADOVI</t>
  </si>
  <si>
    <t>OPĆI UVJETI ZA IZVOĐENJE</t>
  </si>
  <si>
    <t>Prilikom izvedbe limarskih radova te za korištenje i ispitivanje materijala opisanih u troškovniku izvođač radova se mora pridržavati uvjeta i opisa iz projektne dokumentacije kao i važećih propisa i normi.</t>
  </si>
  <si>
    <t>Izvođač je obavezan koristiti limove u debljinama prema projektu, a ukoliko isto nije naznačeno, debljinu treba potvrditi projektant.
Izvođač radova dužan je prije izvedbe limarije uzeti sve izmjere u naravi te izraditi radoioničke nacrte uz suglasnost projektatna, također je dužan prije početka montaže ispitati sve dijelove gdje se imaju izvesti limarski radovi, te na eventualne neispravnosti istih upozoriti nadzornog inženjera, jer će se u protivnom naknadni popravci izvršiti na račun izvođača.
Pričvršćenje lima vrši se mehaničkim alatima, vijcima, plastičnim čepovima i drugim nosačima (čeličnim pocinčanim nosačima).
Sav spojni materijal (čavli, zakovice) mora biti iz istog materijala kao i lim.
Sastav i učvršćenja moraju biti tako izvedeni da elementi pri temperaturnim promjenama mogu nesmetano dilatirati, a da pri tom ostanu nepropusni. 
Za sva rezanja na gradilištu, treba upotrebljavati alate koje propisuje proizvođač, odnosno dodatno antikorozivno zaštiti elemente na mjestu eventualnog oštećenja.
Sve spojeve izvoditi standardnim preklopima ili po zahtjevu lemiti.</t>
  </si>
  <si>
    <t>U jediničnu cijenu treba uračunati i:
- izradu radionikih nacrta
- sva savijanja potrebna da se ostvari traženi oblik materijala pogodan za ugradnju
- sva lemljenja i ostale veze potrebne za kvalitetno povezivanje materijala
- sva potrebna cinčanja, bojanja, zaštite, plastifikacije i sl. prema zahtjevima projekta</t>
  </si>
  <si>
    <t>Opšav parapeta terase</t>
  </si>
  <si>
    <t>Dobava, doprema i izvedba opšava parapeta terase od pocinčanog bojanog lima s okapom s obje strane, d= 2 mm. Plastificirano u boju prema izboru projektanta. Stavka uključuje i nosač opšava - čelični pocinčani profil. Sva pričvršćenja, nosač opšava i opšav prema projektnim detaljima uključena u cijenu. Razvijena širina cca 62 cm.</t>
  </si>
  <si>
    <t>Obračun po m.</t>
  </si>
  <si>
    <t>Opšav atike</t>
  </si>
  <si>
    <t>Dobava, doprema i izvedba opšava krovnog nadozida od pocinčanog bojanog lima s okapom s obje strane, d= 2 mm. Plastificirano u boju prema izboru projektanta. Stavka uključuje i nosač opšava - čelični pocinčani profil. Sva pričvršćenja, nosač opšava i opšav prema projektnim detaljima uključena u cijenu. Razvijena širina cca 62 cm.</t>
  </si>
  <si>
    <t>LIMARSKI RADOVI UKUPNO:</t>
  </si>
  <si>
    <t>Sve stavke obrtničkih radova uključuju sav rad i materijal, radnu skelu, potreban spojni i pričvrsni materijal sukladno odabranom sistemu izvedbe i uputi proizvođača, sve izvedeno do potpune gotovosti i funkcionalnosti.</t>
  </si>
  <si>
    <t>B.01.</t>
  </si>
  <si>
    <t>ZAVRŠNO MONTAŽERSKI RADOVI</t>
  </si>
  <si>
    <t>Sve stavke uključuju premaz za izjednačavanje upojnosti podloge, prema sustavu proizvođača.</t>
  </si>
  <si>
    <t>U cijenu uključena obrada spojeva završnog drugog sloja ploča u kvaliteti Q2 (Uniflott) + obavezno zapunjavanje spojeva prvog sloja ploča.
Ostvaruje se osnovnom obradom spojeva ploča i naknadnim dodatnim zaglađivanjem područja spoja kako bi se izradio ravan prijelaz prema površini ploče. Drugi sloj ploča mora biti izveden iz ploča velikog formata (bez nastavljanja po visini) bez horizontalnih spojeva. Obavezno zapunjavanje spojeva svih slojeva ploča sa  ugradnjom bandažne trake. Uključuje izradu sa završnim al.profilima, gletanje, bandažiranje, silikoniranje kutova i spojeva do potpune gotovosti kao priprema za bojanje.</t>
  </si>
  <si>
    <t xml:space="preserve">Sve izvesti u skladu sa uputama proizvođača. </t>
  </si>
  <si>
    <t>Zabilježiti s vanjske strane osi potkonstrukcije stropova pozicije rasvjete, stropne ventilacije, strojarske i elektroopreme, sprinklera, ogledala/gotove opreme, zbog bušenja otvora u stropu. Bušenja svih otvora te obrade nakon ugradnje navedene opreme je potrebno ukalkulirati u jediničnu cijenu jer se neće posebno obračunavati.</t>
  </si>
  <si>
    <t>Potkonstrukciju izvoditi s metalnim vilicama podloženima s plastičnim trakama za prekid toplinskog mosta</t>
  </si>
  <si>
    <t>Za spuštene stropove na međukatnu konstrukciju postavlja se potkonstrukcija na ovjesu (razred nosivosti prema DIN 18168 dio 2) rastera 75/100 cm.
Potkonstrukcija se sastoji od tipskih CD/UD profila iz pocinčanog lima debljine 0,6 mm nosivi CD profili i montažni CD profili postavljeni su na rasteru 100/50 cm. Postavu potkonstrukcije i ploča izvesti u svemu prema uputama proizvođača. U cijenu uključeno bandažiranje i gletanje spojeva te gletanje stropa kao priprema za bojanje.</t>
  </si>
  <si>
    <t xml:space="preserve">Sav ovjesni i pomoćni pribor je dio svake stavke. U cijenu svih stavki je uključena i izrada dilatacija u pregradnim zidovima i stropovima. Dilatacije se izvode na maksimalnom razmaku 15 m, te kod konstruktivnih dilatacija objekta, u svemu prema uputama proizvođača. Također dilataciju u stropu je potrebno izvesti kod prelasku iz užeg u širi prostor sukladno uputama proizvođača. Izradu otvora te ojačanja oko otvora instalacija kroz suhomontažne sustave te nakon završetka obradu izvodi izvođač suhomontažnih radova, što je uključeno u cijenu. Obavezna koordinacija između podizvođača instalacija i suhomontažnih radova.   </t>
  </si>
  <si>
    <t>Obrada spojeva vrši se specijalnom glet masom, prema preporuci proizvođača sustava, i u ovisnosti o mjestu ugradnje (suhe / važne prostorije). Izrada prema smjernicama i uputama proizvođača. 
Spojeve između ploča ispunjavaju se također pripadajućim ispunjačem (kod impregniranih gips kartonskih ploča koristiti impregnirani Uniflott ili impregnirani Fugenfuller) i ojačavaju perforiranom papirnatom trakom za spojnice, a izložene ivice ojačavaju se aluminijskim perforiranim Al profilima.
Kvaliteta završne obrade spojeva i površine prvog sloja prema kvaliteti Q1, a kvaliteta završne obrade drugog sloja prema kvaliteti obrade površine Q2.</t>
  </si>
  <si>
    <t>Izvođači GK radova dužni su pregledati podloge instalacija te se koordinirati i uskladiti sa izvođačima instalacija vezano za pozicije te raspored instalacija u zidovima, oblogama i stropovima te potkonstrukciju izvesti. Naknadno rezanje profila potkonstrukcije nije dozvoljeno. Sva rezanja za prodore za instalaterske radove te obrada oko prodora nakon izvedbe instalacija, prema projektnim zahtjevima i uvjetima proizvođača uključena su u jediničnu cijenu stavki rada.</t>
  </si>
  <si>
    <t>U cijenu uključena sva bušenja, tiplanja, rezanja, pripasivanja i otpad materijala, kao i izrezivanje otvora sa ugradbom potrebnih ojačanja, izradu sa završnim al.profilima, gletanje, bandažiranje, silikoniranje kutova i spojeva do potpune gotovosti.</t>
  </si>
  <si>
    <t>PREGRADNI ZIDOVI I ZIDNE OBLOGE</t>
  </si>
  <si>
    <t>Pregradni zid sa izolacijom, d=10 cm, GK-GK</t>
  </si>
  <si>
    <t>Dobava, doprema materijala i izrada lake pregradne stijene od dvostrukih gipskartonskih ploča na metalnoj potkonstrukciji.
Sastav zida je:</t>
  </si>
  <si>
    <t xml:space="preserve">a) dvostruka gipskartonska ploča (900 kg/m3) na potkonstrukciji d=2x1,25 cm </t>
  </si>
  <si>
    <t>b) potkonstrukcija od limenih CW/UW 50 profila, u međuprostoru meka mineralna vuna za ispune potkonstrukcija lakih pregrada, d=5 cm</t>
  </si>
  <si>
    <t xml:space="preserve">c) dvostruka gipskartonska ploča (900 kg/m3) na potkonstrukciji d=2x1,25 cm </t>
  </si>
  <si>
    <t>Pregradni zid sa izolacijom, d=10 cm, GK-GKI</t>
  </si>
  <si>
    <t xml:space="preserve">c) dvostruka vodootporna gipskartonska ploča (900 kg/m3) na potkonstrukciji d=2x1,25 cm </t>
  </si>
  <si>
    <t>Pregradni zid sa izolacijom, d=10 cm, GKI-GKI</t>
  </si>
  <si>
    <t xml:space="preserve">a) dvostruka vodootporna gipskartonska ploča (900 kg/m3) na potkonstrukciji d=2x1,25 cm </t>
  </si>
  <si>
    <t>b) potkonstrukcija od limenih CW/UW 50 profila, u međuprostoru meka mineralna vuna za ispune potkonstrukcija lakih pregrada, d=5 cm.</t>
  </si>
  <si>
    <t>Pregradni zid sa izolacijom, d=15 cm, GK-GKI</t>
  </si>
  <si>
    <t>b) potkonstrukcija od limenih CW/UW 100 profila, u međuprostoru meka mineralna vuna za ispune potkonstrukcija lakih pregrada, d=10 cm</t>
  </si>
  <si>
    <t>Pregradni zid sa izolacijom, d=15 cm, DF-DF</t>
  </si>
  <si>
    <t xml:space="preserve">a) dvostruka protupožarna gipskartonska ploča ( 900 kg/m3) na potkonstrukciji d=2x1,25 cm </t>
  </si>
  <si>
    <t>b) potkonstrukcija od limenih CW/UW 75 profila, u međuprostoru meka mineralna vuna (40 kg/m3) za ispune potkonstrukcija lakih pregrada, d=10 cm.</t>
  </si>
  <si>
    <t xml:space="preserve">c) dvostruka protupožarna gipskartonska ploča ( 900 kg/m3) na potkonstrukciji d=2x1,25 cm </t>
  </si>
  <si>
    <t>Pregradni zid sa izolacijom, d=20 cm, GK-GKI</t>
  </si>
  <si>
    <t xml:space="preserve">a) dvostruka gipskartonska ploča (900 kg/m3) na potkonstrukciji d=2 x1,25 cm </t>
  </si>
  <si>
    <t>b) potkonstrukcija od limenih CW/UW 150 profila, u međuprostoru meka mineralna vuna za ispune potkonstrukcija lakih pregrada, d=15 cm</t>
  </si>
  <si>
    <t>Obloga ugradbenog vodokotlića</t>
  </si>
  <si>
    <t>Dobava, doprema materijala i izrada zidne obloge ugradbenog vodokotlića.
Sastav obloge je:</t>
  </si>
  <si>
    <t xml:space="preserve">a) dvostruka impregnirana gipskartonska ploča (900 kg/m3) na potkonstrukciji, d=2x1,25 cm </t>
  </si>
  <si>
    <t>b) potkonstrukcija od limenih CW/UW 50 profila, d=5 cm</t>
  </si>
  <si>
    <t>c) zračni sloj potkonstrukcije</t>
  </si>
  <si>
    <t>OSTALO</t>
  </si>
  <si>
    <t xml:space="preserve">Sistem nosača za WC školjku </t>
  </si>
  <si>
    <t>Dobava, doprema i montaža ovjesa za wc školjku koji se postavlja između potkonstrukcije pregradnog zida, na mjestu ugradnje obavezno postavljanje 2 UA profila (sa svake stane 1) na utične kutnike. Ovjes je pocinčan, ima mogućnost podešavanja nosivih vijaka i dolazi sa pripadajućim setom za montažu. Pri izradi držati se smjernica i uputa proizvođača. Obavezno usklađenje sa potkonstrukcijom GK zida i pozicijama instalacija i elemenata za koje je potrebno ojačanje te odabranim proizvođačem instalacije.</t>
  </si>
  <si>
    <t>Obračun po kom.</t>
  </si>
  <si>
    <t>kom</t>
  </si>
  <si>
    <t>Ojačanje za umivaonik</t>
  </si>
  <si>
    <t>Dobava, doprema i montaža ovjesa za umivaonik koji se postavlja između potkonstrukcije pregradnog zida, na mjestu ugradnje obavezno postavljanje 2 UA profila (sa svake stane 1) na utične kutnike. Ovjes je pocinčan, ima mogućnost podešavanja nosivih vijaka i dolazi sa pripadajućim setom za montažu. Pri izradi držati se smjernica i uputa proizvođača. Obavezno usklađenje sa potkonstrukcijom GK zida i pozicijama instalacija i elemenata za koje je potrebno ojačanje te odabranim proizvođačem instalacije.</t>
  </si>
  <si>
    <t>Ojačanje za podžbukne instalacije</t>
  </si>
  <si>
    <t>Dobava, doprema i ugradnja ojačanja za podžbukne instalacije - miješalica tuša i umivaonika. Izvodi se ojačanje vodootpornom šperpločom sa učvršćivačima profila. Obavezno usklađenje sa potkonstrukcijom GK zida i pozicijama instalacija te odabranim proizvođačem podžbukne instalacije.</t>
  </si>
  <si>
    <t xml:space="preserve">UA profili kod otvora vrata </t>
  </si>
  <si>
    <t>Dobava, dostava i montaža UA 50 profila na utičnim kutnicima na mjestima otvora vrata za sustav zida.</t>
  </si>
  <si>
    <t>UA čelični pocinčani profili debljine 2 mm. UA profili se postavljaju u utične kutnike koji su pričvršćeni za međukatnu konstrukciju, što je uključeno u cijenu stavke. Visina ugradnje od vrha AB podne ploče do nosive konstrukcije.</t>
  </si>
  <si>
    <t>Pozicija: hodnik</t>
  </si>
  <si>
    <t>Izvedba kazete za klizna vrata</t>
  </si>
  <si>
    <t>Dobava, doprema i izvedba sustava za izvedbu kliznih vrata unutar gipskartonskog zida. Kazeta se izvodi unutar zida debljine 15 cm prema projektnim detaljima. Prema potrebi i detalju proizvođača, izvesti prilagodbu potkonstrukcije, dodatno ojačanje i ovjese na poziciji ugradnje te završna obrada prema uputama i sistemu proizvođača.
U jediničnu cijenu stavke je uključena i obrada rubova kazete. Špalete se obrađuju sa jednostrukom GK pločom debljine d=12,5 mm, zatim se postavlja aluminijska kutna šina za ojačanje ruba, sve obostrano bandažirano i gletano do Q2 kvalitete.</t>
  </si>
  <si>
    <t>Obračun za komad.</t>
  </si>
  <si>
    <t>GK 'I' maske</t>
  </si>
  <si>
    <t>Dobava, doprema materijala te izrada jednostranih GK maski 'I' forme, 1xGK pločom, bandažirano i gletano do Q2 kvalitete. 
Stavka uključuje i postavu aluminijske šine kao ojačanja rubova. Stavka uključuje sav rad i materijal do potpune gotovosti i funkcionalnosti.</t>
  </si>
  <si>
    <t>Obračun za m.</t>
  </si>
  <si>
    <t>ZAVRŠNO MONTAŽERSKI RADOVI UKUPNO:</t>
  </si>
  <si>
    <t>B.02.</t>
  </si>
  <si>
    <t>KERAMIČARSKI RADOVI</t>
  </si>
  <si>
    <t>Vrijedi za sve stavke ove grupe radova:
U jediničnu cijenu svih stavaka treba uključiti sljedeće:</t>
  </si>
  <si>
    <t>Količina za otpadni materijal, obzirom na oblik prostorije i slaganje opločenja sukladno shemama.</t>
  </si>
  <si>
    <t xml:space="preserve">Pripremu podloge te dobavu i ugradnju građevinskog ljepila kao i fug masu i silikoniranje. Polaganje pločica punoplošnim lijepljenjem na podlogu pomoću poboljšanog, visoko fleksibilnog građevinskog ljepila, sve prema uputama proizvođača. Fugiranje poboljšanom cementnom brzovezujućom i brzosušećom fugirnom masom za fuge širine prema odabiru projektanta. Brtvljenje dilatacijskih spojeva pomoću silikonske mase za brtvljenje. Na radnim reškama ugraditi trajnoelastično poliuretansko brtvilo na neutralnoj bazi. Boja prema odabiru projektanta. Svi proizvodi u sustavu istog proizvođača materijala.  </t>
  </si>
  <si>
    <t>Sva potrebna izrezivanja, potrebne završne obrade i brušenja, čišćenje i usklađivanje detalja.</t>
  </si>
  <si>
    <t>Stavke uključuje silikoniranje spoja svih vertikalnih i horizontalnih opločenih površina.</t>
  </si>
  <si>
    <t>Sve mjere ugradbe kontrolirati u naravi. Izvođač je dužan osigurati ugradnju elemenata bez oštećenja.</t>
  </si>
  <si>
    <t>Sav rad i materijal te radnu skelu za izvršenje radova.</t>
  </si>
  <si>
    <t>NAPOMENA: Obloga bazena će se definirati naknadno u dogovoru s izvođačem!</t>
  </si>
  <si>
    <t>ZIDOVI</t>
  </si>
  <si>
    <t xml:space="preserve">Opločenje zidova sanitarnih čvorova </t>
  </si>
  <si>
    <t>Dobava i doprema materijala, te opločenje zidova sanitarija keramičkim pločicama, u svemu prema projektnim detaljima i izboru projektanta.</t>
  </si>
  <si>
    <t>Stavka uključuje i izvedbu kutnih profila, prema odabiru projektanta i konačno odabranom tipu keramike.</t>
  </si>
  <si>
    <t>materijal</t>
  </si>
  <si>
    <t xml:space="preserve">rad </t>
  </si>
  <si>
    <t>Opločenje zidova kuhinje</t>
  </si>
  <si>
    <t>Dobava i doprema materijala, te opločenje zidova kuhinje keramičkim pločicama u svemu prema projektnim detaljima i izboru projektanta, između elemenata u visini h=70 cm.</t>
  </si>
  <si>
    <t>PODOVI</t>
  </si>
  <si>
    <t>Opločenje podova</t>
  </si>
  <si>
    <t>Dobava i doprema materijala te opločenje podova pločicama u svemu prema projektnim detaljima i izboru projektanta.</t>
  </si>
  <si>
    <t>a) hodnik</t>
  </si>
  <si>
    <t>b) sanitarije</t>
  </si>
  <si>
    <t xml:space="preserve">c) kuhinja </t>
  </si>
  <si>
    <t>d) spremište</t>
  </si>
  <si>
    <t>e) strojarnica</t>
  </si>
  <si>
    <t>f) stepenice ispred bazena</t>
  </si>
  <si>
    <t>Keramički sokl</t>
  </si>
  <si>
    <t>Dobava, doprema i izvedba keramičkog sokla. Sokl izvesti u svemu prema projektnim detaljima i izboru projektanta.</t>
  </si>
  <si>
    <t xml:space="preserve">b) kuhinja </t>
  </si>
  <si>
    <t>c) spremište</t>
  </si>
  <si>
    <t>d) strojarnica</t>
  </si>
  <si>
    <t>KERAMIČARSKI RADOVI UKUPNO:</t>
  </si>
  <si>
    <t>B.03.</t>
  </si>
  <si>
    <t>PODOPOLAGAČKI RADOVI</t>
  </si>
  <si>
    <t>Izvedbu prema projektnim detaljima i uputama proizvođača.</t>
  </si>
  <si>
    <t>U cijenu uključena pažljiva izvedba i zaštita kontaktnih stavaka (pragova, kutova i drugih materijala) prilikom postave završnih podnih obloga.</t>
  </si>
  <si>
    <t>Sav rad i materijal potreban za postavu, pričvršćivanje i montažu (ljepila, tiple, brtvene mase i sl.) Sve podložne i kontaktne slojeve za prianjanje završnih slojeva za podlogu, iz sustava proizvođača.</t>
  </si>
  <si>
    <t>Kompletnu pripremu površine prema uputama proizvođača završne podne obloge (uklanjanje nečistoća, otprašivanje). Podloga mora biti nosiva, stabilna, čvrsta, bez labavih dijelova, prašine, ulja, masnoća, tragova guma i drugih supstanci koje djeluju razdvajajuće. Labaviji slojevi i nakupine suspenzije moraju se ukloniti. Podloge moraju odreagirati i postići dovoljnu nosivost prema zahtjevima proizvođača podne obloge prije postave.</t>
  </si>
  <si>
    <t>Izvedba i brtvljenje dilatacija prema uputama proizvođača uključeno u cijenu.</t>
  </si>
  <si>
    <t>Izvesti uredan detalj spoja sa zidom na pozicijama gdje se ne izvodi sokl.</t>
  </si>
  <si>
    <t>Obračun po neto površini, sav otpadni materijal nastao zbog oblika prostora i dimenzija materijala uključen u jedinične cijene.</t>
  </si>
  <si>
    <t>DRVENE PODNE OBLOGE</t>
  </si>
  <si>
    <t xml:space="preserve">Parket </t>
  </si>
  <si>
    <t>Dobava, doprema i polaganje gotovog lakiranog parketa, materijal, boja i dimenzije prema izboru projektanta. Parket se postavlja na dobro očišćenu podnu površinu lijepljenjem dvokomponentnim ljepilom.</t>
  </si>
  <si>
    <t>Pozicija: soba, dnevni boravak</t>
  </si>
  <si>
    <t>Sokl</t>
  </si>
  <si>
    <t>Dobava, doprema i izvedba ravnog nadgradnog sokla. Sokl izvesti u svemu prema projektnim detaljima i izboru projektanta.</t>
  </si>
  <si>
    <t>Epoxy pod</t>
  </si>
  <si>
    <t>Dobava, doprema svih potrebnih materijala i izvedba epoxy poda, boje prema izboru projektanta, izveden na cementnu glazuru.
U jediničnoj cijeni stavke obračunate sve radnje pripreme površine, čišćenje, dobave svog potrebnog materijala i rada do konačne izvedbe poda.</t>
  </si>
  <si>
    <t>Izvedba u svemu prema uputama proizvođača izabranog sustava.</t>
  </si>
  <si>
    <t>Fortelock PVC pod</t>
  </si>
  <si>
    <t>Dobava, doprema svih potrebnih materijala i izvedba fortelock PVC poda, boje prema izboru projektanta, izveden na cementnu glazuru.
U jediničnoj cijeni stavke obračunate sve radnje pripreme površine, čišćenje, dobave svog potrebnog materijala i rada do konačne izvedbe poda.</t>
  </si>
  <si>
    <t>Pozicija: poslovni prostor, graža</t>
  </si>
  <si>
    <t>Decking obloga</t>
  </si>
  <si>
    <t>Dobava, doprema svih potrebnih materijala i izvedba decking obloge od drvo - polimernih profila (WPC) . Diletacijska fuga na uzdužnim spojevima 3,5 mm/m, žljebasta površina s gornje strane, donja strana nazubljena, protukliznost - razred R11, boje prema izboru projektanta. 
U jediničnoj cijeni stavke obračunate sve radnje pripreme površine, čišćenje, dobave svog potrebnog materijala i rada do konačne izvedbe poda.</t>
  </si>
  <si>
    <t>Oznaka slojeva: K3</t>
  </si>
  <si>
    <t>Umjetna trava</t>
  </si>
  <si>
    <t>Dobava, doprema svih potrebnih materijala i ugradnja umjetna trave. 
U jediničnoj cijeni stavke obračunate sve radnje pripreme površine, čišćenje, dobave svog potrebnog materijala i rada do konačne izvedbe poda.</t>
  </si>
  <si>
    <t>Razdjelni podni profil</t>
  </si>
  <si>
    <t>Dobava, doprema i ugradnja razdjelnog aluminijskog L profila prema odabiru projektanta na spoju različitih vrsta podnih obloga. Profil izvesti u razini završnih podnih obloga. Stavka uključuje sav potreban pričvrsni materijal.</t>
  </si>
  <si>
    <t>ASFALT I RUBNJACI</t>
  </si>
  <si>
    <t>Izrada nosivo-habajućeg sloja kolnika od asfaltbetona</t>
  </si>
  <si>
    <t>Dobava, doprema i izvedba habajućeg sloja asfalta AC 16 SURF 50/70, d=7 cm.</t>
  </si>
  <si>
    <t>Izradi nosivo-habajućeg sloja smije se pristupiti tek nakon što je nadzorni inženjer primio prethodni sloj u pogledu sastava, zbijenosti, ravnosti i podudarnosti s projektom.</t>
  </si>
  <si>
    <t>Materijali za izradu ovog sloja moraju zadovoljavati važećim standardima.</t>
  </si>
  <si>
    <t>Ugrađeni nosivo-habajući sloj ocjenjuje i preuzima nadzorni inženjer na temelju rezultata provedenih tekućih i kontrolnih ispitivanja. Udio bitumena, granulometrijski sastav kamene smjese, te fizičko-mehanička svojstva asfaltne mješavine određena na uzorcima asfaltne mješavine u okviru provedenih tekućih i kontrolnih ispitivanja moraju zadovoljavati uvjete dane u Razradi tehničkih svojstava i zahtjeva za građevne proizvode za proizvodnju asfaltnih mješavina i za asfaltne slojeve kolnika.</t>
  </si>
  <si>
    <t>U cijeni su sadržani svi troškovi nabave materijala, proizvodnje i ugradnje asfaltne mješavine, prijevoz, oprema i sve ostalo što je potrebno za izvođenje radova.</t>
  </si>
  <si>
    <t>Betonski rubnjak</t>
  </si>
  <si>
    <t>Dobava, doprema i montaža betonskog rubnjaka. Ugradba na prethodno pripremljenu betonsku podlogu, što je uključeno u cijenu. Rubnjaci se ugrađuju na svim rubovima pristupnog puta i parkinga prema uređenim površinama planiranim za izgradnju odnosno zaravnatom terenu, a postavljaju se tako da gornji rub rubnjaka bude ravan sa zelenom površinom  i opločenjem. Stavka uključuje dobavu, dopremu, utovar, istovar, ugradnju, pripasivanje, usklađivanje detalja te vezni materijal i fugiranje.</t>
  </si>
  <si>
    <t>Obračun po m rubnjaka.</t>
  </si>
  <si>
    <t>PODOPOLAGAČKI RADOVI UKUPNO:</t>
  </si>
  <si>
    <t>B.04.</t>
  </si>
  <si>
    <t>SOBOSLIKARSKO LIČILAČKI RADOVI</t>
  </si>
  <si>
    <t xml:space="preserve">Radna skela uključena u cijenu. </t>
  </si>
  <si>
    <t>Pripremu podloge i sve podložne i kontaktne slojeve za prianjanje završnih slojeva za podlogu kao i impregnaciju površine, sve iz sustava proizvođača. Nanošenje odgovarajućeg temeljnog premaza iz sustava proizvođača završne boje.</t>
  </si>
  <si>
    <t>Temeljni premazi i završna boja moraju biti kompatibilni.</t>
  </si>
  <si>
    <t>Izvedbu akrila u svim uglovima te dodatno oko bravarskih i stolarskih stavki.</t>
  </si>
  <si>
    <t>PRIPREMA POVRŠINA</t>
  </si>
  <si>
    <t>Gletanje AB zidnih elemenata (stambeni prostor)</t>
  </si>
  <si>
    <t>Dobava potrebnog materijala i gletanje AB zidova. Prije nanošenja novih slojeva podlogu pripremiti odgovarajućim mehaničkim postupkom. Nanijeti grebani sloj kako bi se ispravile eventualne nejednolikosti podloge te u još mokri sloj nanijeti fini polimercementni mort u debljini sloja od 1-3 mm kao priprema za završne obrade.</t>
  </si>
  <si>
    <t>Gletanje AB stropova i podgleda stubišta (stambeni prostor)</t>
  </si>
  <si>
    <t>Dobava potrebnog materijala i gletanje AB stropova. Prije nanošenja novih slojeva podlogu pripremiti odgovarajućim mehaničkim postupkom. Nanijeti grebani sloj kako bi se ispravile eventualne nejednolikosti podloge te u još mokri sloj nanijeti fini polimercementni mort u debljini sloja od 1-3 mm kao priprema za završne obrade.</t>
  </si>
  <si>
    <t>Obrada AB zidnih elemenata (poslovni prostor)</t>
  </si>
  <si>
    <t xml:space="preserve">Dobava potrebnog materijala i obrada AB vertikalnih elemenata kao priprema za završne dekorativne obrade.
Prije nanošenja novih slojeva podlogu pripremiti odgovarajućim mehaničkim postupkom. Izvodi se punoplošn pregletavanje upotrebom građevinskog ljepila, armaturne mrežice kako bi podloga bila spremna za nanošenje završnih dekorativnih obloga. </t>
  </si>
  <si>
    <t>Obrada AB stropova (poslovni prostor)</t>
  </si>
  <si>
    <t>Dobava, doprama potrebnog materijala i obrada neravnina AB stropova nakon uklanjanja oplate.</t>
  </si>
  <si>
    <t>BOJANJA</t>
  </si>
  <si>
    <t xml:space="preserve">Bojanje zidova </t>
  </si>
  <si>
    <t>Dobava, doprema materijala i bojanje zidova i obloga stanova, stubišta i hodnika, bojom prema izboru projektanta.</t>
  </si>
  <si>
    <t>Bojanje zidova perivom bojom</t>
  </si>
  <si>
    <t>Dobava, doprema materijala i bojanje zidova kupaonice poslovnog protora, perivom bojom prema izboru projektanta.</t>
  </si>
  <si>
    <t>Bojanje stropova</t>
  </si>
  <si>
    <t>Dobava, doprema materijala i bojanje stropova uključivo i bojanje svih maski, bojom prema izboru projektanta.</t>
  </si>
  <si>
    <t>Ptotuprašni premaz</t>
  </si>
  <si>
    <t xml:space="preserve">Dobava, doprema materijala i ugradnja protuprašnog premaza na zidove poslovnog protora i garaže. </t>
  </si>
  <si>
    <t>SOBOSLIKARSKO LIČILAČKI RADOVI UKUPNO:</t>
  </si>
  <si>
    <t>B.05.</t>
  </si>
  <si>
    <t>STOLARSKI RADOVI</t>
  </si>
  <si>
    <t>Prilikom izvedbe stolarskih radova te za korištenje i ispitivanje materijala opisanih u troškovniku izvođač radova se mora pridržavati uvjeta i opisa iz projektne dokumentacije kao i važećih propisa i normi.</t>
  </si>
  <si>
    <t>Izvođač je dužan provjeriti sve dimenzije na licu mjesta, bilo kakva pogreška, propust ili neslaganja između nacrta arhitekture i eventualnih dodatnih nacrta i projektnih detalja moraju se prijaviti voditelju projekta, nadzornom inženjeru i projektantu.
U slučaju neslaganja između nacrta, mjerodavan je detaljniji nacrt.
Prije početka izvedbe stolarskih elemenata sve potrebne radioničke nacrte izrađuje izvođač stolarskih radova te s predloženim okovom dostavlja ih na usuglašavanje projektantu-investitoru, što je uključeno u jediničnu cijenu stavke. Svi detalji potrebni za radionički nacrt dogovaraju se s glavnim projektantom, a ugradnja slijedi nakon što projektant odobri radioničke nacrte, a izvođač točno provjeri sve dimenzije na licu mjesta.
Svi pripremni radionički nacrti izvođača moraju se predati projektantu na odobrenje prije izrade stavke. Za svaki element je potrebno izraditi uzorak u detaljnom mjerilu, kojega odobrava projektant prije narudžbe materijala.
Na zahtjev projektanta ili odgovorne osobe izvođač je dužan testirati određene detalje sa prototipovima, a prije same izvedbe.</t>
  </si>
  <si>
    <t>Sav potreban rad i materijal, sve završne obrade, kao i sve dodatne radove i materijale potrebne da se izradi kompletna stavka kao oblikovna i funkcionalna cjelina, te pribavljanje svih potrebnih atesta. Prilikom izvođenja radova potrebno je usklađenje sa svim izvođačima kontaktnih stavki.
Izrada, zaštita i montaža eventualno potrebnog slijepog okvira uračunata u cijenu, uključivo sav potreban dodatno materijal do potpune funkcionalne i estetske gotovosti.</t>
  </si>
  <si>
    <t>Jedinične cijene stavke uključuju ugradnju okova, brave, kvake, ostakljenja, brtve i ostale opreme, dobavu i ugradnju svog pričvrsnog materijala i potkonstrukcije potrebne za montažu. Sav okov i brtvljenje protupožarnih vrata mora zadovoljavati zahtjeve protupožarnosti.</t>
  </si>
  <si>
    <t>Ugradnja prema RAL smjernicama, s parnim branama i vodonepropusnim spojnim elementima, bez toplinskih mostova.</t>
  </si>
  <si>
    <t>Za sve stavke stolarskih radova horizontalni i vertikalni transport, te zbrinjavanje otpada je u obvezi izvođača.</t>
  </si>
  <si>
    <t>VRATA</t>
  </si>
  <si>
    <t xml:space="preserve">Unutarnja vrata </t>
  </si>
  <si>
    <t>Izrada, dobava i ugradnja punih drvenih jednokrilnih zaokretnih vrata sanitarija i garderobe u AB zid prema shemi. Vrata u svemu prema izboru projektanta.</t>
  </si>
  <si>
    <t>Dimenzije: 100/220 cm</t>
  </si>
  <si>
    <t>Izrada, dobava i ugradnja punih drvenih jednokrilnih zaokretnih vrata sanitarija, garderobe i spremišta u GK zid prema shemi. Vrata u svemu prema izboru projektanta.</t>
  </si>
  <si>
    <t>Dimenzije: 70/220 cm</t>
  </si>
  <si>
    <t>Izrada, dobava i ugradnja punih drvenih jednokrilnih zaokretnih vrata sanitarija s prestrujnom rešetkom u GK zid prema shemi. Vrata u svemu prema izboru projektanta.</t>
  </si>
  <si>
    <t>Unutarnja stepenica</t>
  </si>
  <si>
    <t>Izrada, dobava i ugradnja drvene stepenice s konstrukcijom za izlaz na terasu 1.kata u svemu prema projektnoj dokumentaciji. Stavka uključuje sav potreban spojni i pričvrsni materijal.</t>
  </si>
  <si>
    <t>Vrata strojarnice</t>
  </si>
  <si>
    <t>Izrada, dobava i ugradnja drvenih vrata strojarnice na terasi 1.kata u svemu prema projektnoj dokumentaciji. Stavka uključuje sav potreban spojni i pričvrsni materijal.</t>
  </si>
  <si>
    <t>STOLARSKI RADOVI UKUPNO:</t>
  </si>
  <si>
    <t>B.06.</t>
  </si>
  <si>
    <t>BRAVARSKI RADOVI</t>
  </si>
  <si>
    <t>Prilikom izvedbe bravarskih radova te za korištenje i ispitivanje materijala opisanih u troškovniku izvođač radova mora se pridržavati uvjeta i opisa iz projektne dokumentacije kao i važećih propisa i normi.</t>
  </si>
  <si>
    <t>Svi detalji potrebni za radionički nacrt dogovaraju se s glavnim projektantom i stručnim nadzorom. Radionički nacrt izrađuje izvođač, a ugradnja slijedi nakon što glavni projektant odobri radioničke nacrte, što je uključeno u jediničnu cijenu stavke.
Na zahtjev projektanta ili odgovorne osobe izvođač je dužan testirati određene detalje sa prototipovima, a prije same izvedbe.
Izvođač radova dužan je dobaviti i montirati te u cijenu ukalkulirati sav potreban okov za besprijekornu upotrebu pojedinog bravarskog elementa bez obzira da li je u pojedinim stavkama sve iskazano.
Izvođač bravarskih radova treba biti u kooperaciji sa izvođačem ličilačkih, stolarskih, staklorezačkih i sl. radova, a on je pred investitorom nosilac posla i odgovoran za kvalitetu ukupnog rada svake bravarske stavke. Sastavni dio bravarskih radova u tom slučaju su uvjeti staklorezačkih, stolarskih i ličilačkih radova.
Stavke moraju ispunjavati sve zahtjeve protupožarnosti sukladno projektu zaštite od požara.</t>
  </si>
  <si>
    <t>Jedinične cijene stavki uključuju:
- Sav potreban rad i materijal, sve završne obrade, kao i sve dodatne radove i materijale potrebne da se izradi kompletna stavka kao oblikovna i funkcionalna cjelina, te pribavljanje svih potrebnih atesta. Prilikom izvođenja radova potrebno je usklađenje sa svim izvođačima kontaktnih stavki.
- sve potrebne potkonstrukcije, okov, brave, ručke, kvake, ostakljenja
- dvokratni osnovni premaz prema uvjetima antikorozivne zaštite u radionici, popravak antikorozivne zaštite iza montaže te kompletnu zaštitu sa završnom obradom ličenjem, plastificiranjem ili eloksiranjem ako je to u stavci određeno
- svi potrebni opšavi za spojeve sa okolnim konstrukcijama i brtve
- slijepe okvire potrebne za montažu elemenata
- zaštitu dijelova fasade i ostalih elemenata pri transportu i ugradnji
- suradnja sa ostalim izvođačima, posebice kod kontaktnih stavki, uključivo i suradnja sa električarima i izvedba rupa za kabele bez naknadnog bušenja
- svu potrebnu izolaciju opisanu u okviru bravarske stavke</t>
  </si>
  <si>
    <t>Za sve stavke bravarskih radova horizontalni i vertikalni transport, te zbrinjavanje otpada je u obvezi izvođača.</t>
  </si>
  <si>
    <t>PROTUPOŽARNA VRATA</t>
  </si>
  <si>
    <t>Ulazna vrata stana</t>
  </si>
  <si>
    <t xml:space="preserve">Izrada, dobava i ugradnja protupožarnih punih glatkih jednokrilnih zaokretnih ulaznih vrata prema shemi. Vrata u svemu prema izboru projektanta.
</t>
  </si>
  <si>
    <t>Dimenzije: 110/220 cm</t>
  </si>
  <si>
    <t xml:space="preserve">Ulazna vrata </t>
  </si>
  <si>
    <t xml:space="preserve">Izrada, dobava i ugradnja dvokrilinih ulaznih vrata s nadsvjetlom, armiranim staklom i maskom od Alu profila s prekinutim toplinskim mostom, završno obrađenim plastificiranjem u svemu prema izboru projektanta.
</t>
  </si>
  <si>
    <t>Dimenzije: 200/260+120 cm</t>
  </si>
  <si>
    <t>Izrada, dobava i ugradnja dvokrilnih ulaznih vrata s nadsvjetlom i armiranim staklom od Alu profila s prekinutim toplinskim mostom, završno obrađenim plastificiranjem u svemu prema izboru projektanta.</t>
  </si>
  <si>
    <t>Dimenzije: 250/260 cm</t>
  </si>
  <si>
    <t xml:space="preserve">Izrada, dobava i ugradnja jednokrilnih ulaznih vrata s nadsvjetlom od Alu profila s prekinutim toplinskim mostom, završno obrađenim plastificiranjem u svemu prema izboru projektanta. </t>
  </si>
  <si>
    <t>Dimenzije: 120/260 cm</t>
  </si>
  <si>
    <t>PROZORI</t>
  </si>
  <si>
    <t>Jednokrilni prozor</t>
  </si>
  <si>
    <t>Izrada, dobava i ugradnja jednokrilnog prozora od Alu profila s prekinutim toplinskim mostom, završno obrađenim plastificiranjem u svemu prema izboru projektanta.</t>
  </si>
  <si>
    <t>Dimenzije: 60/60 cm</t>
  </si>
  <si>
    <t>Izrada, dobava i ugradnja jednokrilnog prozora s armiranim staklom od Alu profila s prekinutim toplinskim mostom, završno obrađenim plastificiranjem u svemu prema izboru projektanta.</t>
  </si>
  <si>
    <t>Dimenzije: 60/120 cm</t>
  </si>
  <si>
    <t>Izrada, dobava i ugradnja jednokrilnog prozora s nadsvjetlom od Alu profila s prekinutim toplinskim mostom, završno obrađenim plastificiranjem u svemu prema izboru projektanta.</t>
  </si>
  <si>
    <t>Dimenzije: 80/180 cm</t>
  </si>
  <si>
    <t>Izrada, dobava i ugradnja jednokrilnog prozora s armiranim staklom i nadsvjetlom od Alu profila s prekinutim toplinskim mostom, završno obrađenim plastificiranjem u svemu prema izboru projektanta.</t>
  </si>
  <si>
    <t>Dimenzije: 60/260 cm</t>
  </si>
  <si>
    <t>Dimenzije: 100/260 cm</t>
  </si>
  <si>
    <t>Dimenzije: 60/270 cm</t>
  </si>
  <si>
    <t>Dimenzije: 100/270 cm</t>
  </si>
  <si>
    <t>Trodijelni prozor</t>
  </si>
  <si>
    <t>Izrada, dobava i ugradnja trodijelnog prozora od Alu profila s prekinutim toplinskim mostom, završno obrađenim plastificiranjem u svemu prema izboru projektanta.</t>
  </si>
  <si>
    <t>Dimenzije: 230/260 cm</t>
  </si>
  <si>
    <t>Izrada, dobava i ugradnja trodijelnog prozora s maskom od Alu profila s prekinutim toplinskim mostom, završno obrađenim plastificiranjem u svemu prema izboru projektanta.</t>
  </si>
  <si>
    <t>Dimenzije: 300/120 cm</t>
  </si>
  <si>
    <t>Višedijelni prozor</t>
  </si>
  <si>
    <t>Izrada, dobava i ugradnja višedijelnog prozora s armiranim staklom i maskom od Alu profila s prekinutim toplinskim mostom, završno obrađenim plastificiranjem u svemu prema izboru projektanta.</t>
  </si>
  <si>
    <t>Dimenzije: 495/60 cm</t>
  </si>
  <si>
    <t>STAKLENE STIJENE</t>
  </si>
  <si>
    <t xml:space="preserve">Četverodijelna stijena </t>
  </si>
  <si>
    <t>Izrada, dobava i ugradnja četverodijelne stijene od Alu profila s prekinutim toplinskim mostom, završno obrađenim plastificiranjem u svemu prema izboru projektanta.</t>
  </si>
  <si>
    <t>Ojačanje stijene izvesti između dnevnog boravka i sobe, kvadratnim čeličnim profilom dimanzija 100x100 mm, d= 5 mm.</t>
  </si>
  <si>
    <t>Dimenzije: 570/250 cm</t>
  </si>
  <si>
    <t xml:space="preserve">Obračun po komadu staklene stijene. </t>
  </si>
  <si>
    <t>Obračun po kg ojačanja.</t>
  </si>
  <si>
    <t xml:space="preserve">Višedijelna stijena </t>
  </si>
  <si>
    <t>Izrada, dobava i ugradnja višedijelne stijene s armiranim staklom i maskom od Alu profila s prekinutim toplinskim mostom, završno obrađenim plastificiranjem u svemu prema izboru projektanta.</t>
  </si>
  <si>
    <t>Dimenzije: 200/270+80 cm</t>
  </si>
  <si>
    <t xml:space="preserve">Garažna vrata </t>
  </si>
  <si>
    <t>Izrada, dobava i ugradnja garažnih vrata od Alu profila s prekinutim toplinskim mostom, završno obrađenim plastificiranjem u svemu prema izboru projektanta.</t>
  </si>
  <si>
    <t>Dimenzije: 300/272  cm</t>
  </si>
  <si>
    <t>Pergola</t>
  </si>
  <si>
    <t xml:space="preserve">Izrada, dobava i ugradnja Alu pergole. Elementi pergole su stupovi 100x100x10 mm na razmaku 40-90 cm, horizontalno pridržanim na AB parapetu i grede 100x300x10 mm na razmaku 40-90 cm, na krajevima međusobno povezane Alu profilom 40x40x4 mm, profil pridržan na AB zidu 1. kata u svemu prema projektnim detaljima i radioničkoj dokumentaciji. Stavka uključuje sav potreban spojni i pričvrsni materijal. </t>
  </si>
  <si>
    <t>Obračun po kg.</t>
  </si>
  <si>
    <t>Konstrukcija stubišta</t>
  </si>
  <si>
    <t>Izrada, dobava i ugradnja lagane metalne konstrukcije stubišta bazena u svemu prema projektnoj dokumentaciji. Stavka uključuje sav potreban spojni i pričvrsni materijal. S izvođenjem konstrukcije smije se započeti isključivo nakon ovjere radioničke dokumentacije (izrađene od strane Izvođača).</t>
  </si>
  <si>
    <t>Stavka uključuje izvedbu sustava zaštite od korozije.</t>
  </si>
  <si>
    <t xml:space="preserve">Pozicija: bazen </t>
  </si>
  <si>
    <t>BRAVARSKI RADOVI UKUPNO:</t>
  </si>
  <si>
    <t>OBRTNIČKI RADOVI UKUPNO:</t>
  </si>
  <si>
    <t>AB POTPORNI ZID – POSTOJEĆA ZGRADA</t>
  </si>
  <si>
    <t>1.</t>
  </si>
  <si>
    <t>Iskolčenje potpornog zida</t>
  </si>
  <si>
    <t>2.</t>
  </si>
  <si>
    <t>Rušenje postojećeg zida do visine za izradu vanjskog uređenja.</t>
  </si>
  <si>
    <t>3.</t>
  </si>
  <si>
    <t>Rušenje postojećeg betonskog poda za izradu novog zida.</t>
  </si>
  <si>
    <t>4.</t>
  </si>
  <si>
    <t>Iskop za temelje, sa utovarom i odvozom na deponiju.</t>
  </si>
  <si>
    <t>5.</t>
  </si>
  <si>
    <t>Dobava i ugradnja betona C25/30 u temelje.</t>
  </si>
  <si>
    <t>6.</t>
  </si>
  <si>
    <t>Oplata temelja zida, oplata temelja se izvodi u ravnim segmentima.</t>
  </si>
  <si>
    <t>7.</t>
  </si>
  <si>
    <t>Dobava i ugradnja betona C25/30 u potporni zid</t>
  </si>
  <si>
    <t>8.</t>
  </si>
  <si>
    <t>Oplata zida izvedena u lukovima prema projektu</t>
  </si>
  <si>
    <t>9.</t>
  </si>
  <si>
    <t>Doba i ugradnja armature prema projektu</t>
  </si>
  <si>
    <t>10.</t>
  </si>
  <si>
    <t>Zatrpavanje sa kamenim materijalom.</t>
  </si>
  <si>
    <t>RUŠENJE I PONOVA IZGRADNJA PARAPETNOG ZIDA SA UKLANJANJEM I MONTAŽU POSTOJEĆE OGRADE</t>
  </si>
  <si>
    <t>Uklanjanje postojeće ograde</t>
  </si>
  <si>
    <t>kom.</t>
  </si>
  <si>
    <t>Rušenje postojećega zida, odvoz materijala na trajnu deponiju</t>
  </si>
  <si>
    <t>Iskoličenje parcelne granice i novog zida</t>
  </si>
  <si>
    <t>iskop za temeljenje zidu</t>
  </si>
  <si>
    <t>Nosivni sloj od mehanički zbijenog zrnatog kamenog materijala 0/32, d=20cm</t>
  </si>
  <si>
    <t>Geotekstil 300g/m2, dobava i ugradnja</t>
  </si>
  <si>
    <t xml:space="preserve">AB temelj zida 0,50 x 0,30 x 24,00 (Š x V x L) </t>
  </si>
  <si>
    <t>AB zid, 0,20 x 0,75 x 22,00 (Š x V x L)</t>
  </si>
  <si>
    <t>11.</t>
  </si>
  <si>
    <t>12.</t>
  </si>
  <si>
    <t>13.</t>
  </si>
  <si>
    <t>Dobava i ugradnja armature</t>
  </si>
  <si>
    <t>14.</t>
  </si>
  <si>
    <t>Izvedba drenažne cjevi uz dno AB zida, posip sa šljunkom i umotano u filc</t>
  </si>
  <si>
    <t>m1</t>
  </si>
  <si>
    <t>15.</t>
  </si>
  <si>
    <t>Izvedba revizijskog okna i spajanje drenaže na odvodni kanal</t>
  </si>
  <si>
    <t>PARAPETNI ZID ZA MONTAŽU PANELNE OGRADE</t>
  </si>
  <si>
    <t>Iskop za temeljenje zidu</t>
  </si>
  <si>
    <t>Zatrpavanje sa iskopnim materijalom do potrebne visine.</t>
  </si>
  <si>
    <t xml:space="preserve">AB temelj zida 0,50 x 1,2 (Š x V) </t>
  </si>
  <si>
    <t>AB zid, 1,35 x 0,20 (Š x V)</t>
  </si>
  <si>
    <t>UKUPNO</t>
  </si>
  <si>
    <t>Nepredviđeni radovi</t>
  </si>
  <si>
    <t>%</t>
  </si>
  <si>
    <t>PDV</t>
  </si>
  <si>
    <t>SVEUKUPNO S PDV</t>
  </si>
  <si>
    <t>Napomena: PPO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</si>
</sst>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0.00\ [$€-1]_-;\-* #,##0.00\ [$€-1]_-;_-* &quot;-&quot;??\ [$€-1]_-;_-@_-"/>
    <numFmt numFmtId="165" formatCode="0\4&quot;.&quot;#,#0#&quot;.&quot;"/>
    <numFmt numFmtId="166" formatCode="0\6&quot;.&quot;#,#0#&quot;.&quot;"/>
    <numFmt numFmtId="167" formatCode="#,##0.00\ &quot;kn&quot;"/>
    <numFmt numFmtId="168" formatCode="\A&quot;.&quot;0\2&quot;.&quot;#,#0#&quot;.&quot;"/>
    <numFmt numFmtId="169" formatCode="_-* #,##0.00\ [$kn-41A]_-;\-* #,##0.00\ [$kn-41A]_-;_-* &quot;-&quot;??\ [$kn-41A]_-;_-@"/>
    <numFmt numFmtId="170" formatCode="\A&quot;.&quot;0\1&quot;.&quot;#,#0#&quot;.&quot;"/>
    <numFmt numFmtId="171" formatCode="\C&quot;.&quot;0\4&quot;.&quot;#,#0#&quot;.&quot;"/>
    <numFmt numFmtId="172" formatCode="0\1&quot;.&quot;#,#0#&quot;.&quot;"/>
    <numFmt numFmtId="173" formatCode="\C&quot;.&quot;0\1&quot;.&quot;#,#0#&quot;.&quot;"/>
    <numFmt numFmtId="174" formatCode="\C&quot;.&quot;0\2&quot;.&quot;#,#0#&quot;.&quot;"/>
    <numFmt numFmtId="175" formatCode="\A&quot;.&quot;0\3&quot;.&quot;#,#0#&quot;.&quot;"/>
    <numFmt numFmtId="176" formatCode="\C&quot;.&quot;0\5&quot;.&quot;#,#0#&quot;.&quot;"/>
    <numFmt numFmtId="177" formatCode="#\ ##0.00"/>
    <numFmt numFmtId="178" formatCode="\B&quot;.&quot;0\1&quot;.&quot;#,#0#&quot;.&quot;"/>
    <numFmt numFmtId="179" formatCode="0\5&quot;.&quot;#,#0#&quot;.&quot;"/>
    <numFmt numFmtId="180" formatCode="\C&quot;.&quot;0\3&quot;.&quot;#,#0#&quot;.&quot;"/>
    <numFmt numFmtId="181" formatCode="\A&quot;.&quot;0\4&quot;.&quot;#,#0#&quot;.&quot;"/>
    <numFmt numFmtId="182" formatCode="\A&quot;.&quot;0\6&quot;.&quot;#,#0#&quot;.&quot;"/>
    <numFmt numFmtId="183" formatCode="\B&quot;.&quot;0\2&quot;.&quot;#,#0#&quot;.&quot;"/>
    <numFmt numFmtId="184" formatCode="\C&quot;.&quot;0\6&quot;.&quot;#,#0#&quot;.&quot;"/>
    <numFmt numFmtId="185" formatCode="\A&quot;.&quot;0\5&quot;.&quot;#,#0#&quot;.&quot;"/>
    <numFmt numFmtId="186" formatCode="0\2&quot;.&quot;#,#0#&quot;.&quot;"/>
    <numFmt numFmtId="187" formatCode="0\3&quot;.&quot;#,#0#&quot;.&quot;"/>
    <numFmt numFmtId="188" formatCode="\B&quot;.&quot;0\3&quot;.&quot;#,#0#&quot;.&quot;"/>
    <numFmt numFmtId="189" formatCode="\B&quot;.&quot;0\4&quot;.&quot;#,#0#&quot;.&quot;"/>
    <numFmt numFmtId="190" formatCode="\A&quot;.&quot;0\7&quot;.&quot;#,#0#&quot;.&quot;"/>
    <numFmt numFmtId="191" formatCode="\B&quot;.&quot;0\6&quot;.&quot;#,#0#&quot;.&quot;"/>
    <numFmt numFmtId="192" formatCode="\B&quot;.&quot;0\5&quot;.&quot;#,#0#&quot;.&quot;"/>
    <numFmt numFmtId="193" formatCode="#,##0.00\ [$€-424];[Red]\-#,##0.00\ [$€-424]"/>
    <numFmt numFmtId="194" formatCode="#,##0.00\ [$€-424];\-#,##0.00\ [$€-424]"/>
    <numFmt numFmtId="195" formatCode="0.00\ %"/>
  </numFmts>
  <fonts count="41">
    <font>
      <sz val="11"/>
      <color theme="1"/>
      <name val="Calibri"/>
      <family val="2"/>
      <scheme val="minor"/>
    </font>
    <font>
      <sz val="11"/>
      <color theme="1"/>
      <name val="Calibri"/>
      <family val="2"/>
      <charset val="238"/>
      <scheme val="minor"/>
    </font>
    <font>
      <sz val="10"/>
      <color rgb="FF000000"/>
      <name val="Arial"/>
      <family val="2"/>
      <charset val="238"/>
    </font>
    <font>
      <sz val="10"/>
      <name val="Arial"/>
      <family val="2"/>
      <charset val="238"/>
    </font>
    <font>
      <b/>
      <sz val="8"/>
      <name val="Arial"/>
      <family val="2"/>
    </font>
    <font>
      <sz val="8"/>
      <name val="Arial"/>
      <family val="2"/>
    </font>
    <font>
      <sz val="8"/>
      <color rgb="FFFF0000"/>
      <name val="Arial"/>
      <family val="2"/>
    </font>
    <font>
      <sz val="10"/>
      <name val="Arial"/>
      <family val="2"/>
    </font>
    <font>
      <b/>
      <sz val="8"/>
      <color theme="1"/>
      <name val="Arial"/>
      <family val="2"/>
    </font>
    <font>
      <sz val="11"/>
      <name val="Arial CE"/>
      <charset val="238"/>
    </font>
    <font>
      <sz val="8"/>
      <color theme="1"/>
      <name val="Arial"/>
      <family val="2"/>
    </font>
    <font>
      <sz val="10"/>
      <name val="Arial CE"/>
      <charset val="238"/>
    </font>
    <font>
      <sz val="11"/>
      <color rgb="FF9C0006"/>
      <name val="Calibri"/>
      <family val="2"/>
      <charset val="238"/>
      <scheme val="minor"/>
    </font>
    <font>
      <sz val="8"/>
      <name val="Calibri"/>
      <family val="2"/>
      <scheme val="minor"/>
    </font>
    <font>
      <b/>
      <sz val="8"/>
      <name val="Arial"/>
      <family val="2"/>
      <charset val="238"/>
    </font>
    <font>
      <sz val="8"/>
      <name val="Arial"/>
      <family val="2"/>
      <charset val="238"/>
    </font>
    <font>
      <i/>
      <sz val="8"/>
      <name val="Arial"/>
      <family val="2"/>
    </font>
    <font>
      <sz val="11"/>
      <color theme="1"/>
      <name val="Calibri"/>
      <family val="2"/>
      <scheme val="minor"/>
    </font>
    <font>
      <sz val="11"/>
      <name val="Arial"/>
      <family val="2"/>
    </font>
    <font>
      <b/>
      <strike/>
      <sz val="8"/>
      <name val="Arial"/>
      <family val="2"/>
    </font>
    <font>
      <strike/>
      <sz val="8"/>
      <name val="Arial"/>
      <family val="2"/>
    </font>
    <font>
      <sz val="11"/>
      <name val="Calibri"/>
      <family val="2"/>
      <scheme val="minor"/>
    </font>
    <font>
      <b/>
      <sz val="8"/>
      <color rgb="FFFF0000"/>
      <name val="Arial"/>
      <family val="2"/>
    </font>
    <font>
      <sz val="8"/>
      <color rgb="FFFF0000"/>
      <name val="Arial"/>
      <family val="2"/>
      <charset val="238"/>
    </font>
    <font>
      <sz val="8"/>
      <color theme="1"/>
      <name val="Calibri"/>
      <family val="2"/>
      <scheme val="minor"/>
    </font>
    <font>
      <sz val="8"/>
      <color rgb="FF9C0006"/>
      <name val="Calibri"/>
      <family val="2"/>
      <charset val="238"/>
      <scheme val="minor"/>
    </font>
    <font>
      <sz val="8"/>
      <color theme="1"/>
      <name val="Arial"/>
      <family val="2"/>
      <charset val="238"/>
    </font>
    <font>
      <sz val="8"/>
      <color rgb="FFFF0000"/>
      <name val="Calibri"/>
      <family val="2"/>
      <scheme val="minor"/>
    </font>
    <font>
      <b/>
      <sz val="8"/>
      <color rgb="FFFF0000"/>
      <name val="Arial"/>
      <family val="2"/>
      <charset val="238"/>
    </font>
    <font>
      <b/>
      <sz val="8"/>
      <color rgb="FF00B050"/>
      <name val="Arial"/>
      <family val="2"/>
      <charset val="238"/>
    </font>
    <font>
      <sz val="8"/>
      <color rgb="FF00B050"/>
      <name val="Arial"/>
      <family val="2"/>
      <charset val="238"/>
    </font>
    <font>
      <b/>
      <sz val="8"/>
      <color theme="1"/>
      <name val="Arial"/>
      <family val="2"/>
      <charset val="238"/>
    </font>
    <font>
      <strike/>
      <sz val="8"/>
      <color rgb="FFFF0000"/>
      <name val="Arial"/>
      <family val="2"/>
    </font>
    <font>
      <i/>
      <sz val="8"/>
      <color theme="1"/>
      <name val="Arial"/>
      <family val="2"/>
    </font>
    <font>
      <sz val="11"/>
      <color rgb="FFFF0000"/>
      <name val="Arial"/>
      <family val="2"/>
    </font>
    <font>
      <b/>
      <strike/>
      <sz val="8"/>
      <color rgb="FFFF0000"/>
      <name val="Arial"/>
      <family val="2"/>
    </font>
    <font>
      <strike/>
      <sz val="11"/>
      <color rgb="FFFF0000"/>
      <name val="Arial"/>
      <family val="2"/>
    </font>
    <font>
      <b/>
      <sz val="12"/>
      <color theme="1"/>
      <name val="Swis721 BT"/>
      <family val="2"/>
      <charset val="238"/>
    </font>
    <font>
      <sz val="12"/>
      <color theme="1"/>
      <name val="Swis721 BT"/>
      <family val="2"/>
      <charset val="238"/>
    </font>
    <font>
      <b/>
      <sz val="11"/>
      <color theme="1"/>
      <name val="Calibri"/>
      <family val="2"/>
      <charset val="1"/>
    </font>
    <font>
      <b/>
      <u/>
      <sz val="8"/>
      <color rgb="FFFF0000"/>
      <name val="Arial"/>
      <family val="2"/>
      <charset val="238"/>
    </font>
  </fonts>
  <fills count="15">
    <fill>
      <patternFill patternType="none"/>
    </fill>
    <fill>
      <patternFill patternType="gray125"/>
    </fill>
    <fill>
      <patternFill patternType="solid">
        <fgColor rgb="FFD8D8D8"/>
        <bgColor rgb="FFD8D8D8"/>
      </patternFill>
    </fill>
    <fill>
      <patternFill patternType="solid">
        <fgColor rgb="FFCCFFFF"/>
        <bgColor rgb="FFCCFFFF"/>
      </patternFill>
    </fill>
    <fill>
      <patternFill patternType="solid">
        <fgColor rgb="FFFBE4D5"/>
        <bgColor rgb="FFFBE4D5"/>
      </patternFill>
    </fill>
    <fill>
      <patternFill patternType="solid">
        <fgColor theme="0" tint="-0.14999847407452621"/>
        <bgColor indexed="64"/>
      </patternFill>
    </fill>
    <fill>
      <patternFill patternType="solid">
        <fgColor theme="0" tint="-0.14999847407452621"/>
        <bgColor rgb="FFBFBFBF"/>
      </patternFill>
    </fill>
    <fill>
      <patternFill patternType="solid">
        <fgColor theme="0" tint="-0.14999847407452621"/>
        <bgColor rgb="FFD8D8D8"/>
      </patternFill>
    </fill>
    <fill>
      <patternFill patternType="solid">
        <fgColor rgb="FFFFC7CE"/>
      </patternFill>
    </fill>
    <fill>
      <patternFill patternType="solid">
        <fgColor indexed="41"/>
        <bgColor indexed="64"/>
      </patternFill>
    </fill>
    <fill>
      <patternFill patternType="solid">
        <fgColor indexed="27"/>
        <bgColor indexed="41"/>
      </patternFill>
    </fill>
    <fill>
      <patternFill patternType="solid">
        <fgColor rgb="FFFEF2CB"/>
        <bgColor rgb="FFFEF2CB"/>
      </patternFill>
    </fill>
    <fill>
      <patternFill patternType="solid">
        <fgColor theme="7" tint="0.59999389629810485"/>
        <bgColor indexed="64"/>
      </patternFill>
    </fill>
    <fill>
      <patternFill patternType="solid">
        <fgColor theme="0" tint="-0.249977111117893"/>
        <bgColor indexed="64"/>
      </patternFill>
    </fill>
    <fill>
      <patternFill patternType="solid">
        <fgColor theme="0"/>
        <bgColor indexed="64"/>
      </patternFill>
    </fill>
  </fills>
  <borders count="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rgb="FFD4AA00"/>
      </top>
      <bottom style="thin">
        <color rgb="FFD4AA00"/>
      </bottom>
      <diagonal/>
    </border>
    <border>
      <left/>
      <right/>
      <top style="thin">
        <color rgb="FFD4AA00"/>
      </top>
      <bottom/>
      <diagonal/>
    </border>
    <border>
      <left/>
      <right/>
      <top style="thin">
        <color rgb="FFD4AA00"/>
      </top>
      <bottom style="double">
        <color rgb="FFD4AA00"/>
      </bottom>
      <diagonal/>
    </border>
    <border>
      <left style="hair">
        <color auto="1"/>
      </left>
      <right style="hair">
        <color auto="1"/>
      </right>
      <top/>
      <bottom style="hair">
        <color auto="1"/>
      </bottom>
      <diagonal/>
    </border>
    <border>
      <left style="hair">
        <color auto="1"/>
      </left>
      <right/>
      <top/>
      <bottom style="hair">
        <color auto="1"/>
      </bottom>
      <diagonal/>
    </border>
  </borders>
  <cellStyleXfs count="43">
    <xf numFmtId="0" fontId="0"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49" fontId="9" fillId="0" borderId="0">
      <alignment horizontal="justify" vertical="justify" wrapText="1"/>
      <protection locked="0"/>
    </xf>
    <xf numFmtId="0" fontId="11" fillId="0" borderId="0"/>
    <xf numFmtId="0" fontId="1" fillId="0" borderId="0"/>
    <xf numFmtId="0" fontId="2"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2" fillId="8" borderId="0"/>
    <xf numFmtId="0" fontId="3" fillId="0" borderId="0"/>
    <xf numFmtId="0" fontId="1" fillId="0" borderId="0"/>
    <xf numFmtId="0" fontId="1" fillId="0" borderId="0"/>
    <xf numFmtId="0" fontId="1" fillId="0" borderId="0"/>
    <xf numFmtId="0" fontId="17" fillId="0" borderId="0"/>
    <xf numFmtId="0" fontId="12" fillId="8" borderId="0"/>
    <xf numFmtId="0" fontId="1" fillId="0" borderId="0"/>
    <xf numFmtId="0" fontId="17" fillId="0" borderId="0"/>
    <xf numFmtId="0" fontId="1" fillId="0" borderId="0"/>
    <xf numFmtId="0" fontId="1" fillId="0" borderId="0"/>
    <xf numFmtId="0" fontId="1" fillId="0" borderId="0"/>
    <xf numFmtId="0" fontId="11" fillId="0" borderId="0"/>
    <xf numFmtId="0" fontId="1" fillId="0" borderId="0"/>
  </cellStyleXfs>
  <cellXfs count="814">
    <xf numFmtId="0" fontId="0" fillId="0" borderId="0" xfId="0"/>
    <xf numFmtId="0" fontId="4" fillId="5" borderId="1" xfId="17" applyFont="1" applyFill="1" applyBorder="1" applyAlignment="1">
      <alignment horizontal="left" vertical="center"/>
    </xf>
    <xf numFmtId="0" fontId="8" fillId="5" borderId="1" xfId="17" applyFont="1" applyFill="1" applyBorder="1" applyAlignment="1">
      <alignment horizontal="left" vertical="center"/>
    </xf>
    <xf numFmtId="4" fontId="5" fillId="0" borderId="1" xfId="15" applyNumberFormat="1" applyFont="1" applyBorder="1" applyAlignment="1">
      <alignment horizontal="left" vertical="center"/>
    </xf>
    <xf numFmtId="0" fontId="0" fillId="12" borderId="0" xfId="0" applyFill="1"/>
    <xf numFmtId="0" fontId="8" fillId="12" borderId="0" xfId="0" applyFont="1" applyFill="1"/>
    <xf numFmtId="10" fontId="0" fillId="0" borderId="0" xfId="0" applyNumberFormat="1"/>
    <xf numFmtId="164" fontId="0" fillId="0" borderId="0" xfId="0" applyNumberFormat="1"/>
    <xf numFmtId="164" fontId="8" fillId="5" borderId="1" xfId="17" applyNumberFormat="1" applyFont="1" applyFill="1" applyBorder="1" applyAlignment="1">
      <alignment horizontal="right" vertical="center"/>
    </xf>
    <xf numFmtId="164" fontId="5" fillId="0" borderId="1" xfId="15" applyNumberFormat="1" applyFont="1" applyBorder="1" applyAlignment="1">
      <alignment horizontal="right" vertical="center"/>
    </xf>
    <xf numFmtId="164" fontId="10" fillId="0" borderId="0" xfId="0" applyNumberFormat="1" applyFont="1" applyAlignment="1">
      <alignment horizontal="right"/>
    </xf>
    <xf numFmtId="164" fontId="8" fillId="12" borderId="0" xfId="0" applyNumberFormat="1" applyFont="1" applyFill="1" applyAlignment="1">
      <alignment horizontal="right"/>
    </xf>
    <xf numFmtId="0" fontId="4" fillId="0" borderId="1" xfId="0" applyFont="1" applyBorder="1"/>
    <xf numFmtId="0" fontId="4" fillId="0" borderId="1" xfId="10" applyFont="1" applyBorder="1" applyAlignment="1">
      <alignment vertical="top"/>
    </xf>
    <xf numFmtId="4" fontId="5" fillId="0" borderId="1" xfId="0" applyNumberFormat="1" applyFont="1" applyBorder="1" applyAlignment="1">
      <alignment horizontal="center" vertical="center"/>
    </xf>
    <xf numFmtId="0" fontId="5" fillId="0" borderId="1" xfId="5" applyFont="1" applyBorder="1" applyAlignment="1">
      <alignment vertical="top" wrapText="1"/>
    </xf>
    <xf numFmtId="4" fontId="5" fillId="0" borderId="1" xfId="0" applyNumberFormat="1" applyFont="1" applyBorder="1" applyAlignment="1">
      <alignment horizontal="center" vertical="center" wrapText="1"/>
    </xf>
    <xf numFmtId="0" fontId="5" fillId="0" borderId="1" xfId="0" applyFont="1" applyBorder="1" applyAlignment="1">
      <alignment vertical="top" wrapText="1"/>
    </xf>
    <xf numFmtId="165" fontId="4" fillId="0" borderId="1" xfId="5" applyNumberFormat="1" applyFont="1" applyBorder="1" applyAlignment="1">
      <alignment horizontal="left" vertical="top"/>
    </xf>
    <xf numFmtId="49" fontId="4" fillId="0" borderId="1" xfId="5" applyNumberFormat="1" applyFont="1" applyBorder="1" applyAlignment="1">
      <alignment vertical="top" wrapText="1"/>
    </xf>
    <xf numFmtId="49" fontId="5" fillId="0" borderId="1" xfId="5" applyNumberFormat="1" applyFont="1" applyBorder="1" applyAlignment="1">
      <alignment horizontal="center" vertical="top"/>
    </xf>
    <xf numFmtId="4" fontId="5" fillId="0" borderId="1" xfId="5" applyNumberFormat="1" applyFont="1" applyBorder="1" applyAlignment="1">
      <alignment horizontal="center" vertical="center"/>
    </xf>
    <xf numFmtId="49" fontId="5" fillId="0" borderId="1" xfId="5" applyNumberFormat="1" applyFont="1" applyBorder="1" applyAlignment="1">
      <alignment vertical="top" wrapText="1"/>
    </xf>
    <xf numFmtId="0" fontId="4" fillId="5" borderId="1" xfId="22" applyFont="1" applyFill="1" applyBorder="1" applyAlignment="1">
      <alignment horizontal="left" vertical="top" wrapText="1"/>
    </xf>
    <xf numFmtId="0" fontId="4" fillId="5" borderId="1" xfId="22" applyFont="1" applyFill="1" applyBorder="1" applyAlignment="1">
      <alignment horizontal="right" vertical="top" wrapText="1"/>
    </xf>
    <xf numFmtId="0" fontId="4" fillId="5" borderId="1" xfId="22" applyFont="1" applyFill="1" applyBorder="1" applyAlignment="1">
      <alignment horizontal="center" vertical="top" wrapText="1"/>
    </xf>
    <xf numFmtId="4" fontId="5" fillId="5" borderId="1" xfId="22" applyNumberFormat="1" applyFont="1" applyFill="1" applyBorder="1" applyAlignment="1">
      <alignment horizontal="center" vertical="center" wrapText="1"/>
    </xf>
    <xf numFmtId="0" fontId="4" fillId="0" borderId="0" xfId="22" applyFont="1" applyAlignment="1">
      <alignment vertical="top" wrapText="1"/>
    </xf>
    <xf numFmtId="0" fontId="5" fillId="0" borderId="0" xfId="17" applyFont="1" applyAlignment="1">
      <alignment vertical="top"/>
    </xf>
    <xf numFmtId="0" fontId="4" fillId="5" borderId="1" xfId="22" applyFont="1" applyFill="1" applyBorder="1" applyAlignment="1">
      <alignment vertical="top" wrapText="1"/>
    </xf>
    <xf numFmtId="166" fontId="4" fillId="0" borderId="1" xfId="17" applyNumberFormat="1" applyFont="1" applyBorder="1" applyAlignment="1">
      <alignment horizontal="left" vertical="top"/>
    </xf>
    <xf numFmtId="0" fontId="5" fillId="0" borderId="1" xfId="8" applyFont="1" applyBorder="1" applyAlignment="1">
      <alignment vertical="top" wrapText="1"/>
    </xf>
    <xf numFmtId="0" fontId="5" fillId="0" borderId="1" xfId="17" applyFont="1" applyBorder="1" applyAlignment="1">
      <alignment horizontal="center" vertical="top"/>
    </xf>
    <xf numFmtId="4" fontId="5" fillId="0" borderId="1" xfId="17" applyNumberFormat="1" applyFont="1" applyBorder="1" applyAlignment="1">
      <alignment horizontal="center" vertical="center"/>
    </xf>
    <xf numFmtId="0" fontId="16" fillId="0" borderId="1" xfId="21" applyFont="1" applyBorder="1" applyAlignment="1">
      <alignment vertical="top" wrapText="1"/>
    </xf>
    <xf numFmtId="0" fontId="5" fillId="0" borderId="1" xfId="21" applyFont="1" applyBorder="1" applyAlignment="1">
      <alignment vertical="top" wrapText="1"/>
    </xf>
    <xf numFmtId="0" fontId="5" fillId="0" borderId="0" xfId="17" applyFont="1" applyAlignment="1">
      <alignment horizontal="center" vertical="center"/>
    </xf>
    <xf numFmtId="0" fontId="5" fillId="0" borderId="1" xfId="17" applyFont="1" applyBorder="1" applyAlignment="1">
      <alignment horizontal="left" vertical="top" wrapText="1"/>
    </xf>
    <xf numFmtId="0" fontId="5" fillId="0" borderId="1" xfId="17" applyFont="1" applyBorder="1" applyAlignment="1">
      <alignment vertical="top" wrapText="1"/>
    </xf>
    <xf numFmtId="0" fontId="5" fillId="0" borderId="1" xfId="17" applyFont="1" applyBorder="1" applyAlignment="1">
      <alignment horizontal="center" vertical="top" wrapText="1"/>
    </xf>
    <xf numFmtId="4" fontId="5" fillId="0" borderId="1" xfId="17" applyNumberFormat="1" applyFont="1" applyBorder="1" applyAlignment="1">
      <alignment horizontal="center" vertical="center" wrapText="1"/>
    </xf>
    <xf numFmtId="0" fontId="5" fillId="0" borderId="0" xfId="17" applyFont="1" applyAlignment="1">
      <alignment vertical="top" wrapText="1"/>
    </xf>
    <xf numFmtId="0" fontId="4" fillId="4" borderId="1" xfId="0" applyFont="1" applyFill="1" applyBorder="1" applyAlignment="1">
      <alignment horizontal="left" vertical="top" wrapText="1"/>
    </xf>
    <xf numFmtId="0" fontId="4" fillId="4" borderId="1" xfId="0" applyFont="1" applyFill="1" applyBorder="1" applyAlignment="1">
      <alignment vertical="top" wrapText="1"/>
    </xf>
    <xf numFmtId="0" fontId="4" fillId="4" borderId="1" xfId="0" applyFont="1" applyFill="1" applyBorder="1" applyAlignment="1">
      <alignment horizontal="center" vertical="center" wrapText="1"/>
    </xf>
    <xf numFmtId="4" fontId="4" fillId="4" borderId="1" xfId="0" applyNumberFormat="1" applyFont="1" applyFill="1" applyBorder="1" applyAlignment="1">
      <alignment horizontal="center" vertical="center" wrapText="1"/>
    </xf>
    <xf numFmtId="4" fontId="4" fillId="4" borderId="1" xfId="0" applyNumberFormat="1" applyFont="1" applyFill="1" applyBorder="1" applyAlignment="1">
      <alignment vertical="center"/>
    </xf>
    <xf numFmtId="167" fontId="4" fillId="4" borderId="1" xfId="0" applyNumberFormat="1" applyFont="1" applyFill="1" applyBorder="1" applyAlignment="1">
      <alignment horizontal="center" vertical="top" wrapText="1"/>
    </xf>
    <xf numFmtId="4" fontId="5" fillId="0" borderId="1" xfId="0" applyNumberFormat="1" applyFont="1" applyBorder="1" applyAlignment="1">
      <alignment horizontal="left" vertical="top" wrapText="1"/>
    </xf>
    <xf numFmtId="4" fontId="4" fillId="0" borderId="1" xfId="0" applyNumberFormat="1" applyFont="1" applyBorder="1" applyAlignment="1">
      <alignment horizontal="left" vertical="top" wrapText="1"/>
    </xf>
    <xf numFmtId="168" fontId="4" fillId="6" borderId="1" xfId="2" applyNumberFormat="1" applyFont="1" applyFill="1" applyBorder="1" applyAlignment="1">
      <alignment horizontal="left" vertical="top"/>
    </xf>
    <xf numFmtId="0" fontId="5" fillId="6" borderId="1" xfId="2" applyFont="1" applyFill="1" applyBorder="1" applyAlignment="1">
      <alignment horizontal="center" vertical="center" wrapText="1"/>
    </xf>
    <xf numFmtId="4" fontId="5" fillId="6" borderId="1" xfId="2" applyNumberFormat="1" applyFont="1" applyFill="1" applyBorder="1" applyAlignment="1">
      <alignment horizontal="center" vertical="center"/>
    </xf>
    <xf numFmtId="169" fontId="5" fillId="6" borderId="1" xfId="2" applyNumberFormat="1" applyFont="1" applyFill="1" applyBorder="1" applyAlignment="1">
      <alignment horizontal="center" vertical="center"/>
    </xf>
    <xf numFmtId="169" fontId="5" fillId="6" borderId="1" xfId="2" applyNumberFormat="1" applyFont="1" applyFill="1" applyBorder="1" applyAlignment="1">
      <alignment vertical="center"/>
    </xf>
    <xf numFmtId="4" fontId="5" fillId="6" borderId="1" xfId="2" applyNumberFormat="1" applyFont="1" applyFill="1" applyBorder="1" applyAlignment="1">
      <alignment horizontal="center" vertical="center" wrapText="1"/>
    </xf>
    <xf numFmtId="2" fontId="5" fillId="0" borderId="0" xfId="2" applyNumberFormat="1" applyFont="1"/>
    <xf numFmtId="0" fontId="5" fillId="0" borderId="0" xfId="2" applyFont="1"/>
    <xf numFmtId="170" fontId="4" fillId="0" borderId="1" xfId="21" applyNumberFormat="1" applyFont="1" applyBorder="1" applyAlignment="1">
      <alignment horizontal="left" vertical="top"/>
    </xf>
    <xf numFmtId="0" fontId="5" fillId="0" borderId="1" xfId="0" applyFont="1" applyBorder="1" applyAlignment="1">
      <alignment vertical="center"/>
    </xf>
    <xf numFmtId="0" fontId="5" fillId="0" borderId="1" xfId="21" applyFont="1" applyBorder="1" applyAlignment="1">
      <alignment horizontal="center" vertical="center" wrapText="1"/>
    </xf>
    <xf numFmtId="4" fontId="5" fillId="0" borderId="1" xfId="21" applyNumberFormat="1" applyFont="1" applyBorder="1" applyAlignment="1">
      <alignment horizontal="center" vertical="center" wrapText="1"/>
    </xf>
    <xf numFmtId="4" fontId="5" fillId="0" borderId="1" xfId="0" applyNumberFormat="1" applyFont="1" applyBorder="1" applyAlignment="1">
      <alignment vertical="center"/>
    </xf>
    <xf numFmtId="0" fontId="5" fillId="0" borderId="1" xfId="21" applyFont="1" applyBorder="1" applyAlignment="1">
      <alignment horizontal="right" wrapText="1"/>
    </xf>
    <xf numFmtId="2" fontId="5" fillId="0" borderId="0" xfId="21" applyNumberFormat="1" applyFont="1" applyAlignment="1">
      <alignment vertical="top" wrapText="1"/>
    </xf>
    <xf numFmtId="0" fontId="5" fillId="0" borderId="0" xfId="21" applyFont="1" applyAlignment="1">
      <alignment vertical="top" wrapText="1"/>
    </xf>
    <xf numFmtId="0" fontId="5" fillId="0" borderId="0" xfId="21" applyFont="1"/>
    <xf numFmtId="4" fontId="4" fillId="6" borderId="1" xfId="0" applyNumberFormat="1" applyFont="1" applyFill="1" applyBorder="1" applyAlignment="1">
      <alignment vertical="center"/>
    </xf>
    <xf numFmtId="4" fontId="4" fillId="0" borderId="1" xfId="0" applyNumberFormat="1" applyFont="1" applyBorder="1" applyAlignment="1">
      <alignment vertical="center"/>
    </xf>
    <xf numFmtId="4" fontId="4" fillId="5" borderId="1" xfId="0" applyNumberFormat="1" applyFont="1" applyFill="1" applyBorder="1" applyAlignment="1">
      <alignment vertical="center"/>
    </xf>
    <xf numFmtId="4" fontId="5" fillId="0" borderId="1" xfId="5" applyNumberFormat="1" applyFont="1" applyBorder="1" applyAlignment="1">
      <alignment vertical="center"/>
    </xf>
    <xf numFmtId="4" fontId="5" fillId="0" borderId="1" xfId="22" applyNumberFormat="1" applyFont="1" applyBorder="1" applyAlignment="1">
      <alignment vertical="center"/>
    </xf>
    <xf numFmtId="4" fontId="4" fillId="7" borderId="1" xfId="0" applyNumberFormat="1" applyFont="1" applyFill="1" applyBorder="1" applyAlignment="1">
      <alignment vertical="center"/>
    </xf>
    <xf numFmtId="4" fontId="5" fillId="11" borderId="1" xfId="0" applyNumberFormat="1" applyFont="1" applyFill="1" applyBorder="1" applyAlignment="1">
      <alignment horizontal="right" vertical="center"/>
    </xf>
    <xf numFmtId="4" fontId="5" fillId="0" borderId="1" xfId="0" applyNumberFormat="1" applyFont="1" applyBorder="1" applyAlignment="1">
      <alignment horizontal="right" vertical="center"/>
    </xf>
    <xf numFmtId="4" fontId="5" fillId="2" borderId="1" xfId="0" applyNumberFormat="1" applyFont="1" applyFill="1" applyBorder="1" applyAlignment="1">
      <alignment horizontal="right" vertical="center"/>
    </xf>
    <xf numFmtId="4" fontId="4" fillId="0" borderId="1" xfId="0" applyNumberFormat="1" applyFont="1" applyBorder="1" applyAlignment="1">
      <alignment horizontal="center" vertical="center" wrapText="1"/>
    </xf>
    <xf numFmtId="0" fontId="5" fillId="0" borderId="1" xfId="0" applyFont="1" applyBorder="1" applyAlignment="1">
      <alignment horizontal="right" wrapText="1"/>
    </xf>
    <xf numFmtId="171" fontId="4" fillId="11" borderId="1" xfId="0" applyNumberFormat="1" applyFont="1" applyFill="1" applyBorder="1" applyAlignment="1">
      <alignment horizontal="left" vertical="top"/>
    </xf>
    <xf numFmtId="4" fontId="4" fillId="11" borderId="1" xfId="0" applyNumberFormat="1" applyFont="1" applyFill="1" applyBorder="1" applyAlignment="1">
      <alignment vertical="top" wrapText="1"/>
    </xf>
    <xf numFmtId="4" fontId="4" fillId="11" borderId="1" xfId="0" applyNumberFormat="1" applyFont="1" applyFill="1" applyBorder="1" applyAlignment="1">
      <alignment horizontal="center" vertical="center" wrapText="1"/>
    </xf>
    <xf numFmtId="4" fontId="5" fillId="11" borderId="1" xfId="0" applyNumberFormat="1" applyFont="1" applyFill="1" applyBorder="1" applyAlignment="1">
      <alignment horizontal="center" vertical="center"/>
    </xf>
    <xf numFmtId="171" fontId="4" fillId="0" borderId="1" xfId="0" applyNumberFormat="1" applyFont="1" applyBorder="1" applyAlignment="1">
      <alignment horizontal="left" vertical="top"/>
    </xf>
    <xf numFmtId="4" fontId="4" fillId="0" borderId="1" xfId="0" applyNumberFormat="1" applyFont="1" applyBorder="1" applyAlignment="1">
      <alignment vertical="top" wrapText="1"/>
    </xf>
    <xf numFmtId="171" fontId="4" fillId="2" borderId="1" xfId="0" applyNumberFormat="1" applyFont="1" applyFill="1" applyBorder="1" applyAlignment="1">
      <alignment horizontal="left" vertical="top"/>
    </xf>
    <xf numFmtId="4" fontId="4" fillId="2" borderId="1" xfId="0" applyNumberFormat="1" applyFont="1" applyFill="1" applyBorder="1" applyAlignment="1">
      <alignment vertical="top" wrapText="1"/>
    </xf>
    <xf numFmtId="4" fontId="4" fillId="2" borderId="1" xfId="0" applyNumberFormat="1" applyFont="1" applyFill="1" applyBorder="1" applyAlignment="1">
      <alignment horizontal="center" vertical="center" wrapText="1"/>
    </xf>
    <xf numFmtId="4" fontId="5" fillId="2" borderId="1" xfId="0" applyNumberFormat="1" applyFont="1" applyFill="1" applyBorder="1" applyAlignment="1">
      <alignment horizontal="center" vertical="center"/>
    </xf>
    <xf numFmtId="4" fontId="4" fillId="0" borderId="1" xfId="0" applyNumberFormat="1" applyFont="1" applyBorder="1"/>
    <xf numFmtId="4" fontId="4" fillId="0" borderId="1" xfId="0" applyNumberFormat="1" applyFont="1" applyBorder="1" applyAlignment="1">
      <alignment vertical="top"/>
    </xf>
    <xf numFmtId="0" fontId="4" fillId="0" borderId="1" xfId="0" applyFont="1" applyBorder="1" applyAlignment="1">
      <alignment horizontal="center" vertical="center"/>
    </xf>
    <xf numFmtId="4" fontId="4" fillId="0" borderId="1" xfId="0" applyNumberFormat="1" applyFont="1" applyBorder="1" applyAlignment="1">
      <alignment horizontal="center" vertical="center"/>
    </xf>
    <xf numFmtId="168" fontId="4" fillId="0" borderId="1" xfId="0" applyNumberFormat="1" applyFont="1" applyBorder="1"/>
    <xf numFmtId="0" fontId="4" fillId="0" borderId="1" xfId="0" applyFont="1" applyBorder="1" applyAlignment="1">
      <alignment vertical="top"/>
    </xf>
    <xf numFmtId="171" fontId="4" fillId="5" borderId="1" xfId="0" applyNumberFormat="1" applyFont="1" applyFill="1" applyBorder="1"/>
    <xf numFmtId="4" fontId="4" fillId="5" borderId="1" xfId="0" applyNumberFormat="1" applyFont="1" applyFill="1" applyBorder="1"/>
    <xf numFmtId="0" fontId="4" fillId="5" borderId="1" xfId="0" applyFont="1" applyFill="1" applyBorder="1" applyAlignment="1">
      <alignment horizontal="center" vertical="center"/>
    </xf>
    <xf numFmtId="4" fontId="4" fillId="5" borderId="1" xfId="0" applyNumberFormat="1" applyFont="1" applyFill="1" applyBorder="1" applyAlignment="1">
      <alignment horizontal="center" vertical="center"/>
    </xf>
    <xf numFmtId="0" fontId="4" fillId="5" borderId="1" xfId="0" applyFont="1" applyFill="1" applyBorder="1"/>
    <xf numFmtId="4" fontId="5" fillId="0" borderId="1" xfId="0" applyNumberFormat="1"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horizontal="left" vertical="top" wrapText="1"/>
    </xf>
    <xf numFmtId="0" fontId="4" fillId="0" borderId="1" xfId="17" applyFont="1" applyBorder="1" applyAlignment="1">
      <alignment horizontal="left" vertical="top"/>
    </xf>
    <xf numFmtId="0" fontId="4" fillId="0" borderId="1" xfId="17" applyFont="1" applyBorder="1" applyAlignment="1">
      <alignment horizontal="center" vertical="top"/>
    </xf>
    <xf numFmtId="4" fontId="4" fillId="0" borderId="1" xfId="17" applyNumberFormat="1" applyFont="1" applyBorder="1" applyAlignment="1">
      <alignment horizontal="center" vertical="center"/>
    </xf>
    <xf numFmtId="171" fontId="4" fillId="5" borderId="1" xfId="17" applyNumberFormat="1" applyFont="1" applyFill="1" applyBorder="1" applyAlignment="1">
      <alignment horizontal="left" vertical="top"/>
    </xf>
    <xf numFmtId="4" fontId="4" fillId="5" borderId="1" xfId="17" applyNumberFormat="1" applyFont="1" applyFill="1" applyBorder="1" applyAlignment="1">
      <alignment vertical="top"/>
    </xf>
    <xf numFmtId="0" fontId="4" fillId="5" borderId="1" xfId="17" applyFont="1" applyFill="1" applyBorder="1" applyAlignment="1">
      <alignment horizontal="center" vertical="top"/>
    </xf>
    <xf numFmtId="4" fontId="4" fillId="5" borderId="1" xfId="17" applyNumberFormat="1" applyFont="1" applyFill="1" applyBorder="1" applyAlignment="1">
      <alignment horizontal="center" vertical="center"/>
    </xf>
    <xf numFmtId="4" fontId="4" fillId="0" borderId="1" xfId="31" applyNumberFormat="1" applyFont="1" applyBorder="1" applyAlignment="1">
      <alignment horizontal="left" vertical="center"/>
    </xf>
    <xf numFmtId="0" fontId="10" fillId="0" borderId="0" xfId="0" applyFont="1"/>
    <xf numFmtId="0" fontId="8" fillId="0" borderId="0" xfId="0" applyFont="1"/>
    <xf numFmtId="0" fontId="4" fillId="0" borderId="0" xfId="0" applyFont="1" applyAlignment="1">
      <alignment horizontal="left"/>
    </xf>
    <xf numFmtId="0" fontId="5" fillId="0" borderId="0" xfId="0" applyFont="1" applyAlignment="1">
      <alignment horizontal="left"/>
    </xf>
    <xf numFmtId="0" fontId="10" fillId="0" borderId="0" xfId="0" applyFont="1" applyAlignment="1">
      <alignment wrapText="1"/>
    </xf>
    <xf numFmtId="0" fontId="10" fillId="0" borderId="0" xfId="0" applyFont="1" applyAlignment="1">
      <alignment horizontal="left" vertical="center" wrapText="1"/>
    </xf>
    <xf numFmtId="0" fontId="8" fillId="0" borderId="0" xfId="0" applyFont="1" applyAlignment="1">
      <alignment horizontal="left" vertical="center" wrapText="1"/>
    </xf>
    <xf numFmtId="49" fontId="10" fillId="0" borderId="0" xfId="0" applyNumberFormat="1" applyFont="1" applyAlignment="1">
      <alignment horizontal="left" vertical="center" wrapText="1"/>
    </xf>
    <xf numFmtId="49" fontId="10" fillId="0" borderId="0" xfId="0" applyNumberFormat="1" applyFont="1" applyAlignment="1">
      <alignment horizontal="left" wrapText="1"/>
    </xf>
    <xf numFmtId="49" fontId="10" fillId="0" borderId="0" xfId="0" applyNumberFormat="1" applyFont="1" applyAlignment="1">
      <alignment wrapText="1"/>
    </xf>
    <xf numFmtId="0" fontId="10" fillId="0" borderId="0" xfId="0" applyFont="1" applyAlignment="1">
      <alignment horizontal="left" wrapText="1"/>
    </xf>
    <xf numFmtId="49" fontId="10" fillId="0" borderId="0" xfId="0" applyNumberFormat="1" applyFont="1"/>
    <xf numFmtId="0" fontId="4" fillId="5" borderId="1" xfId="5" applyFont="1" applyFill="1" applyBorder="1" applyAlignment="1">
      <alignment horizontal="left" vertical="top" wrapText="1"/>
    </xf>
    <xf numFmtId="4" fontId="4" fillId="6" borderId="1" xfId="0" applyNumberFormat="1" applyFont="1" applyFill="1" applyBorder="1" applyAlignment="1">
      <alignment horizontal="center" vertical="center" wrapText="1"/>
    </xf>
    <xf numFmtId="4" fontId="5" fillId="7" borderId="1" xfId="0" applyNumberFormat="1" applyFont="1" applyFill="1" applyBorder="1" applyAlignment="1">
      <alignment horizontal="center" vertical="center"/>
    </xf>
    <xf numFmtId="4" fontId="5" fillId="0" borderId="1" xfId="0" applyNumberFormat="1" applyFont="1" applyBorder="1" applyAlignment="1">
      <alignment vertical="center" wrapText="1"/>
    </xf>
    <xf numFmtId="169" fontId="4" fillId="6" borderId="1" xfId="2" applyNumberFormat="1" applyFont="1" applyFill="1" applyBorder="1" applyAlignment="1">
      <alignment horizontal="center" vertical="center"/>
    </xf>
    <xf numFmtId="2" fontId="5" fillId="0" borderId="0" xfId="0" applyNumberFormat="1" applyFont="1"/>
    <xf numFmtId="0" fontId="5" fillId="0" borderId="0" xfId="0" applyFont="1"/>
    <xf numFmtId="172" fontId="4" fillId="0" borderId="1" xfId="0" applyNumberFormat="1" applyFont="1" applyBorder="1" applyAlignment="1">
      <alignment horizontal="left" vertical="top"/>
    </xf>
    <xf numFmtId="0" fontId="5"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167" fontId="4" fillId="0" borderId="1" xfId="0" applyNumberFormat="1" applyFont="1" applyBorder="1" applyAlignment="1">
      <alignment horizontal="center" vertical="top" wrapText="1"/>
    </xf>
    <xf numFmtId="0" fontId="5" fillId="0" borderId="1" xfId="5" applyFont="1" applyBorder="1" applyAlignment="1">
      <alignment horizontal="left" vertical="top" wrapText="1"/>
    </xf>
    <xf numFmtId="0" fontId="5" fillId="0" borderId="1" xfId="5" applyFont="1" applyBorder="1" applyAlignment="1">
      <alignment horizontal="center" vertical="top" wrapText="1"/>
    </xf>
    <xf numFmtId="4" fontId="5" fillId="0" borderId="1" xfId="5" applyNumberFormat="1" applyFont="1" applyBorder="1" applyAlignment="1">
      <alignment horizontal="center" vertical="center" wrapText="1"/>
    </xf>
    <xf numFmtId="4" fontId="5" fillId="0" borderId="1" xfId="5" applyNumberFormat="1" applyFont="1" applyBorder="1" applyAlignment="1">
      <alignment horizontal="center" wrapText="1"/>
    </xf>
    <xf numFmtId="4" fontId="5" fillId="0" borderId="1" xfId="5" applyNumberFormat="1" applyFont="1" applyBorder="1" applyAlignment="1" applyProtection="1">
      <alignment horizontal="right" vertical="top" wrapText="1"/>
      <protection locked="0"/>
    </xf>
    <xf numFmtId="2" fontId="5" fillId="0" borderId="0" xfId="5" applyNumberFormat="1" applyFont="1" applyAlignment="1">
      <alignment vertical="top" wrapText="1"/>
    </xf>
    <xf numFmtId="0" fontId="5" fillId="0" borderId="0" xfId="5" applyFont="1" applyAlignment="1">
      <alignment vertical="top"/>
    </xf>
    <xf numFmtId="4" fontId="5" fillId="0" borderId="1" xfId="2" applyNumberFormat="1" applyFont="1" applyBorder="1" applyAlignment="1">
      <alignment horizontal="center" vertical="center" wrapText="1"/>
    </xf>
    <xf numFmtId="4" fontId="5" fillId="6" borderId="1" xfId="0" applyNumberFormat="1" applyFont="1" applyFill="1" applyBorder="1" applyAlignment="1">
      <alignment horizontal="center" vertical="center"/>
    </xf>
    <xf numFmtId="4" fontId="5" fillId="6" borderId="1" xfId="0" applyNumberFormat="1" applyFont="1" applyFill="1" applyBorder="1" applyAlignment="1">
      <alignment vertical="center"/>
    </xf>
    <xf numFmtId="168" fontId="4" fillId="0" borderId="1" xfId="2" applyNumberFormat="1" applyFont="1" applyBorder="1" applyAlignment="1">
      <alignment horizontal="left" vertical="top"/>
    </xf>
    <xf numFmtId="173" fontId="4" fillId="0" borderId="1" xfId="0" applyNumberFormat="1" applyFont="1" applyBorder="1" applyAlignment="1">
      <alignment horizontal="left" vertical="top"/>
    </xf>
    <xf numFmtId="0" fontId="5" fillId="0" borderId="1" xfId="0" applyFont="1" applyBorder="1"/>
    <xf numFmtId="0" fontId="5" fillId="0" borderId="1" xfId="16" applyFont="1" applyBorder="1" applyAlignment="1">
      <alignment horizontal="center" vertical="center" wrapText="1"/>
    </xf>
    <xf numFmtId="4" fontId="5" fillId="0" borderId="1" xfId="15" applyNumberFormat="1" applyFont="1" applyBorder="1" applyAlignment="1">
      <alignment horizontal="center" vertical="center" wrapText="1"/>
    </xf>
    <xf numFmtId="4" fontId="5" fillId="0" borderId="1" xfId="15" applyNumberFormat="1" applyFont="1" applyBorder="1" applyAlignment="1">
      <alignment vertical="center"/>
    </xf>
    <xf numFmtId="174" fontId="4" fillId="0" borderId="1" xfId="0" applyNumberFormat="1" applyFont="1" applyBorder="1" applyAlignment="1">
      <alignment horizontal="left" vertical="top"/>
    </xf>
    <xf numFmtId="175" fontId="4" fillId="0" borderId="1" xfId="2" applyNumberFormat="1" applyFont="1" applyBorder="1" applyAlignment="1">
      <alignment horizontal="left" vertical="top"/>
    </xf>
    <xf numFmtId="176" fontId="4" fillId="0" borderId="1" xfId="0" applyNumberFormat="1" applyFont="1" applyBorder="1" applyAlignment="1">
      <alignment horizontal="left" vertical="top"/>
    </xf>
    <xf numFmtId="0" fontId="5" fillId="0" borderId="1" xfId="0" applyFont="1" applyBorder="1" applyAlignment="1">
      <alignment horizontal="center"/>
    </xf>
    <xf numFmtId="0" fontId="5" fillId="0" borderId="1" xfId="0" applyFont="1" applyBorder="1" applyAlignment="1">
      <alignment horizontal="center" vertical="center"/>
    </xf>
    <xf numFmtId="168" fontId="4" fillId="7" borderId="1" xfId="0" applyNumberFormat="1" applyFont="1" applyFill="1" applyBorder="1" applyAlignment="1">
      <alignment horizontal="left" vertical="top"/>
    </xf>
    <xf numFmtId="0" fontId="4" fillId="7" borderId="1" xfId="0" applyFont="1" applyFill="1" applyBorder="1" applyAlignment="1">
      <alignment horizontal="right" vertical="top"/>
    </xf>
    <xf numFmtId="0" fontId="5" fillId="7" borderId="1" xfId="0" applyFont="1" applyFill="1" applyBorder="1" applyAlignment="1">
      <alignment horizontal="center" vertical="center" wrapText="1"/>
    </xf>
    <xf numFmtId="4" fontId="4" fillId="7" borderId="1" xfId="0" applyNumberFormat="1" applyFont="1" applyFill="1" applyBorder="1" applyAlignment="1">
      <alignment horizontal="right" vertical="center"/>
    </xf>
    <xf numFmtId="4" fontId="4" fillId="0" borderId="1" xfId="15" applyNumberFormat="1" applyFont="1" applyBorder="1" applyAlignment="1">
      <alignment horizontal="center" vertical="top" wrapText="1"/>
    </xf>
    <xf numFmtId="4" fontId="4" fillId="0" borderId="1" xfId="15" applyNumberFormat="1" applyFont="1" applyBorder="1" applyAlignment="1">
      <alignment vertical="center" wrapText="1"/>
    </xf>
    <xf numFmtId="4" fontId="5" fillId="0" borderId="0" xfId="0" applyNumberFormat="1" applyFont="1" applyAlignment="1">
      <alignment horizontal="center" vertical="center"/>
    </xf>
    <xf numFmtId="4" fontId="5" fillId="0" borderId="0" xfId="0" applyNumberFormat="1" applyFont="1" applyAlignment="1">
      <alignment vertical="center"/>
    </xf>
    <xf numFmtId="177" fontId="5" fillId="0" borderId="1" xfId="0" applyNumberFormat="1" applyFont="1" applyBorder="1" applyAlignment="1">
      <alignment horizontal="right" vertical="center"/>
    </xf>
    <xf numFmtId="0" fontId="18" fillId="0" borderId="0" xfId="0" applyFont="1"/>
    <xf numFmtId="0" fontId="18" fillId="0" borderId="1" xfId="0" applyFont="1" applyBorder="1"/>
    <xf numFmtId="0" fontId="18" fillId="0" borderId="1" xfId="0" applyFont="1" applyBorder="1" applyAlignment="1">
      <alignment vertical="center"/>
    </xf>
    <xf numFmtId="0" fontId="5" fillId="0" borderId="0" xfId="5" applyFont="1" applyAlignment="1">
      <alignment vertical="top" wrapText="1"/>
    </xf>
    <xf numFmtId="0" fontId="5" fillId="0" borderId="2" xfId="0" applyFont="1" applyBorder="1" applyAlignment="1">
      <alignment horizontal="right" wrapText="1"/>
    </xf>
    <xf numFmtId="4" fontId="5" fillId="0" borderId="1" xfId="27" applyNumberFormat="1" applyFont="1" applyBorder="1" applyAlignment="1">
      <alignment vertical="top" wrapText="1"/>
    </xf>
    <xf numFmtId="0" fontId="4" fillId="6" borderId="1" xfId="2" applyFont="1" applyFill="1" applyBorder="1" applyAlignment="1">
      <alignment horizontal="left" vertical="center" wrapText="1"/>
    </xf>
    <xf numFmtId="4" fontId="15" fillId="0" borderId="1" xfId="0" applyNumberFormat="1" applyFont="1" applyBorder="1" applyAlignment="1">
      <alignment horizontal="center" vertical="center"/>
    </xf>
    <xf numFmtId="4" fontId="15" fillId="0" borderId="1" xfId="0" applyNumberFormat="1" applyFont="1" applyBorder="1" applyAlignment="1">
      <alignment vertical="center"/>
    </xf>
    <xf numFmtId="0" fontId="15" fillId="0" borderId="0" xfId="23" applyFont="1" applyAlignment="1">
      <alignment vertical="top" wrapText="1"/>
    </xf>
    <xf numFmtId="0" fontId="15" fillId="0" borderId="0" xfId="23" applyFont="1" applyAlignment="1">
      <alignment vertical="top"/>
    </xf>
    <xf numFmtId="4" fontId="4" fillId="6" borderId="1" xfId="0" applyNumberFormat="1" applyFont="1" applyFill="1" applyBorder="1" applyAlignment="1">
      <alignment horizontal="center" vertical="center"/>
    </xf>
    <xf numFmtId="4" fontId="5" fillId="0" borderId="1" xfId="15" applyNumberFormat="1" applyFont="1" applyBorder="1" applyAlignment="1">
      <alignment horizontal="center" wrapText="1"/>
    </xf>
    <xf numFmtId="169" fontId="4" fillId="6" borderId="1" xfId="2" applyNumberFormat="1" applyFont="1" applyFill="1" applyBorder="1" applyAlignment="1">
      <alignment horizontal="right" vertical="center"/>
    </xf>
    <xf numFmtId="4" fontId="5" fillId="0" borderId="1" xfId="23" applyNumberFormat="1" applyFont="1" applyBorder="1" applyAlignment="1">
      <alignment horizontal="center"/>
    </xf>
    <xf numFmtId="4" fontId="4" fillId="0" borderId="1" xfId="15" applyNumberFormat="1" applyFont="1" applyBorder="1" applyAlignment="1">
      <alignment horizontal="center" wrapText="1"/>
    </xf>
    <xf numFmtId="0" fontId="5" fillId="0" borderId="1" xfId="2" applyFont="1" applyBorder="1" applyAlignment="1">
      <alignment horizontal="center" vertical="center" wrapText="1"/>
    </xf>
    <xf numFmtId="4" fontId="4" fillId="6" borderId="1" xfId="0" applyNumberFormat="1" applyFont="1" applyFill="1" applyBorder="1" applyAlignment="1">
      <alignment horizontal="right" vertical="center"/>
    </xf>
    <xf numFmtId="4" fontId="4" fillId="0" borderId="1" xfId="0" applyNumberFormat="1" applyFont="1" applyBorder="1" applyAlignment="1">
      <alignment horizontal="right" vertical="center"/>
    </xf>
    <xf numFmtId="0" fontId="5" fillId="6" borderId="1" xfId="0" applyFont="1" applyFill="1" applyBorder="1" applyAlignment="1">
      <alignment horizontal="center" vertical="center" wrapText="1"/>
    </xf>
    <xf numFmtId="0" fontId="5" fillId="0" borderId="1" xfId="15" applyFont="1" applyBorder="1" applyAlignment="1">
      <alignment horizontal="center" vertical="top"/>
    </xf>
    <xf numFmtId="0" fontId="5" fillId="0" borderId="1" xfId="23" applyFont="1" applyBorder="1" applyAlignment="1">
      <alignment horizontal="center" vertical="top" wrapText="1"/>
    </xf>
    <xf numFmtId="4" fontId="5" fillId="0" borderId="1" xfId="23" applyNumberFormat="1" applyFont="1" applyBorder="1" applyAlignment="1">
      <alignment horizontal="center" vertical="center"/>
    </xf>
    <xf numFmtId="0" fontId="4" fillId="0" borderId="1" xfId="15" applyFont="1" applyBorder="1" applyAlignment="1">
      <alignment horizontal="center" vertical="top" wrapText="1"/>
    </xf>
    <xf numFmtId="0" fontId="5" fillId="0" borderId="0" xfId="0" applyFont="1" applyAlignment="1">
      <alignment horizontal="center" vertical="center"/>
    </xf>
    <xf numFmtId="0" fontId="5" fillId="0" borderId="1" xfId="2" applyFont="1" applyBorder="1" applyAlignment="1">
      <alignment horizontal="right" wrapText="1"/>
    </xf>
    <xf numFmtId="4" fontId="5" fillId="6" borderId="1" xfId="0" applyNumberFormat="1" applyFont="1" applyFill="1" applyBorder="1" applyAlignment="1">
      <alignment horizontal="center" vertical="center" wrapText="1"/>
    </xf>
    <xf numFmtId="4" fontId="5" fillId="0" borderId="1" xfId="15" applyNumberFormat="1" applyFont="1" applyBorder="1" applyAlignment="1" applyProtection="1">
      <alignment horizontal="center" vertical="top" wrapText="1"/>
      <protection locked="0"/>
    </xf>
    <xf numFmtId="169" fontId="5" fillId="6" borderId="1" xfId="2" applyNumberFormat="1" applyFont="1" applyFill="1" applyBorder="1" applyAlignment="1">
      <alignment horizontal="right" vertical="center"/>
    </xf>
    <xf numFmtId="4" fontId="5" fillId="0" borderId="1" xfId="23" applyNumberFormat="1" applyFont="1" applyBorder="1" applyAlignment="1">
      <alignment vertical="center"/>
    </xf>
    <xf numFmtId="4" fontId="5" fillId="0" borderId="1" xfId="23" applyNumberFormat="1" applyFont="1" applyBorder="1" applyAlignment="1" applyProtection="1">
      <alignment horizontal="center" vertical="top" wrapText="1"/>
      <protection locked="0"/>
    </xf>
    <xf numFmtId="0" fontId="5" fillId="0" borderId="1" xfId="0" applyFont="1" applyBorder="1" applyAlignment="1">
      <alignment horizontal="left"/>
    </xf>
    <xf numFmtId="178" fontId="4" fillId="0" borderId="1" xfId="21" applyNumberFormat="1" applyFont="1" applyBorder="1" applyAlignment="1">
      <alignment horizontal="left" vertical="top"/>
    </xf>
    <xf numFmtId="170" fontId="4" fillId="0" borderId="1" xfId="2" applyNumberFormat="1" applyFont="1" applyBorder="1" applyAlignment="1">
      <alignment horizontal="left" vertical="top"/>
    </xf>
    <xf numFmtId="178" fontId="4" fillId="0" borderId="1" xfId="2" applyNumberFormat="1" applyFont="1" applyBorder="1" applyAlignment="1">
      <alignment horizontal="left" vertical="top"/>
    </xf>
    <xf numFmtId="4" fontId="4" fillId="6" borderId="1" xfId="0" applyNumberFormat="1" applyFont="1" applyFill="1" applyBorder="1" applyAlignment="1">
      <alignment horizontal="left" vertical="top"/>
    </xf>
    <xf numFmtId="4" fontId="4" fillId="0" borderId="1" xfId="0" applyNumberFormat="1" applyFont="1" applyBorder="1" applyAlignment="1">
      <alignment horizontal="left" vertical="top"/>
    </xf>
    <xf numFmtId="168" fontId="4" fillId="6" borderId="1" xfId="0" applyNumberFormat="1" applyFont="1" applyFill="1" applyBorder="1" applyAlignment="1">
      <alignment horizontal="left" vertical="top"/>
    </xf>
    <xf numFmtId="179" fontId="4" fillId="0" borderId="1" xfId="15" applyNumberFormat="1" applyFont="1" applyBorder="1" applyAlignment="1">
      <alignment horizontal="left" vertical="top"/>
    </xf>
    <xf numFmtId="169" fontId="4" fillId="6" borderId="1" xfId="2" applyNumberFormat="1" applyFont="1" applyFill="1" applyBorder="1" applyAlignment="1">
      <alignment horizontal="left" vertical="top"/>
    </xf>
    <xf numFmtId="168" fontId="4" fillId="0" borderId="1" xfId="23" applyNumberFormat="1" applyFont="1" applyBorder="1" applyAlignment="1">
      <alignment horizontal="left" vertical="top"/>
    </xf>
    <xf numFmtId="180" fontId="4" fillId="0" borderId="1" xfId="0" applyNumberFormat="1" applyFont="1" applyBorder="1" applyAlignment="1">
      <alignment horizontal="left" vertical="top"/>
    </xf>
    <xf numFmtId="181" fontId="4" fillId="0" borderId="1" xfId="2" applyNumberFormat="1" applyFont="1" applyBorder="1" applyAlignment="1">
      <alignment horizontal="left" vertical="top"/>
    </xf>
    <xf numFmtId="182" fontId="4" fillId="0" borderId="1" xfId="21" applyNumberFormat="1" applyFont="1" applyBorder="1" applyAlignment="1">
      <alignment horizontal="left" vertical="top"/>
    </xf>
    <xf numFmtId="0" fontId="4" fillId="0" borderId="1" xfId="15" applyFont="1" applyBorder="1" applyAlignment="1">
      <alignment horizontal="left" vertical="top" wrapText="1"/>
    </xf>
    <xf numFmtId="0" fontId="5" fillId="0" borderId="1" xfId="23" applyFont="1" applyBorder="1" applyAlignment="1">
      <alignment vertical="top" wrapText="1"/>
    </xf>
    <xf numFmtId="0" fontId="4" fillId="6" borderId="1" xfId="0" applyFont="1" applyFill="1" applyBorder="1" applyAlignment="1">
      <alignment horizontal="right" vertical="top" wrapText="1"/>
    </xf>
    <xf numFmtId="0" fontId="4" fillId="6" borderId="1" xfId="0" applyFont="1" applyFill="1" applyBorder="1" applyAlignment="1">
      <alignment vertical="top" wrapText="1"/>
    </xf>
    <xf numFmtId="0" fontId="4" fillId="0" borderId="1" xfId="15" applyFont="1" applyBorder="1" applyAlignment="1">
      <alignment vertical="top" wrapText="1"/>
    </xf>
    <xf numFmtId="12" fontId="5" fillId="0" borderId="1" xfId="0" applyNumberFormat="1" applyFont="1" applyBorder="1" applyAlignment="1">
      <alignment vertical="top" wrapText="1"/>
    </xf>
    <xf numFmtId="179" fontId="4" fillId="0" borderId="1" xfId="7" applyNumberFormat="1" applyFont="1" applyBorder="1" applyAlignment="1">
      <alignment horizontal="left" vertical="top"/>
    </xf>
    <xf numFmtId="0" fontId="5" fillId="0" borderId="1" xfId="7" applyFont="1" applyBorder="1" applyAlignment="1">
      <alignment horizontal="center" vertical="top"/>
    </xf>
    <xf numFmtId="4" fontId="5" fillId="0" borderId="1" xfId="7" applyNumberFormat="1" applyFont="1" applyBorder="1" applyAlignment="1">
      <alignment horizontal="center" vertical="center"/>
    </xf>
    <xf numFmtId="0" fontId="5" fillId="0" borderId="0" xfId="7" applyFont="1" applyAlignment="1">
      <alignment vertical="top"/>
    </xf>
    <xf numFmtId="0" fontId="5" fillId="0" borderId="1" xfId="7" applyFont="1" applyBorder="1" applyAlignment="1">
      <alignment vertical="top" wrapText="1"/>
    </xf>
    <xf numFmtId="183" fontId="4" fillId="0" borderId="1" xfId="2" applyNumberFormat="1" applyFont="1" applyBorder="1" applyAlignment="1">
      <alignment horizontal="left" vertical="top"/>
    </xf>
    <xf numFmtId="184" fontId="19" fillId="0" borderId="1" xfId="5" applyNumberFormat="1" applyFont="1" applyBorder="1" applyAlignment="1">
      <alignment horizontal="left" vertical="top"/>
    </xf>
    <xf numFmtId="0" fontId="20" fillId="0" borderId="1" xfId="8" applyFont="1" applyBorder="1" applyAlignment="1">
      <alignment vertical="top" wrapText="1"/>
    </xf>
    <xf numFmtId="0" fontId="20" fillId="0" borderId="1" xfId="5" applyFont="1" applyBorder="1" applyAlignment="1">
      <alignment horizontal="center" vertical="top"/>
    </xf>
    <xf numFmtId="4" fontId="20" fillId="0" borderId="1" xfId="5" applyNumberFormat="1" applyFont="1" applyBorder="1" applyAlignment="1">
      <alignment horizontal="center" vertical="center"/>
    </xf>
    <xf numFmtId="0" fontId="5" fillId="0" borderId="1" xfId="17" applyFont="1" applyBorder="1" applyAlignment="1">
      <alignment vertical="top"/>
    </xf>
    <xf numFmtId="4" fontId="14" fillId="0" borderId="1" xfId="0" applyNumberFormat="1" applyFont="1" applyBorder="1" applyAlignment="1">
      <alignment horizontal="center" vertical="center" wrapText="1"/>
    </xf>
    <xf numFmtId="0" fontId="4" fillId="0" borderId="0" xfId="17" applyFont="1" applyAlignment="1">
      <alignment horizontal="left" vertical="top"/>
    </xf>
    <xf numFmtId="0" fontId="5" fillId="0" borderId="0" xfId="17" applyFont="1" applyAlignment="1">
      <alignment horizontal="center" vertical="top"/>
    </xf>
    <xf numFmtId="4" fontId="5" fillId="0" borderId="0" xfId="17" applyNumberFormat="1" applyFont="1" applyAlignment="1">
      <alignment horizontal="center" vertical="center"/>
    </xf>
    <xf numFmtId="4" fontId="5" fillId="0" borderId="0" xfId="17" applyNumberFormat="1" applyFont="1" applyAlignment="1" applyProtection="1">
      <alignment horizontal="right" vertical="top" wrapText="1"/>
      <protection locked="0"/>
    </xf>
    <xf numFmtId="0" fontId="5" fillId="0" borderId="0" xfId="2" applyFont="1" applyAlignment="1">
      <alignment vertical="top" wrapText="1"/>
    </xf>
    <xf numFmtId="0" fontId="4" fillId="0" borderId="1" xfId="2" applyFont="1" applyBorder="1" applyAlignment="1">
      <alignment vertical="top" wrapText="1"/>
    </xf>
    <xf numFmtId="0" fontId="5" fillId="0" borderId="1" xfId="2" applyFont="1" applyBorder="1" applyAlignment="1">
      <alignment vertical="top" wrapText="1"/>
    </xf>
    <xf numFmtId="0" fontId="4" fillId="0" borderId="0" xfId="2" applyFont="1" applyAlignment="1">
      <alignment vertical="top"/>
    </xf>
    <xf numFmtId="0" fontId="5" fillId="0" borderId="1" xfId="15" applyFont="1" applyBorder="1" applyAlignment="1">
      <alignment vertical="top" wrapText="1"/>
    </xf>
    <xf numFmtId="0" fontId="5" fillId="0" borderId="0" xfId="15" applyFont="1" applyAlignment="1">
      <alignment vertical="top" wrapText="1"/>
    </xf>
    <xf numFmtId="0" fontId="21" fillId="0" borderId="0" xfId="0" applyFont="1"/>
    <xf numFmtId="176" fontId="14" fillId="0" borderId="1" xfId="0" applyNumberFormat="1" applyFont="1" applyBorder="1" applyAlignment="1">
      <alignment horizontal="left" vertical="top"/>
    </xf>
    <xf numFmtId="4" fontId="14" fillId="0" borderId="1" xfId="0" applyNumberFormat="1" applyFont="1" applyBorder="1" applyAlignment="1">
      <alignment vertical="top" wrapText="1"/>
    </xf>
    <xf numFmtId="4" fontId="15" fillId="0" borderId="1" xfId="0" applyNumberFormat="1" applyFont="1" applyBorder="1" applyAlignment="1">
      <alignment horizontal="right" vertical="center"/>
    </xf>
    <xf numFmtId="0" fontId="5" fillId="0" borderId="0" xfId="0" applyFont="1" applyAlignment="1">
      <alignment horizontal="left" wrapText="1"/>
    </xf>
    <xf numFmtId="4" fontId="8" fillId="0" borderId="1" xfId="0" applyNumberFormat="1" applyFont="1" applyBorder="1" applyAlignment="1">
      <alignment vertical="top" wrapText="1"/>
    </xf>
    <xf numFmtId="4" fontId="8" fillId="0" borderId="1" xfId="0" applyNumberFormat="1" applyFont="1" applyBorder="1" applyAlignment="1">
      <alignment horizontal="center" vertical="center" wrapText="1"/>
    </xf>
    <xf numFmtId="4" fontId="10" fillId="0" borderId="1" xfId="0" applyNumberFormat="1" applyFont="1" applyBorder="1" applyAlignment="1">
      <alignment horizontal="center" vertical="center"/>
    </xf>
    <xf numFmtId="4" fontId="10" fillId="0" borderId="1" xfId="0" applyNumberFormat="1" applyFont="1" applyBorder="1" applyAlignment="1">
      <alignment horizontal="right" vertical="center"/>
    </xf>
    <xf numFmtId="0" fontId="24" fillId="0" borderId="0" xfId="0" applyFont="1"/>
    <xf numFmtId="173" fontId="8" fillId="0" borderId="1" xfId="0" applyNumberFormat="1" applyFont="1" applyBorder="1" applyAlignment="1">
      <alignment horizontal="left" vertical="top"/>
    </xf>
    <xf numFmtId="4" fontId="15" fillId="0" borderId="1" xfId="0" applyNumberFormat="1" applyFont="1" applyBorder="1" applyAlignment="1">
      <alignment vertical="top" wrapText="1"/>
    </xf>
    <xf numFmtId="4" fontId="25" fillId="0" borderId="1" xfId="35" applyNumberFormat="1" applyFont="1" applyFill="1" applyBorder="1" applyAlignment="1">
      <alignment horizontal="right" vertical="center" wrapText="1"/>
    </xf>
    <xf numFmtId="0" fontId="10" fillId="0" borderId="1" xfId="0" applyFont="1" applyBorder="1" applyAlignment="1">
      <alignment horizontal="left" vertical="top" wrapText="1"/>
    </xf>
    <xf numFmtId="4" fontId="26" fillId="0" borderId="1" xfId="0" applyNumberFormat="1" applyFont="1" applyBorder="1" applyAlignment="1">
      <alignment horizontal="center" vertical="center" wrapText="1"/>
    </xf>
    <xf numFmtId="4" fontId="15" fillId="0" borderId="1" xfId="7" applyNumberFormat="1" applyFont="1" applyBorder="1" applyAlignment="1">
      <alignment horizontal="right" vertical="center"/>
    </xf>
    <xf numFmtId="179" fontId="14" fillId="0" borderId="1" xfId="15" applyNumberFormat="1" applyFont="1" applyBorder="1" applyAlignment="1">
      <alignment horizontal="left" vertical="top"/>
    </xf>
    <xf numFmtId="0" fontId="23" fillId="0" borderId="1" xfId="15" applyFont="1" applyBorder="1" applyAlignment="1">
      <alignment vertical="top" wrapText="1"/>
    </xf>
    <xf numFmtId="0" fontId="23" fillId="0" borderId="1" xfId="15" applyFont="1" applyBorder="1" applyAlignment="1">
      <alignment horizontal="center" vertical="top"/>
    </xf>
    <xf numFmtId="4" fontId="23" fillId="0" borderId="1" xfId="15" applyNumberFormat="1" applyFont="1" applyBorder="1" applyAlignment="1">
      <alignment horizontal="center" vertical="center" wrapText="1"/>
    </xf>
    <xf numFmtId="4" fontId="23" fillId="0" borderId="1" xfId="15" applyNumberFormat="1" applyFont="1" applyBorder="1" applyAlignment="1">
      <alignment horizontal="center" wrapText="1"/>
    </xf>
    <xf numFmtId="2" fontId="23" fillId="0" borderId="0" xfId="21" applyNumberFormat="1" applyFont="1" applyAlignment="1">
      <alignment vertical="top" wrapText="1"/>
    </xf>
    <xf numFmtId="0" fontId="23" fillId="0" borderId="0" xfId="15" applyFont="1" applyAlignment="1">
      <alignment vertical="top" wrapText="1"/>
    </xf>
    <xf numFmtId="4" fontId="14" fillId="0" borderId="1" xfId="0" applyNumberFormat="1" applyFont="1" applyBorder="1" applyAlignment="1">
      <alignment vertical="top"/>
    </xf>
    <xf numFmtId="0" fontId="27" fillId="0" borderId="0" xfId="0" applyFont="1"/>
    <xf numFmtId="173" fontId="14" fillId="0" borderId="1" xfId="0" applyNumberFormat="1" applyFont="1" applyBorder="1" applyAlignment="1">
      <alignment horizontal="left" vertical="top"/>
    </xf>
    <xf numFmtId="4" fontId="28" fillId="0" borderId="1" xfId="0" applyNumberFormat="1" applyFont="1" applyBorder="1" applyAlignment="1">
      <alignment horizontal="center" vertical="center" wrapText="1"/>
    </xf>
    <xf numFmtId="4" fontId="23" fillId="0" borderId="1" xfId="0" applyNumberFormat="1" applyFont="1" applyBorder="1" applyAlignment="1">
      <alignment horizontal="center" vertical="center"/>
    </xf>
    <xf numFmtId="4" fontId="23" fillId="0" borderId="1" xfId="0" applyNumberFormat="1" applyFont="1" applyBorder="1" applyAlignment="1">
      <alignment horizontal="right" vertical="center"/>
    </xf>
    <xf numFmtId="0" fontId="6" fillId="0" borderId="0" xfId="0" applyFont="1" applyAlignment="1">
      <alignment horizontal="right" wrapText="1"/>
    </xf>
    <xf numFmtId="4" fontId="25" fillId="0" borderId="2" xfId="35" applyNumberFormat="1" applyFont="1" applyFill="1" applyBorder="1" applyAlignment="1">
      <alignment horizontal="right" vertical="center" wrapText="1"/>
    </xf>
    <xf numFmtId="4" fontId="10" fillId="0" borderId="2" xfId="0" applyNumberFormat="1" applyFont="1" applyBorder="1" applyAlignment="1">
      <alignment horizontal="right" vertical="center"/>
    </xf>
    <xf numFmtId="4" fontId="23" fillId="0" borderId="2" xfId="15" applyNumberFormat="1" applyFont="1" applyBorder="1" applyAlignment="1">
      <alignment vertical="center"/>
    </xf>
    <xf numFmtId="4" fontId="5" fillId="0" borderId="2" xfId="0" applyNumberFormat="1" applyFont="1" applyBorder="1" applyAlignment="1">
      <alignment vertical="center"/>
    </xf>
    <xf numFmtId="4" fontId="15" fillId="0" borderId="2" xfId="0" applyNumberFormat="1" applyFont="1" applyBorder="1" applyAlignment="1">
      <alignment horizontal="right" vertical="center"/>
    </xf>
    <xf numFmtId="4" fontId="6" fillId="0" borderId="0" xfId="15" applyNumberFormat="1" applyFont="1" applyAlignment="1" applyProtection="1">
      <alignment horizontal="center" vertical="top" wrapText="1"/>
      <protection locked="0"/>
    </xf>
    <xf numFmtId="0" fontId="6" fillId="0" borderId="0" xfId="0" applyFont="1"/>
    <xf numFmtId="4" fontId="23" fillId="0" borderId="2" xfId="0" applyNumberFormat="1" applyFont="1" applyBorder="1" applyAlignment="1">
      <alignment horizontal="right" vertical="center"/>
    </xf>
    <xf numFmtId="172" fontId="28" fillId="0" borderId="1" xfId="0" applyNumberFormat="1" applyFont="1" applyBorder="1" applyAlignment="1">
      <alignment horizontal="left" vertical="top"/>
    </xf>
    <xf numFmtId="0" fontId="23" fillId="0" borderId="1" xfId="0" applyFont="1" applyBorder="1" applyAlignment="1">
      <alignment vertical="top" wrapText="1"/>
    </xf>
    <xf numFmtId="0" fontId="23" fillId="0" borderId="1" xfId="0" applyFont="1" applyBorder="1" applyAlignment="1">
      <alignment horizontal="center" vertical="center" wrapText="1"/>
    </xf>
    <xf numFmtId="4" fontId="23" fillId="0" borderId="1" xfId="0" applyNumberFormat="1" applyFont="1" applyBorder="1" applyAlignment="1">
      <alignment horizontal="center" vertical="center" wrapText="1"/>
    </xf>
    <xf numFmtId="4" fontId="23" fillId="0" borderId="1" xfId="0" applyNumberFormat="1" applyFont="1" applyBorder="1" applyAlignment="1">
      <alignment vertical="center"/>
    </xf>
    <xf numFmtId="0" fontId="23" fillId="0" borderId="1" xfId="0" applyFont="1" applyBorder="1" applyAlignment="1">
      <alignment horizontal="right" wrapText="1"/>
    </xf>
    <xf numFmtId="168" fontId="14" fillId="6" borderId="1" xfId="0" applyNumberFormat="1" applyFont="1" applyFill="1" applyBorder="1" applyAlignment="1">
      <alignment horizontal="left" vertical="top"/>
    </xf>
    <xf numFmtId="0" fontId="14" fillId="6" borderId="1" xfId="0" applyFont="1" applyFill="1" applyBorder="1" applyAlignment="1">
      <alignment vertical="top" wrapText="1"/>
    </xf>
    <xf numFmtId="0" fontId="15" fillId="6" borderId="1" xfId="0" applyFont="1" applyFill="1" applyBorder="1" applyAlignment="1">
      <alignment horizontal="center" vertical="center" wrapText="1"/>
    </xf>
    <xf numFmtId="4" fontId="15" fillId="6" borderId="1" xfId="0" applyNumberFormat="1" applyFont="1" applyFill="1" applyBorder="1" applyAlignment="1">
      <alignment horizontal="center" vertical="center"/>
    </xf>
    <xf numFmtId="4" fontId="15" fillId="6" borderId="1" xfId="0" applyNumberFormat="1" applyFont="1" applyFill="1" applyBorder="1" applyAlignment="1">
      <alignment vertical="center"/>
    </xf>
    <xf numFmtId="4" fontId="15" fillId="6" borderId="1" xfId="0" applyNumberFormat="1" applyFont="1" applyFill="1" applyBorder="1" applyAlignment="1">
      <alignment horizontal="center" vertical="center" wrapText="1"/>
    </xf>
    <xf numFmtId="2" fontId="15" fillId="0" borderId="0" xfId="21" applyNumberFormat="1" applyFont="1" applyAlignment="1">
      <alignment vertical="top" wrapText="1"/>
    </xf>
    <xf numFmtId="0" fontId="13" fillId="0" borderId="0" xfId="0" applyFont="1"/>
    <xf numFmtId="171" fontId="14" fillId="0" borderId="1" xfId="0" applyNumberFormat="1" applyFont="1" applyBorder="1" applyAlignment="1">
      <alignment horizontal="left" vertical="top"/>
    </xf>
    <xf numFmtId="184" fontId="14" fillId="0" borderId="1" xfId="0" applyNumberFormat="1" applyFont="1" applyBorder="1" applyAlignment="1">
      <alignment horizontal="left" vertical="top"/>
    </xf>
    <xf numFmtId="4" fontId="15" fillId="0" borderId="1" xfId="0" applyNumberFormat="1" applyFont="1" applyBorder="1" applyAlignment="1">
      <alignment horizontal="left" vertical="top" wrapText="1"/>
    </xf>
    <xf numFmtId="4" fontId="15" fillId="0" borderId="1" xfId="0" applyNumberFormat="1" applyFont="1" applyBorder="1" applyAlignment="1">
      <alignment horizontal="center" vertical="center" wrapText="1"/>
    </xf>
    <xf numFmtId="0" fontId="15" fillId="0" borderId="1" xfId="0" applyFont="1" applyBorder="1" applyAlignment="1">
      <alignment horizontal="right" wrapText="1"/>
    </xf>
    <xf numFmtId="171" fontId="28" fillId="0" borderId="1" xfId="0" applyNumberFormat="1" applyFont="1" applyBorder="1" applyAlignment="1">
      <alignment horizontal="left" vertical="top"/>
    </xf>
    <xf numFmtId="4" fontId="28" fillId="0" borderId="1" xfId="0" applyNumberFormat="1" applyFont="1" applyBorder="1" applyAlignment="1">
      <alignment vertical="top" wrapText="1"/>
    </xf>
    <xf numFmtId="184" fontId="28" fillId="0" borderId="1" xfId="0" applyNumberFormat="1" applyFont="1" applyBorder="1" applyAlignment="1">
      <alignment horizontal="left" vertical="top"/>
    </xf>
    <xf numFmtId="0" fontId="27" fillId="0" borderId="1" xfId="0" applyFont="1" applyBorder="1"/>
    <xf numFmtId="0" fontId="15" fillId="0" borderId="1" xfId="0" applyFont="1" applyBorder="1" applyAlignment="1">
      <alignment vertical="top" wrapText="1"/>
    </xf>
    <xf numFmtId="0" fontId="15" fillId="0" borderId="1" xfId="0" applyFont="1" applyBorder="1" applyAlignment="1">
      <alignment horizontal="center" vertical="center" wrapText="1"/>
    </xf>
    <xf numFmtId="4" fontId="23" fillId="0" borderId="1" xfId="0" applyNumberFormat="1" applyFont="1" applyBorder="1" applyAlignment="1">
      <alignment horizontal="left" vertical="top" wrapText="1"/>
    </xf>
    <xf numFmtId="0" fontId="14" fillId="0" borderId="1" xfId="36" applyFont="1" applyBorder="1" applyAlignment="1">
      <alignment vertical="top"/>
    </xf>
    <xf numFmtId="0" fontId="15" fillId="0" borderId="1" xfId="36" applyFont="1" applyBorder="1" applyAlignment="1">
      <alignment horizontal="center" vertical="center"/>
    </xf>
    <xf numFmtId="4" fontId="15" fillId="0" borderId="1" xfId="36" applyNumberFormat="1" applyFont="1" applyBorder="1" applyAlignment="1">
      <alignment horizontal="center" vertical="center" wrapText="1"/>
    </xf>
    <xf numFmtId="4" fontId="15" fillId="0" borderId="1" xfId="36" applyNumberFormat="1" applyFont="1" applyBorder="1" applyAlignment="1">
      <alignment vertical="center"/>
    </xf>
    <xf numFmtId="4" fontId="15" fillId="0" borderId="1" xfId="36" applyNumberFormat="1" applyFont="1" applyBorder="1" applyAlignment="1" applyProtection="1">
      <alignment horizontal="center" vertical="top" wrapText="1"/>
      <protection locked="0"/>
    </xf>
    <xf numFmtId="179" fontId="14" fillId="0" borderId="1" xfId="36" applyNumberFormat="1" applyFont="1" applyBorder="1" applyAlignment="1">
      <alignment horizontal="left" vertical="top"/>
    </xf>
    <xf numFmtId="0" fontId="15" fillId="0" borderId="1" xfId="36" applyFont="1" applyBorder="1" applyAlignment="1">
      <alignment vertical="top" wrapText="1"/>
    </xf>
    <xf numFmtId="4" fontId="14" fillId="0" borderId="1" xfId="0" applyNumberFormat="1" applyFont="1" applyBorder="1" applyAlignment="1">
      <alignment horizontal="left" vertical="top" wrapText="1"/>
    </xf>
    <xf numFmtId="168" fontId="14" fillId="2" borderId="1" xfId="0" applyNumberFormat="1" applyFont="1" applyFill="1" applyBorder="1" applyAlignment="1">
      <alignment horizontal="left" vertical="top"/>
    </xf>
    <xf numFmtId="0" fontId="14" fillId="2" borderId="1" xfId="0" applyFont="1" applyFill="1" applyBorder="1" applyAlignment="1">
      <alignment horizontal="right" vertical="center"/>
    </xf>
    <xf numFmtId="0" fontId="15" fillId="2" borderId="1" xfId="0" applyFont="1" applyFill="1" applyBorder="1" applyAlignment="1">
      <alignment horizontal="center" vertical="center" wrapText="1"/>
    </xf>
    <xf numFmtId="4" fontId="15" fillId="2" borderId="1" xfId="0" applyNumberFormat="1" applyFont="1" applyFill="1" applyBorder="1" applyAlignment="1">
      <alignment horizontal="center" vertical="center"/>
    </xf>
    <xf numFmtId="4" fontId="14" fillId="2" borderId="1" xfId="0" applyNumberFormat="1" applyFont="1" applyFill="1" applyBorder="1" applyAlignment="1">
      <alignment vertical="center"/>
    </xf>
    <xf numFmtId="4" fontId="14" fillId="2" borderId="1" xfId="0" applyNumberFormat="1" applyFont="1" applyFill="1" applyBorder="1" applyAlignment="1">
      <alignment horizontal="right" vertical="center"/>
    </xf>
    <xf numFmtId="182" fontId="14" fillId="0" borderId="1" xfId="21" applyNumberFormat="1" applyFont="1" applyBorder="1" applyAlignment="1">
      <alignment horizontal="left" vertical="top"/>
    </xf>
    <xf numFmtId="176" fontId="28" fillId="0" borderId="1" xfId="0" applyNumberFormat="1" applyFont="1" applyBorder="1" applyAlignment="1">
      <alignment horizontal="left" vertical="top"/>
    </xf>
    <xf numFmtId="0" fontId="23" fillId="0" borderId="1" xfId="0" applyFont="1" applyBorder="1" applyAlignment="1">
      <alignment horizontal="center" wrapText="1"/>
    </xf>
    <xf numFmtId="4" fontId="26" fillId="0" borderId="1" xfId="0" applyNumberFormat="1" applyFont="1" applyBorder="1" applyAlignment="1">
      <alignment horizontal="left" vertical="top" wrapText="1"/>
    </xf>
    <xf numFmtId="182" fontId="4" fillId="0" borderId="1" xfId="2" applyNumberFormat="1" applyFont="1" applyBorder="1" applyAlignment="1">
      <alignment horizontal="left" vertical="top"/>
    </xf>
    <xf numFmtId="0" fontId="13" fillId="0" borderId="1" xfId="0" applyFont="1" applyBorder="1"/>
    <xf numFmtId="4" fontId="15" fillId="0" borderId="0" xfId="0" applyNumberFormat="1" applyFont="1" applyAlignment="1">
      <alignment horizontal="center" vertical="center"/>
    </xf>
    <xf numFmtId="4" fontId="15" fillId="0" borderId="0" xfId="0" applyNumberFormat="1" applyFont="1" applyAlignment="1">
      <alignment vertical="center"/>
    </xf>
    <xf numFmtId="0" fontId="15" fillId="0" borderId="1" xfId="0" applyFont="1" applyBorder="1" applyAlignment="1">
      <alignment horizontal="left" vertical="top" wrapText="1"/>
    </xf>
    <xf numFmtId="185" fontId="14" fillId="0" borderId="1" xfId="21" applyNumberFormat="1" applyFont="1" applyBorder="1" applyAlignment="1">
      <alignment horizontal="left" vertical="top"/>
    </xf>
    <xf numFmtId="0" fontId="14" fillId="0" borderId="1" xfId="0" applyFont="1" applyBorder="1" applyAlignment="1">
      <alignment vertical="top"/>
    </xf>
    <xf numFmtId="4" fontId="15" fillId="0" borderId="1" xfId="0" applyNumberFormat="1" applyFont="1" applyBorder="1" applyAlignment="1">
      <alignment vertical="center" wrapText="1"/>
    </xf>
    <xf numFmtId="0" fontId="21" fillId="0" borderId="1" xfId="0" applyFont="1" applyBorder="1"/>
    <xf numFmtId="0" fontId="23" fillId="0" borderId="0" xfId="0" applyFont="1" applyAlignment="1">
      <alignment vertical="top" wrapText="1"/>
    </xf>
    <xf numFmtId="176" fontId="29" fillId="0" borderId="1" xfId="0" applyNumberFormat="1" applyFont="1" applyBorder="1" applyAlignment="1">
      <alignment horizontal="left" vertical="top"/>
    </xf>
    <xf numFmtId="0" fontId="30" fillId="0" borderId="1" xfId="0" applyFont="1" applyBorder="1" applyAlignment="1">
      <alignment vertical="top" wrapText="1"/>
    </xf>
    <xf numFmtId="0" fontId="30" fillId="0" borderId="1" xfId="0" applyFont="1" applyBorder="1" applyAlignment="1">
      <alignment horizontal="center" vertical="center" wrapText="1"/>
    </xf>
    <xf numFmtId="4" fontId="30" fillId="0" borderId="1" xfId="0" applyNumberFormat="1" applyFont="1" applyBorder="1" applyAlignment="1">
      <alignment horizontal="center" vertical="center" wrapText="1"/>
    </xf>
    <xf numFmtId="4" fontId="30" fillId="0" borderId="1" xfId="0" applyNumberFormat="1" applyFont="1" applyBorder="1" applyAlignment="1">
      <alignment vertical="center"/>
    </xf>
    <xf numFmtId="0" fontId="30" fillId="0" borderId="1" xfId="0" applyFont="1" applyBorder="1" applyAlignment="1">
      <alignment horizontal="right" wrapText="1"/>
    </xf>
    <xf numFmtId="176" fontId="22" fillId="0" borderId="1" xfId="0" applyNumberFormat="1" applyFont="1" applyBorder="1" applyAlignment="1">
      <alignment horizontal="left" vertical="top"/>
    </xf>
    <xf numFmtId="0" fontId="6" fillId="0" borderId="1" xfId="0" applyFont="1" applyBorder="1" applyAlignment="1">
      <alignment vertical="top" wrapText="1"/>
    </xf>
    <xf numFmtId="0" fontId="8" fillId="0" borderId="1" xfId="0" applyFont="1" applyBorder="1" applyAlignment="1">
      <alignment vertical="top"/>
    </xf>
    <xf numFmtId="176" fontId="8" fillId="0" borderId="1" xfId="0" applyNumberFormat="1" applyFont="1" applyBorder="1" applyAlignment="1">
      <alignment horizontal="left" vertical="top"/>
    </xf>
    <xf numFmtId="0" fontId="10" fillId="0" borderId="1" xfId="0" applyFont="1" applyBorder="1" applyAlignment="1">
      <alignment vertical="top" wrapText="1"/>
    </xf>
    <xf numFmtId="4" fontId="10" fillId="0" borderId="1" xfId="0" applyNumberFormat="1" applyFont="1" applyBorder="1" applyAlignment="1">
      <alignment horizontal="left" vertical="top" wrapText="1"/>
    </xf>
    <xf numFmtId="4" fontId="31" fillId="0" borderId="1" xfId="0" applyNumberFormat="1" applyFont="1" applyBorder="1" applyAlignment="1">
      <alignment horizontal="center" vertical="center" wrapText="1"/>
    </xf>
    <xf numFmtId="4" fontId="26" fillId="0" borderId="1" xfId="0" applyNumberFormat="1" applyFont="1" applyBorder="1" applyAlignment="1">
      <alignment horizontal="center" vertical="center"/>
    </xf>
    <xf numFmtId="4" fontId="26" fillId="0" borderId="1" xfId="0" applyNumberFormat="1" applyFont="1" applyBorder="1" applyAlignment="1">
      <alignment vertical="center"/>
    </xf>
    <xf numFmtId="0" fontId="26" fillId="0" borderId="1" xfId="0" applyFont="1" applyBorder="1" applyAlignment="1">
      <alignment horizontal="right" wrapText="1"/>
    </xf>
    <xf numFmtId="4" fontId="26" fillId="0" borderId="1" xfId="0" applyNumberFormat="1" applyFont="1" applyBorder="1" applyAlignment="1">
      <alignment horizontal="right" vertical="center"/>
    </xf>
    <xf numFmtId="4" fontId="10" fillId="0" borderId="1" xfId="0" applyNumberFormat="1" applyFont="1" applyBorder="1" applyAlignment="1">
      <alignment horizontal="center" vertical="center" wrapText="1"/>
    </xf>
    <xf numFmtId="4" fontId="10" fillId="0" borderId="1" xfId="5" applyNumberFormat="1" applyFont="1" applyBorder="1" applyAlignment="1">
      <alignment vertical="center"/>
    </xf>
    <xf numFmtId="0" fontId="26" fillId="0" borderId="1" xfId="0" applyFont="1" applyBorder="1" applyAlignment="1">
      <alignment horizontal="center" vertical="center" wrapText="1"/>
    </xf>
    <xf numFmtId="0" fontId="13" fillId="0" borderId="1" xfId="0" applyFont="1" applyBorder="1" applyAlignment="1">
      <alignment horizontal="center" vertical="center"/>
    </xf>
    <xf numFmtId="4" fontId="13" fillId="0" borderId="1" xfId="0" applyNumberFormat="1" applyFont="1" applyBorder="1" applyAlignment="1">
      <alignment vertical="center"/>
    </xf>
    <xf numFmtId="4" fontId="13" fillId="0" borderId="1" xfId="0" applyNumberFormat="1" applyFont="1" applyBorder="1" applyAlignment="1">
      <alignment horizontal="center" vertical="center"/>
    </xf>
    <xf numFmtId="179" fontId="28" fillId="0" borderId="1" xfId="15" applyNumberFormat="1" applyFont="1" applyBorder="1" applyAlignment="1">
      <alignment horizontal="left" vertical="top"/>
    </xf>
    <xf numFmtId="0" fontId="15" fillId="0" borderId="1" xfId="15" applyFont="1" applyBorder="1" applyAlignment="1">
      <alignment horizontal="center" vertical="top"/>
    </xf>
    <xf numFmtId="4" fontId="15" fillId="0" borderId="1" xfId="15" applyNumberFormat="1" applyFont="1" applyBorder="1" applyAlignment="1">
      <alignment horizontal="center" vertical="center" wrapText="1"/>
    </xf>
    <xf numFmtId="4" fontId="15" fillId="0" borderId="1" xfId="15" applyNumberFormat="1" applyFont="1" applyBorder="1" applyAlignment="1">
      <alignment horizontal="center" wrapText="1"/>
    </xf>
    <xf numFmtId="4" fontId="15" fillId="0" borderId="1" xfId="15" applyNumberFormat="1" applyFont="1" applyBorder="1" applyAlignment="1">
      <alignment vertical="center"/>
    </xf>
    <xf numFmtId="4" fontId="23" fillId="0" borderId="1" xfId="15" applyNumberFormat="1" applyFont="1" applyBorder="1" applyAlignment="1" applyProtection="1">
      <alignment horizontal="center" vertical="top" wrapText="1"/>
      <protection locked="0"/>
    </xf>
    <xf numFmtId="168" fontId="31" fillId="0" borderId="1" xfId="21" applyNumberFormat="1" applyFont="1" applyBorder="1" applyAlignment="1">
      <alignment horizontal="left" vertical="top"/>
    </xf>
    <xf numFmtId="0" fontId="31" fillId="0" borderId="1" xfId="0" applyFont="1" applyBorder="1" applyAlignment="1">
      <alignment vertical="top" wrapText="1"/>
    </xf>
    <xf numFmtId="173" fontId="31" fillId="0" borderId="1" xfId="0" applyNumberFormat="1" applyFont="1" applyBorder="1" applyAlignment="1">
      <alignment horizontal="left" vertical="top"/>
    </xf>
    <xf numFmtId="0" fontId="26" fillId="0" borderId="1" xfId="0" applyFont="1" applyBorder="1" applyAlignment="1">
      <alignment vertical="top" wrapText="1"/>
    </xf>
    <xf numFmtId="0" fontId="15" fillId="0" borderId="1" xfId="16" applyFont="1" applyBorder="1" applyAlignment="1">
      <alignment horizontal="center" vertical="center" wrapText="1"/>
    </xf>
    <xf numFmtId="0" fontId="23" fillId="0" borderId="0" xfId="17" applyFont="1" applyAlignment="1">
      <alignment vertical="top"/>
    </xf>
    <xf numFmtId="0" fontId="4" fillId="13" borderId="1" xfId="17" applyFont="1" applyFill="1" applyBorder="1" applyAlignment="1">
      <alignment horizontal="left" vertical="top" wrapText="1"/>
    </xf>
    <xf numFmtId="0" fontId="4" fillId="13" borderId="1" xfId="17" applyFont="1" applyFill="1" applyBorder="1" applyAlignment="1">
      <alignment vertical="top" wrapText="1"/>
    </xf>
    <xf numFmtId="0" fontId="5" fillId="13" borderId="1" xfId="17" applyFont="1" applyFill="1" applyBorder="1" applyAlignment="1">
      <alignment horizontal="center" vertical="top" wrapText="1"/>
    </xf>
    <xf numFmtId="4" fontId="5" fillId="13" borderId="1" xfId="17" applyNumberFormat="1" applyFont="1" applyFill="1" applyBorder="1" applyAlignment="1">
      <alignment horizontal="center" vertical="center" wrapText="1"/>
    </xf>
    <xf numFmtId="0" fontId="23" fillId="0" borderId="0" xfId="17" applyFont="1" applyAlignment="1">
      <alignment vertical="top" wrapText="1"/>
    </xf>
    <xf numFmtId="0" fontId="22" fillId="0" borderId="1" xfId="17" applyFont="1" applyBorder="1" applyAlignment="1">
      <alignment horizontal="left" vertical="top" wrapText="1"/>
    </xf>
    <xf numFmtId="0" fontId="6" fillId="0" borderId="1" xfId="17" applyFont="1" applyBorder="1" applyAlignment="1">
      <alignment vertical="top" wrapText="1"/>
    </xf>
    <xf numFmtId="0" fontId="22" fillId="0" borderId="1" xfId="17" applyFont="1" applyBorder="1" applyAlignment="1">
      <alignment horizontal="center" vertical="top" wrapText="1"/>
    </xf>
    <xf numFmtId="4" fontId="6" fillId="0" borderId="1" xfId="17" applyNumberFormat="1" applyFont="1" applyBorder="1" applyAlignment="1">
      <alignment horizontal="center" vertical="center" wrapText="1"/>
    </xf>
    <xf numFmtId="4" fontId="15" fillId="0" borderId="1" xfId="22" applyNumberFormat="1" applyFont="1" applyBorder="1" applyAlignment="1">
      <alignment vertical="top" wrapText="1"/>
    </xf>
    <xf numFmtId="4" fontId="15" fillId="0" borderId="1" xfId="24" applyNumberFormat="1" applyFont="1" applyBorder="1" applyAlignment="1">
      <alignment horizontal="left" vertical="top" wrapText="1"/>
    </xf>
    <xf numFmtId="4" fontId="15" fillId="14" borderId="1" xfId="24" applyNumberFormat="1" applyFont="1" applyFill="1" applyBorder="1" applyAlignment="1">
      <alignment vertical="top" wrapText="1"/>
    </xf>
    <xf numFmtId="4" fontId="15" fillId="0" borderId="1" xfId="11" applyNumberFormat="1" applyFont="1" applyBorder="1" applyAlignment="1">
      <alignment vertical="top" wrapText="1"/>
    </xf>
    <xf numFmtId="0" fontId="5" fillId="0" borderId="1" xfId="33" applyFont="1" applyBorder="1" applyAlignment="1">
      <alignment vertical="top" wrapText="1"/>
    </xf>
    <xf numFmtId="0" fontId="4" fillId="0" borderId="1" xfId="17" applyFont="1" applyBorder="1" applyAlignment="1">
      <alignment horizontal="left" vertical="top" wrapText="1"/>
    </xf>
    <xf numFmtId="0" fontId="4" fillId="0" borderId="1" xfId="17" applyFont="1" applyBorder="1" applyAlignment="1">
      <alignment vertical="top" wrapText="1"/>
    </xf>
    <xf numFmtId="0" fontId="4" fillId="0" borderId="1" xfId="17" applyFont="1" applyBorder="1" applyAlignment="1">
      <alignment horizontal="center" vertical="top" wrapText="1"/>
    </xf>
    <xf numFmtId="178" fontId="14" fillId="0" borderId="1" xfId="24" applyNumberFormat="1" applyFont="1" applyBorder="1" applyAlignment="1">
      <alignment horizontal="left" vertical="top"/>
    </xf>
    <xf numFmtId="0" fontId="14" fillId="0" borderId="1" xfId="17" applyFont="1" applyBorder="1" applyAlignment="1">
      <alignment vertical="top" wrapText="1"/>
    </xf>
    <xf numFmtId="0" fontId="14" fillId="0" borderId="1" xfId="17" applyFont="1" applyBorder="1" applyAlignment="1">
      <alignment horizontal="center" vertical="top" wrapText="1"/>
    </xf>
    <xf numFmtId="4" fontId="15" fillId="0" borderId="1" xfId="17" applyNumberFormat="1" applyFont="1" applyBorder="1" applyAlignment="1">
      <alignment horizontal="center" vertical="center" wrapText="1"/>
    </xf>
    <xf numFmtId="172" fontId="14" fillId="0" borderId="1" xfId="17" applyNumberFormat="1" applyFont="1" applyBorder="1" applyAlignment="1">
      <alignment horizontal="left" vertical="top"/>
    </xf>
    <xf numFmtId="0" fontId="15" fillId="0" borderId="1" xfId="17" applyFont="1" applyBorder="1" applyAlignment="1">
      <alignment vertical="top" wrapText="1"/>
    </xf>
    <xf numFmtId="0" fontId="15" fillId="0" borderId="1" xfId="17" applyFont="1" applyBorder="1" applyAlignment="1">
      <alignment horizontal="center" vertical="top" wrapText="1"/>
    </xf>
    <xf numFmtId="0" fontId="15" fillId="0" borderId="1" xfId="17" quotePrefix="1" applyFont="1" applyBorder="1" applyAlignment="1">
      <alignment vertical="top" wrapText="1"/>
    </xf>
    <xf numFmtId="172" fontId="22" fillId="0" borderId="1" xfId="17" applyNumberFormat="1" applyFont="1" applyBorder="1" applyAlignment="1">
      <alignment horizontal="left" vertical="top"/>
    </xf>
    <xf numFmtId="0" fontId="6" fillId="0" borderId="1" xfId="17" applyFont="1" applyBorder="1" applyAlignment="1">
      <alignment horizontal="center" vertical="top" wrapText="1"/>
    </xf>
    <xf numFmtId="172" fontId="4" fillId="0" borderId="1" xfId="17" applyNumberFormat="1" applyFont="1" applyBorder="1" applyAlignment="1">
      <alignment horizontal="left" vertical="top"/>
    </xf>
    <xf numFmtId="0" fontId="5" fillId="0" borderId="1" xfId="17" quotePrefix="1" applyFont="1" applyBorder="1" applyAlignment="1">
      <alignment vertical="top" wrapText="1"/>
    </xf>
    <xf numFmtId="0" fontId="28" fillId="0" borderId="0" xfId="24" applyFont="1" applyAlignment="1">
      <alignment vertical="top"/>
    </xf>
    <xf numFmtId="0" fontId="4" fillId="0" borderId="1" xfId="20" applyFont="1" applyBorder="1" applyAlignment="1">
      <alignment vertical="top" wrapText="1"/>
    </xf>
    <xf numFmtId="0" fontId="23" fillId="0" borderId="0" xfId="22" applyFont="1" applyAlignment="1">
      <alignment vertical="top"/>
    </xf>
    <xf numFmtId="0" fontId="5" fillId="0" borderId="1" xfId="20" applyFont="1" applyBorder="1" applyAlignment="1">
      <alignment vertical="top" wrapText="1"/>
    </xf>
    <xf numFmtId="0" fontId="23" fillId="0" borderId="0" xfId="24" applyFont="1" applyAlignment="1">
      <alignment vertical="top"/>
    </xf>
    <xf numFmtId="0" fontId="14" fillId="0" borderId="1" xfId="24" applyFont="1" applyBorder="1" applyAlignment="1">
      <alignment horizontal="left" vertical="top" wrapText="1"/>
    </xf>
    <xf numFmtId="0" fontId="15" fillId="0" borderId="1" xfId="24" applyFont="1" applyBorder="1" applyAlignment="1">
      <alignment horizontal="center" vertical="center"/>
    </xf>
    <xf numFmtId="4" fontId="15" fillId="0" borderId="1" xfId="24" applyNumberFormat="1" applyFont="1" applyBorder="1" applyAlignment="1">
      <alignment horizontal="center" vertical="center"/>
    </xf>
    <xf numFmtId="4" fontId="15" fillId="0" borderId="1" xfId="24" applyNumberFormat="1" applyFont="1" applyBorder="1" applyAlignment="1" applyProtection="1">
      <alignment horizontal="center" vertical="center"/>
      <protection locked="0"/>
    </xf>
    <xf numFmtId="0" fontId="15" fillId="0" borderId="1" xfId="24" applyFont="1" applyBorder="1" applyAlignment="1">
      <alignment horizontal="left" vertical="top" wrapText="1"/>
    </xf>
    <xf numFmtId="0" fontId="14" fillId="0" borderId="1" xfId="24" applyFont="1" applyBorder="1" applyAlignment="1">
      <alignment vertical="top"/>
    </xf>
    <xf numFmtId="0" fontId="15" fillId="14" borderId="1" xfId="24" applyFont="1" applyFill="1" applyBorder="1" applyAlignment="1">
      <alignment vertical="top" wrapText="1"/>
    </xf>
    <xf numFmtId="0" fontId="15" fillId="0" borderId="1" xfId="24" applyFont="1" applyBorder="1" applyAlignment="1">
      <alignment horizontal="center" vertical="center" wrapText="1"/>
    </xf>
    <xf numFmtId="4" fontId="15" fillId="0" borderId="1" xfId="24" applyNumberFormat="1" applyFont="1" applyBorder="1" applyAlignment="1">
      <alignment horizontal="center" vertical="center" wrapText="1"/>
    </xf>
    <xf numFmtId="4" fontId="15" fillId="0" borderId="1" xfId="24" applyNumberFormat="1" applyFont="1" applyBorder="1" applyAlignment="1" applyProtection="1">
      <alignment horizontal="center" vertical="center" wrapText="1"/>
      <protection locked="0"/>
    </xf>
    <xf numFmtId="172" fontId="6" fillId="0" borderId="1" xfId="22" applyNumberFormat="1" applyFont="1" applyBorder="1" applyAlignment="1">
      <alignment horizontal="left" vertical="top"/>
    </xf>
    <xf numFmtId="0" fontId="6" fillId="0" borderId="1" xfId="22" applyFont="1" applyBorder="1" applyAlignment="1">
      <alignment vertical="top" wrapText="1"/>
    </xf>
    <xf numFmtId="0" fontId="6" fillId="0" borderId="1" xfId="22" applyFont="1" applyBorder="1" applyAlignment="1">
      <alignment horizontal="center" vertical="top" wrapText="1"/>
    </xf>
    <xf numFmtId="4" fontId="6" fillId="0" borderId="1" xfId="22" applyNumberFormat="1" applyFont="1" applyBorder="1" applyAlignment="1">
      <alignment horizontal="center" vertical="center" wrapText="1"/>
    </xf>
    <xf numFmtId="0" fontId="4" fillId="0" borderId="1" xfId="24" applyFont="1" applyBorder="1" applyAlignment="1">
      <alignment vertical="top"/>
    </xf>
    <xf numFmtId="0" fontId="5" fillId="0" borderId="1" xfId="24" applyFont="1" applyBorder="1" applyAlignment="1">
      <alignment horizontal="center" vertical="center"/>
    </xf>
    <xf numFmtId="4" fontId="5" fillId="0" borderId="1" xfId="24" applyNumberFormat="1" applyFont="1" applyBorder="1" applyAlignment="1">
      <alignment horizontal="center" vertical="center"/>
    </xf>
    <xf numFmtId="4" fontId="5" fillId="0" borderId="1" xfId="24" applyNumberFormat="1" applyFont="1" applyBorder="1" applyAlignment="1" applyProtection="1">
      <alignment horizontal="center" vertical="center"/>
      <protection locked="0"/>
    </xf>
    <xf numFmtId="178" fontId="4" fillId="0" borderId="1" xfId="24" applyNumberFormat="1" applyFont="1" applyBorder="1" applyAlignment="1">
      <alignment horizontal="left" vertical="top"/>
    </xf>
    <xf numFmtId="0" fontId="5" fillId="14" borderId="1" xfId="24" applyFont="1" applyFill="1" applyBorder="1" applyAlignment="1">
      <alignment vertical="top" wrapText="1"/>
    </xf>
    <xf numFmtId="0" fontId="5" fillId="0" borderId="1" xfId="24" applyFont="1" applyBorder="1" applyAlignment="1">
      <alignment horizontal="center" vertical="center" wrapText="1"/>
    </xf>
    <xf numFmtId="4" fontId="5" fillId="0" borderId="1" xfId="24" applyNumberFormat="1" applyFont="1" applyBorder="1" applyAlignment="1">
      <alignment horizontal="center" vertical="center" wrapText="1"/>
    </xf>
    <xf numFmtId="4" fontId="5" fillId="0" borderId="1" xfId="24" applyNumberFormat="1" applyFont="1" applyBorder="1" applyAlignment="1" applyProtection="1">
      <alignment horizontal="center" vertical="center" wrapText="1"/>
      <protection locked="0"/>
    </xf>
    <xf numFmtId="172" fontId="5" fillId="0" borderId="1" xfId="22" applyNumberFormat="1" applyFont="1" applyBorder="1" applyAlignment="1">
      <alignment horizontal="left" vertical="top"/>
    </xf>
    <xf numFmtId="0" fontId="5" fillId="0" borderId="1" xfId="22" applyFont="1" applyBorder="1" applyAlignment="1">
      <alignment vertical="top" wrapText="1"/>
    </xf>
    <xf numFmtId="0" fontId="5" fillId="0" borderId="1" xfId="22" applyFont="1" applyBorder="1" applyAlignment="1">
      <alignment horizontal="center" vertical="top" wrapText="1"/>
    </xf>
    <xf numFmtId="4" fontId="5" fillId="0" borderId="1" xfId="22" applyNumberFormat="1" applyFont="1" applyBorder="1" applyAlignment="1">
      <alignment horizontal="center" vertical="center" wrapText="1"/>
    </xf>
    <xf numFmtId="0" fontId="4" fillId="5" borderId="1" xfId="17" applyFont="1" applyFill="1" applyBorder="1" applyAlignment="1">
      <alignment horizontal="left" vertical="top" wrapText="1"/>
    </xf>
    <xf numFmtId="0" fontId="4" fillId="5" borderId="1" xfId="17" applyFont="1" applyFill="1" applyBorder="1" applyAlignment="1">
      <alignment horizontal="right" vertical="top" wrapText="1"/>
    </xf>
    <xf numFmtId="0" fontId="4" fillId="5" borderId="1" xfId="17" applyFont="1" applyFill="1" applyBorder="1" applyAlignment="1">
      <alignment horizontal="center" vertical="top" wrapText="1"/>
    </xf>
    <xf numFmtId="4" fontId="5" fillId="5" borderId="1" xfId="17" applyNumberFormat="1" applyFont="1" applyFill="1" applyBorder="1" applyAlignment="1">
      <alignment horizontal="center" vertical="center" wrapText="1"/>
    </xf>
    <xf numFmtId="172" fontId="5" fillId="0" borderId="1" xfId="38" applyNumberFormat="1" applyFont="1" applyBorder="1" applyAlignment="1">
      <alignment horizontal="left" vertical="top"/>
    </xf>
    <xf numFmtId="0" fontId="5" fillId="0" borderId="1" xfId="38" applyFont="1" applyBorder="1" applyAlignment="1">
      <alignment vertical="top" wrapText="1"/>
    </xf>
    <xf numFmtId="0" fontId="5" fillId="0" borderId="1" xfId="38" applyFont="1" applyBorder="1" applyAlignment="1">
      <alignment horizontal="center" vertical="top" wrapText="1"/>
    </xf>
    <xf numFmtId="4" fontId="5" fillId="0" borderId="1" xfId="38" applyNumberFormat="1" applyFont="1" applyBorder="1" applyAlignment="1">
      <alignment horizontal="center" vertical="center" wrapText="1"/>
    </xf>
    <xf numFmtId="0" fontId="23" fillId="0" borderId="0" xfId="40" applyFont="1" applyAlignment="1">
      <alignment vertical="top"/>
    </xf>
    <xf numFmtId="0" fontId="14" fillId="0" borderId="1" xfId="40" applyFont="1" applyBorder="1" applyAlignment="1">
      <alignment horizontal="left" vertical="top" wrapText="1"/>
    </xf>
    <xf numFmtId="0" fontId="15" fillId="0" borderId="1" xfId="40" applyFont="1" applyBorder="1" applyAlignment="1">
      <alignment horizontal="center" vertical="center"/>
    </xf>
    <xf numFmtId="4" fontId="15" fillId="0" borderId="1" xfId="40" applyNumberFormat="1" applyFont="1" applyBorder="1" applyAlignment="1">
      <alignment horizontal="center" vertical="center"/>
    </xf>
    <xf numFmtId="0" fontId="28" fillId="0" borderId="0" xfId="40" applyFont="1" applyAlignment="1">
      <alignment vertical="top"/>
    </xf>
    <xf numFmtId="178" fontId="14" fillId="0" borderId="1" xfId="40" applyNumberFormat="1" applyFont="1" applyBorder="1" applyAlignment="1">
      <alignment horizontal="left" vertical="top"/>
    </xf>
    <xf numFmtId="0" fontId="15" fillId="0" borderId="1" xfId="40" applyFont="1" applyBorder="1" applyAlignment="1">
      <alignment horizontal="left" vertical="top" wrapText="1"/>
    </xf>
    <xf numFmtId="0" fontId="23" fillId="0" borderId="0" xfId="38" applyFont="1" applyAlignment="1">
      <alignment vertical="top"/>
    </xf>
    <xf numFmtId="0" fontId="14" fillId="0" borderId="1" xfId="40" applyFont="1" applyBorder="1" applyAlignment="1">
      <alignment vertical="top"/>
    </xf>
    <xf numFmtId="0" fontId="15" fillId="0" borderId="1" xfId="40" applyFont="1" applyBorder="1" applyAlignment="1">
      <alignment vertical="top" wrapText="1"/>
    </xf>
    <xf numFmtId="0" fontId="15" fillId="0" borderId="1" xfId="40" applyFont="1" applyBorder="1" applyAlignment="1">
      <alignment horizontal="center" vertical="center" wrapText="1"/>
    </xf>
    <xf numFmtId="4" fontId="15" fillId="0" borderId="1" xfId="40" applyNumberFormat="1" applyFont="1" applyBorder="1" applyAlignment="1">
      <alignment horizontal="center" vertical="center" wrapText="1"/>
    </xf>
    <xf numFmtId="4" fontId="15" fillId="0" borderId="1" xfId="40" applyNumberFormat="1" applyFont="1" applyBorder="1" applyAlignment="1" applyProtection="1">
      <alignment horizontal="center" vertical="center" wrapText="1"/>
      <protection locked="0"/>
    </xf>
    <xf numFmtId="4" fontId="15" fillId="0" borderId="1" xfId="39" applyNumberFormat="1" applyFont="1" applyBorder="1" applyAlignment="1">
      <alignment horizontal="right" vertical="center"/>
    </xf>
    <xf numFmtId="4" fontId="15" fillId="0" borderId="2" xfId="24" applyNumberFormat="1" applyFont="1" applyBorder="1" applyAlignment="1" applyProtection="1">
      <alignment horizontal="center" vertical="center"/>
      <protection locked="0"/>
    </xf>
    <xf numFmtId="4" fontId="20" fillId="0" borderId="2" xfId="38" applyNumberFormat="1" applyFont="1" applyBorder="1" applyAlignment="1">
      <alignment horizontal="right" vertical="center"/>
    </xf>
    <xf numFmtId="4" fontId="15" fillId="0" borderId="2" xfId="40" applyNumberFormat="1" applyFont="1" applyBorder="1" applyAlignment="1">
      <alignment horizontal="right" vertical="center"/>
    </xf>
    <xf numFmtId="4" fontId="15" fillId="0" borderId="2" xfId="39" applyNumberFormat="1" applyFont="1" applyBorder="1" applyAlignment="1">
      <alignment horizontal="right" vertical="center"/>
    </xf>
    <xf numFmtId="4" fontId="5" fillId="0" borderId="2" xfId="24" applyNumberFormat="1" applyFont="1" applyBorder="1" applyAlignment="1" applyProtection="1">
      <alignment horizontal="center" vertical="center"/>
      <protection locked="0"/>
    </xf>
    <xf numFmtId="172" fontId="22" fillId="0" borderId="1" xfId="38" applyNumberFormat="1" applyFont="1" applyBorder="1" applyAlignment="1">
      <alignment horizontal="left" vertical="top"/>
    </xf>
    <xf numFmtId="0" fontId="6" fillId="0" borderId="1" xfId="38" applyFont="1" applyBorder="1" applyAlignment="1">
      <alignment vertical="top" wrapText="1"/>
    </xf>
    <xf numFmtId="0" fontId="6" fillId="0" borderId="1" xfId="38" applyFont="1" applyBorder="1" applyAlignment="1">
      <alignment horizontal="center" vertical="top" wrapText="1"/>
    </xf>
    <xf numFmtId="4" fontId="6" fillId="14" borderId="1" xfId="38" applyNumberFormat="1" applyFont="1" applyFill="1" applyBorder="1" applyAlignment="1">
      <alignment horizontal="center" vertical="center" wrapText="1"/>
    </xf>
    <xf numFmtId="4" fontId="6" fillId="0" borderId="1" xfId="38" applyNumberFormat="1" applyFont="1" applyBorder="1" applyAlignment="1">
      <alignment horizontal="center" vertical="center" wrapText="1"/>
    </xf>
    <xf numFmtId="0" fontId="23" fillId="0" borderId="0" xfId="38" applyFont="1" applyAlignment="1">
      <alignment vertical="top" wrapText="1"/>
    </xf>
    <xf numFmtId="0" fontId="14" fillId="0" borderId="1" xfId="38" applyFont="1" applyBorder="1" applyAlignment="1">
      <alignment vertical="top" wrapText="1"/>
    </xf>
    <xf numFmtId="0" fontId="14" fillId="0" borderId="1" xfId="38" applyFont="1" applyBorder="1" applyAlignment="1">
      <alignment horizontal="center" vertical="top" wrapText="1"/>
    </xf>
    <xf numFmtId="4" fontId="15" fillId="0" borderId="1" xfId="38" applyNumberFormat="1" applyFont="1" applyBorder="1" applyAlignment="1">
      <alignment horizontal="center" vertical="center" wrapText="1"/>
    </xf>
    <xf numFmtId="4" fontId="15" fillId="0" borderId="1" xfId="38" applyNumberFormat="1" applyFont="1" applyBorder="1" applyAlignment="1">
      <alignment horizontal="right" vertical="center"/>
    </xf>
    <xf numFmtId="172" fontId="14" fillId="0" borderId="1" xfId="38" applyNumberFormat="1" applyFont="1" applyBorder="1" applyAlignment="1">
      <alignment horizontal="left" vertical="top"/>
    </xf>
    <xf numFmtId="0" fontId="15" fillId="0" borderId="1" xfId="38" applyFont="1" applyBorder="1" applyAlignment="1">
      <alignment vertical="top" wrapText="1"/>
    </xf>
    <xf numFmtId="0" fontId="15" fillId="0" borderId="1" xfId="38" applyFont="1" applyBorder="1" applyAlignment="1">
      <alignment horizontal="center" vertical="top" wrapText="1"/>
    </xf>
    <xf numFmtId="0" fontId="15" fillId="0" borderId="1" xfId="38" quotePrefix="1" applyFont="1" applyBorder="1" applyAlignment="1">
      <alignment vertical="top" wrapText="1"/>
    </xf>
    <xf numFmtId="4" fontId="15" fillId="14" borderId="1" xfId="38" applyNumberFormat="1" applyFont="1" applyFill="1" applyBorder="1" applyAlignment="1">
      <alignment horizontal="center" vertical="center" wrapText="1"/>
    </xf>
    <xf numFmtId="0" fontId="23" fillId="0" borderId="1" xfId="38" applyFont="1" applyBorder="1" applyAlignment="1">
      <alignment vertical="top" wrapText="1"/>
    </xf>
    <xf numFmtId="4" fontId="14" fillId="0" borderId="1" xfId="38" applyNumberFormat="1" applyFont="1" applyBorder="1" applyAlignment="1">
      <alignment vertical="top" wrapText="1"/>
    </xf>
    <xf numFmtId="0" fontId="4" fillId="5" borderId="1" xfId="39" applyFont="1" applyFill="1" applyBorder="1" applyAlignment="1">
      <alignment horizontal="left" vertical="top" wrapText="1"/>
    </xf>
    <xf numFmtId="0" fontId="4" fillId="5" borderId="1" xfId="39" applyFont="1" applyFill="1" applyBorder="1" applyAlignment="1">
      <alignment vertical="top" wrapText="1"/>
    </xf>
    <xf numFmtId="0" fontId="4" fillId="5" borderId="1" xfId="39" applyFont="1" applyFill="1" applyBorder="1" applyAlignment="1">
      <alignment horizontal="center" vertical="top" wrapText="1"/>
    </xf>
    <xf numFmtId="4" fontId="5" fillId="5" borderId="1" xfId="39" applyNumberFormat="1" applyFont="1" applyFill="1" applyBorder="1" applyAlignment="1">
      <alignment horizontal="center" vertical="center" wrapText="1"/>
    </xf>
    <xf numFmtId="0" fontId="23" fillId="0" borderId="0" xfId="39" applyFont="1" applyAlignment="1">
      <alignment vertical="top"/>
    </xf>
    <xf numFmtId="0" fontId="22" fillId="0" borderId="1" xfId="20" applyFont="1" applyBorder="1" applyAlignment="1">
      <alignment horizontal="left" vertical="top" wrapText="1"/>
    </xf>
    <xf numFmtId="0" fontId="23" fillId="0" borderId="1" xfId="20" applyFont="1" applyBorder="1" applyAlignment="1">
      <alignment vertical="top" wrapText="1"/>
    </xf>
    <xf numFmtId="0" fontId="22" fillId="0" borderId="1" xfId="20" applyFont="1" applyBorder="1" applyAlignment="1">
      <alignment horizontal="center" vertical="top" wrapText="1"/>
    </xf>
    <xf numFmtId="4" fontId="6" fillId="0" borderId="1" xfId="20" applyNumberFormat="1" applyFont="1" applyBorder="1" applyAlignment="1">
      <alignment horizontal="center" vertical="center" wrapText="1"/>
    </xf>
    <xf numFmtId="0" fontId="6" fillId="0" borderId="1" xfId="20" applyFont="1" applyBorder="1" applyAlignment="1">
      <alignment vertical="top" wrapText="1"/>
    </xf>
    <xf numFmtId="0" fontId="5" fillId="0" borderId="1" xfId="20" applyFont="1" applyBorder="1" applyAlignment="1">
      <alignment horizontal="left" vertical="top" wrapText="1"/>
    </xf>
    <xf numFmtId="0" fontId="5" fillId="0" borderId="1" xfId="20" applyFont="1" applyBorder="1" applyAlignment="1">
      <alignment horizontal="center" vertical="top" wrapText="1"/>
    </xf>
    <xf numFmtId="4" fontId="5" fillId="0" borderId="1" xfId="20" applyNumberFormat="1" applyFont="1" applyBorder="1" applyAlignment="1">
      <alignment horizontal="center" vertical="center" wrapText="1"/>
    </xf>
    <xf numFmtId="4" fontId="5" fillId="0" borderId="1" xfId="20" applyNumberFormat="1" applyFont="1" applyBorder="1" applyAlignment="1">
      <alignment horizontal="right" vertical="center"/>
    </xf>
    <xf numFmtId="183" fontId="4" fillId="0" borderId="1" xfId="40" applyNumberFormat="1" applyFont="1" applyBorder="1" applyAlignment="1">
      <alignment horizontal="left" vertical="top"/>
    </xf>
    <xf numFmtId="186" fontId="5" fillId="0" borderId="1" xfId="20" applyNumberFormat="1" applyFont="1" applyBorder="1" applyAlignment="1">
      <alignment horizontal="left" vertical="top"/>
    </xf>
    <xf numFmtId="0" fontId="5" fillId="0" borderId="1" xfId="20" applyFont="1" applyBorder="1" applyAlignment="1">
      <alignment vertical="center" wrapText="1"/>
    </xf>
    <xf numFmtId="0" fontId="5" fillId="0" borderId="1" xfId="20" applyFont="1" applyBorder="1" applyAlignment="1">
      <alignment horizontal="center" vertical="center" wrapText="1"/>
    </xf>
    <xf numFmtId="0" fontId="5" fillId="0" borderId="1" xfId="40" applyFont="1" applyBorder="1" applyAlignment="1">
      <alignment vertical="top" wrapText="1"/>
    </xf>
    <xf numFmtId="186" fontId="6" fillId="0" borderId="1" xfId="20" applyNumberFormat="1" applyFont="1" applyBorder="1" applyAlignment="1">
      <alignment horizontal="left" vertical="top"/>
    </xf>
    <xf numFmtId="0" fontId="6" fillId="0" borderId="1" xfId="20" applyFont="1" applyBorder="1" applyAlignment="1">
      <alignment horizontal="center" vertical="top" wrapText="1"/>
    </xf>
    <xf numFmtId="186" fontId="4" fillId="0" borderId="1" xfId="20" applyNumberFormat="1" applyFont="1" applyBorder="1" applyAlignment="1">
      <alignment horizontal="left" vertical="top"/>
    </xf>
    <xf numFmtId="0" fontId="5" fillId="0" borderId="1" xfId="39" applyFont="1" applyBorder="1" applyAlignment="1">
      <alignment vertical="top"/>
    </xf>
    <xf numFmtId="0" fontId="5" fillId="0" borderId="1" xfId="39" applyFont="1" applyBorder="1" applyAlignment="1">
      <alignment vertical="top" wrapText="1"/>
    </xf>
    <xf numFmtId="0" fontId="5" fillId="0" borderId="1" xfId="39" applyFont="1" applyBorder="1" applyAlignment="1">
      <alignment horizontal="center" vertical="top" wrapText="1"/>
    </xf>
    <xf numFmtId="4" fontId="5" fillId="0" borderId="1" xfId="39" applyNumberFormat="1" applyFont="1" applyBorder="1" applyAlignment="1">
      <alignment horizontal="center" vertical="center" wrapText="1"/>
    </xf>
    <xf numFmtId="0" fontId="4" fillId="0" borderId="1" xfId="39" applyFont="1" applyBorder="1" applyAlignment="1">
      <alignment horizontal="left" vertical="top"/>
    </xf>
    <xf numFmtId="0" fontId="5" fillId="0" borderId="1" xfId="39" applyFont="1" applyBorder="1" applyAlignment="1">
      <alignment horizontal="center" vertical="top"/>
    </xf>
    <xf numFmtId="4" fontId="5" fillId="0" borderId="1" xfId="39" applyNumberFormat="1" applyFont="1" applyBorder="1" applyAlignment="1">
      <alignment horizontal="center" vertical="center"/>
    </xf>
    <xf numFmtId="0" fontId="4" fillId="5" borderId="1" xfId="20" applyFont="1" applyFill="1" applyBorder="1" applyAlignment="1">
      <alignment horizontal="left" vertical="top" wrapText="1"/>
    </xf>
    <xf numFmtId="0" fontId="4" fillId="5" borderId="1" xfId="20" applyFont="1" applyFill="1" applyBorder="1" applyAlignment="1">
      <alignment horizontal="right" vertical="top" wrapText="1"/>
    </xf>
    <xf numFmtId="0" fontId="4" fillId="5" borderId="1" xfId="20" applyFont="1" applyFill="1" applyBorder="1" applyAlignment="1">
      <alignment horizontal="center" vertical="top" wrapText="1"/>
    </xf>
    <xf numFmtId="4" fontId="5" fillId="5" borderId="1" xfId="20" applyNumberFormat="1" applyFont="1" applyFill="1" applyBorder="1" applyAlignment="1">
      <alignment horizontal="center" vertical="center" wrapText="1"/>
    </xf>
    <xf numFmtId="0" fontId="22" fillId="0" borderId="1" xfId="39" applyFont="1" applyBorder="1" applyAlignment="1">
      <alignment horizontal="left" vertical="top" wrapText="1"/>
    </xf>
    <xf numFmtId="0" fontId="6" fillId="0" borderId="1" xfId="39" applyFont="1" applyBorder="1" applyAlignment="1">
      <alignment vertical="top" wrapText="1"/>
    </xf>
    <xf numFmtId="0" fontId="6" fillId="0" borderId="1" xfId="39" applyFont="1" applyBorder="1" applyAlignment="1">
      <alignment horizontal="center" vertical="top" wrapText="1"/>
    </xf>
    <xf numFmtId="4" fontId="6" fillId="0" borderId="1" xfId="39" applyNumberFormat="1" applyFont="1" applyBorder="1" applyAlignment="1">
      <alignment horizontal="center" vertical="center" wrapText="1"/>
    </xf>
    <xf numFmtId="187" fontId="4" fillId="0" borderId="1" xfId="39" applyNumberFormat="1" applyFont="1" applyBorder="1" applyAlignment="1">
      <alignment horizontal="left" vertical="top"/>
    </xf>
    <xf numFmtId="0" fontId="4" fillId="0" borderId="1" xfId="39" applyFont="1" applyBorder="1" applyAlignment="1">
      <alignment vertical="top" wrapText="1"/>
    </xf>
    <xf numFmtId="187" fontId="22" fillId="0" borderId="1" xfId="39" applyNumberFormat="1" applyFont="1" applyBorder="1" applyAlignment="1">
      <alignment horizontal="left" vertical="top"/>
    </xf>
    <xf numFmtId="188" fontId="4" fillId="0" borderId="1" xfId="40" applyNumberFormat="1" applyFont="1" applyBorder="1" applyAlignment="1">
      <alignment horizontal="left" vertical="top"/>
    </xf>
    <xf numFmtId="12" fontId="4" fillId="0" borderId="1" xfId="0" applyNumberFormat="1" applyFont="1" applyBorder="1" applyAlignment="1">
      <alignment vertical="top"/>
    </xf>
    <xf numFmtId="180" fontId="4" fillId="0" borderId="1" xfId="39" applyNumberFormat="1" applyFont="1" applyBorder="1" applyAlignment="1">
      <alignment horizontal="left" vertical="top"/>
    </xf>
    <xf numFmtId="4" fontId="15" fillId="0" borderId="1" xfId="38" applyNumberFormat="1" applyFont="1" applyBorder="1" applyAlignment="1">
      <alignment vertical="center"/>
    </xf>
    <xf numFmtId="0" fontId="4" fillId="5" borderId="1" xfId="39" applyFont="1" applyFill="1" applyBorder="1" applyAlignment="1">
      <alignment horizontal="right" vertical="top" wrapText="1"/>
    </xf>
    <xf numFmtId="0" fontId="22" fillId="0" borderId="1" xfId="39" applyFont="1" applyBorder="1" applyAlignment="1">
      <alignment vertical="top" wrapText="1"/>
    </xf>
    <xf numFmtId="4" fontId="4" fillId="5" borderId="1" xfId="39" applyNumberFormat="1" applyFont="1" applyFill="1" applyBorder="1" applyAlignment="1">
      <alignment horizontal="center" vertical="center" wrapText="1"/>
    </xf>
    <xf numFmtId="172" fontId="4" fillId="0" borderId="1" xfId="25" applyNumberFormat="1" applyFont="1" applyBorder="1" applyAlignment="1">
      <alignment horizontal="left" vertical="top"/>
    </xf>
    <xf numFmtId="4" fontId="5" fillId="0" borderId="1" xfId="26" applyNumberFormat="1" applyFont="1" applyBorder="1" applyAlignment="1">
      <alignment horizontal="left" vertical="top" wrapText="1"/>
    </xf>
    <xf numFmtId="4" fontId="5" fillId="0" borderId="1" xfId="27" applyNumberFormat="1" applyFont="1" applyBorder="1" applyAlignment="1">
      <alignment horizontal="center" vertical="center"/>
    </xf>
    <xf numFmtId="4" fontId="5" fillId="0" borderId="1" xfId="26" applyNumberFormat="1" applyFont="1" applyBorder="1" applyAlignment="1">
      <alignment horizontal="center" vertical="center"/>
    </xf>
    <xf numFmtId="166" fontId="4" fillId="0" borderId="1" xfId="39" applyNumberFormat="1" applyFont="1" applyBorder="1" applyAlignment="1">
      <alignment horizontal="left" vertical="top"/>
    </xf>
    <xf numFmtId="0" fontId="4" fillId="0" borderId="1" xfId="8" applyFont="1" applyBorder="1" applyAlignment="1">
      <alignment vertical="top" wrapText="1"/>
    </xf>
    <xf numFmtId="189" fontId="4" fillId="0" borderId="1" xfId="40" applyNumberFormat="1" applyFont="1" applyBorder="1" applyAlignment="1">
      <alignment horizontal="left" vertical="top"/>
    </xf>
    <xf numFmtId="0" fontId="5" fillId="0" borderId="0" xfId="39" applyFont="1" applyAlignment="1">
      <alignment vertical="top"/>
    </xf>
    <xf numFmtId="0" fontId="5" fillId="0" borderId="1" xfId="28" applyFont="1" applyBorder="1" applyAlignment="1">
      <alignment horizontal="left" vertical="top" wrapText="1"/>
    </xf>
    <xf numFmtId="184" fontId="4" fillId="0" borderId="1" xfId="39" applyNumberFormat="1" applyFont="1" applyBorder="1" applyAlignment="1">
      <alignment horizontal="left" vertical="top"/>
    </xf>
    <xf numFmtId="4" fontId="4" fillId="0" borderId="1" xfId="27" applyNumberFormat="1" applyFont="1" applyBorder="1" applyAlignment="1">
      <alignment vertical="top" wrapText="1"/>
    </xf>
    <xf numFmtId="4" fontId="5" fillId="0" borderId="1" xfId="17" applyNumberFormat="1" applyFont="1" applyBorder="1" applyAlignment="1">
      <alignment vertical="center"/>
    </xf>
    <xf numFmtId="4" fontId="5" fillId="13" borderId="1" xfId="17" applyNumberFormat="1" applyFont="1" applyFill="1" applyBorder="1" applyAlignment="1">
      <alignment vertical="center"/>
    </xf>
    <xf numFmtId="4" fontId="6" fillId="0" borderId="1" xfId="17" applyNumberFormat="1" applyFont="1" applyBorder="1" applyAlignment="1">
      <alignment vertical="center"/>
    </xf>
    <xf numFmtId="4" fontId="15" fillId="0" borderId="1" xfId="17" applyNumberFormat="1" applyFont="1" applyBorder="1" applyAlignment="1">
      <alignment vertical="center"/>
    </xf>
    <xf numFmtId="4" fontId="6" fillId="0" borderId="1" xfId="38" applyNumberFormat="1" applyFont="1" applyBorder="1" applyAlignment="1">
      <alignment vertical="center"/>
    </xf>
    <xf numFmtId="4" fontId="15" fillId="0" borderId="1" xfId="24" applyNumberFormat="1" applyFont="1" applyBorder="1" applyAlignment="1">
      <alignment vertical="center"/>
    </xf>
    <xf numFmtId="4" fontId="32" fillId="0" borderId="1" xfId="22" applyNumberFormat="1" applyFont="1" applyBorder="1" applyAlignment="1">
      <alignment vertical="center"/>
    </xf>
    <xf numFmtId="4" fontId="15" fillId="0" borderId="1" xfId="40" applyNumberFormat="1" applyFont="1" applyBorder="1" applyAlignment="1" applyProtection="1">
      <alignment vertical="center" wrapText="1"/>
      <protection locked="0"/>
    </xf>
    <xf numFmtId="4" fontId="5" fillId="0" borderId="1" xfId="24" applyNumberFormat="1" applyFont="1" applyBorder="1" applyAlignment="1">
      <alignment vertical="center"/>
    </xf>
    <xf numFmtId="4" fontId="20" fillId="0" borderId="1" xfId="22" applyNumberFormat="1" applyFont="1" applyBorder="1" applyAlignment="1">
      <alignment vertical="center"/>
    </xf>
    <xf numFmtId="4" fontId="15" fillId="0" borderId="1" xfId="40" applyNumberFormat="1" applyFont="1" applyBorder="1" applyAlignment="1" applyProtection="1">
      <alignment vertical="center"/>
      <protection locked="0"/>
    </xf>
    <xf numFmtId="4" fontId="15" fillId="0" borderId="1" xfId="39" applyNumberFormat="1" applyFont="1" applyBorder="1" applyAlignment="1">
      <alignment vertical="center"/>
    </xf>
    <xf numFmtId="4" fontId="5" fillId="0" borderId="1" xfId="38" applyNumberFormat="1" applyFont="1" applyBorder="1" applyAlignment="1">
      <alignment vertical="center" wrapText="1"/>
    </xf>
    <xf numFmtId="4" fontId="4" fillId="5" borderId="1" xfId="17" applyNumberFormat="1" applyFont="1" applyFill="1" applyBorder="1" applyAlignment="1">
      <alignment vertical="center"/>
    </xf>
    <xf numFmtId="4" fontId="5" fillId="5" borderId="1" xfId="39" applyNumberFormat="1" applyFont="1" applyFill="1" applyBorder="1" applyAlignment="1">
      <alignment vertical="center"/>
    </xf>
    <xf numFmtId="4" fontId="6" fillId="0" borderId="1" xfId="20" applyNumberFormat="1" applyFont="1" applyBorder="1" applyAlignment="1">
      <alignment vertical="center"/>
    </xf>
    <xf numFmtId="4" fontId="5" fillId="0" borderId="1" xfId="20" applyNumberFormat="1" applyFont="1" applyBorder="1" applyAlignment="1">
      <alignment vertical="center"/>
    </xf>
    <xf numFmtId="4" fontId="5" fillId="0" borderId="1" xfId="20" applyNumberFormat="1" applyFont="1" applyBorder="1" applyAlignment="1">
      <alignment vertical="center" wrapText="1"/>
    </xf>
    <xf numFmtId="4" fontId="5" fillId="0" borderId="1" xfId="39" applyNumberFormat="1" applyFont="1" applyBorder="1" applyAlignment="1">
      <alignment vertical="center" wrapText="1"/>
    </xf>
    <xf numFmtId="4" fontId="5" fillId="0" borderId="1" xfId="39" applyNumberFormat="1" applyFont="1" applyBorder="1" applyAlignment="1">
      <alignment vertical="center"/>
    </xf>
    <xf numFmtId="4" fontId="4" fillId="5" borderId="1" xfId="20" applyNumberFormat="1" applyFont="1" applyFill="1" applyBorder="1" applyAlignment="1">
      <alignment vertical="center"/>
    </xf>
    <xf numFmtId="4" fontId="6" fillId="0" borderId="1" xfId="39" applyNumberFormat="1" applyFont="1" applyBorder="1" applyAlignment="1">
      <alignment vertical="center"/>
    </xf>
    <xf numFmtId="4" fontId="4" fillId="5" borderId="1" xfId="39" applyNumberFormat="1" applyFont="1" applyFill="1" applyBorder="1" applyAlignment="1">
      <alignment vertical="center"/>
    </xf>
    <xf numFmtId="4" fontId="5" fillId="5" borderId="1" xfId="39" applyNumberFormat="1" applyFont="1" applyFill="1" applyBorder="1" applyAlignment="1">
      <alignment vertical="center" wrapText="1"/>
    </xf>
    <xf numFmtId="4" fontId="4" fillId="5" borderId="1" xfId="39" applyNumberFormat="1" applyFont="1" applyFill="1" applyBorder="1" applyAlignment="1">
      <alignment vertical="center" wrapText="1"/>
    </xf>
    <xf numFmtId="4" fontId="5" fillId="5" borderId="1" xfId="22" applyNumberFormat="1" applyFont="1" applyFill="1" applyBorder="1" applyAlignment="1">
      <alignment vertical="center"/>
    </xf>
    <xf numFmtId="177" fontId="5" fillId="0" borderId="1" xfId="0" applyNumberFormat="1" applyFont="1" applyBorder="1" applyAlignment="1">
      <alignment vertical="center"/>
    </xf>
    <xf numFmtId="49" fontId="5" fillId="0" borderId="1" xfId="5" applyNumberFormat="1" applyFont="1" applyBorder="1" applyAlignment="1" applyProtection="1">
      <alignment vertical="center" wrapText="1"/>
      <protection locked="0"/>
    </xf>
    <xf numFmtId="4" fontId="5" fillId="0" borderId="1" xfId="7" applyNumberFormat="1" applyFont="1" applyBorder="1" applyAlignment="1">
      <alignment vertical="center"/>
    </xf>
    <xf numFmtId="4" fontId="20" fillId="0" borderId="1" xfId="5" applyNumberFormat="1" applyFont="1" applyBorder="1" applyAlignment="1">
      <alignment vertical="center"/>
    </xf>
    <xf numFmtId="4" fontId="5" fillId="11" borderId="1" xfId="0" applyNumberFormat="1" applyFont="1" applyFill="1" applyBorder="1" applyAlignment="1">
      <alignment vertical="center"/>
    </xf>
    <xf numFmtId="4" fontId="5" fillId="2" borderId="1" xfId="0" applyNumberFormat="1" applyFont="1" applyFill="1" applyBorder="1" applyAlignment="1">
      <alignment vertical="center"/>
    </xf>
    <xf numFmtId="4" fontId="4" fillId="0" borderId="1" xfId="17" applyNumberFormat="1" applyFont="1" applyBorder="1" applyAlignment="1">
      <alignment vertical="top"/>
    </xf>
    <xf numFmtId="4" fontId="4" fillId="0" borderId="1" xfId="17" applyNumberFormat="1" applyFont="1" applyBorder="1" applyAlignment="1">
      <alignment vertical="center"/>
    </xf>
    <xf numFmtId="4" fontId="5" fillId="0" borderId="0" xfId="17" applyNumberFormat="1" applyFont="1" applyAlignment="1">
      <alignment vertical="center"/>
    </xf>
    <xf numFmtId="4" fontId="14" fillId="0" borderId="1" xfId="41" applyNumberFormat="1" applyFont="1" applyBorder="1" applyAlignment="1">
      <alignment horizontal="left" vertical="top" wrapText="1"/>
    </xf>
    <xf numFmtId="0" fontId="6" fillId="0" borderId="0" xfId="38" applyFont="1" applyAlignment="1">
      <alignment vertical="top" wrapText="1"/>
    </xf>
    <xf numFmtId="0" fontId="15" fillId="0" borderId="1" xfId="38" applyFont="1" applyBorder="1" applyAlignment="1">
      <alignment vertical="top"/>
    </xf>
    <xf numFmtId="4" fontId="15" fillId="0" borderId="1" xfId="41" applyNumberFormat="1" applyFont="1" applyBorder="1" applyAlignment="1">
      <alignment horizontal="left" vertical="top" wrapText="1"/>
    </xf>
    <xf numFmtId="186" fontId="14" fillId="0" borderId="1" xfId="38" applyNumberFormat="1" applyFont="1" applyBorder="1" applyAlignment="1">
      <alignment horizontal="left" vertical="top"/>
    </xf>
    <xf numFmtId="0" fontId="15" fillId="0" borderId="1" xfId="38" applyFont="1" applyBorder="1" applyAlignment="1">
      <alignment vertical="center" wrapText="1"/>
    </xf>
    <xf numFmtId="0" fontId="15" fillId="0" borderId="1" xfId="38" applyFont="1" applyBorder="1" applyAlignment="1">
      <alignment horizontal="center" vertical="center" wrapText="1"/>
    </xf>
    <xf numFmtId="0" fontId="14" fillId="5" borderId="1" xfId="38" applyFont="1" applyFill="1" applyBorder="1" applyAlignment="1">
      <alignment horizontal="left" vertical="top" wrapText="1"/>
    </xf>
    <xf numFmtId="0" fontId="14" fillId="5" borderId="1" xfId="38" applyFont="1" applyFill="1" applyBorder="1" applyAlignment="1">
      <alignment vertical="top" wrapText="1"/>
    </xf>
    <xf numFmtId="0" fontId="14" fillId="5" borderId="1" xfId="38" applyFont="1" applyFill="1" applyBorder="1" applyAlignment="1">
      <alignment horizontal="center" vertical="top" wrapText="1"/>
    </xf>
    <xf numFmtId="4" fontId="14" fillId="5" borderId="1" xfId="38" applyNumberFormat="1" applyFont="1" applyFill="1" applyBorder="1" applyAlignment="1">
      <alignment horizontal="center" vertical="top" wrapText="1"/>
    </xf>
    <xf numFmtId="4" fontId="14" fillId="5" borderId="1" xfId="38" applyNumberFormat="1" applyFont="1" applyFill="1" applyBorder="1" applyAlignment="1">
      <alignment horizontal="center" wrapText="1"/>
    </xf>
    <xf numFmtId="4" fontId="14" fillId="5" borderId="1" xfId="38" applyNumberFormat="1" applyFont="1" applyFill="1" applyBorder="1" applyAlignment="1">
      <alignment vertical="center" wrapText="1"/>
    </xf>
    <xf numFmtId="0" fontId="14" fillId="0" borderId="1" xfId="38" applyFont="1" applyBorder="1" applyAlignment="1">
      <alignment horizontal="left" vertical="top" wrapText="1"/>
    </xf>
    <xf numFmtId="0" fontId="15" fillId="0" borderId="1" xfId="38" applyFont="1" applyBorder="1" applyAlignment="1">
      <alignment horizontal="center" vertical="top"/>
    </xf>
    <xf numFmtId="4" fontId="15" fillId="0" borderId="1" xfId="38" applyNumberFormat="1" applyFont="1" applyBorder="1" applyAlignment="1">
      <alignment horizontal="center" vertical="top" wrapText="1"/>
    </xf>
    <xf numFmtId="4" fontId="15" fillId="0" borderId="1" xfId="38" applyNumberFormat="1" applyFont="1" applyBorder="1" applyAlignment="1">
      <alignment horizontal="center" wrapText="1"/>
    </xf>
    <xf numFmtId="4" fontId="15" fillId="0" borderId="1" xfId="38" applyNumberFormat="1" applyFont="1" applyBorder="1" applyAlignment="1" applyProtection="1">
      <alignment horizontal="center" vertical="top" wrapText="1"/>
      <protection locked="0"/>
    </xf>
    <xf numFmtId="190" fontId="14" fillId="0" borderId="1" xfId="21" applyNumberFormat="1" applyFont="1" applyBorder="1" applyAlignment="1">
      <alignment horizontal="left" vertical="top"/>
    </xf>
    <xf numFmtId="4" fontId="14" fillId="0" borderId="1" xfId="38" applyNumberFormat="1" applyFont="1" applyBorder="1" applyAlignment="1">
      <alignment horizontal="left" vertical="top" wrapText="1"/>
    </xf>
    <xf numFmtId="4" fontId="15" fillId="0" borderId="1" xfId="38" applyNumberFormat="1" applyFont="1" applyBorder="1" applyAlignment="1">
      <alignment horizontal="center" vertical="top"/>
    </xf>
    <xf numFmtId="4" fontId="15" fillId="0" borderId="1" xfId="38" applyNumberFormat="1" applyFont="1" applyBorder="1" applyAlignment="1">
      <alignment horizontal="right"/>
    </xf>
    <xf numFmtId="4" fontId="4" fillId="0" borderId="1" xfId="38" applyNumberFormat="1" applyFont="1" applyBorder="1" applyAlignment="1">
      <alignment horizontal="left" vertical="top"/>
    </xf>
    <xf numFmtId="4" fontId="15" fillId="0" borderId="1" xfId="38" applyNumberFormat="1" applyFont="1" applyBorder="1" applyAlignment="1">
      <alignment horizontal="left" vertical="top" wrapText="1"/>
    </xf>
    <xf numFmtId="179" fontId="28" fillId="0" borderId="1" xfId="38" applyNumberFormat="1" applyFont="1" applyBorder="1" applyAlignment="1">
      <alignment horizontal="left" vertical="top"/>
    </xf>
    <xf numFmtId="0" fontId="23" fillId="0" borderId="1" xfId="38" applyFont="1" applyBorder="1" applyAlignment="1">
      <alignment horizontal="center" vertical="top"/>
    </xf>
    <xf numFmtId="4" fontId="23" fillId="0" borderId="1" xfId="38" applyNumberFormat="1" applyFont="1" applyBorder="1" applyAlignment="1">
      <alignment horizontal="center" vertical="top" wrapText="1"/>
    </xf>
    <xf numFmtId="4" fontId="23" fillId="0" borderId="1" xfId="38" applyNumberFormat="1" applyFont="1" applyBorder="1" applyAlignment="1">
      <alignment horizontal="center" wrapText="1"/>
    </xf>
    <xf numFmtId="4" fontId="23" fillId="0" borderId="1" xfId="38" applyNumberFormat="1" applyFont="1" applyBorder="1" applyAlignment="1">
      <alignment vertical="center"/>
    </xf>
    <xf numFmtId="4" fontId="23" fillId="0" borderId="1" xfId="38" applyNumberFormat="1" applyFont="1" applyBorder="1" applyAlignment="1" applyProtection="1">
      <alignment horizontal="center" vertical="top" wrapText="1"/>
      <protection locked="0"/>
    </xf>
    <xf numFmtId="4" fontId="5" fillId="0" borderId="1" xfId="38" applyNumberFormat="1" applyFont="1" applyBorder="1" applyAlignment="1">
      <alignment horizontal="left" vertical="top" wrapText="1"/>
    </xf>
    <xf numFmtId="4" fontId="5" fillId="0" borderId="1" xfId="38" applyNumberFormat="1" applyFont="1" applyBorder="1" applyAlignment="1">
      <alignment horizontal="center" vertical="top"/>
    </xf>
    <xf numFmtId="4" fontId="5" fillId="0" borderId="1" xfId="38" applyNumberFormat="1" applyFont="1" applyBorder="1" applyAlignment="1">
      <alignment horizontal="center" vertical="top" wrapText="1"/>
    </xf>
    <xf numFmtId="4" fontId="5" fillId="0" borderId="1" xfId="38" applyNumberFormat="1" applyFont="1" applyBorder="1" applyAlignment="1">
      <alignment horizontal="right"/>
    </xf>
    <xf numFmtId="4" fontId="6" fillId="0" borderId="1" xfId="38" applyNumberFormat="1" applyFont="1" applyBorder="1" applyAlignment="1" applyProtection="1">
      <alignment horizontal="center" vertical="top" wrapText="1"/>
      <protection locked="0"/>
    </xf>
    <xf numFmtId="4" fontId="5" fillId="0" borderId="0" xfId="38" applyNumberFormat="1" applyFont="1" applyAlignment="1">
      <alignment vertical="top"/>
    </xf>
    <xf numFmtId="4" fontId="28" fillId="0" borderId="1" xfId="38" applyNumberFormat="1" applyFont="1" applyBorder="1" applyAlignment="1" applyProtection="1">
      <alignment horizontal="center" vertical="top" wrapText="1"/>
      <protection locked="0"/>
    </xf>
    <xf numFmtId="4" fontId="15" fillId="0" borderId="0" xfId="38" applyNumberFormat="1" applyFont="1" applyAlignment="1">
      <alignment vertical="top"/>
    </xf>
    <xf numFmtId="4" fontId="28" fillId="0" borderId="1" xfId="38" applyNumberFormat="1" applyFont="1" applyBorder="1" applyAlignment="1" applyProtection="1">
      <alignment horizontal="left" vertical="top" wrapText="1"/>
      <protection locked="0"/>
    </xf>
    <xf numFmtId="0" fontId="33" fillId="0" borderId="1" xfId="21" applyFont="1" applyBorder="1" applyAlignment="1">
      <alignment vertical="top" wrapText="1"/>
    </xf>
    <xf numFmtId="0" fontId="15" fillId="0" borderId="0" xfId="38" applyFont="1" applyAlignment="1">
      <alignment vertical="top" wrapText="1"/>
    </xf>
    <xf numFmtId="4" fontId="5" fillId="0" borderId="1" xfId="38" applyNumberFormat="1" applyFont="1" applyBorder="1" applyAlignment="1">
      <alignment horizontal="right" vertical="center"/>
    </xf>
    <xf numFmtId="0" fontId="4" fillId="0" borderId="1" xfId="42" applyFont="1" applyBorder="1" applyAlignment="1">
      <alignment vertical="top" wrapText="1"/>
    </xf>
    <xf numFmtId="0" fontId="4" fillId="0" borderId="1" xfId="42" applyFont="1" applyBorder="1" applyAlignment="1">
      <alignment horizontal="left" vertical="top" wrapText="1"/>
    </xf>
    <xf numFmtId="0" fontId="5" fillId="0" borderId="1" xfId="42" applyFont="1" applyBorder="1" applyAlignment="1">
      <alignment horizontal="center" vertical="top" wrapText="1"/>
    </xf>
    <xf numFmtId="4" fontId="5" fillId="0" borderId="1" xfId="42" applyNumberFormat="1" applyFont="1" applyBorder="1" applyAlignment="1">
      <alignment horizontal="center" vertical="center" wrapText="1"/>
    </xf>
    <xf numFmtId="0" fontId="5" fillId="0" borderId="1" xfId="42" applyFont="1" applyBorder="1" applyAlignment="1">
      <alignment vertical="top" wrapText="1"/>
    </xf>
    <xf numFmtId="186" fontId="4" fillId="0" borderId="1" xfId="42" applyNumberFormat="1" applyFont="1" applyBorder="1" applyAlignment="1">
      <alignment horizontal="left" vertical="top"/>
    </xf>
    <xf numFmtId="0" fontId="15" fillId="0" borderId="2" xfId="38" applyFont="1" applyBorder="1" applyAlignment="1">
      <alignment vertical="top" wrapText="1"/>
    </xf>
    <xf numFmtId="4" fontId="5" fillId="0" borderId="2" xfId="42" applyNumberFormat="1" applyFont="1" applyBorder="1" applyAlignment="1">
      <alignment horizontal="right" vertical="center"/>
    </xf>
    <xf numFmtId="4" fontId="5" fillId="0" borderId="2" xfId="39" applyNumberFormat="1" applyFont="1" applyBorder="1" applyAlignment="1" applyProtection="1">
      <alignment vertical="top" wrapText="1"/>
      <protection locked="0"/>
    </xf>
    <xf numFmtId="167" fontId="5" fillId="5" borderId="2" xfId="39" applyNumberFormat="1" applyFont="1" applyFill="1" applyBorder="1" applyAlignment="1">
      <alignment horizontal="right" vertical="top" wrapText="1"/>
    </xf>
    <xf numFmtId="4" fontId="6" fillId="0" borderId="2" xfId="39" applyNumberFormat="1" applyFont="1" applyBorder="1" applyAlignment="1" applyProtection="1">
      <alignment vertical="top" wrapText="1"/>
      <protection locked="0"/>
    </xf>
    <xf numFmtId="4" fontId="6" fillId="0" borderId="1" xfId="0" applyNumberFormat="1" applyFont="1" applyBorder="1" applyAlignment="1">
      <alignment horizontal="center" vertical="center" wrapText="1"/>
    </xf>
    <xf numFmtId="0" fontId="5" fillId="0" borderId="2" xfId="20" applyFont="1" applyBorder="1" applyAlignment="1">
      <alignment vertical="top" wrapText="1"/>
    </xf>
    <xf numFmtId="4" fontId="6" fillId="0" borderId="2" xfId="39" applyNumberFormat="1" applyFont="1" applyBorder="1" applyAlignment="1">
      <alignment horizontal="right" vertical="center"/>
    </xf>
    <xf numFmtId="4" fontId="5" fillId="0" borderId="2" xfId="39" applyNumberFormat="1" applyFont="1" applyBorder="1" applyAlignment="1">
      <alignment horizontal="right" vertical="center"/>
    </xf>
    <xf numFmtId="168" fontId="14" fillId="0" borderId="1" xfId="0" applyNumberFormat="1" applyFont="1" applyBorder="1" applyAlignment="1">
      <alignment horizontal="left" vertical="top"/>
    </xf>
    <xf numFmtId="0" fontId="14" fillId="0" borderId="1" xfId="0" applyFont="1" applyBorder="1" applyAlignment="1">
      <alignment horizontal="right" vertical="center"/>
    </xf>
    <xf numFmtId="4" fontId="14" fillId="0" borderId="1" xfId="0" applyNumberFormat="1" applyFont="1" applyBorder="1" applyAlignment="1">
      <alignment vertical="center"/>
    </xf>
    <xf numFmtId="4" fontId="14" fillId="0" borderId="1" xfId="0" applyNumberFormat="1" applyFont="1" applyBorder="1" applyAlignment="1">
      <alignment horizontal="right" vertical="center"/>
    </xf>
    <xf numFmtId="0" fontId="10" fillId="0" borderId="1" xfId="42" applyFont="1" applyBorder="1" applyAlignment="1">
      <alignment vertical="top" wrapText="1"/>
    </xf>
    <xf numFmtId="4" fontId="6" fillId="0" borderId="1" xfId="0" applyNumberFormat="1" applyFont="1" applyBorder="1" applyAlignment="1">
      <alignment horizontal="right" vertical="center" wrapText="1"/>
    </xf>
    <xf numFmtId="191" fontId="14" fillId="0" borderId="1" xfId="3" applyNumberFormat="1" applyFont="1" applyBorder="1" applyAlignment="1">
      <alignment horizontal="left" vertical="top"/>
    </xf>
    <xf numFmtId="191" fontId="4" fillId="0" borderId="1" xfId="2" applyNumberFormat="1" applyFont="1" applyBorder="1" applyAlignment="1">
      <alignment horizontal="left" vertical="top"/>
    </xf>
    <xf numFmtId="192" fontId="4" fillId="0" borderId="1" xfId="2" applyNumberFormat="1" applyFont="1" applyBorder="1" applyAlignment="1">
      <alignment horizontal="left" vertical="top"/>
    </xf>
    <xf numFmtId="188" fontId="4" fillId="0" borderId="1" xfId="2" applyNumberFormat="1" applyFont="1" applyBorder="1" applyAlignment="1">
      <alignment horizontal="left" vertical="top"/>
    </xf>
    <xf numFmtId="189" fontId="4" fillId="0" borderId="1" xfId="2" applyNumberFormat="1" applyFont="1" applyBorder="1" applyAlignment="1">
      <alignment horizontal="left" vertical="top"/>
    </xf>
    <xf numFmtId="185" fontId="4" fillId="0" borderId="1" xfId="2" applyNumberFormat="1" applyFont="1" applyBorder="1" applyAlignment="1">
      <alignment horizontal="left" vertical="top"/>
    </xf>
    <xf numFmtId="4" fontId="15" fillId="0" borderId="1" xfId="38" applyNumberFormat="1" applyFont="1" applyBorder="1" applyAlignment="1">
      <alignment vertical="top" wrapText="1"/>
    </xf>
    <xf numFmtId="4" fontId="4" fillId="5" borderId="1" xfId="22" applyNumberFormat="1" applyFont="1" applyFill="1" applyBorder="1" applyAlignment="1">
      <alignment vertical="center"/>
    </xf>
    <xf numFmtId="49" fontId="15" fillId="0" borderId="1" xfId="0" applyNumberFormat="1" applyFont="1" applyBorder="1" applyAlignment="1">
      <alignment horizontal="left" vertical="top" wrapText="1"/>
    </xf>
    <xf numFmtId="0" fontId="10" fillId="0" borderId="0" xfId="34" applyFont="1"/>
    <xf numFmtId="190" fontId="4" fillId="0" borderId="1" xfId="2" applyNumberFormat="1" applyFont="1" applyBorder="1" applyAlignment="1">
      <alignment horizontal="left" vertical="top"/>
    </xf>
    <xf numFmtId="0" fontId="15" fillId="0" borderId="1" xfId="42" applyFont="1" applyBorder="1" applyAlignment="1">
      <alignment vertical="top" wrapText="1"/>
    </xf>
    <xf numFmtId="0" fontId="4" fillId="0" borderId="1" xfId="39" applyFont="1" applyBorder="1" applyAlignment="1">
      <alignment horizontal="center" vertical="top" wrapText="1"/>
    </xf>
    <xf numFmtId="167" fontId="5" fillId="0" borderId="0" xfId="39" applyNumberFormat="1" applyFont="1" applyAlignment="1">
      <alignment horizontal="right" vertical="top" wrapText="1"/>
    </xf>
    <xf numFmtId="166" fontId="22" fillId="0" borderId="1" xfId="39" applyNumberFormat="1" applyFont="1" applyBorder="1" applyAlignment="1">
      <alignment horizontal="left" vertical="top"/>
    </xf>
    <xf numFmtId="0" fontId="6" fillId="0" borderId="1" xfId="8" applyFont="1" applyBorder="1" applyAlignment="1">
      <alignment vertical="top" wrapText="1"/>
    </xf>
    <xf numFmtId="0" fontId="6" fillId="0" borderId="1" xfId="39" applyFont="1" applyBorder="1" applyAlignment="1">
      <alignment horizontal="center" vertical="top"/>
    </xf>
    <xf numFmtId="4" fontId="6" fillId="0" borderId="1" xfId="39" applyNumberFormat="1" applyFont="1" applyBorder="1" applyAlignment="1">
      <alignment horizontal="center" vertical="center"/>
    </xf>
    <xf numFmtId="4" fontId="6" fillId="0" borderId="0" xfId="39" applyNumberFormat="1" applyFont="1" applyAlignment="1" applyProtection="1">
      <alignment horizontal="right" vertical="top" wrapText="1"/>
      <protection locked="0"/>
    </xf>
    <xf numFmtId="0" fontId="23" fillId="0" borderId="2" xfId="25" applyFont="1" applyBorder="1" applyAlignment="1">
      <alignment horizontal="right" wrapText="1"/>
    </xf>
    <xf numFmtId="4" fontId="6" fillId="0" borderId="2" xfId="39" applyNumberFormat="1" applyFont="1" applyBorder="1" applyAlignment="1" applyProtection="1">
      <alignment horizontal="right" vertical="top" wrapText="1"/>
      <protection locked="0"/>
    </xf>
    <xf numFmtId="4" fontId="5" fillId="0" borderId="2" xfId="39" applyNumberFormat="1" applyFont="1" applyBorder="1" applyAlignment="1" applyProtection="1">
      <alignment horizontal="right" vertical="top" wrapText="1"/>
      <protection locked="0"/>
    </xf>
    <xf numFmtId="2" fontId="23" fillId="0" borderId="0" xfId="39" applyNumberFormat="1" applyFont="1" applyAlignment="1">
      <alignment vertical="top" wrapText="1"/>
    </xf>
    <xf numFmtId="4" fontId="5" fillId="0" borderId="2" xfId="19" applyNumberFormat="1" applyFont="1" applyBorder="1" applyAlignment="1" applyProtection="1">
      <alignment horizontal="right" vertical="top" wrapText="1"/>
      <protection locked="0"/>
    </xf>
    <xf numFmtId="167" fontId="4" fillId="4" borderId="2" xfId="0" applyNumberFormat="1" applyFont="1" applyFill="1" applyBorder="1" applyAlignment="1">
      <alignment horizontal="center" vertical="top" wrapText="1"/>
    </xf>
    <xf numFmtId="4" fontId="5" fillId="0" borderId="2" xfId="17" applyNumberFormat="1" applyFont="1" applyBorder="1" applyAlignment="1" applyProtection="1">
      <alignment horizontal="right" vertical="top" wrapText="1"/>
      <protection locked="0"/>
    </xf>
    <xf numFmtId="167" fontId="5" fillId="13" borderId="2" xfId="17" applyNumberFormat="1" applyFont="1" applyFill="1" applyBorder="1" applyAlignment="1">
      <alignment horizontal="right" vertical="top" wrapText="1"/>
    </xf>
    <xf numFmtId="4" fontId="6" fillId="0" borderId="2" xfId="17" applyNumberFormat="1" applyFont="1" applyBorder="1" applyAlignment="1" applyProtection="1">
      <alignment horizontal="right" vertical="top" wrapText="1"/>
      <protection locked="0"/>
    </xf>
    <xf numFmtId="4" fontId="15" fillId="0" borderId="2" xfId="17" applyNumberFormat="1" applyFont="1" applyBorder="1" applyAlignment="1" applyProtection="1">
      <alignment horizontal="right" vertical="top" wrapText="1"/>
      <protection locked="0"/>
    </xf>
    <xf numFmtId="4" fontId="6" fillId="0" borderId="2" xfId="38" applyNumberFormat="1" applyFont="1" applyBorder="1" applyAlignment="1" applyProtection="1">
      <alignment horizontal="right" vertical="top" wrapText="1"/>
      <protection locked="0"/>
    </xf>
    <xf numFmtId="4" fontId="15" fillId="0" borderId="2" xfId="38" applyNumberFormat="1" applyFont="1" applyBorder="1" applyAlignment="1" applyProtection="1">
      <alignment horizontal="right" vertical="top" wrapText="1"/>
      <protection locked="0"/>
    </xf>
    <xf numFmtId="4" fontId="6" fillId="0" borderId="2" xfId="22" applyNumberFormat="1" applyFont="1" applyBorder="1" applyAlignment="1" applyProtection="1">
      <alignment horizontal="right" vertical="top" wrapText="1"/>
      <protection locked="0"/>
    </xf>
    <xf numFmtId="4" fontId="5" fillId="0" borderId="2" xfId="22" applyNumberFormat="1" applyFont="1" applyBorder="1" applyAlignment="1" applyProtection="1">
      <alignment horizontal="right" vertical="top" wrapText="1"/>
      <protection locked="0"/>
    </xf>
    <xf numFmtId="167" fontId="5" fillId="5" borderId="2" xfId="17" applyNumberFormat="1" applyFont="1" applyFill="1" applyBorder="1" applyAlignment="1">
      <alignment horizontal="right" vertical="top" wrapText="1"/>
    </xf>
    <xf numFmtId="0" fontId="6" fillId="0" borderId="2" xfId="20" applyFont="1" applyBorder="1" applyAlignment="1">
      <alignment vertical="top" wrapText="1"/>
    </xf>
    <xf numFmtId="4" fontId="5" fillId="0" borderId="2" xfId="20" applyNumberFormat="1" applyFont="1" applyBorder="1" applyAlignment="1">
      <alignment horizontal="center" vertical="center" wrapText="1"/>
    </xf>
    <xf numFmtId="4" fontId="5" fillId="0" borderId="2" xfId="39" applyNumberFormat="1" applyFont="1" applyBorder="1" applyAlignment="1">
      <alignment horizontal="center" vertical="center" wrapText="1"/>
    </xf>
    <xf numFmtId="0" fontId="5" fillId="0" borderId="2" xfId="39" applyFont="1" applyBorder="1" applyAlignment="1">
      <alignment vertical="top" wrapText="1"/>
    </xf>
    <xf numFmtId="4" fontId="15" fillId="0" borderId="2" xfId="38" applyNumberFormat="1" applyFont="1" applyBorder="1" applyAlignment="1" applyProtection="1">
      <alignment vertical="top" wrapText="1"/>
      <protection locked="0"/>
    </xf>
    <xf numFmtId="0" fontId="22" fillId="5" borderId="2" xfId="39" applyFont="1" applyFill="1" applyBorder="1" applyAlignment="1">
      <alignment horizontal="left" vertical="top" wrapText="1"/>
    </xf>
    <xf numFmtId="4" fontId="23" fillId="0" borderId="2" xfId="39" applyNumberFormat="1" applyFont="1" applyBorder="1" applyAlignment="1" applyProtection="1">
      <alignment horizontal="right" vertical="top" wrapText="1"/>
      <protection locked="0"/>
    </xf>
    <xf numFmtId="0" fontId="4" fillId="5" borderId="2" xfId="39" applyFont="1" applyFill="1" applyBorder="1" applyAlignment="1">
      <alignment horizontal="left" vertical="top" wrapText="1"/>
    </xf>
    <xf numFmtId="167" fontId="5" fillId="5" borderId="2" xfId="22" applyNumberFormat="1" applyFont="1" applyFill="1" applyBorder="1" applyAlignment="1">
      <alignment horizontal="right" vertical="top" wrapText="1"/>
    </xf>
    <xf numFmtId="0" fontId="18" fillId="0" borderId="2" xfId="0" applyFont="1" applyBorder="1"/>
    <xf numFmtId="49" fontId="5" fillId="0" borderId="2" xfId="5" applyNumberFormat="1" applyFont="1" applyBorder="1" applyAlignment="1">
      <alignment horizontal="right" vertical="top"/>
    </xf>
    <xf numFmtId="4" fontId="5" fillId="0" borderId="2" xfId="0" applyNumberFormat="1" applyFont="1" applyBorder="1" applyAlignment="1">
      <alignment horizontal="right" vertical="center"/>
    </xf>
    <xf numFmtId="0" fontId="5" fillId="0" borderId="2" xfId="0" applyFont="1" applyBorder="1" applyAlignment="1">
      <alignment wrapText="1"/>
    </xf>
    <xf numFmtId="4" fontId="5" fillId="0" borderId="2" xfId="7" applyNumberFormat="1" applyFont="1" applyBorder="1" applyAlignment="1" applyProtection="1">
      <alignment horizontal="center" vertical="top" wrapText="1"/>
      <protection locked="0"/>
    </xf>
    <xf numFmtId="4" fontId="20" fillId="0" borderId="2" xfId="5" applyNumberFormat="1" applyFont="1" applyBorder="1" applyAlignment="1" applyProtection="1">
      <alignment horizontal="right" vertical="top" wrapText="1"/>
      <protection locked="0"/>
    </xf>
    <xf numFmtId="4" fontId="5" fillId="11" borderId="2" xfId="0" applyNumberFormat="1" applyFont="1" applyFill="1" applyBorder="1" applyAlignment="1">
      <alignment horizontal="right" vertical="center"/>
    </xf>
    <xf numFmtId="4" fontId="5" fillId="2" borderId="2" xfId="0" applyNumberFormat="1" applyFont="1" applyFill="1" applyBorder="1" applyAlignment="1">
      <alignment horizontal="right" vertical="center"/>
    </xf>
    <xf numFmtId="0" fontId="4" fillId="0" borderId="2" xfId="17" applyFont="1" applyBorder="1" applyAlignment="1">
      <alignment horizontal="left" vertical="top"/>
    </xf>
    <xf numFmtId="4" fontId="4" fillId="0" borderId="2" xfId="17" applyNumberFormat="1" applyFont="1" applyBorder="1" applyAlignment="1" applyProtection="1">
      <alignment horizontal="right" vertical="top" wrapText="1"/>
      <protection locked="0"/>
    </xf>
    <xf numFmtId="4" fontId="4" fillId="5" borderId="2" xfId="17" applyNumberFormat="1" applyFont="1" applyFill="1" applyBorder="1" applyAlignment="1" applyProtection="1">
      <alignment horizontal="right" vertical="top" wrapText="1"/>
      <protection locked="0"/>
    </xf>
    <xf numFmtId="2" fontId="5" fillId="0" borderId="0" xfId="17" applyNumberFormat="1" applyFont="1" applyAlignment="1">
      <alignment vertical="top" wrapText="1"/>
    </xf>
    <xf numFmtId="2" fontId="5" fillId="0" borderId="0" xfId="17" applyNumberFormat="1" applyFont="1" applyAlignment="1">
      <alignment horizontal="center" vertical="center" wrapText="1"/>
    </xf>
    <xf numFmtId="2" fontId="23" fillId="0" borderId="0" xfId="17" applyNumberFormat="1" applyFont="1" applyAlignment="1">
      <alignment vertical="top" wrapText="1"/>
    </xf>
    <xf numFmtId="4" fontId="23" fillId="0" borderId="0" xfId="17" applyNumberFormat="1" applyFont="1" applyAlignment="1">
      <alignment vertical="top"/>
    </xf>
    <xf numFmtId="4" fontId="15" fillId="0" borderId="0" xfId="40" applyNumberFormat="1" applyFont="1" applyAlignment="1" applyProtection="1">
      <alignment horizontal="center" vertical="center"/>
      <protection locked="0"/>
    </xf>
    <xf numFmtId="4" fontId="5" fillId="0" borderId="0" xfId="38" applyNumberFormat="1" applyFont="1" applyAlignment="1" applyProtection="1">
      <alignment horizontal="right" vertical="top" wrapText="1"/>
      <protection locked="0"/>
    </xf>
    <xf numFmtId="4" fontId="6" fillId="0" borderId="0" xfId="39" applyNumberFormat="1" applyFont="1" applyAlignment="1" applyProtection="1">
      <alignment vertical="top" wrapText="1"/>
      <protection locked="0"/>
    </xf>
    <xf numFmtId="4" fontId="5" fillId="0" borderId="0" xfId="39" applyNumberFormat="1" applyFont="1" applyAlignment="1" applyProtection="1">
      <alignment vertical="top" wrapText="1"/>
      <protection locked="0"/>
    </xf>
    <xf numFmtId="0" fontId="5" fillId="0" borderId="0" xfId="42" applyFont="1" applyAlignment="1">
      <alignment vertical="top" wrapText="1"/>
    </xf>
    <xf numFmtId="0" fontId="5" fillId="0" borderId="0" xfId="7" applyFont="1" applyAlignment="1">
      <alignment vertical="top" wrapText="1"/>
    </xf>
    <xf numFmtId="0" fontId="5" fillId="0" borderId="0" xfId="38" applyFont="1" applyAlignment="1">
      <alignment vertical="top" wrapText="1"/>
    </xf>
    <xf numFmtId="2" fontId="18" fillId="0" borderId="0" xfId="0" applyNumberFormat="1" applyFont="1"/>
    <xf numFmtId="2" fontId="4" fillId="0" borderId="0" xfId="17" applyNumberFormat="1" applyFont="1" applyAlignment="1">
      <alignment horizontal="left" vertical="top"/>
    </xf>
    <xf numFmtId="0" fontId="22" fillId="0" borderId="1" xfId="8" applyFont="1" applyBorder="1" applyAlignment="1">
      <alignment vertical="top" wrapText="1"/>
    </xf>
    <xf numFmtId="2" fontId="6" fillId="0" borderId="0" xfId="39" applyNumberFormat="1" applyFont="1" applyAlignment="1">
      <alignment vertical="top" wrapText="1"/>
    </xf>
    <xf numFmtId="0" fontId="6" fillId="0" borderId="0" xfId="39" applyFont="1" applyAlignment="1">
      <alignment vertical="top"/>
    </xf>
    <xf numFmtId="0" fontId="6" fillId="0" borderId="1" xfId="28" applyFont="1" applyBorder="1" applyAlignment="1">
      <alignment horizontal="left" vertical="top" wrapText="1"/>
    </xf>
    <xf numFmtId="184" fontId="22" fillId="0" borderId="1" xfId="39" applyNumberFormat="1" applyFont="1" applyBorder="1" applyAlignment="1">
      <alignment horizontal="left" vertical="top"/>
    </xf>
    <xf numFmtId="189" fontId="22" fillId="0" borderId="1" xfId="2" applyNumberFormat="1" applyFont="1" applyBorder="1" applyAlignment="1">
      <alignment horizontal="left" vertical="top"/>
    </xf>
    <xf numFmtId="4" fontId="22" fillId="0" borderId="1" xfId="27" applyNumberFormat="1" applyFont="1" applyBorder="1" applyAlignment="1">
      <alignment vertical="top" wrapText="1"/>
    </xf>
    <xf numFmtId="4" fontId="23" fillId="0" borderId="0" xfId="0" applyNumberFormat="1" applyFont="1" applyAlignment="1">
      <alignment horizontal="center" vertical="center"/>
    </xf>
    <xf numFmtId="4" fontId="23" fillId="0" borderId="0" xfId="0" applyNumberFormat="1" applyFont="1" applyAlignment="1">
      <alignment vertical="center"/>
    </xf>
    <xf numFmtId="4" fontId="6" fillId="0" borderId="1" xfId="0" applyNumberFormat="1" applyFont="1" applyBorder="1" applyAlignment="1">
      <alignment horizontal="center" vertical="center"/>
    </xf>
    <xf numFmtId="4" fontId="6" fillId="0" borderId="1" xfId="5" applyNumberFormat="1" applyFont="1" applyBorder="1" applyAlignment="1">
      <alignment vertical="center"/>
    </xf>
    <xf numFmtId="0" fontId="6" fillId="0" borderId="1" xfId="0" applyFont="1" applyBorder="1" applyAlignment="1">
      <alignment horizontal="right" wrapText="1"/>
    </xf>
    <xf numFmtId="4" fontId="6" fillId="0" borderId="1" xfId="0" applyNumberFormat="1" applyFont="1" applyBorder="1" applyAlignment="1">
      <alignment horizontal="left" vertical="top" wrapText="1"/>
    </xf>
    <xf numFmtId="0" fontId="6" fillId="0" borderId="1" xfId="0" applyFont="1" applyBorder="1" applyAlignment="1">
      <alignment horizontal="center" vertical="center" wrapText="1"/>
    </xf>
    <xf numFmtId="4" fontId="22" fillId="0" borderId="1" xfId="0" applyNumberFormat="1" applyFont="1" applyBorder="1" applyAlignment="1">
      <alignment vertical="top"/>
    </xf>
    <xf numFmtId="4" fontId="22" fillId="0" borderId="1" xfId="0" applyNumberFormat="1" applyFont="1" applyBorder="1" applyAlignment="1">
      <alignment horizontal="center" vertical="center" wrapText="1"/>
    </xf>
    <xf numFmtId="177" fontId="6" fillId="0" borderId="1" xfId="0" applyNumberFormat="1" applyFont="1" applyBorder="1" applyAlignment="1">
      <alignment vertical="center"/>
    </xf>
    <xf numFmtId="0" fontId="34" fillId="0" borderId="2" xfId="0" applyFont="1" applyBorder="1"/>
    <xf numFmtId="0" fontId="34" fillId="0" borderId="1" xfId="0" applyFont="1" applyBorder="1"/>
    <xf numFmtId="191" fontId="35" fillId="0" borderId="1" xfId="2" applyNumberFormat="1" applyFont="1" applyBorder="1" applyAlignment="1">
      <alignment horizontal="left" vertical="top"/>
    </xf>
    <xf numFmtId="4" fontId="35" fillId="0" borderId="1" xfId="0" applyNumberFormat="1" applyFont="1" applyBorder="1" applyAlignment="1">
      <alignment vertical="top"/>
    </xf>
    <xf numFmtId="4" fontId="35" fillId="0" borderId="1" xfId="0" applyNumberFormat="1" applyFont="1" applyBorder="1" applyAlignment="1">
      <alignment horizontal="center" vertical="center" wrapText="1"/>
    </xf>
    <xf numFmtId="4" fontId="32" fillId="0" borderId="1" xfId="0" applyNumberFormat="1" applyFont="1" applyBorder="1" applyAlignment="1">
      <alignment horizontal="center" vertical="center"/>
    </xf>
    <xf numFmtId="177" fontId="32" fillId="0" borderId="1" xfId="0" applyNumberFormat="1" applyFont="1" applyBorder="1" applyAlignment="1">
      <alignment vertical="center"/>
    </xf>
    <xf numFmtId="0" fontId="36" fillId="0" borderId="2" xfId="0" applyFont="1" applyBorder="1"/>
    <xf numFmtId="176" fontId="35" fillId="0" borderId="1" xfId="0" applyNumberFormat="1" applyFont="1" applyBorder="1" applyAlignment="1">
      <alignment horizontal="left" vertical="top"/>
    </xf>
    <xf numFmtId="0" fontId="32" fillId="0" borderId="1" xfId="0" applyFont="1" applyBorder="1" applyAlignment="1">
      <alignment vertical="top" wrapText="1"/>
    </xf>
    <xf numFmtId="0" fontId="32" fillId="0" borderId="1" xfId="0" applyFont="1" applyBorder="1" applyAlignment="1">
      <alignment horizontal="center" vertical="center" wrapText="1"/>
    </xf>
    <xf numFmtId="4" fontId="32" fillId="0" borderId="1" xfId="0" applyNumberFormat="1" applyFont="1" applyBorder="1" applyAlignment="1">
      <alignment horizontal="center" vertical="center" wrapText="1"/>
    </xf>
    <xf numFmtId="187" fontId="35" fillId="0" borderId="1" xfId="39" applyNumberFormat="1" applyFont="1" applyBorder="1" applyAlignment="1">
      <alignment horizontal="left" vertical="top"/>
    </xf>
    <xf numFmtId="0" fontId="32" fillId="0" borderId="1" xfId="39" applyFont="1" applyBorder="1" applyAlignment="1">
      <alignment vertical="top" wrapText="1"/>
    </xf>
    <xf numFmtId="0" fontId="32" fillId="0" borderId="1" xfId="39" applyFont="1" applyBorder="1" applyAlignment="1">
      <alignment horizontal="center" vertical="top" wrapText="1"/>
    </xf>
    <xf numFmtId="4" fontId="32" fillId="0" borderId="1" xfId="39" applyNumberFormat="1" applyFont="1" applyBorder="1" applyAlignment="1">
      <alignment horizontal="center" vertical="center" wrapText="1"/>
    </xf>
    <xf numFmtId="4" fontId="32" fillId="0" borderId="1" xfId="39" applyNumberFormat="1" applyFont="1" applyBorder="1" applyAlignment="1">
      <alignment vertical="center"/>
    </xf>
    <xf numFmtId="4" fontId="32" fillId="0" borderId="2" xfId="39" applyNumberFormat="1" applyFont="1" applyBorder="1" applyAlignment="1" applyProtection="1">
      <alignment vertical="top" wrapText="1"/>
      <protection locked="0"/>
    </xf>
    <xf numFmtId="0" fontId="36" fillId="0" borderId="1" xfId="0" applyFont="1" applyBorder="1"/>
    <xf numFmtId="4" fontId="32" fillId="0" borderId="1" xfId="0" applyNumberFormat="1" applyFont="1" applyBorder="1" applyAlignment="1">
      <alignment horizontal="left" vertical="top" wrapText="1"/>
    </xf>
    <xf numFmtId="4" fontId="32" fillId="0" borderId="1" xfId="5" applyNumberFormat="1" applyFont="1" applyBorder="1" applyAlignment="1">
      <alignment vertical="center"/>
    </xf>
    <xf numFmtId="0" fontId="32" fillId="0" borderId="1" xfId="34" applyFont="1" applyBorder="1" applyAlignment="1">
      <alignment horizontal="left" vertical="top" wrapText="1" readingOrder="1"/>
    </xf>
    <xf numFmtId="0" fontId="32" fillId="0" borderId="1" xfId="34" applyFont="1" applyBorder="1" applyAlignment="1">
      <alignment horizontal="right" vertical="top" wrapText="1" readingOrder="1"/>
    </xf>
    <xf numFmtId="4" fontId="32" fillId="0" borderId="1" xfId="34" applyNumberFormat="1" applyFont="1" applyBorder="1" applyAlignment="1">
      <alignment horizontal="right" vertical="top" wrapText="1"/>
    </xf>
    <xf numFmtId="4" fontId="32" fillId="0" borderId="1" xfId="34" applyNumberFormat="1" applyFont="1" applyBorder="1" applyAlignment="1">
      <alignment horizontal="right" vertical="top" wrapText="1" readingOrder="1"/>
    </xf>
    <xf numFmtId="0" fontId="32" fillId="0" borderId="2" xfId="34" applyFont="1" applyBorder="1"/>
    <xf numFmtId="188" fontId="22" fillId="0" borderId="1" xfId="2" applyNumberFormat="1" applyFont="1" applyBorder="1" applyAlignment="1">
      <alignment horizontal="left" vertical="top"/>
    </xf>
    <xf numFmtId="0" fontId="22" fillId="0" borderId="1" xfId="20" applyFont="1" applyBorder="1" applyAlignment="1">
      <alignment vertical="top" wrapText="1"/>
    </xf>
    <xf numFmtId="0" fontId="6" fillId="0" borderId="1" xfId="39" applyFont="1" applyBorder="1" applyAlignment="1">
      <alignment vertical="top"/>
    </xf>
    <xf numFmtId="186" fontId="22" fillId="0" borderId="1" xfId="20" applyNumberFormat="1" applyFont="1" applyBorder="1" applyAlignment="1">
      <alignment horizontal="left" vertical="top"/>
    </xf>
    <xf numFmtId="188" fontId="35" fillId="0" borderId="1" xfId="2" applyNumberFormat="1" applyFont="1" applyBorder="1" applyAlignment="1">
      <alignment horizontal="left" vertical="top"/>
    </xf>
    <xf numFmtId="0" fontId="35" fillId="0" borderId="1" xfId="20" applyFont="1" applyBorder="1" applyAlignment="1">
      <alignment vertical="top" wrapText="1"/>
    </xf>
    <xf numFmtId="0" fontId="32" fillId="0" borderId="1" xfId="20" applyFont="1" applyBorder="1" applyAlignment="1">
      <alignment horizontal="center" vertical="top" wrapText="1"/>
    </xf>
    <xf numFmtId="4" fontId="32" fillId="0" borderId="1" xfId="20" applyNumberFormat="1" applyFont="1" applyBorder="1" applyAlignment="1">
      <alignment horizontal="center" vertical="center" wrapText="1"/>
    </xf>
    <xf numFmtId="4" fontId="32" fillId="0" borderId="1" xfId="20" applyNumberFormat="1" applyFont="1" applyBorder="1" applyAlignment="1">
      <alignment vertical="center"/>
    </xf>
    <xf numFmtId="0" fontId="32" fillId="0" borderId="2" xfId="20" applyFont="1" applyBorder="1" applyAlignment="1">
      <alignment vertical="top" wrapText="1"/>
    </xf>
    <xf numFmtId="0" fontId="32" fillId="0" borderId="1" xfId="39" applyFont="1" applyBorder="1" applyAlignment="1">
      <alignment vertical="top"/>
    </xf>
    <xf numFmtId="186" fontId="35" fillId="0" borderId="1" xfId="20" applyNumberFormat="1" applyFont="1" applyBorder="1" applyAlignment="1">
      <alignment horizontal="left" vertical="top"/>
    </xf>
    <xf numFmtId="0" fontId="32" fillId="0" borderId="1" xfId="20" applyFont="1" applyBorder="1" applyAlignment="1">
      <alignment vertical="top" wrapText="1"/>
    </xf>
    <xf numFmtId="0" fontId="6" fillId="0" borderId="1" xfId="40" applyFont="1" applyBorder="1" applyAlignment="1">
      <alignment vertical="top" wrapText="1"/>
    </xf>
    <xf numFmtId="192" fontId="22" fillId="0" borderId="1" xfId="2" applyNumberFormat="1" applyFont="1" applyBorder="1" applyAlignment="1">
      <alignment horizontal="left" vertical="top"/>
    </xf>
    <xf numFmtId="4" fontId="6" fillId="0" borderId="2" xfId="0" applyNumberFormat="1" applyFont="1" applyBorder="1" applyAlignment="1">
      <alignment horizontal="right" vertical="center"/>
    </xf>
    <xf numFmtId="0" fontId="6" fillId="0" borderId="2" xfId="0" applyFont="1" applyBorder="1" applyAlignment="1">
      <alignment wrapText="1"/>
    </xf>
    <xf numFmtId="175" fontId="22" fillId="0" borderId="1" xfId="2" applyNumberFormat="1" applyFont="1" applyBorder="1" applyAlignment="1">
      <alignment horizontal="left" vertical="top"/>
    </xf>
    <xf numFmtId="174" fontId="22" fillId="0" borderId="1" xfId="0" applyNumberFormat="1" applyFont="1" applyBorder="1" applyAlignment="1">
      <alignment horizontal="left" vertical="top"/>
    </xf>
    <xf numFmtId="12" fontId="6" fillId="0" borderId="1" xfId="0" applyNumberFormat="1" applyFont="1" applyBorder="1" applyAlignment="1">
      <alignment vertical="top" wrapText="1"/>
    </xf>
    <xf numFmtId="4" fontId="6" fillId="0" borderId="1" xfId="0" applyNumberFormat="1" applyFont="1" applyBorder="1" applyAlignment="1">
      <alignment vertical="top" wrapText="1"/>
    </xf>
    <xf numFmtId="0" fontId="6" fillId="0" borderId="1" xfId="0" applyFont="1" applyBorder="1" applyAlignment="1">
      <alignment horizontal="left"/>
    </xf>
    <xf numFmtId="4" fontId="22" fillId="0" borderId="1" xfId="0" applyNumberFormat="1" applyFont="1" applyBorder="1" applyAlignment="1">
      <alignment vertical="top" wrapText="1"/>
    </xf>
    <xf numFmtId="0" fontId="22" fillId="0" borderId="1" xfId="10" applyFont="1" applyBorder="1" applyAlignment="1">
      <alignment vertical="top"/>
    </xf>
    <xf numFmtId="0" fontId="6" fillId="0" borderId="1" xfId="23" applyFont="1" applyBorder="1" applyAlignment="1">
      <alignment vertical="top" wrapText="1"/>
    </xf>
    <xf numFmtId="4" fontId="15" fillId="0" borderId="1" xfId="5" applyNumberFormat="1" applyFont="1" applyBorder="1" applyAlignment="1">
      <alignment vertical="center"/>
    </xf>
    <xf numFmtId="12" fontId="23" fillId="0" borderId="1" xfId="0" applyNumberFormat="1" applyFont="1" applyBorder="1" applyAlignment="1">
      <alignment vertical="top" wrapText="1"/>
    </xf>
    <xf numFmtId="189" fontId="35" fillId="0" borderId="1" xfId="40" applyNumberFormat="1" applyFont="1" applyBorder="1" applyAlignment="1">
      <alignment horizontal="left" vertical="top"/>
    </xf>
    <xf numFmtId="0" fontId="35" fillId="0" borderId="1" xfId="8" applyFont="1" applyBorder="1" applyAlignment="1">
      <alignment vertical="top" wrapText="1"/>
    </xf>
    <xf numFmtId="0" fontId="32" fillId="0" borderId="1" xfId="39" applyFont="1" applyBorder="1" applyAlignment="1">
      <alignment horizontal="center" vertical="top"/>
    </xf>
    <xf numFmtId="4" fontId="32" fillId="0" borderId="2" xfId="39" applyNumberFormat="1" applyFont="1" applyBorder="1" applyAlignment="1" applyProtection="1">
      <alignment horizontal="right" vertical="top" wrapText="1"/>
      <protection locked="0"/>
    </xf>
    <xf numFmtId="166" fontId="35" fillId="0" borderId="1" xfId="39" applyNumberFormat="1" applyFont="1" applyBorder="1" applyAlignment="1">
      <alignment horizontal="left" vertical="top"/>
    </xf>
    <xf numFmtId="0" fontId="32" fillId="0" borderId="1" xfId="28" applyFont="1" applyBorder="1" applyAlignment="1">
      <alignment horizontal="left" vertical="top" wrapText="1"/>
    </xf>
    <xf numFmtId="184" fontId="35" fillId="0" borderId="1" xfId="39" applyNumberFormat="1" applyFont="1" applyBorder="1" applyAlignment="1">
      <alignment horizontal="left" vertical="top"/>
    </xf>
    <xf numFmtId="0" fontId="32" fillId="0" borderId="1" xfId="8" applyFont="1" applyBorder="1" applyAlignment="1">
      <alignment vertical="top" wrapText="1"/>
    </xf>
    <xf numFmtId="4" fontId="32" fillId="0" borderId="1" xfId="39" applyNumberFormat="1" applyFont="1" applyBorder="1" applyAlignment="1">
      <alignment horizontal="center" vertical="center"/>
    </xf>
    <xf numFmtId="0" fontId="37" fillId="0" borderId="4" xfId="0" applyFont="1" applyBorder="1" applyAlignment="1">
      <alignment horizontal="center" vertical="top"/>
    </xf>
    <xf numFmtId="0" fontId="37" fillId="0" borderId="4" xfId="0" applyFont="1" applyBorder="1" applyAlignment="1">
      <alignment horizontal="center"/>
    </xf>
    <xf numFmtId="4" fontId="37" fillId="0" borderId="4" xfId="0" applyNumberFormat="1" applyFont="1" applyBorder="1" applyAlignment="1">
      <alignment horizontal="center"/>
    </xf>
    <xf numFmtId="193" fontId="37" fillId="0" borderId="4" xfId="0" applyNumberFormat="1" applyFont="1" applyBorder="1" applyAlignment="1">
      <alignment horizontal="center"/>
    </xf>
    <xf numFmtId="194" fontId="37" fillId="0" borderId="4" xfId="0" applyNumberFormat="1" applyFont="1" applyBorder="1" applyAlignment="1">
      <alignment horizontal="center"/>
    </xf>
    <xf numFmtId="0" fontId="37" fillId="0" borderId="4" xfId="0" applyFont="1" applyBorder="1" applyAlignment="1">
      <alignment horizontal="left" vertical="top" wrapText="1"/>
    </xf>
    <xf numFmtId="0" fontId="38" fillId="0" borderId="0" xfId="0" applyFont="1" applyAlignment="1">
      <alignment horizontal="right" vertical="top"/>
    </xf>
    <xf numFmtId="0" fontId="38" fillId="0" borderId="0" xfId="0" applyFont="1" applyAlignment="1">
      <alignment vertical="top" wrapText="1"/>
    </xf>
    <xf numFmtId="0" fontId="38" fillId="0" borderId="0" xfId="0" applyFont="1" applyAlignment="1">
      <alignment horizontal="center"/>
    </xf>
    <xf numFmtId="4" fontId="38" fillId="0" borderId="0" xfId="0" applyNumberFormat="1" applyFont="1" applyAlignment="1">
      <alignment horizontal="right"/>
    </xf>
    <xf numFmtId="193" fontId="38" fillId="0" borderId="0" xfId="0" applyNumberFormat="1" applyFont="1" applyAlignment="1">
      <alignment horizontal="right"/>
    </xf>
    <xf numFmtId="194" fontId="38" fillId="0" borderId="0" xfId="0" applyNumberFormat="1" applyFont="1" applyAlignment="1">
      <alignment horizontal="right"/>
    </xf>
    <xf numFmtId="0" fontId="39" fillId="0" borderId="0" xfId="0" applyFont="1" applyAlignment="1">
      <alignment wrapText="1"/>
    </xf>
    <xf numFmtId="0" fontId="39" fillId="0" borderId="0" xfId="0" applyFont="1"/>
    <xf numFmtId="0" fontId="38" fillId="0" borderId="3" xfId="0" applyFont="1" applyBorder="1" applyAlignment="1">
      <alignment vertical="top"/>
    </xf>
    <xf numFmtId="0" fontId="38" fillId="0" borderId="3" xfId="0" applyFont="1" applyBorder="1" applyAlignment="1">
      <alignment vertical="top" wrapText="1"/>
    </xf>
    <xf numFmtId="0" fontId="38" fillId="0" borderId="3" xfId="0" applyFont="1" applyBorder="1" applyAlignment="1">
      <alignment horizontal="center"/>
    </xf>
    <xf numFmtId="4" fontId="38" fillId="0" borderId="3" xfId="0" applyNumberFormat="1" applyFont="1" applyBorder="1" applyAlignment="1">
      <alignment horizontal="right"/>
    </xf>
    <xf numFmtId="193" fontId="38" fillId="0" borderId="3" xfId="0" applyNumberFormat="1" applyFont="1" applyBorder="1" applyAlignment="1">
      <alignment horizontal="right"/>
    </xf>
    <xf numFmtId="194" fontId="38" fillId="0" borderId="3" xfId="0" applyNumberFormat="1" applyFont="1" applyBorder="1" applyAlignment="1">
      <alignment horizontal="right"/>
    </xf>
    <xf numFmtId="0" fontId="38" fillId="0" borderId="0" xfId="0" applyFont="1" applyAlignment="1">
      <alignment vertical="top"/>
    </xf>
    <xf numFmtId="0" fontId="38" fillId="0" borderId="5" xfId="0" applyFont="1" applyBorder="1" applyAlignment="1">
      <alignment vertical="top"/>
    </xf>
    <xf numFmtId="0" fontId="38" fillId="0" borderId="5" xfId="0" applyFont="1" applyBorder="1" applyAlignment="1">
      <alignment vertical="top" wrapText="1"/>
    </xf>
    <xf numFmtId="0" fontId="38" fillId="0" borderId="5" xfId="0" applyFont="1" applyBorder="1" applyAlignment="1">
      <alignment horizontal="center"/>
    </xf>
    <xf numFmtId="4" fontId="38" fillId="0" borderId="5" xfId="0" applyNumberFormat="1" applyFont="1" applyBorder="1" applyAlignment="1">
      <alignment horizontal="right"/>
    </xf>
    <xf numFmtId="193" fontId="38" fillId="0" borderId="5" xfId="0" applyNumberFormat="1" applyFont="1" applyBorder="1" applyAlignment="1">
      <alignment horizontal="right"/>
    </xf>
    <xf numFmtId="194" fontId="38" fillId="0" borderId="5" xfId="0" applyNumberFormat="1" applyFont="1" applyBorder="1" applyAlignment="1">
      <alignment horizontal="right"/>
    </xf>
    <xf numFmtId="4" fontId="40" fillId="0" borderId="1" xfId="0" applyNumberFormat="1" applyFont="1" applyBorder="1" applyAlignment="1">
      <alignment vertical="top" wrapText="1"/>
    </xf>
    <xf numFmtId="179" fontId="28" fillId="0" borderId="1" xfId="36" applyNumberFormat="1" applyFont="1" applyBorder="1" applyAlignment="1">
      <alignment horizontal="left" vertical="top"/>
    </xf>
    <xf numFmtId="0" fontId="28" fillId="0" borderId="1" xfId="36" applyFont="1" applyBorder="1" applyAlignment="1">
      <alignment vertical="top" wrapText="1"/>
    </xf>
    <xf numFmtId="0" fontId="4" fillId="3" borderId="1" xfId="0" applyFont="1" applyFill="1" applyBorder="1" applyAlignment="1">
      <alignment horizontal="center" vertical="center" wrapText="1"/>
    </xf>
    <xf numFmtId="0" fontId="0" fillId="0" borderId="6" xfId="0" applyBorder="1"/>
    <xf numFmtId="4" fontId="4" fillId="10" borderId="1" xfId="17" applyNumberFormat="1" applyFont="1" applyFill="1" applyBorder="1" applyAlignment="1" applyProtection="1">
      <alignment horizontal="center" vertical="center" wrapText="1"/>
      <protection locked="0"/>
    </xf>
    <xf numFmtId="0" fontId="0" fillId="0" borderId="6" xfId="0" applyBorder="1" applyProtection="1">
      <protection locked="0"/>
    </xf>
    <xf numFmtId="4" fontId="4" fillId="9" borderId="1" xfId="17" applyNumberFormat="1" applyFont="1" applyFill="1" applyBorder="1" applyAlignment="1">
      <alignment horizontal="center" vertical="center"/>
    </xf>
    <xf numFmtId="4"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xf>
    <xf numFmtId="0" fontId="4" fillId="9" borderId="1" xfId="17" applyFont="1" applyFill="1" applyBorder="1" applyAlignment="1">
      <alignment horizontal="center" vertical="center"/>
    </xf>
    <xf numFmtId="4" fontId="4" fillId="10" borderId="2" xfId="17" applyNumberFormat="1" applyFont="1" applyFill="1" applyBorder="1" applyAlignment="1" applyProtection="1">
      <alignment horizontal="center" vertical="center" wrapText="1"/>
      <protection locked="0"/>
    </xf>
    <xf numFmtId="0" fontId="0" fillId="0" borderId="7" xfId="0" applyBorder="1" applyProtection="1">
      <protection locked="0"/>
    </xf>
    <xf numFmtId="4" fontId="4" fillId="9" borderId="1" xfId="17" applyNumberFormat="1" applyFont="1" applyFill="1" applyBorder="1" applyAlignment="1">
      <alignment vertical="center"/>
    </xf>
    <xf numFmtId="195" fontId="38" fillId="0" borderId="0" xfId="0" applyNumberFormat="1" applyFont="1" applyAlignment="1">
      <alignment horizontal="left"/>
    </xf>
    <xf numFmtId="0" fontId="0" fillId="0" borderId="0" xfId="0"/>
    <xf numFmtId="4" fontId="23" fillId="0" borderId="6" xfId="0" applyNumberFormat="1" applyFont="1" applyBorder="1" applyAlignment="1">
      <alignment horizontal="left" vertical="top" wrapText="1"/>
    </xf>
  </cellXfs>
  <cellStyles count="43">
    <cellStyle name="Bad" xfId="35" builtinId="27"/>
    <cellStyle name="Bad 2" xfId="29" xr:uid="{00000000-0005-0000-0000-00001D000000}"/>
    <cellStyle name="Normal" xfId="0" builtinId="0"/>
    <cellStyle name="Normal 19 2" xfId="5" xr:uid="{00000000-0005-0000-0000-000005000000}"/>
    <cellStyle name="Normal 19 2 2" xfId="15" xr:uid="{00000000-0005-0000-0000-00000F000000}"/>
    <cellStyle name="Normal 19 2 2 2" xfId="4" xr:uid="{00000000-0005-0000-0000-000004000000}"/>
    <cellStyle name="Normal 19 2 2 2 2" xfId="7" xr:uid="{00000000-0005-0000-0000-000007000000}"/>
    <cellStyle name="Normal 19 2 2 2 2 2" xfId="9" xr:uid="{00000000-0005-0000-0000-000009000000}"/>
    <cellStyle name="Normal 19 2 2 2 2 2 2" xfId="22" xr:uid="{00000000-0005-0000-0000-000016000000}"/>
    <cellStyle name="Normal 19 2 2 2 2 2 2 2" xfId="36" xr:uid="{00000000-0005-0000-0000-000024000000}"/>
    <cellStyle name="Normal 19 2 2 2 2 2 2 3" xfId="38" xr:uid="{00000000-0005-0000-0000-000026000000}"/>
    <cellStyle name="Normal 19 2 2 2 2 2 3" xfId="28" xr:uid="{00000000-0005-0000-0000-00001C000000}"/>
    <cellStyle name="Normal 19 2 2 2 2 3" xfId="20" xr:uid="{00000000-0005-0000-0000-000014000000}"/>
    <cellStyle name="Normal 19 2 2 2 2 3 3" xfId="42" xr:uid="{00000000-0005-0000-0000-00002A000000}"/>
    <cellStyle name="Normal 19 2 2 2 2 4" xfId="13" xr:uid="{00000000-0005-0000-0000-00000D000000}"/>
    <cellStyle name="Normal 19 2 2 2 2 4 2" xfId="26" xr:uid="{00000000-0005-0000-0000-00001A000000}"/>
    <cellStyle name="Normal 19 2 2 3" xfId="31" xr:uid="{00000000-0005-0000-0000-00001F000000}"/>
    <cellStyle name="Normal 19 2 2 3 2" xfId="12" xr:uid="{00000000-0005-0000-0000-00000C000000}"/>
    <cellStyle name="Normal 19 2 2 3 2 2" xfId="25" xr:uid="{00000000-0005-0000-0000-000019000000}"/>
    <cellStyle name="Normal 19 2 2 4" xfId="10" xr:uid="{00000000-0005-0000-0000-00000A000000}"/>
    <cellStyle name="Normal 19 2 2 4 2" xfId="23" xr:uid="{00000000-0005-0000-0000-000017000000}"/>
    <cellStyle name="Normal 19 2 2 7" xfId="14" xr:uid="{00000000-0005-0000-0000-00000E000000}"/>
    <cellStyle name="Normal 19 2 2 7 2" xfId="27" xr:uid="{00000000-0005-0000-0000-00001B000000}"/>
    <cellStyle name="Normal 19 2 3" xfId="16" xr:uid="{00000000-0005-0000-0000-000010000000}"/>
    <cellStyle name="Normal 19 2 3 2" xfId="32" xr:uid="{00000000-0005-0000-0000-000020000000}"/>
    <cellStyle name="Normal 19 2 4" xfId="33" xr:uid="{00000000-0005-0000-0000-000021000000}"/>
    <cellStyle name="Normal 19 2 4 2" xfId="17" xr:uid="{00000000-0005-0000-0000-000011000000}"/>
    <cellStyle name="Normal 19 2 4 2 3" xfId="39" xr:uid="{00000000-0005-0000-0000-000027000000}"/>
    <cellStyle name="Normal 19 2 5 3" xfId="3" xr:uid="{00000000-0005-0000-0000-000003000000}"/>
    <cellStyle name="Normal 19 2 5 3 2" xfId="6" xr:uid="{00000000-0005-0000-0000-000006000000}"/>
    <cellStyle name="Normal 19 2 5 3 2 2" xfId="24" xr:uid="{00000000-0005-0000-0000-000018000000}"/>
    <cellStyle name="Normal 19 2 5 3 2 2 3" xfId="40" xr:uid="{00000000-0005-0000-0000-000028000000}"/>
    <cellStyle name="Normal 2" xfId="8" xr:uid="{00000000-0005-0000-0000-000008000000}"/>
    <cellStyle name="Normal 2 10 2" xfId="30" xr:uid="{00000000-0005-0000-0000-00001E000000}"/>
    <cellStyle name="Normal 28" xfId="34" xr:uid="{00000000-0005-0000-0000-000022000000}"/>
    <cellStyle name="Normal 4 10" xfId="18" xr:uid="{00000000-0005-0000-0000-000012000000}"/>
    <cellStyle name="Normal_TROŠKOVNIK - KAM - ŽUTO" xfId="19" xr:uid="{00000000-0005-0000-0000-000013000000}"/>
    <cellStyle name="Normal_TROŠKOVNIK - KAM - ŽUTO 2" xfId="41" xr:uid="{00000000-0005-0000-0000-000029000000}"/>
    <cellStyle name="Normalno 2" xfId="1" xr:uid="{00000000-0005-0000-0000-000001000000}"/>
    <cellStyle name="Normalno 2 2 2" xfId="11" xr:uid="{00000000-0005-0000-0000-00000B000000}"/>
    <cellStyle name="Normalno 3" xfId="2" xr:uid="{00000000-0005-0000-0000-000002000000}"/>
    <cellStyle name="Normalno 3 2" xfId="21" xr:uid="{00000000-0005-0000-0000-000015000000}"/>
    <cellStyle name="Normalno 4 3" xfId="37" xr:uid="{00000000-0005-0000-0000-00002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02\PodaciZajedno\Users\Korisnik\Desktop\TROSKOVNICI%20_30.07.2020\VIII_Stambena%20zgrada%20A2_30.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ehnos\mydocs\Documents%20and%20Settings\msanja\Local%20Settings\Temporary%20Internet%20Files\OLK1C2\Videotronic\Price%20list%20Videotronic%2005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LOVNICA"/>
      <sheetName val="REKAPITULACIJA"/>
      <sheetName val="VIII.a.2.B."/>
      <sheetName val="VIII.c.0.B."/>
      <sheetName val="VIII.c.0.VIK"/>
      <sheetName val="VIIIc.0.E"/>
      <sheetName val=" F. OPĆU UVJETI"/>
      <sheetName val="VIII.c.0.F.1."/>
      <sheetName val="VIII.c.0.F.2."/>
      <sheetName val="VIII.c.0.F.3."/>
      <sheetName val="VIII.c.0.F."/>
      <sheetName val="VIII. c.1.C."/>
      <sheetName val="VIIIc.1.I"/>
      <sheetName val="VIII.c.2.C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preise"/>
      <sheetName val="Preisblatt"/>
      <sheetName val="Preisfindung"/>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6"/>
  <sheetViews>
    <sheetView view="pageBreakPreview" topLeftCell="A7" zoomScale="160" zoomScaleNormal="100" zoomScaleSheetLayoutView="160" workbookViewId="0">
      <selection activeCell="B15" sqref="B15"/>
    </sheetView>
  </sheetViews>
  <sheetFormatPr defaultColWidth="9.140625" defaultRowHeight="11.25"/>
  <cols>
    <col min="1" max="1" width="7.28515625" style="110" bestFit="1" customWidth="1"/>
    <col min="2" max="2" width="65.7109375" style="110" customWidth="1"/>
    <col min="3" max="3" width="10.85546875" style="110" bestFit="1" customWidth="1"/>
    <col min="4" max="5" width="9.140625" style="110" customWidth="1"/>
    <col min="6" max="6" width="39.28515625" style="110" customWidth="1"/>
    <col min="7" max="7" width="9.140625" style="110" customWidth="1"/>
    <col min="8" max="16384" width="9.140625" style="110"/>
  </cols>
  <sheetData>
    <row r="1" spans="2:2">
      <c r="B1" s="109"/>
    </row>
    <row r="2" spans="2:2">
      <c r="B2" s="111" t="s">
        <v>0</v>
      </c>
    </row>
    <row r="6" spans="2:2">
      <c r="B6" s="112" t="s">
        <v>1</v>
      </c>
    </row>
    <row r="7" spans="2:2">
      <c r="B7" s="113" t="s">
        <v>2</v>
      </c>
    </row>
    <row r="8" spans="2:2">
      <c r="B8" s="113" t="s">
        <v>3</v>
      </c>
    </row>
    <row r="9" spans="2:2">
      <c r="B9" s="113" t="s">
        <v>4</v>
      </c>
    </row>
    <row r="10" spans="2:2">
      <c r="B10" s="113" t="s">
        <v>5</v>
      </c>
    </row>
    <row r="11" spans="2:2">
      <c r="B11" s="113"/>
    </row>
    <row r="12" spans="2:2">
      <c r="B12" s="112" t="s">
        <v>6</v>
      </c>
    </row>
    <row r="13" spans="2:2" ht="22.5" customHeight="1">
      <c r="B13" s="240" t="s">
        <v>7</v>
      </c>
    </row>
    <row r="14" spans="2:2">
      <c r="B14" s="240"/>
    </row>
    <row r="15" spans="2:2">
      <c r="B15" s="112" t="s">
        <v>8</v>
      </c>
    </row>
    <row r="16" spans="2:2">
      <c r="B16" s="113" t="s">
        <v>9</v>
      </c>
    </row>
    <row r="17" spans="2:2">
      <c r="B17" s="113" t="s">
        <v>10</v>
      </c>
    </row>
    <row r="20" spans="2:2">
      <c r="B20" s="115"/>
    </row>
    <row r="21" spans="2:2">
      <c r="B21" s="115"/>
    </row>
    <row r="22" spans="2:2">
      <c r="B22" s="115"/>
    </row>
    <row r="23" spans="2:2">
      <c r="B23" s="116"/>
    </row>
    <row r="24" spans="2:2">
      <c r="B24" s="115"/>
    </row>
    <row r="25" spans="2:2">
      <c r="B25" s="115"/>
    </row>
    <row r="26" spans="2:2">
      <c r="B26" s="115"/>
    </row>
    <row r="27" spans="2:2">
      <c r="B27" s="115"/>
    </row>
    <row r="28" spans="2:2">
      <c r="B28" s="117"/>
    </row>
    <row r="29" spans="2:2">
      <c r="B29" s="117"/>
    </row>
    <row r="30" spans="2:2">
      <c r="B30" s="117"/>
    </row>
    <row r="31" spans="2:2">
      <c r="B31" s="117"/>
    </row>
    <row r="32" spans="2:2">
      <c r="B32" s="115"/>
    </row>
    <row r="33" spans="2:2">
      <c r="B33" s="117"/>
    </row>
    <row r="34" spans="2:2">
      <c r="B34" s="117"/>
    </row>
    <row r="35" spans="2:2">
      <c r="B35" s="117"/>
    </row>
    <row r="36" spans="2:2">
      <c r="B36" s="117"/>
    </row>
    <row r="37" spans="2:2">
      <c r="B37" s="117"/>
    </row>
    <row r="38" spans="2:2">
      <c r="B38" s="118"/>
    </row>
    <row r="39" spans="2:2">
      <c r="B39" s="118"/>
    </row>
    <row r="40" spans="2:2">
      <c r="B40" s="118"/>
    </row>
    <row r="41" spans="2:2">
      <c r="B41" s="118"/>
    </row>
    <row r="42" spans="2:2">
      <c r="B42" s="118"/>
    </row>
    <row r="43" spans="2:2">
      <c r="B43" s="118"/>
    </row>
    <row r="44" spans="2:2">
      <c r="B44" s="118"/>
    </row>
    <row r="45" spans="2:2">
      <c r="B45" s="118"/>
    </row>
    <row r="46" spans="2:2">
      <c r="B46" s="118"/>
    </row>
    <row r="47" spans="2:2">
      <c r="B47" s="118"/>
    </row>
    <row r="48" spans="2:2">
      <c r="B48" s="118"/>
    </row>
    <row r="49" spans="2:2">
      <c r="B49" s="118"/>
    </row>
    <row r="50" spans="2:2">
      <c r="B50" s="118"/>
    </row>
    <row r="51" spans="2:2">
      <c r="B51" s="119"/>
    </row>
    <row r="52" spans="2:2">
      <c r="B52" s="118"/>
    </row>
    <row r="53" spans="2:2">
      <c r="B53" s="118"/>
    </row>
    <row r="54" spans="2:2">
      <c r="B54" s="118"/>
    </row>
    <row r="55" spans="2:2" s="120" customFormat="1">
      <c r="B55" s="118"/>
    </row>
    <row r="56" spans="2:2" s="120" customFormat="1">
      <c r="B56" s="118"/>
    </row>
    <row r="57" spans="2:2" s="120" customFormat="1">
      <c r="B57" s="118"/>
    </row>
    <row r="58" spans="2:2" s="120" customFormat="1">
      <c r="B58" s="119"/>
    </row>
    <row r="59" spans="2:2" s="120" customFormat="1">
      <c r="B59" s="121"/>
    </row>
    <row r="60" spans="2:2" s="120" customFormat="1">
      <c r="B60" s="118"/>
    </row>
    <row r="61" spans="2:2" s="120" customFormat="1">
      <c r="B61" s="118"/>
    </row>
    <row r="62" spans="2:2" s="120" customFormat="1">
      <c r="B62" s="118"/>
    </row>
    <row r="63" spans="2:2" s="120" customFormat="1">
      <c r="B63" s="118"/>
    </row>
    <row r="64" spans="2:2" s="120" customFormat="1">
      <c r="B64" s="118"/>
    </row>
    <row r="65" spans="1:5" s="120" customFormat="1">
      <c r="B65" s="118"/>
    </row>
    <row r="66" spans="1:5" s="120" customFormat="1">
      <c r="B66" s="118"/>
    </row>
    <row r="67" spans="1:5" s="120" customFormat="1">
      <c r="B67" s="118"/>
    </row>
    <row r="68" spans="1:5" s="120" customFormat="1">
      <c r="B68" s="118"/>
    </row>
    <row r="69" spans="1:5" s="120" customFormat="1">
      <c r="B69" s="118"/>
    </row>
    <row r="70" spans="1:5" s="120" customFormat="1">
      <c r="B70" s="118"/>
    </row>
    <row r="71" spans="1:5" s="120" customFormat="1">
      <c r="B71" s="118"/>
    </row>
    <row r="72" spans="1:5" s="120" customFormat="1">
      <c r="B72" s="118"/>
    </row>
    <row r="73" spans="1:5" s="120" customFormat="1">
      <c r="B73" s="118"/>
    </row>
    <row r="74" spans="1:5" s="120" customFormat="1">
      <c r="B74" s="118"/>
    </row>
    <row r="75" spans="1:5" s="120" customFormat="1">
      <c r="B75" s="118"/>
    </row>
    <row r="76" spans="1:5">
      <c r="A76" s="121"/>
      <c r="B76" s="118"/>
      <c r="C76" s="121"/>
      <c r="D76" s="121"/>
      <c r="E76" s="121"/>
    </row>
    <row r="77" spans="1:5">
      <c r="A77" s="121"/>
      <c r="B77" s="118"/>
      <c r="C77" s="121"/>
      <c r="D77" s="121"/>
      <c r="E77" s="121"/>
    </row>
    <row r="78" spans="1:5">
      <c r="A78" s="121"/>
      <c r="B78" s="118"/>
      <c r="C78" s="121"/>
      <c r="D78" s="121"/>
      <c r="E78" s="121"/>
    </row>
    <row r="79" spans="1:5">
      <c r="A79" s="121"/>
      <c r="B79" s="118"/>
      <c r="C79" s="121"/>
      <c r="D79" s="121"/>
      <c r="E79" s="121"/>
    </row>
    <row r="80" spans="1:5">
      <c r="A80" s="121"/>
      <c r="B80" s="118"/>
      <c r="C80" s="121"/>
      <c r="D80" s="121"/>
      <c r="E80" s="121"/>
    </row>
    <row r="81" spans="1:5">
      <c r="A81" s="121"/>
      <c r="B81" s="120"/>
      <c r="C81" s="121"/>
      <c r="D81" s="121"/>
      <c r="E81" s="121"/>
    </row>
    <row r="82" spans="1:5">
      <c r="A82" s="121"/>
      <c r="B82" s="120"/>
      <c r="C82" s="121"/>
      <c r="D82" s="121"/>
      <c r="E82" s="121"/>
    </row>
    <row r="83" spans="1:5">
      <c r="A83" s="121"/>
      <c r="B83" s="120"/>
      <c r="C83" s="121"/>
      <c r="D83" s="121"/>
      <c r="E83" s="121"/>
    </row>
    <row r="84" spans="1:5">
      <c r="A84" s="121"/>
      <c r="B84" s="114"/>
      <c r="C84" s="121"/>
      <c r="D84" s="121"/>
      <c r="E84" s="121"/>
    </row>
    <row r="85" spans="1:5">
      <c r="A85" s="121"/>
      <c r="B85" s="118"/>
      <c r="C85" s="121"/>
      <c r="D85" s="121"/>
      <c r="E85" s="121"/>
    </row>
    <row r="86" spans="1:5">
      <c r="A86" s="121"/>
      <c r="B86" s="120"/>
      <c r="C86" s="121"/>
      <c r="D86" s="121"/>
      <c r="E86" s="121"/>
    </row>
    <row r="87" spans="1:5">
      <c r="A87" s="121"/>
      <c r="B87" s="118"/>
      <c r="C87" s="121"/>
      <c r="D87" s="121"/>
      <c r="E87" s="121"/>
    </row>
    <row r="88" spans="1:5">
      <c r="A88" s="121"/>
      <c r="B88" s="118"/>
      <c r="C88" s="121"/>
      <c r="D88" s="121"/>
      <c r="E88" s="121"/>
    </row>
    <row r="89" spans="1:5">
      <c r="A89" s="121"/>
      <c r="B89" s="118"/>
      <c r="C89" s="121"/>
      <c r="D89" s="121"/>
      <c r="E89" s="121"/>
    </row>
    <row r="90" spans="1:5">
      <c r="A90" s="121"/>
      <c r="B90" s="119"/>
      <c r="C90" s="121"/>
      <c r="D90" s="121"/>
      <c r="E90" s="121"/>
    </row>
    <row r="91" spans="1:5">
      <c r="A91" s="121"/>
      <c r="B91" s="119"/>
      <c r="C91" s="121"/>
      <c r="D91" s="121"/>
      <c r="E91" s="121"/>
    </row>
    <row r="92" spans="1:5">
      <c r="A92" s="121"/>
      <c r="B92" s="119"/>
      <c r="C92" s="121"/>
      <c r="D92" s="121"/>
      <c r="E92" s="121"/>
    </row>
    <row r="93" spans="1:5">
      <c r="A93" s="121"/>
      <c r="B93" s="119"/>
      <c r="C93" s="121"/>
      <c r="D93" s="121"/>
      <c r="E93" s="121"/>
    </row>
    <row r="94" spans="1:5">
      <c r="A94" s="121"/>
      <c r="B94" s="119"/>
      <c r="C94" s="121"/>
      <c r="D94" s="121"/>
      <c r="E94" s="121"/>
    </row>
    <row r="95" spans="1:5">
      <c r="A95" s="121"/>
      <c r="B95" s="119"/>
      <c r="C95" s="121"/>
      <c r="D95" s="121"/>
      <c r="E95" s="121"/>
    </row>
    <row r="96" spans="1:5">
      <c r="A96" s="121"/>
      <c r="B96" s="119"/>
      <c r="C96" s="121"/>
      <c r="D96" s="121"/>
      <c r="E96" s="121"/>
    </row>
    <row r="97" spans="1:5">
      <c r="A97" s="121"/>
      <c r="B97" s="119"/>
      <c r="C97" s="121"/>
      <c r="D97" s="121"/>
      <c r="E97" s="121"/>
    </row>
    <row r="98" spans="1:5">
      <c r="A98" s="121"/>
      <c r="B98" s="121"/>
      <c r="C98" s="121"/>
      <c r="D98" s="121"/>
      <c r="E98" s="121"/>
    </row>
    <row r="99" spans="1:5">
      <c r="A99" s="121"/>
      <c r="B99" s="119"/>
      <c r="C99" s="121"/>
      <c r="D99" s="121"/>
      <c r="E99" s="121"/>
    </row>
    <row r="100" spans="1:5">
      <c r="A100" s="121"/>
      <c r="B100" s="119"/>
      <c r="C100" s="121"/>
      <c r="D100" s="121"/>
      <c r="E100" s="121"/>
    </row>
    <row r="101" spans="1:5">
      <c r="A101" s="121"/>
      <c r="B101" s="121"/>
      <c r="C101" s="121"/>
      <c r="D101" s="121"/>
      <c r="E101" s="121"/>
    </row>
    <row r="102" spans="1:5">
      <c r="A102" s="121"/>
      <c r="B102" s="119"/>
      <c r="C102" s="121"/>
      <c r="D102" s="121"/>
      <c r="E102" s="121"/>
    </row>
    <row r="103" spans="1:5">
      <c r="A103" s="121"/>
      <c r="B103" s="119"/>
      <c r="C103" s="121"/>
      <c r="D103" s="121"/>
      <c r="E103" s="121"/>
    </row>
    <row r="104" spans="1:5">
      <c r="A104" s="121"/>
      <c r="B104" s="119"/>
      <c r="C104" s="121"/>
      <c r="D104" s="121"/>
      <c r="E104" s="121"/>
    </row>
    <row r="105" spans="1:5">
      <c r="A105" s="121"/>
      <c r="B105" s="119"/>
      <c r="C105" s="121"/>
      <c r="D105" s="121"/>
      <c r="E105" s="121"/>
    </row>
    <row r="106" spans="1:5">
      <c r="A106" s="121"/>
      <c r="B106" s="119"/>
      <c r="C106" s="121"/>
      <c r="D106" s="121"/>
      <c r="E106" s="121"/>
    </row>
    <row r="107" spans="1:5">
      <c r="A107" s="121"/>
      <c r="B107" s="121"/>
      <c r="C107" s="121"/>
      <c r="D107" s="121"/>
      <c r="E107" s="121"/>
    </row>
    <row r="108" spans="1:5">
      <c r="A108" s="121"/>
      <c r="B108" s="121"/>
      <c r="C108" s="121"/>
      <c r="D108" s="121"/>
      <c r="E108" s="121"/>
    </row>
    <row r="109" spans="1:5">
      <c r="A109" s="121"/>
      <c r="B109" s="119"/>
      <c r="C109" s="121"/>
      <c r="D109" s="121"/>
      <c r="E109" s="121"/>
    </row>
    <row r="110" spans="1:5">
      <c r="A110" s="121"/>
      <c r="B110" s="118"/>
      <c r="C110" s="121"/>
      <c r="D110" s="121"/>
      <c r="E110" s="121"/>
    </row>
    <row r="111" spans="1:5">
      <c r="A111" s="121"/>
      <c r="B111" s="118"/>
      <c r="C111" s="121"/>
      <c r="D111" s="121"/>
      <c r="E111" s="121"/>
    </row>
    <row r="112" spans="1:5">
      <c r="A112" s="121"/>
      <c r="B112" s="118"/>
      <c r="C112" s="121"/>
      <c r="D112" s="121"/>
      <c r="E112" s="121"/>
    </row>
    <row r="113" spans="1:5">
      <c r="A113" s="121"/>
      <c r="B113" s="118"/>
      <c r="C113" s="121"/>
      <c r="D113" s="121"/>
      <c r="E113" s="121"/>
    </row>
    <row r="114" spans="1:5">
      <c r="A114" s="121"/>
      <c r="B114" s="118"/>
      <c r="C114" s="121"/>
      <c r="D114" s="121"/>
      <c r="E114" s="121"/>
    </row>
    <row r="115" spans="1:5">
      <c r="A115" s="121"/>
      <c r="B115" s="118"/>
      <c r="C115" s="121"/>
      <c r="D115" s="121"/>
      <c r="E115" s="121"/>
    </row>
    <row r="116" spans="1:5">
      <c r="A116" s="121"/>
      <c r="B116" s="118"/>
      <c r="C116" s="121"/>
      <c r="D116" s="121"/>
      <c r="E116" s="121"/>
    </row>
    <row r="117" spans="1:5">
      <c r="A117" s="121"/>
      <c r="B117" s="118"/>
      <c r="C117" s="121"/>
      <c r="D117" s="121"/>
      <c r="E117" s="121"/>
    </row>
    <row r="118" spans="1:5">
      <c r="A118" s="121"/>
      <c r="B118" s="121"/>
      <c r="C118" s="121"/>
      <c r="D118" s="121"/>
      <c r="E118" s="121"/>
    </row>
    <row r="119" spans="1:5">
      <c r="A119" s="121"/>
      <c r="B119" s="121"/>
      <c r="C119" s="121"/>
      <c r="D119" s="121"/>
      <c r="E119" s="121"/>
    </row>
    <row r="120" spans="1:5">
      <c r="A120" s="121"/>
      <c r="B120" s="121"/>
      <c r="C120" s="121"/>
      <c r="D120" s="121"/>
      <c r="E120" s="121"/>
    </row>
    <row r="121" spans="1:5">
      <c r="A121" s="121"/>
      <c r="B121" s="121"/>
      <c r="C121" s="121"/>
      <c r="D121" s="121"/>
      <c r="E121" s="121"/>
    </row>
    <row r="122" spans="1:5">
      <c r="A122" s="121"/>
      <c r="B122" s="121"/>
      <c r="C122" s="121"/>
      <c r="D122" s="121"/>
      <c r="E122" s="121"/>
    </row>
    <row r="123" spans="1:5">
      <c r="A123" s="121"/>
      <c r="B123" s="121"/>
      <c r="C123" s="121"/>
      <c r="D123" s="121"/>
      <c r="E123" s="121"/>
    </row>
    <row r="124" spans="1:5">
      <c r="A124" s="121"/>
      <c r="B124" s="121"/>
      <c r="C124" s="121"/>
      <c r="D124" s="121"/>
      <c r="E124" s="121"/>
    </row>
    <row r="125" spans="1:5">
      <c r="A125" s="121"/>
      <c r="B125" s="121"/>
      <c r="C125" s="121"/>
      <c r="D125" s="121"/>
      <c r="E125" s="121"/>
    </row>
    <row r="126" spans="1:5">
      <c r="A126" s="121"/>
      <c r="B126" s="121"/>
      <c r="C126" s="121"/>
      <c r="D126" s="121"/>
      <c r="E126" s="121"/>
    </row>
    <row r="127" spans="1:5">
      <c r="A127" s="121"/>
      <c r="B127" s="121"/>
      <c r="C127" s="121"/>
      <c r="D127" s="121"/>
      <c r="E127" s="121"/>
    </row>
    <row r="128" spans="1:5">
      <c r="A128" s="121"/>
      <c r="B128" s="121"/>
      <c r="C128" s="121"/>
      <c r="D128" s="121"/>
      <c r="E128" s="121"/>
    </row>
    <row r="129" spans="1:5">
      <c r="A129" s="121"/>
      <c r="B129" s="121"/>
      <c r="C129" s="121"/>
      <c r="D129" s="121"/>
      <c r="E129" s="121"/>
    </row>
    <row r="130" spans="1:5">
      <c r="A130" s="121"/>
      <c r="B130" s="121"/>
      <c r="C130" s="121"/>
      <c r="D130" s="121"/>
      <c r="E130" s="121"/>
    </row>
    <row r="131" spans="1:5">
      <c r="A131" s="121"/>
      <c r="B131" s="121"/>
      <c r="C131" s="121"/>
      <c r="D131" s="121"/>
      <c r="E131" s="121"/>
    </row>
    <row r="132" spans="1:5">
      <c r="A132" s="121"/>
      <c r="B132" s="121"/>
      <c r="C132" s="121"/>
      <c r="D132" s="121"/>
      <c r="E132" s="121"/>
    </row>
    <row r="133" spans="1:5">
      <c r="A133" s="121"/>
      <c r="B133" s="121"/>
      <c r="C133" s="121"/>
      <c r="D133" s="121"/>
      <c r="E133" s="121"/>
    </row>
    <row r="134" spans="1:5">
      <c r="A134" s="121"/>
      <c r="B134" s="121"/>
      <c r="C134" s="121"/>
      <c r="D134" s="121"/>
      <c r="E134" s="121"/>
    </row>
    <row r="135" spans="1:5">
      <c r="A135" s="121"/>
      <c r="B135" s="121"/>
      <c r="C135" s="121"/>
      <c r="D135" s="121"/>
      <c r="E135" s="121"/>
    </row>
    <row r="136" spans="1:5">
      <c r="A136" s="121"/>
      <c r="B136" s="121"/>
      <c r="C136" s="121"/>
      <c r="D136" s="121"/>
      <c r="E136" s="121"/>
    </row>
    <row r="137" spans="1:5">
      <c r="A137" s="121"/>
      <c r="B137" s="121"/>
      <c r="C137" s="121"/>
      <c r="D137" s="121"/>
      <c r="E137" s="121"/>
    </row>
    <row r="138" spans="1:5">
      <c r="A138" s="121"/>
      <c r="B138" s="121"/>
      <c r="C138" s="121"/>
      <c r="D138" s="121"/>
      <c r="E138" s="121"/>
    </row>
    <row r="139" spans="1:5">
      <c r="A139" s="121"/>
      <c r="B139" s="121"/>
      <c r="C139" s="121"/>
      <c r="D139" s="121"/>
      <c r="E139" s="121"/>
    </row>
    <row r="140" spans="1:5">
      <c r="A140" s="121"/>
      <c r="B140" s="121"/>
      <c r="C140" s="121"/>
      <c r="D140" s="121"/>
      <c r="E140" s="121"/>
    </row>
    <row r="141" spans="1:5">
      <c r="A141" s="121"/>
      <c r="B141" s="121"/>
      <c r="C141" s="121"/>
      <c r="D141" s="121"/>
      <c r="E141" s="121"/>
    </row>
    <row r="142" spans="1:5">
      <c r="A142" s="121"/>
      <c r="B142" s="121"/>
      <c r="C142" s="121"/>
      <c r="D142" s="121"/>
      <c r="E142" s="121"/>
    </row>
    <row r="143" spans="1:5">
      <c r="A143" s="121"/>
      <c r="B143" s="121"/>
      <c r="C143" s="121"/>
      <c r="D143" s="121"/>
      <c r="E143" s="121"/>
    </row>
    <row r="144" spans="1:5">
      <c r="A144" s="121"/>
      <c r="B144" s="121"/>
      <c r="C144" s="121"/>
      <c r="D144" s="121"/>
      <c r="E144" s="121"/>
    </row>
    <row r="145" spans="1:5">
      <c r="A145" s="121"/>
      <c r="B145" s="121"/>
      <c r="C145" s="121"/>
      <c r="D145" s="121"/>
      <c r="E145" s="121"/>
    </row>
    <row r="146" spans="1:5">
      <c r="A146" s="121"/>
      <c r="B146" s="121"/>
      <c r="C146" s="121"/>
      <c r="D146" s="121"/>
      <c r="E146" s="121"/>
    </row>
    <row r="147" spans="1:5">
      <c r="A147" s="121"/>
      <c r="B147" s="121"/>
      <c r="C147" s="121"/>
      <c r="D147" s="121"/>
      <c r="E147" s="121"/>
    </row>
    <row r="148" spans="1:5">
      <c r="A148" s="121"/>
      <c r="B148" s="121"/>
      <c r="C148" s="121"/>
      <c r="D148" s="121"/>
      <c r="E148" s="121"/>
    </row>
    <row r="149" spans="1:5">
      <c r="A149" s="121"/>
      <c r="B149" s="121"/>
      <c r="C149" s="121"/>
      <c r="D149" s="121"/>
      <c r="E149" s="121"/>
    </row>
    <row r="150" spans="1:5">
      <c r="A150" s="121"/>
      <c r="B150" s="121"/>
      <c r="C150" s="121"/>
      <c r="D150" s="121"/>
      <c r="E150" s="121"/>
    </row>
    <row r="151" spans="1:5">
      <c r="A151" s="121"/>
      <c r="B151" s="121"/>
      <c r="C151" s="121"/>
      <c r="D151" s="121"/>
      <c r="E151" s="121"/>
    </row>
    <row r="152" spans="1:5">
      <c r="A152" s="121"/>
      <c r="B152" s="121"/>
      <c r="C152" s="121"/>
      <c r="D152" s="121"/>
      <c r="E152" s="121"/>
    </row>
    <row r="153" spans="1:5">
      <c r="A153" s="121"/>
      <c r="B153" s="121"/>
      <c r="C153" s="121"/>
      <c r="D153" s="121"/>
      <c r="E153" s="121"/>
    </row>
    <row r="154" spans="1:5">
      <c r="A154" s="121"/>
      <c r="B154" s="121"/>
      <c r="C154" s="121"/>
      <c r="D154" s="121"/>
      <c r="E154" s="121"/>
    </row>
    <row r="155" spans="1:5">
      <c r="A155" s="121"/>
      <c r="B155" s="121"/>
      <c r="C155" s="121"/>
      <c r="D155" s="121"/>
      <c r="E155" s="121"/>
    </row>
    <row r="156" spans="1:5">
      <c r="A156" s="121"/>
      <c r="B156" s="121"/>
      <c r="C156" s="121"/>
      <c r="D156" s="121"/>
      <c r="E156" s="121"/>
    </row>
    <row r="157" spans="1:5">
      <c r="A157" s="121"/>
      <c r="B157" s="121"/>
      <c r="C157" s="121"/>
      <c r="D157" s="121"/>
      <c r="E157" s="121"/>
    </row>
    <row r="158" spans="1:5">
      <c r="A158" s="121"/>
      <c r="B158" s="121"/>
      <c r="C158" s="121"/>
      <c r="D158" s="121"/>
      <c r="E158" s="121"/>
    </row>
    <row r="159" spans="1:5">
      <c r="A159" s="121"/>
      <c r="B159" s="121"/>
      <c r="C159" s="121"/>
      <c r="D159" s="121"/>
      <c r="E159" s="121"/>
    </row>
    <row r="160" spans="1:5">
      <c r="A160" s="121"/>
      <c r="B160" s="121"/>
      <c r="C160" s="121"/>
      <c r="D160" s="121"/>
      <c r="E160" s="121"/>
    </row>
    <row r="161" spans="1:5">
      <c r="A161" s="121"/>
      <c r="B161" s="121"/>
      <c r="C161" s="121"/>
      <c r="D161" s="121"/>
      <c r="E161" s="121"/>
    </row>
    <row r="162" spans="1:5">
      <c r="A162" s="121"/>
      <c r="B162" s="121"/>
      <c r="C162" s="121"/>
      <c r="D162" s="121"/>
      <c r="E162" s="121"/>
    </row>
    <row r="163" spans="1:5">
      <c r="A163" s="121"/>
      <c r="B163" s="121"/>
      <c r="C163" s="121"/>
      <c r="D163" s="121"/>
      <c r="E163" s="121"/>
    </row>
    <row r="164" spans="1:5">
      <c r="A164" s="121"/>
      <c r="B164" s="121"/>
      <c r="C164" s="121"/>
      <c r="D164" s="121"/>
      <c r="E164" s="121"/>
    </row>
    <row r="165" spans="1:5">
      <c r="A165" s="121"/>
      <c r="B165" s="121"/>
      <c r="C165" s="121"/>
      <c r="D165" s="121"/>
      <c r="E165" s="121"/>
    </row>
    <row r="166" spans="1:5">
      <c r="A166" s="121"/>
      <c r="B166" s="121"/>
      <c r="C166" s="121"/>
      <c r="D166" s="121"/>
      <c r="E166" s="121"/>
    </row>
    <row r="167" spans="1:5">
      <c r="A167" s="121"/>
      <c r="B167" s="121"/>
      <c r="C167" s="121"/>
      <c r="D167" s="121"/>
      <c r="E167" s="121"/>
    </row>
    <row r="168" spans="1:5">
      <c r="A168" s="121"/>
      <c r="B168" s="121"/>
      <c r="C168" s="121"/>
      <c r="D168" s="121"/>
      <c r="E168" s="121"/>
    </row>
    <row r="169" spans="1:5">
      <c r="A169" s="121"/>
      <c r="B169" s="121"/>
      <c r="C169" s="121"/>
      <c r="D169" s="121"/>
      <c r="E169" s="121"/>
    </row>
    <row r="170" spans="1:5">
      <c r="A170" s="121"/>
      <c r="B170" s="121"/>
      <c r="C170" s="121"/>
      <c r="D170" s="121"/>
      <c r="E170" s="121"/>
    </row>
    <row r="171" spans="1:5">
      <c r="A171" s="121"/>
      <c r="B171" s="121"/>
      <c r="C171" s="121"/>
      <c r="D171" s="121"/>
      <c r="E171" s="121"/>
    </row>
    <row r="172" spans="1:5">
      <c r="A172" s="121"/>
      <c r="B172" s="121"/>
      <c r="C172" s="121"/>
      <c r="D172" s="121"/>
      <c r="E172" s="121"/>
    </row>
    <row r="173" spans="1:5">
      <c r="A173" s="121"/>
      <c r="B173" s="121"/>
      <c r="C173" s="121"/>
      <c r="D173" s="121"/>
      <c r="E173" s="121"/>
    </row>
    <row r="174" spans="1:5">
      <c r="A174" s="121"/>
      <c r="B174" s="121"/>
      <c r="C174" s="121"/>
      <c r="D174" s="121"/>
      <c r="E174" s="121"/>
    </row>
    <row r="175" spans="1:5">
      <c r="A175" s="121"/>
      <c r="B175" s="121"/>
      <c r="C175" s="121"/>
      <c r="D175" s="121"/>
      <c r="E175" s="121"/>
    </row>
    <row r="176" spans="1:5">
      <c r="A176" s="121"/>
      <c r="B176" s="121"/>
      <c r="C176" s="121"/>
      <c r="D176" s="121"/>
      <c r="E176" s="121"/>
    </row>
    <row r="177" spans="1:5">
      <c r="A177" s="121"/>
      <c r="B177" s="121"/>
      <c r="C177" s="121"/>
      <c r="D177" s="121"/>
      <c r="E177" s="121"/>
    </row>
    <row r="178" spans="1:5">
      <c r="A178" s="121"/>
      <c r="B178" s="121"/>
      <c r="C178" s="121"/>
      <c r="D178" s="121"/>
      <c r="E178" s="121"/>
    </row>
    <row r="179" spans="1:5">
      <c r="A179" s="121"/>
      <c r="B179" s="121"/>
      <c r="C179" s="121"/>
      <c r="D179" s="121"/>
      <c r="E179" s="121"/>
    </row>
    <row r="180" spans="1:5">
      <c r="A180" s="121"/>
      <c r="B180" s="121"/>
      <c r="C180" s="121"/>
      <c r="D180" s="121"/>
      <c r="E180" s="121"/>
    </row>
    <row r="181" spans="1:5">
      <c r="A181" s="121"/>
      <c r="B181" s="121"/>
      <c r="C181" s="121"/>
      <c r="D181" s="121"/>
      <c r="E181" s="121"/>
    </row>
    <row r="182" spans="1:5">
      <c r="A182" s="121"/>
      <c r="B182" s="121"/>
      <c r="C182" s="121"/>
      <c r="D182" s="121"/>
      <c r="E182" s="121"/>
    </row>
    <row r="183" spans="1:5">
      <c r="A183" s="121"/>
      <c r="B183" s="121"/>
      <c r="C183" s="121"/>
      <c r="D183" s="121"/>
      <c r="E183" s="121"/>
    </row>
    <row r="184" spans="1:5">
      <c r="A184" s="121"/>
      <c r="B184" s="121"/>
      <c r="C184" s="121"/>
      <c r="D184" s="121"/>
      <c r="E184" s="121"/>
    </row>
    <row r="185" spans="1:5">
      <c r="A185" s="121"/>
      <c r="B185" s="121"/>
      <c r="C185" s="121"/>
      <c r="D185" s="121"/>
      <c r="E185" s="121"/>
    </row>
    <row r="186" spans="1:5">
      <c r="A186" s="121"/>
      <c r="B186" s="121"/>
      <c r="C186" s="121"/>
      <c r="D186" s="121"/>
      <c r="E186" s="121"/>
    </row>
    <row r="187" spans="1:5">
      <c r="A187" s="121"/>
      <c r="B187" s="121"/>
      <c r="C187" s="121"/>
      <c r="D187" s="121"/>
      <c r="E187" s="121"/>
    </row>
    <row r="188" spans="1:5">
      <c r="A188" s="121"/>
      <c r="B188" s="121"/>
      <c r="C188" s="121"/>
      <c r="D188" s="121"/>
      <c r="E188" s="121"/>
    </row>
    <row r="189" spans="1:5">
      <c r="A189" s="121"/>
      <c r="B189" s="121"/>
      <c r="C189" s="121"/>
      <c r="D189" s="121"/>
      <c r="E189" s="121"/>
    </row>
    <row r="190" spans="1:5">
      <c r="A190" s="121"/>
      <c r="B190" s="121"/>
      <c r="C190" s="121"/>
      <c r="D190" s="121"/>
      <c r="E190" s="121"/>
    </row>
    <row r="191" spans="1:5">
      <c r="A191" s="121"/>
      <c r="B191" s="121"/>
      <c r="C191" s="121"/>
      <c r="D191" s="121"/>
      <c r="E191" s="121"/>
    </row>
    <row r="192" spans="1:5">
      <c r="A192" s="121"/>
      <c r="B192" s="121"/>
      <c r="C192" s="121"/>
      <c r="D192" s="121"/>
      <c r="E192" s="121"/>
    </row>
    <row r="193" spans="1:5">
      <c r="A193" s="121"/>
      <c r="B193" s="121"/>
      <c r="C193" s="121"/>
      <c r="D193" s="121"/>
      <c r="E193" s="121"/>
    </row>
    <row r="194" spans="1:5">
      <c r="A194" s="121"/>
      <c r="B194" s="121"/>
      <c r="C194" s="121"/>
      <c r="D194" s="121"/>
      <c r="E194" s="121"/>
    </row>
    <row r="195" spans="1:5">
      <c r="A195" s="121"/>
      <c r="B195" s="121"/>
      <c r="C195" s="121"/>
      <c r="D195" s="121"/>
      <c r="E195" s="121"/>
    </row>
    <row r="196" spans="1:5">
      <c r="A196" s="121"/>
      <c r="B196" s="121"/>
      <c r="C196" s="121"/>
      <c r="D196" s="121"/>
      <c r="E196" s="121"/>
    </row>
    <row r="197" spans="1:5">
      <c r="A197" s="121"/>
      <c r="B197" s="121"/>
      <c r="C197" s="121"/>
      <c r="D197" s="121"/>
      <c r="E197" s="121"/>
    </row>
    <row r="198" spans="1:5">
      <c r="A198" s="121"/>
      <c r="B198" s="121"/>
      <c r="C198" s="121"/>
      <c r="D198" s="121"/>
      <c r="E198" s="121"/>
    </row>
    <row r="199" spans="1:5">
      <c r="A199" s="121"/>
      <c r="B199" s="121"/>
      <c r="C199" s="121"/>
      <c r="D199" s="121"/>
      <c r="E199" s="121"/>
    </row>
    <row r="200" spans="1:5">
      <c r="A200" s="121"/>
      <c r="B200" s="121"/>
      <c r="C200" s="121"/>
      <c r="D200" s="121"/>
      <c r="E200" s="121"/>
    </row>
    <row r="201" spans="1:5">
      <c r="A201" s="121"/>
      <c r="B201" s="121"/>
      <c r="C201" s="121"/>
      <c r="D201" s="121"/>
      <c r="E201" s="121"/>
    </row>
    <row r="202" spans="1:5">
      <c r="A202" s="121"/>
      <c r="B202" s="121"/>
      <c r="C202" s="121"/>
      <c r="D202" s="121"/>
      <c r="E202" s="121"/>
    </row>
    <row r="203" spans="1:5">
      <c r="A203" s="121"/>
      <c r="B203" s="121"/>
      <c r="C203" s="121"/>
      <c r="D203" s="121"/>
      <c r="E203" s="121"/>
    </row>
    <row r="204" spans="1:5">
      <c r="A204" s="121"/>
      <c r="B204" s="121"/>
      <c r="C204" s="121"/>
      <c r="D204" s="121"/>
      <c r="E204" s="121"/>
    </row>
    <row r="205" spans="1:5">
      <c r="A205" s="121"/>
      <c r="B205" s="121"/>
      <c r="C205" s="121"/>
      <c r="D205" s="121"/>
      <c r="E205" s="121"/>
    </row>
    <row r="206" spans="1:5">
      <c r="A206" s="121"/>
      <c r="B206" s="121"/>
      <c r="C206" s="121"/>
      <c r="D206" s="121"/>
      <c r="E206" s="121"/>
    </row>
    <row r="207" spans="1:5">
      <c r="A207" s="121"/>
      <c r="B207" s="121"/>
      <c r="C207" s="121"/>
      <c r="D207" s="121"/>
      <c r="E207" s="121"/>
    </row>
    <row r="208" spans="1:5">
      <c r="A208" s="121"/>
      <c r="B208" s="121"/>
      <c r="C208" s="121"/>
      <c r="D208" s="121"/>
      <c r="E208" s="121"/>
    </row>
    <row r="209" spans="1:5">
      <c r="A209" s="121"/>
      <c r="B209" s="121"/>
      <c r="C209" s="121"/>
      <c r="D209" s="121"/>
      <c r="E209" s="121"/>
    </row>
    <row r="210" spans="1:5">
      <c r="A210" s="121"/>
      <c r="B210" s="121"/>
      <c r="C210" s="121"/>
      <c r="D210" s="121"/>
      <c r="E210" s="121"/>
    </row>
    <row r="211" spans="1:5">
      <c r="A211" s="121"/>
      <c r="B211" s="121"/>
      <c r="C211" s="121"/>
      <c r="D211" s="121"/>
      <c r="E211" s="121"/>
    </row>
    <row r="212" spans="1:5">
      <c r="A212" s="121"/>
      <c r="B212" s="121"/>
      <c r="C212" s="121"/>
      <c r="D212" s="121"/>
      <c r="E212" s="121"/>
    </row>
    <row r="213" spans="1:5">
      <c r="A213" s="121"/>
      <c r="B213" s="121"/>
      <c r="C213" s="121"/>
      <c r="D213" s="121"/>
      <c r="E213" s="121"/>
    </row>
    <row r="214" spans="1:5">
      <c r="A214" s="121"/>
      <c r="B214" s="121"/>
      <c r="C214" s="121"/>
      <c r="D214" s="121"/>
      <c r="E214" s="121"/>
    </row>
    <row r="215" spans="1:5">
      <c r="A215" s="121"/>
      <c r="B215" s="121"/>
      <c r="C215" s="121"/>
      <c r="D215" s="121"/>
      <c r="E215" s="121"/>
    </row>
    <row r="216" spans="1:5">
      <c r="A216" s="121"/>
      <c r="B216" s="121"/>
      <c r="C216" s="121"/>
      <c r="D216" s="121"/>
      <c r="E216" s="121"/>
    </row>
    <row r="217" spans="1:5">
      <c r="A217" s="121"/>
      <c r="B217" s="121"/>
      <c r="C217" s="121"/>
      <c r="D217" s="121"/>
      <c r="E217" s="121"/>
    </row>
    <row r="218" spans="1:5">
      <c r="A218" s="121"/>
      <c r="B218" s="121"/>
      <c r="C218" s="121"/>
      <c r="D218" s="121"/>
      <c r="E218" s="121"/>
    </row>
    <row r="219" spans="1:5">
      <c r="A219" s="121"/>
      <c r="B219" s="121"/>
      <c r="C219" s="121"/>
      <c r="D219" s="121"/>
      <c r="E219" s="121"/>
    </row>
    <row r="220" spans="1:5">
      <c r="A220" s="121"/>
      <c r="B220" s="121"/>
      <c r="C220" s="121"/>
      <c r="D220" s="121"/>
      <c r="E220" s="121"/>
    </row>
    <row r="221" spans="1:5">
      <c r="A221" s="121"/>
      <c r="B221" s="121"/>
      <c r="C221" s="121"/>
      <c r="D221" s="121"/>
      <c r="E221" s="121"/>
    </row>
    <row r="222" spans="1:5">
      <c r="A222" s="121"/>
      <c r="B222" s="121"/>
      <c r="C222" s="121"/>
      <c r="D222" s="121"/>
      <c r="E222" s="121"/>
    </row>
    <row r="223" spans="1:5">
      <c r="A223" s="121"/>
      <c r="B223" s="121"/>
      <c r="C223" s="121"/>
      <c r="D223" s="121"/>
      <c r="E223" s="121"/>
    </row>
    <row r="224" spans="1:5">
      <c r="A224" s="121"/>
      <c r="B224" s="121"/>
      <c r="C224" s="121"/>
      <c r="D224" s="121"/>
      <c r="E224" s="121"/>
    </row>
    <row r="225" spans="1:5">
      <c r="A225" s="121"/>
      <c r="B225" s="121"/>
      <c r="C225" s="121"/>
      <c r="D225" s="121"/>
      <c r="E225" s="121"/>
    </row>
    <row r="226" spans="1:5">
      <c r="A226" s="121"/>
      <c r="B226" s="121"/>
      <c r="C226" s="121"/>
      <c r="D226" s="121"/>
      <c r="E226" s="121"/>
    </row>
    <row r="227" spans="1:5">
      <c r="A227" s="121"/>
      <c r="B227" s="121"/>
      <c r="C227" s="121"/>
      <c r="D227" s="121"/>
      <c r="E227" s="121"/>
    </row>
    <row r="228" spans="1:5">
      <c r="A228" s="121"/>
      <c r="B228" s="121"/>
      <c r="C228" s="121"/>
      <c r="D228" s="121"/>
      <c r="E228" s="121"/>
    </row>
    <row r="229" spans="1:5">
      <c r="A229" s="121"/>
      <c r="B229" s="121"/>
      <c r="C229" s="121"/>
      <c r="D229" s="121"/>
      <c r="E229" s="121"/>
    </row>
    <row r="230" spans="1:5">
      <c r="A230" s="121"/>
      <c r="B230" s="121"/>
      <c r="C230" s="121"/>
      <c r="D230" s="121"/>
      <c r="E230" s="121"/>
    </row>
    <row r="231" spans="1:5">
      <c r="A231" s="121"/>
      <c r="B231" s="121"/>
      <c r="C231" s="121"/>
      <c r="D231" s="121"/>
      <c r="E231" s="121"/>
    </row>
    <row r="232" spans="1:5">
      <c r="A232" s="121"/>
      <c r="B232" s="121"/>
      <c r="C232" s="121"/>
      <c r="D232" s="121"/>
      <c r="E232" s="121"/>
    </row>
    <row r="233" spans="1:5">
      <c r="A233" s="121"/>
      <c r="B233" s="121"/>
      <c r="C233" s="121"/>
      <c r="D233" s="121"/>
      <c r="E233" s="121"/>
    </row>
    <row r="234" spans="1:5">
      <c r="A234" s="121"/>
      <c r="B234" s="121"/>
      <c r="C234" s="121"/>
      <c r="D234" s="121"/>
      <c r="E234" s="121"/>
    </row>
    <row r="235" spans="1:5">
      <c r="A235" s="121"/>
      <c r="B235" s="121"/>
      <c r="C235" s="121"/>
      <c r="D235" s="121"/>
      <c r="E235" s="121"/>
    </row>
    <row r="236" spans="1:5">
      <c r="A236" s="121"/>
      <c r="B236" s="121"/>
      <c r="C236" s="121"/>
      <c r="D236" s="121"/>
      <c r="E236" s="121"/>
    </row>
    <row r="237" spans="1:5">
      <c r="A237" s="121"/>
      <c r="B237" s="121"/>
      <c r="C237" s="121"/>
      <c r="D237" s="121"/>
      <c r="E237" s="121"/>
    </row>
    <row r="238" spans="1:5">
      <c r="A238" s="121"/>
      <c r="B238" s="121"/>
      <c r="C238" s="121"/>
      <c r="D238" s="121"/>
      <c r="E238" s="121"/>
    </row>
    <row r="239" spans="1:5">
      <c r="A239" s="121"/>
      <c r="B239" s="121"/>
      <c r="C239" s="121"/>
      <c r="D239" s="121"/>
      <c r="E239" s="121"/>
    </row>
    <row r="240" spans="1:5">
      <c r="A240" s="121"/>
      <c r="B240" s="121"/>
      <c r="C240" s="121"/>
      <c r="D240" s="121"/>
      <c r="E240" s="121"/>
    </row>
    <row r="241" spans="1:5">
      <c r="A241" s="121"/>
      <c r="B241" s="121"/>
      <c r="C241" s="121"/>
      <c r="D241" s="121"/>
      <c r="E241" s="121"/>
    </row>
    <row r="242" spans="1:5">
      <c r="A242" s="121"/>
      <c r="B242" s="121"/>
      <c r="C242" s="121"/>
      <c r="D242" s="121"/>
      <c r="E242" s="121"/>
    </row>
    <row r="243" spans="1:5">
      <c r="A243" s="121"/>
      <c r="B243" s="121"/>
      <c r="C243" s="121"/>
      <c r="D243" s="121"/>
      <c r="E243" s="121"/>
    </row>
    <row r="244" spans="1:5">
      <c r="A244" s="121"/>
      <c r="B244" s="121"/>
      <c r="C244" s="121"/>
      <c r="D244" s="121"/>
      <c r="E244" s="121"/>
    </row>
    <row r="245" spans="1:5">
      <c r="A245" s="121"/>
      <c r="B245" s="121"/>
      <c r="C245" s="121"/>
      <c r="D245" s="121"/>
      <c r="E245" s="121"/>
    </row>
    <row r="246" spans="1:5">
      <c r="A246" s="121"/>
      <c r="B246" s="121"/>
      <c r="C246" s="121"/>
      <c r="D246" s="121"/>
      <c r="E246" s="121"/>
    </row>
    <row r="247" spans="1:5">
      <c r="A247" s="121"/>
      <c r="B247" s="121"/>
      <c r="C247" s="121"/>
      <c r="D247" s="121"/>
      <c r="E247" s="121"/>
    </row>
    <row r="248" spans="1:5">
      <c r="A248" s="121"/>
      <c r="B248" s="121"/>
      <c r="C248" s="121"/>
      <c r="D248" s="121"/>
      <c r="E248" s="121"/>
    </row>
    <row r="249" spans="1:5">
      <c r="A249" s="121"/>
      <c r="B249" s="121"/>
      <c r="C249" s="121"/>
      <c r="D249" s="121"/>
      <c r="E249" s="121"/>
    </row>
    <row r="250" spans="1:5">
      <c r="A250" s="121"/>
      <c r="B250" s="121"/>
      <c r="C250" s="121"/>
      <c r="D250" s="121"/>
      <c r="E250" s="121"/>
    </row>
    <row r="251" spans="1:5">
      <c r="A251" s="121"/>
      <c r="B251" s="121"/>
      <c r="C251" s="121"/>
      <c r="D251" s="121"/>
      <c r="E251" s="121"/>
    </row>
    <row r="252" spans="1:5">
      <c r="A252" s="121"/>
      <c r="B252" s="121"/>
      <c r="C252" s="121"/>
      <c r="D252" s="121"/>
      <c r="E252" s="121"/>
    </row>
    <row r="253" spans="1:5">
      <c r="A253" s="121"/>
      <c r="B253" s="121"/>
      <c r="C253" s="121"/>
      <c r="D253" s="121"/>
      <c r="E253" s="121"/>
    </row>
    <row r="254" spans="1:5">
      <c r="A254" s="121"/>
      <c r="B254" s="121"/>
      <c r="C254" s="121"/>
      <c r="D254" s="121"/>
      <c r="E254" s="121"/>
    </row>
    <row r="255" spans="1:5">
      <c r="A255" s="121"/>
      <c r="B255" s="121"/>
      <c r="C255" s="121"/>
      <c r="D255" s="121"/>
      <c r="E255" s="121"/>
    </row>
    <row r="256" spans="1:5">
      <c r="A256" s="121"/>
      <c r="B256" s="121"/>
      <c r="C256" s="121"/>
      <c r="D256" s="121"/>
      <c r="E256" s="121"/>
    </row>
    <row r="257" spans="1:5">
      <c r="A257" s="121"/>
      <c r="B257" s="121"/>
      <c r="C257" s="121"/>
      <c r="D257" s="121"/>
      <c r="E257" s="121"/>
    </row>
    <row r="258" spans="1:5">
      <c r="A258" s="121"/>
      <c r="B258" s="121"/>
      <c r="C258" s="121"/>
      <c r="D258" s="121"/>
      <c r="E258" s="121"/>
    </row>
    <row r="259" spans="1:5">
      <c r="A259" s="121"/>
      <c r="B259" s="121"/>
      <c r="C259" s="121"/>
      <c r="D259" s="121"/>
      <c r="E259" s="121"/>
    </row>
    <row r="260" spans="1:5">
      <c r="A260" s="121"/>
      <c r="B260" s="121"/>
      <c r="C260" s="121"/>
      <c r="D260" s="121"/>
      <c r="E260" s="121"/>
    </row>
    <row r="261" spans="1:5">
      <c r="A261" s="121"/>
      <c r="B261" s="121"/>
      <c r="C261" s="121"/>
      <c r="D261" s="121"/>
      <c r="E261" s="121"/>
    </row>
    <row r="262" spans="1:5">
      <c r="A262" s="121"/>
      <c r="B262" s="121"/>
      <c r="C262" s="121"/>
      <c r="D262" s="121"/>
      <c r="E262" s="121"/>
    </row>
    <row r="263" spans="1:5">
      <c r="A263" s="121"/>
      <c r="B263" s="121"/>
      <c r="C263" s="121"/>
      <c r="D263" s="121"/>
      <c r="E263" s="121"/>
    </row>
    <row r="264" spans="1:5">
      <c r="A264" s="121"/>
      <c r="B264" s="121"/>
      <c r="C264" s="121"/>
      <c r="D264" s="121"/>
      <c r="E264" s="121"/>
    </row>
    <row r="265" spans="1:5">
      <c r="A265" s="121"/>
      <c r="B265" s="121"/>
      <c r="C265" s="121"/>
      <c r="D265" s="121"/>
      <c r="E265" s="121"/>
    </row>
    <row r="266" spans="1:5">
      <c r="A266" s="121"/>
      <c r="B266" s="121"/>
      <c r="C266" s="121"/>
      <c r="D266" s="121"/>
      <c r="E266" s="121"/>
    </row>
    <row r="267" spans="1:5">
      <c r="A267" s="121"/>
      <c r="B267" s="121"/>
      <c r="C267" s="121"/>
      <c r="D267" s="121"/>
      <c r="E267" s="121"/>
    </row>
    <row r="268" spans="1:5">
      <c r="A268" s="121"/>
      <c r="B268" s="121"/>
      <c r="C268" s="121"/>
      <c r="D268" s="121"/>
      <c r="E268" s="121"/>
    </row>
    <row r="269" spans="1:5">
      <c r="A269" s="121"/>
      <c r="B269" s="121"/>
      <c r="C269" s="121"/>
      <c r="D269" s="121"/>
      <c r="E269" s="121"/>
    </row>
    <row r="270" spans="1:5">
      <c r="A270" s="121"/>
      <c r="B270" s="121"/>
      <c r="C270" s="121"/>
      <c r="D270" s="121"/>
      <c r="E270" s="121"/>
    </row>
    <row r="271" spans="1:5">
      <c r="A271" s="121"/>
      <c r="B271" s="121"/>
      <c r="C271" s="121"/>
      <c r="D271" s="121"/>
      <c r="E271" s="121"/>
    </row>
    <row r="272" spans="1:5">
      <c r="A272" s="121"/>
      <c r="B272" s="121"/>
      <c r="C272" s="121"/>
      <c r="D272" s="121"/>
      <c r="E272" s="121"/>
    </row>
    <row r="273" spans="1:5">
      <c r="A273" s="121"/>
      <c r="B273" s="121"/>
      <c r="C273" s="121"/>
      <c r="D273" s="121"/>
      <c r="E273" s="121"/>
    </row>
    <row r="274" spans="1:5">
      <c r="A274" s="121"/>
      <c r="B274" s="121"/>
      <c r="C274" s="121"/>
      <c r="D274" s="121"/>
      <c r="E274" s="121"/>
    </row>
    <row r="275" spans="1:5">
      <c r="A275" s="121"/>
      <c r="B275" s="121"/>
      <c r="C275" s="121"/>
      <c r="D275" s="121"/>
      <c r="E275" s="121"/>
    </row>
    <row r="276" spans="1:5">
      <c r="A276" s="121"/>
      <c r="B276" s="121"/>
      <c r="C276" s="121"/>
      <c r="D276" s="121"/>
      <c r="E276" s="121"/>
    </row>
    <row r="277" spans="1:5">
      <c r="A277" s="121"/>
      <c r="B277" s="121"/>
      <c r="C277" s="121"/>
      <c r="D277" s="121"/>
      <c r="E277" s="121"/>
    </row>
    <row r="278" spans="1:5">
      <c r="A278" s="121"/>
      <c r="B278" s="121"/>
      <c r="C278" s="121"/>
      <c r="D278" s="121"/>
      <c r="E278" s="121"/>
    </row>
    <row r="279" spans="1:5">
      <c r="A279" s="121"/>
      <c r="B279" s="121"/>
      <c r="C279" s="121"/>
      <c r="D279" s="121"/>
      <c r="E279" s="121"/>
    </row>
    <row r="280" spans="1:5">
      <c r="A280" s="121"/>
      <c r="B280" s="121"/>
      <c r="C280" s="121"/>
      <c r="D280" s="121"/>
      <c r="E280" s="121"/>
    </row>
    <row r="281" spans="1:5">
      <c r="A281" s="121"/>
      <c r="B281" s="121"/>
      <c r="C281" s="121"/>
      <c r="D281" s="121"/>
      <c r="E281" s="121"/>
    </row>
    <row r="282" spans="1:5">
      <c r="A282" s="121"/>
      <c r="B282" s="121"/>
      <c r="C282" s="121"/>
      <c r="D282" s="121"/>
      <c r="E282" s="121"/>
    </row>
    <row r="283" spans="1:5">
      <c r="A283" s="121"/>
      <c r="B283" s="121"/>
      <c r="C283" s="121"/>
      <c r="D283" s="121"/>
      <c r="E283" s="121"/>
    </row>
    <row r="284" spans="1:5">
      <c r="A284" s="121"/>
      <c r="B284" s="121"/>
      <c r="C284" s="121"/>
      <c r="D284" s="121"/>
      <c r="E284" s="121"/>
    </row>
    <row r="285" spans="1:5">
      <c r="A285" s="121"/>
      <c r="B285" s="121"/>
      <c r="C285" s="121"/>
      <c r="D285" s="121"/>
      <c r="E285" s="121"/>
    </row>
    <row r="286" spans="1:5">
      <c r="A286" s="121"/>
      <c r="B286" s="121"/>
      <c r="C286" s="121"/>
      <c r="D286" s="121"/>
      <c r="E286" s="121"/>
    </row>
    <row r="287" spans="1:5">
      <c r="A287" s="121"/>
      <c r="B287" s="121"/>
      <c r="C287" s="121"/>
      <c r="D287" s="121"/>
      <c r="E287" s="121"/>
    </row>
    <row r="288" spans="1:5">
      <c r="A288" s="121"/>
      <c r="B288" s="121"/>
      <c r="C288" s="121"/>
      <c r="D288" s="121"/>
      <c r="E288" s="121"/>
    </row>
    <row r="289" spans="1:5">
      <c r="A289" s="121"/>
      <c r="B289" s="121"/>
      <c r="C289" s="121"/>
      <c r="D289" s="121"/>
      <c r="E289" s="121"/>
    </row>
    <row r="290" spans="1:5">
      <c r="A290" s="121"/>
      <c r="B290" s="121"/>
      <c r="C290" s="121"/>
      <c r="D290" s="121"/>
      <c r="E290" s="121"/>
    </row>
    <row r="291" spans="1:5">
      <c r="A291" s="121"/>
      <c r="B291" s="121"/>
      <c r="C291" s="121"/>
      <c r="D291" s="121"/>
      <c r="E291" s="121"/>
    </row>
    <row r="292" spans="1:5">
      <c r="A292" s="121"/>
      <c r="B292" s="121"/>
      <c r="C292" s="121"/>
      <c r="D292" s="121"/>
      <c r="E292" s="121"/>
    </row>
    <row r="293" spans="1:5">
      <c r="A293" s="121"/>
      <c r="B293" s="121"/>
      <c r="C293" s="121"/>
      <c r="D293" s="121"/>
      <c r="E293" s="121"/>
    </row>
    <row r="294" spans="1:5">
      <c r="A294" s="121"/>
      <c r="B294" s="121"/>
      <c r="C294" s="121"/>
      <c r="D294" s="121"/>
      <c r="E294" s="121"/>
    </row>
    <row r="295" spans="1:5">
      <c r="A295" s="121"/>
      <c r="B295" s="121"/>
      <c r="C295" s="121"/>
      <c r="D295" s="121"/>
      <c r="E295" s="121"/>
    </row>
    <row r="296" spans="1:5">
      <c r="A296" s="121"/>
      <c r="B296" s="121"/>
      <c r="C296" s="121"/>
      <c r="D296" s="121"/>
      <c r="E296" s="12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2:D23"/>
  <sheetViews>
    <sheetView view="pageBreakPreview" zoomScale="130" zoomScaleNormal="160" zoomScaleSheetLayoutView="130" workbookViewId="0">
      <selection activeCell="H23" sqref="H23"/>
    </sheetView>
  </sheetViews>
  <sheetFormatPr defaultRowHeight="15"/>
  <cols>
    <col min="1" max="1" width="7.28515625" bestFit="1" customWidth="1"/>
    <col min="2" max="2" width="38.7109375" bestFit="1" customWidth="1"/>
    <col min="3" max="3" width="13.42578125" style="7" customWidth="1"/>
  </cols>
  <sheetData>
    <row r="2" spans="1:4" ht="11.25" customHeight="1">
      <c r="A2" s="4"/>
      <c r="B2" s="5" t="s">
        <v>11</v>
      </c>
      <c r="C2" s="11"/>
    </row>
    <row r="3" spans="1:4" ht="11.25" customHeight="1"/>
    <row r="4" spans="1:4" ht="11.25" customHeight="1">
      <c r="A4" s="1" t="s">
        <v>12</v>
      </c>
      <c r="B4" s="2" t="s">
        <v>13</v>
      </c>
      <c r="C4" s="8"/>
    </row>
    <row r="5" spans="1:4" ht="11.25" customHeight="1">
      <c r="A5" s="3" t="str">
        <f>'A.GRAĐEVINSKI RADOVI'!A417</f>
        <v>A.01.</v>
      </c>
      <c r="B5" s="3" t="str">
        <f>'A.GRAĐEVINSKI RADOVI'!B417</f>
        <v>PRIPREMNI I GEODETSKI RADOVI UKUPNO:</v>
      </c>
      <c r="C5" s="9">
        <f>'A.GRAĐEVINSKI RADOVI'!F417</f>
        <v>0</v>
      </c>
      <c r="D5" s="6"/>
    </row>
    <row r="6" spans="1:4" ht="11.25" customHeight="1">
      <c r="A6" s="3" t="str">
        <f>'A.GRAĐEVINSKI RADOVI'!A418</f>
        <v>A.02.</v>
      </c>
      <c r="B6" s="3" t="str">
        <f>'A.GRAĐEVINSKI RADOVI'!B418</f>
        <v>ZEMLJANI RADOVI UKUPNO:</v>
      </c>
      <c r="C6" s="9">
        <f>'A.GRAĐEVINSKI RADOVI'!F418</f>
        <v>0</v>
      </c>
      <c r="D6" s="6"/>
    </row>
    <row r="7" spans="1:4" ht="11.25" customHeight="1">
      <c r="A7" s="3" t="str">
        <f>'A.GRAĐEVINSKI RADOVI'!A419</f>
        <v>A.03.</v>
      </c>
      <c r="B7" s="3" t="str">
        <f>'A.GRAĐEVINSKI RADOVI'!B419</f>
        <v>BETONSKI I ARMIRANOBETONSKI RADOVI UKUPNO:</v>
      </c>
      <c r="C7" s="9">
        <f>'A.GRAĐEVINSKI RADOVI'!F419</f>
        <v>0</v>
      </c>
      <c r="D7" s="6"/>
    </row>
    <row r="8" spans="1:4" ht="11.25" customHeight="1">
      <c r="A8" s="3" t="str">
        <f>'A.GRAĐEVINSKI RADOVI'!A420</f>
        <v>A.04.</v>
      </c>
      <c r="B8" s="3" t="str">
        <f>'A.GRAĐEVINSKI RADOVI'!B420</f>
        <v>ARMIRAČKI RADOVI UKUPNO:</v>
      </c>
      <c r="C8" s="9">
        <f>'A.GRAĐEVINSKI RADOVI'!F420</f>
        <v>0</v>
      </c>
      <c r="D8" s="6"/>
    </row>
    <row r="9" spans="1:4" ht="11.25" customHeight="1">
      <c r="A9" s="3" t="str">
        <f>'A.GRAĐEVINSKI RADOVI'!A421</f>
        <v>A.05.</v>
      </c>
      <c r="B9" s="3" t="str">
        <f>'A.GRAĐEVINSKI RADOVI'!B421</f>
        <v>IZOLATERSKI RADOVI UKUPNO:</v>
      </c>
      <c r="C9" s="9">
        <f>'A.GRAĐEVINSKI RADOVI'!F421</f>
        <v>0</v>
      </c>
      <c r="D9" s="6"/>
    </row>
    <row r="10" spans="1:4" ht="11.25" customHeight="1">
      <c r="A10" s="3" t="str">
        <f>'A.GRAĐEVINSKI RADOVI'!A422</f>
        <v>A.06.</v>
      </c>
      <c r="B10" s="3" t="str">
        <f>'A.GRAĐEVINSKI RADOVI'!B422</f>
        <v>ZIDARSKO - FASADERSKI RADOVI UKUPNO:</v>
      </c>
      <c r="C10" s="9">
        <f>'A.GRAĐEVINSKI RADOVI'!C422</f>
        <v>0</v>
      </c>
      <c r="D10" s="6"/>
    </row>
    <row r="11" spans="1:4" ht="11.25" customHeight="1">
      <c r="A11" s="3" t="str">
        <f>'A.GRAĐEVINSKI RADOVI'!A423</f>
        <v>A.07.</v>
      </c>
      <c r="B11" s="3" t="str">
        <f>'A.GRAĐEVINSKI RADOVI'!B423</f>
        <v>LIMARSKI RADOVI UKUPNO:</v>
      </c>
      <c r="C11" s="9">
        <f>'A.GRAĐEVINSKI RADOVI'!F423</f>
        <v>0</v>
      </c>
      <c r="D11" s="6"/>
    </row>
    <row r="12" spans="1:4" ht="11.25" customHeight="1">
      <c r="A12" s="1" t="s">
        <v>12</v>
      </c>
      <c r="B12" s="2" t="s">
        <v>14</v>
      </c>
      <c r="C12" s="8">
        <f>SUM(C5:C9)</f>
        <v>0</v>
      </c>
    </row>
    <row r="13" spans="1:4" ht="11.25" customHeight="1">
      <c r="C13" s="10"/>
    </row>
    <row r="14" spans="1:4" ht="11.25" customHeight="1">
      <c r="A14" s="1" t="s">
        <v>15</v>
      </c>
      <c r="B14" s="2" t="s">
        <v>16</v>
      </c>
      <c r="C14" s="8"/>
    </row>
    <row r="15" spans="1:4" ht="11.25" customHeight="1">
      <c r="A15" s="3" t="str">
        <f>'B.OBRTNIČKI RADOVI'!A457</f>
        <v>B.01.</v>
      </c>
      <c r="B15" s="3" t="str">
        <f>'B.OBRTNIČKI RADOVI'!B457</f>
        <v>ZAVRŠNO MONTAŽERSKI RADOVI UKUPNO:</v>
      </c>
      <c r="C15" s="9">
        <f>'B.OBRTNIČKI RADOVI'!C457</f>
        <v>0</v>
      </c>
      <c r="D15" s="6"/>
    </row>
    <row r="16" spans="1:4" ht="11.25" customHeight="1">
      <c r="A16" s="3" t="str">
        <f>'B.OBRTNIČKI RADOVI'!A458</f>
        <v>B.02.</v>
      </c>
      <c r="B16" s="3" t="str">
        <f>'B.OBRTNIČKI RADOVI'!B458</f>
        <v>KERAMIČARSKI RADOVI UKUPNO:</v>
      </c>
      <c r="C16" s="9">
        <f>'B.OBRTNIČKI RADOVI'!C458</f>
        <v>0</v>
      </c>
      <c r="D16" s="6"/>
    </row>
    <row r="17" spans="1:4" ht="11.25" customHeight="1">
      <c r="A17" s="3" t="str">
        <f>'B.OBRTNIČKI RADOVI'!A459</f>
        <v>B.03.</v>
      </c>
      <c r="B17" s="3" t="str">
        <f>'B.OBRTNIČKI RADOVI'!B459</f>
        <v>PODOPOLAGAČKI RADOVI UKUPNO:</v>
      </c>
      <c r="C17" s="9">
        <f>'B.OBRTNIČKI RADOVI'!C459</f>
        <v>0</v>
      </c>
      <c r="D17" s="6"/>
    </row>
    <row r="18" spans="1:4" ht="11.25" customHeight="1">
      <c r="A18" s="3" t="str">
        <f>'B.OBRTNIČKI RADOVI'!A460</f>
        <v>B.04.</v>
      </c>
      <c r="B18" s="3" t="str">
        <f>'B.OBRTNIČKI RADOVI'!B460</f>
        <v>SOBOSLIKARSKO LIČILAČKI RADOVI UKUPNO:</v>
      </c>
      <c r="C18" s="9">
        <f>'B.OBRTNIČKI RADOVI'!C460</f>
        <v>0</v>
      </c>
      <c r="D18" s="6"/>
    </row>
    <row r="19" spans="1:4" ht="11.25" customHeight="1">
      <c r="A19" s="3" t="str">
        <f>'B.OBRTNIČKI RADOVI'!A461</f>
        <v>B.05.</v>
      </c>
      <c r="B19" s="3" t="str">
        <f>'B.OBRTNIČKI RADOVI'!B461</f>
        <v>STOLARSKI RADOVI UKUPNO:</v>
      </c>
      <c r="C19" s="9">
        <f>'B.OBRTNIČKI RADOVI'!C461</f>
        <v>0</v>
      </c>
      <c r="D19" s="6"/>
    </row>
    <row r="20" spans="1:4" ht="11.25" customHeight="1">
      <c r="A20" s="3" t="str">
        <f>'B.OBRTNIČKI RADOVI'!A462</f>
        <v>B.06.</v>
      </c>
      <c r="B20" s="3" t="str">
        <f>'B.OBRTNIČKI RADOVI'!B462</f>
        <v>BRAVARSKI RADOVI UKUPNO:</v>
      </c>
      <c r="C20" s="9">
        <f>'B.OBRTNIČKI RADOVI'!C462</f>
        <v>0</v>
      </c>
      <c r="D20" s="6"/>
    </row>
    <row r="21" spans="1:4" ht="11.25" customHeight="1">
      <c r="A21" s="1" t="s">
        <v>15</v>
      </c>
      <c r="B21" s="2" t="s">
        <v>14</v>
      </c>
      <c r="C21" s="8">
        <f>SUM(C15:C16)</f>
        <v>0</v>
      </c>
    </row>
    <row r="22" spans="1:4" ht="11.25" customHeight="1">
      <c r="C22" s="10"/>
    </row>
    <row r="23" spans="1:4" ht="11.25" customHeight="1">
      <c r="A23" s="4"/>
      <c r="B23" s="5" t="s">
        <v>17</v>
      </c>
      <c r="C23" s="11">
        <f>C21+C12</f>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Z427"/>
  <sheetViews>
    <sheetView view="pageBreakPreview" topLeftCell="A405" zoomScaleNormal="100" zoomScaleSheetLayoutView="100" workbookViewId="0">
      <selection activeCell="E409" sqref="E409"/>
    </sheetView>
  </sheetViews>
  <sheetFormatPr defaultColWidth="14.42578125" defaultRowHeight="11.25"/>
  <cols>
    <col min="1" max="1" width="7.85546875" style="128" customWidth="1"/>
    <col min="2" max="2" width="42.42578125" style="128" customWidth="1"/>
    <col min="3" max="3" width="6.7109375" style="188" customWidth="1"/>
    <col min="4" max="5" width="10.7109375" style="161" customWidth="1"/>
    <col min="6" max="6" width="10.7109375" style="162" customWidth="1"/>
    <col min="7" max="7" width="10.7109375" style="128" customWidth="1"/>
    <col min="8" max="8" width="14.42578125" style="127" customWidth="1"/>
    <col min="9" max="9" width="14.42578125" style="128" customWidth="1"/>
    <col min="10" max="16384" width="14.42578125" style="128"/>
  </cols>
  <sheetData>
    <row r="1" spans="1:26" ht="12.75" customHeight="1">
      <c r="A1" s="806" t="s">
        <v>18</v>
      </c>
      <c r="B1" s="800" t="s">
        <v>19</v>
      </c>
      <c r="C1" s="800" t="s">
        <v>20</v>
      </c>
      <c r="D1" s="804" t="s">
        <v>21</v>
      </c>
      <c r="E1" s="802" t="s">
        <v>22</v>
      </c>
      <c r="F1" s="805" t="s">
        <v>23</v>
      </c>
      <c r="G1" s="800" t="s">
        <v>24</v>
      </c>
    </row>
    <row r="2" spans="1:26" ht="12.75" customHeight="1">
      <c r="A2" s="801"/>
      <c r="B2" s="801"/>
      <c r="C2" s="801"/>
      <c r="D2" s="801"/>
      <c r="E2" s="803"/>
      <c r="F2" s="801"/>
      <c r="G2" s="801"/>
    </row>
    <row r="3" spans="1:26" ht="11.25" customHeight="1">
      <c r="A3" s="129"/>
      <c r="B3" s="17"/>
      <c r="C3" s="130"/>
      <c r="D3" s="16"/>
      <c r="E3" s="16"/>
      <c r="F3" s="62"/>
      <c r="G3" s="77"/>
    </row>
    <row r="4" spans="1:26" ht="11.25" customHeight="1">
      <c r="A4" s="42" t="s">
        <v>12</v>
      </c>
      <c r="B4" s="43" t="s">
        <v>13</v>
      </c>
      <c r="C4" s="44"/>
      <c r="D4" s="45"/>
      <c r="E4" s="45"/>
      <c r="F4" s="46"/>
      <c r="G4" s="47"/>
    </row>
    <row r="5" spans="1:26" ht="11.25" customHeight="1">
      <c r="A5" s="131"/>
      <c r="B5" s="100"/>
      <c r="C5" s="132"/>
      <c r="D5" s="76"/>
      <c r="E5" s="76"/>
      <c r="F5" s="68"/>
      <c r="G5" s="133"/>
    </row>
    <row r="6" spans="1:26" s="140" customFormat="1" ht="45" customHeight="1">
      <c r="A6" s="134"/>
      <c r="B6" s="15" t="s">
        <v>25</v>
      </c>
      <c r="C6" s="135"/>
      <c r="D6" s="136"/>
      <c r="E6" s="137"/>
      <c r="F6" s="70"/>
      <c r="G6" s="138"/>
      <c r="H6" s="139"/>
    </row>
    <row r="7" spans="1:26" s="140" customFormat="1">
      <c r="A7" s="134"/>
      <c r="B7" s="15"/>
      <c r="C7" s="135"/>
      <c r="D7" s="136"/>
      <c r="E7" s="137"/>
      <c r="F7" s="70"/>
      <c r="G7" s="138"/>
      <c r="H7" s="139"/>
    </row>
    <row r="8" spans="1:26" s="57" customFormat="1" ht="11.25" customHeight="1">
      <c r="A8" s="50" t="s">
        <v>26</v>
      </c>
      <c r="B8" s="170" t="s">
        <v>27</v>
      </c>
      <c r="C8" s="51"/>
      <c r="D8" s="52"/>
      <c r="E8" s="53"/>
      <c r="F8" s="54"/>
      <c r="G8" s="55"/>
      <c r="H8" s="56"/>
    </row>
    <row r="9" spans="1:26" s="66" customFormat="1" ht="11.25" customHeight="1">
      <c r="A9" s="58"/>
      <c r="B9" s="59"/>
      <c r="C9" s="60"/>
      <c r="D9" s="61"/>
      <c r="E9" s="16"/>
      <c r="F9" s="62"/>
      <c r="G9" s="63"/>
      <c r="H9" s="64"/>
      <c r="I9" s="65"/>
      <c r="J9" s="65"/>
      <c r="K9" s="65"/>
      <c r="L9" s="65"/>
      <c r="M9" s="65"/>
      <c r="N9" s="65"/>
      <c r="O9" s="65"/>
      <c r="P9" s="65"/>
      <c r="Q9" s="65"/>
      <c r="R9" s="65"/>
      <c r="S9" s="65"/>
      <c r="T9" s="65"/>
      <c r="U9" s="65"/>
      <c r="V9" s="65"/>
      <c r="W9" s="65"/>
      <c r="X9" s="65"/>
      <c r="Y9" s="65"/>
      <c r="Z9" s="65"/>
    </row>
    <row r="10" spans="1:26" s="66" customFormat="1" ht="11.25" customHeight="1">
      <c r="A10" s="58">
        <v>1</v>
      </c>
      <c r="B10" s="12" t="s">
        <v>28</v>
      </c>
      <c r="C10" s="60"/>
      <c r="D10" s="61"/>
      <c r="E10" s="16"/>
      <c r="F10" s="62"/>
      <c r="G10" s="63"/>
      <c r="H10" s="64"/>
      <c r="I10" s="65"/>
      <c r="J10" s="65"/>
      <c r="K10" s="65"/>
      <c r="L10" s="65"/>
      <c r="M10" s="65"/>
      <c r="N10" s="65"/>
      <c r="O10" s="65"/>
      <c r="P10" s="65"/>
      <c r="Q10" s="65"/>
      <c r="R10" s="65"/>
      <c r="S10" s="65"/>
      <c r="T10" s="65"/>
      <c r="U10" s="65"/>
      <c r="V10" s="65"/>
      <c r="W10" s="65"/>
      <c r="X10" s="65"/>
      <c r="Y10" s="65"/>
      <c r="Z10" s="65"/>
    </row>
    <row r="11" spans="1:26" s="66" customFormat="1" ht="67.5" customHeight="1">
      <c r="A11" s="196"/>
      <c r="B11" s="169" t="s">
        <v>29</v>
      </c>
      <c r="C11" s="60"/>
      <c r="D11" s="61"/>
      <c r="E11" s="16"/>
      <c r="F11" s="62"/>
      <c r="G11" s="63"/>
      <c r="H11" s="64"/>
      <c r="I11" s="65"/>
      <c r="J11" s="65"/>
      <c r="K11" s="65"/>
      <c r="L11" s="65"/>
      <c r="M11" s="65"/>
      <c r="N11" s="65"/>
      <c r="O11" s="65"/>
      <c r="P11" s="65"/>
      <c r="Q11" s="65"/>
      <c r="R11" s="65"/>
      <c r="S11" s="65"/>
      <c r="T11" s="65"/>
      <c r="U11" s="65"/>
      <c r="V11" s="65"/>
      <c r="W11" s="65"/>
      <c r="X11" s="65"/>
      <c r="Y11" s="65"/>
      <c r="Z11" s="65"/>
    </row>
    <row r="12" spans="1:26" s="66" customFormat="1" ht="33.75" customHeight="1">
      <c r="A12" s="196"/>
      <c r="B12" s="169" t="s">
        <v>30</v>
      </c>
      <c r="C12" s="60"/>
      <c r="D12" s="61"/>
      <c r="E12" s="16"/>
      <c r="F12" s="62"/>
      <c r="G12" s="63"/>
      <c r="H12" s="64"/>
      <c r="I12" s="65"/>
      <c r="J12" s="65"/>
      <c r="K12" s="65"/>
      <c r="L12" s="65"/>
      <c r="M12" s="65"/>
      <c r="N12" s="65"/>
      <c r="O12" s="65"/>
      <c r="P12" s="65"/>
      <c r="Q12" s="65"/>
      <c r="R12" s="65"/>
      <c r="S12" s="65"/>
      <c r="T12" s="65"/>
      <c r="U12" s="65"/>
      <c r="V12" s="65"/>
      <c r="W12" s="65"/>
      <c r="X12" s="65"/>
      <c r="Y12" s="65"/>
      <c r="Z12" s="65"/>
    </row>
    <row r="13" spans="1:26" s="66" customFormat="1" ht="56.25" customHeight="1">
      <c r="A13" s="196"/>
      <c r="B13" s="169" t="s">
        <v>31</v>
      </c>
      <c r="C13" s="60"/>
      <c r="D13" s="61"/>
      <c r="E13" s="16"/>
      <c r="F13" s="62"/>
      <c r="G13" s="63"/>
      <c r="H13" s="64"/>
      <c r="I13" s="65"/>
      <c r="J13" s="65"/>
      <c r="K13" s="65"/>
      <c r="L13" s="65"/>
      <c r="M13" s="65"/>
      <c r="N13" s="65"/>
      <c r="O13" s="65"/>
      <c r="P13" s="65"/>
      <c r="Q13" s="65"/>
      <c r="R13" s="65"/>
      <c r="S13" s="65"/>
      <c r="T13" s="65"/>
      <c r="U13" s="65"/>
      <c r="V13" s="65"/>
      <c r="W13" s="65"/>
      <c r="X13" s="65"/>
      <c r="Y13" s="65"/>
      <c r="Z13" s="65"/>
    </row>
    <row r="14" spans="1:26" s="66" customFormat="1" ht="11.25" customHeight="1">
      <c r="A14" s="196"/>
      <c r="B14" s="146" t="s">
        <v>32</v>
      </c>
      <c r="C14" s="60" t="s">
        <v>33</v>
      </c>
      <c r="D14" s="61">
        <v>1</v>
      </c>
      <c r="E14" s="16"/>
      <c r="F14" s="74">
        <f>D14*E14</f>
        <v>0</v>
      </c>
      <c r="G14" s="63"/>
      <c r="H14" s="64"/>
      <c r="I14" s="65"/>
      <c r="J14" s="65"/>
      <c r="K14" s="65"/>
      <c r="L14" s="65"/>
      <c r="M14" s="65"/>
      <c r="N14" s="65"/>
      <c r="O14" s="65"/>
      <c r="P14" s="65"/>
      <c r="Q14" s="65"/>
      <c r="R14" s="65"/>
      <c r="S14" s="65"/>
      <c r="T14" s="65"/>
      <c r="U14" s="65"/>
      <c r="V14" s="65"/>
      <c r="W14" s="65"/>
      <c r="X14" s="65"/>
      <c r="Y14" s="65"/>
      <c r="Z14" s="65"/>
    </row>
    <row r="15" spans="1:26" s="57" customFormat="1" ht="11.25" customHeight="1">
      <c r="A15" s="197"/>
      <c r="B15" s="59"/>
      <c r="C15" s="180"/>
      <c r="D15" s="141"/>
      <c r="E15" s="16"/>
      <c r="F15" s="62"/>
      <c r="G15" s="189"/>
      <c r="H15" s="64"/>
      <c r="I15" s="230"/>
      <c r="J15" s="230"/>
      <c r="K15" s="230"/>
      <c r="L15" s="230"/>
      <c r="M15" s="230"/>
      <c r="N15" s="230"/>
      <c r="O15" s="230"/>
      <c r="P15" s="230"/>
      <c r="Q15" s="230"/>
      <c r="R15" s="230"/>
      <c r="S15" s="230"/>
      <c r="T15" s="230"/>
      <c r="U15" s="230"/>
      <c r="V15" s="230"/>
      <c r="W15" s="230"/>
      <c r="X15" s="230"/>
      <c r="Y15" s="230"/>
      <c r="Z15" s="230"/>
    </row>
    <row r="16" spans="1:26" s="57" customFormat="1" ht="11.25" customHeight="1">
      <c r="A16" s="197">
        <f>IF(B16&gt;0,MAX(A$10:A15)+1,"")</f>
        <v>2</v>
      </c>
      <c r="B16" s="231" t="s">
        <v>34</v>
      </c>
      <c r="C16" s="180"/>
      <c r="D16" s="141"/>
      <c r="E16" s="16"/>
      <c r="F16" s="62"/>
      <c r="G16" s="189"/>
      <c r="H16" s="64"/>
      <c r="I16" s="230"/>
      <c r="J16" s="230"/>
      <c r="K16" s="230"/>
      <c r="L16" s="230"/>
      <c r="M16" s="230"/>
      <c r="N16" s="230"/>
      <c r="O16" s="230"/>
      <c r="P16" s="230"/>
      <c r="Q16" s="230"/>
      <c r="R16" s="230"/>
      <c r="S16" s="230"/>
      <c r="T16" s="230"/>
      <c r="U16" s="230"/>
      <c r="V16" s="230"/>
      <c r="W16" s="230"/>
      <c r="X16" s="230"/>
      <c r="Y16" s="230"/>
      <c r="Z16" s="230"/>
    </row>
    <row r="17" spans="1:26" s="57" customFormat="1" ht="90" customHeight="1">
      <c r="A17" s="198"/>
      <c r="B17" s="232" t="s">
        <v>35</v>
      </c>
      <c r="C17" s="180"/>
      <c r="D17" s="141"/>
      <c r="E17" s="16"/>
      <c r="F17" s="62"/>
      <c r="G17" s="189"/>
      <c r="H17" s="64"/>
      <c r="I17" s="230"/>
      <c r="J17" s="230"/>
      <c r="K17" s="230"/>
      <c r="L17" s="230"/>
      <c r="M17" s="230"/>
      <c r="N17" s="230"/>
      <c r="O17" s="230"/>
      <c r="P17" s="230"/>
      <c r="Q17" s="230"/>
      <c r="R17" s="230"/>
      <c r="S17" s="230"/>
      <c r="T17" s="230"/>
      <c r="U17" s="230"/>
      <c r="V17" s="230"/>
      <c r="W17" s="230"/>
      <c r="X17" s="230"/>
      <c r="Y17" s="230"/>
      <c r="Z17" s="230"/>
    </row>
    <row r="18" spans="1:26" s="57" customFormat="1" ht="33.75" customHeight="1">
      <c r="A18" s="198"/>
      <c r="B18" s="232" t="s">
        <v>36</v>
      </c>
      <c r="C18" s="180"/>
      <c r="D18" s="141"/>
      <c r="E18" s="16"/>
      <c r="F18" s="62"/>
      <c r="G18" s="189"/>
      <c r="H18" s="64"/>
      <c r="I18" s="230"/>
      <c r="J18" s="230"/>
      <c r="K18" s="230"/>
      <c r="L18" s="230"/>
      <c r="M18" s="230"/>
      <c r="N18" s="230"/>
      <c r="O18" s="230"/>
      <c r="P18" s="230"/>
      <c r="Q18" s="230"/>
      <c r="R18" s="230"/>
      <c r="S18" s="230"/>
      <c r="T18" s="230"/>
      <c r="U18" s="230"/>
      <c r="V18" s="230"/>
      <c r="W18" s="230"/>
      <c r="X18" s="230"/>
      <c r="Y18" s="230"/>
      <c r="Z18" s="230"/>
    </row>
    <row r="19" spans="1:26" s="57" customFormat="1" ht="11.25" customHeight="1">
      <c r="A19" s="198"/>
      <c r="B19" s="232" t="s">
        <v>37</v>
      </c>
      <c r="C19" s="180" t="s">
        <v>33</v>
      </c>
      <c r="D19" s="141">
        <v>1</v>
      </c>
      <c r="E19" s="16"/>
      <c r="F19" s="74">
        <f>D19*E19</f>
        <v>0</v>
      </c>
      <c r="G19" s="189"/>
      <c r="H19" s="64"/>
      <c r="I19" s="230"/>
      <c r="J19" s="230"/>
      <c r="K19" s="230"/>
      <c r="L19" s="230"/>
      <c r="M19" s="230"/>
      <c r="N19" s="230"/>
      <c r="O19" s="230"/>
      <c r="P19" s="230"/>
      <c r="Q19" s="230"/>
      <c r="R19" s="230"/>
      <c r="S19" s="230"/>
      <c r="T19" s="230"/>
      <c r="U19" s="230"/>
      <c r="V19" s="230"/>
      <c r="W19" s="230"/>
      <c r="X19" s="230"/>
      <c r="Y19" s="230"/>
      <c r="Z19" s="230"/>
    </row>
    <row r="20" spans="1:26" ht="11.25" customHeight="1">
      <c r="A20" s="129"/>
      <c r="B20" s="17"/>
      <c r="C20" s="130"/>
      <c r="D20" s="16"/>
      <c r="E20" s="16"/>
      <c r="F20" s="62"/>
      <c r="G20" s="77"/>
      <c r="H20" s="64"/>
    </row>
    <row r="21" spans="1:26" s="57" customFormat="1" ht="11.25" customHeight="1">
      <c r="A21" s="197">
        <f>IF(B21&gt;0,MAX(A$10:A20)+1,"")</f>
        <v>3</v>
      </c>
      <c r="B21" s="231" t="s">
        <v>38</v>
      </c>
      <c r="C21" s="180"/>
      <c r="D21" s="141"/>
      <c r="E21" s="16"/>
      <c r="F21" s="62"/>
      <c r="G21" s="189"/>
      <c r="H21" s="64"/>
      <c r="I21" s="230"/>
      <c r="J21" s="230"/>
      <c r="K21" s="230"/>
      <c r="L21" s="230"/>
      <c r="M21" s="230"/>
      <c r="N21" s="230"/>
      <c r="O21" s="230"/>
      <c r="P21" s="230"/>
      <c r="Q21" s="230"/>
      <c r="R21" s="230"/>
      <c r="S21" s="230"/>
      <c r="T21" s="230"/>
      <c r="U21" s="230"/>
      <c r="V21" s="230"/>
      <c r="W21" s="230"/>
      <c r="X21" s="230"/>
      <c r="Y21" s="230"/>
      <c r="Z21" s="230"/>
    </row>
    <row r="22" spans="1:26" s="57" customFormat="1" ht="45" customHeight="1">
      <c r="A22" s="198"/>
      <c r="B22" s="232" t="s">
        <v>39</v>
      </c>
      <c r="C22" s="180"/>
      <c r="D22" s="141"/>
      <c r="E22" s="16"/>
      <c r="F22" s="62"/>
      <c r="G22" s="189"/>
      <c r="H22" s="64"/>
      <c r="I22" s="230"/>
      <c r="J22" s="230"/>
      <c r="K22" s="230"/>
      <c r="L22" s="230"/>
      <c r="M22" s="230"/>
      <c r="N22" s="230"/>
      <c r="O22" s="230"/>
      <c r="P22" s="230"/>
      <c r="Q22" s="230"/>
      <c r="R22" s="230"/>
      <c r="S22" s="230"/>
      <c r="T22" s="230"/>
      <c r="U22" s="230"/>
      <c r="V22" s="230"/>
      <c r="W22" s="230"/>
      <c r="X22" s="230"/>
      <c r="Y22" s="230"/>
      <c r="Z22" s="230"/>
    </row>
    <row r="23" spans="1:26" s="57" customFormat="1">
      <c r="A23" s="198"/>
      <c r="B23" s="232" t="s">
        <v>40</v>
      </c>
      <c r="C23" s="180" t="s">
        <v>41</v>
      </c>
      <c r="D23" s="141">
        <v>345</v>
      </c>
      <c r="E23" s="16"/>
      <c r="F23" s="74">
        <f>D23*E23</f>
        <v>0</v>
      </c>
      <c r="G23" s="189"/>
      <c r="H23" s="64"/>
      <c r="I23" s="230"/>
      <c r="J23" s="230"/>
      <c r="K23" s="230"/>
      <c r="L23" s="230"/>
      <c r="M23" s="230"/>
      <c r="N23" s="230"/>
      <c r="O23" s="230"/>
      <c r="P23" s="230"/>
      <c r="Q23" s="230"/>
      <c r="R23" s="230"/>
      <c r="S23" s="230"/>
      <c r="T23" s="230"/>
      <c r="U23" s="230"/>
      <c r="V23" s="230"/>
      <c r="W23" s="230"/>
      <c r="X23" s="230"/>
      <c r="Y23" s="230"/>
      <c r="Z23" s="230"/>
    </row>
    <row r="24" spans="1:26" ht="11.25" customHeight="1">
      <c r="A24" s="129"/>
      <c r="B24" s="17"/>
      <c r="C24" s="130"/>
      <c r="D24" s="16"/>
      <c r="E24" s="16"/>
      <c r="F24" s="62"/>
      <c r="G24" s="77"/>
      <c r="H24" s="64"/>
    </row>
    <row r="25" spans="1:26" s="57" customFormat="1" ht="11.25" customHeight="1">
      <c r="A25" s="199" t="s">
        <v>26</v>
      </c>
      <c r="B25" s="181" t="s">
        <v>42</v>
      </c>
      <c r="C25" s="181"/>
      <c r="D25" s="123"/>
      <c r="E25" s="175"/>
      <c r="F25" s="67">
        <f>SUM(F10:F23)</f>
        <v>0</v>
      </c>
      <c r="G25" s="181"/>
      <c r="H25" s="64"/>
      <c r="I25" s="230"/>
      <c r="J25" s="233"/>
      <c r="K25" s="233"/>
      <c r="L25" s="233"/>
      <c r="M25" s="233"/>
      <c r="N25" s="233"/>
      <c r="O25" s="233"/>
      <c r="P25" s="233"/>
      <c r="Q25" s="233"/>
      <c r="R25" s="233"/>
      <c r="S25" s="233"/>
      <c r="T25" s="233"/>
      <c r="U25" s="233"/>
      <c r="V25" s="233"/>
      <c r="W25" s="233"/>
      <c r="X25" s="233"/>
      <c r="Y25" s="233"/>
      <c r="Z25" s="233"/>
    </row>
    <row r="26" spans="1:26" s="57" customFormat="1" ht="11.25" customHeight="1">
      <c r="A26" s="200"/>
      <c r="B26" s="182"/>
      <c r="C26" s="182"/>
      <c r="D26" s="76"/>
      <c r="E26" s="91"/>
      <c r="F26" s="68"/>
      <c r="G26" s="182"/>
      <c r="H26" s="64"/>
      <c r="I26" s="230"/>
      <c r="J26" s="233"/>
      <c r="K26" s="233"/>
      <c r="L26" s="233"/>
      <c r="M26" s="233"/>
      <c r="N26" s="233"/>
      <c r="O26" s="233"/>
      <c r="P26" s="233"/>
      <c r="Q26" s="233"/>
      <c r="R26" s="233"/>
      <c r="S26" s="233"/>
      <c r="T26" s="233"/>
      <c r="U26" s="233"/>
      <c r="V26" s="233"/>
      <c r="W26" s="233"/>
      <c r="X26" s="233"/>
      <c r="Y26" s="233"/>
      <c r="Z26" s="233"/>
    </row>
    <row r="27" spans="1:26" ht="11.25" customHeight="1">
      <c r="A27" s="201" t="s">
        <v>43</v>
      </c>
      <c r="B27" s="211" t="s">
        <v>44</v>
      </c>
      <c r="C27" s="183"/>
      <c r="D27" s="142"/>
      <c r="E27" s="142"/>
      <c r="F27" s="143"/>
      <c r="G27" s="190"/>
      <c r="H27" s="64"/>
    </row>
    <row r="28" spans="1:26" ht="11.25" customHeight="1">
      <c r="A28" s="145"/>
      <c r="B28" s="17"/>
      <c r="C28" s="130"/>
      <c r="D28" s="16"/>
      <c r="E28" s="16"/>
      <c r="F28" s="62"/>
      <c r="G28" s="77"/>
      <c r="H28" s="64"/>
    </row>
    <row r="29" spans="1:26" ht="33.75" customHeight="1">
      <c r="A29" s="145"/>
      <c r="B29" s="17" t="s">
        <v>45</v>
      </c>
      <c r="C29" s="130"/>
      <c r="D29" s="16"/>
      <c r="E29" s="16"/>
      <c r="F29" s="62"/>
      <c r="G29" s="77"/>
      <c r="H29" s="64"/>
    </row>
    <row r="30" spans="1:26" ht="45" customHeight="1">
      <c r="A30" s="145"/>
      <c r="B30" s="17" t="s">
        <v>46</v>
      </c>
      <c r="C30" s="130"/>
      <c r="D30" s="16"/>
      <c r="E30" s="16"/>
      <c r="F30" s="62"/>
      <c r="G30" s="77"/>
      <c r="H30" s="64"/>
    </row>
    <row r="31" spans="1:26" ht="33.75" customHeight="1">
      <c r="A31" s="145"/>
      <c r="B31" s="17" t="s">
        <v>47</v>
      </c>
      <c r="C31" s="130"/>
      <c r="D31" s="16"/>
      <c r="E31" s="16"/>
      <c r="F31" s="62"/>
      <c r="G31" s="77"/>
      <c r="H31" s="64"/>
    </row>
    <row r="32" spans="1:26" ht="56.25" customHeight="1">
      <c r="A32" s="145"/>
      <c r="B32" s="17" t="s">
        <v>48</v>
      </c>
      <c r="C32" s="130"/>
      <c r="D32" s="16"/>
      <c r="E32" s="16"/>
      <c r="F32" s="74"/>
      <c r="G32" s="77"/>
      <c r="H32" s="64"/>
    </row>
    <row r="33" spans="1:8" ht="11.25" customHeight="1">
      <c r="A33" s="145"/>
      <c r="B33" s="17"/>
      <c r="C33" s="130"/>
      <c r="D33" s="16"/>
      <c r="E33" s="16"/>
      <c r="F33" s="74"/>
      <c r="G33" s="77"/>
      <c r="H33" s="64"/>
    </row>
    <row r="34" spans="1:8" ht="11.25" customHeight="1">
      <c r="A34" s="144">
        <f>IF(B34&gt;0,MAX(A$33:A33)+1,"")</f>
        <v>1</v>
      </c>
      <c r="B34" s="100" t="s">
        <v>49</v>
      </c>
      <c r="C34" s="130"/>
      <c r="D34" s="16"/>
      <c r="E34" s="16"/>
      <c r="F34" s="74"/>
      <c r="G34" s="77"/>
      <c r="H34" s="64"/>
    </row>
    <row r="35" spans="1:8" ht="67.5" customHeight="1">
      <c r="A35" s="145"/>
      <c r="B35" s="17" t="s">
        <v>50</v>
      </c>
      <c r="C35" s="130"/>
      <c r="D35" s="16"/>
      <c r="E35" s="16"/>
      <c r="F35" s="74"/>
      <c r="G35" s="77"/>
      <c r="H35" s="64"/>
    </row>
    <row r="36" spans="1:8">
      <c r="A36" s="145"/>
      <c r="B36" s="99" t="s">
        <v>51</v>
      </c>
      <c r="C36" s="76"/>
      <c r="D36" s="16"/>
      <c r="E36" s="14"/>
      <c r="F36" s="62"/>
      <c r="G36" s="77"/>
      <c r="H36" s="64"/>
    </row>
    <row r="37" spans="1:8" ht="11.25" customHeight="1">
      <c r="A37" s="145"/>
      <c r="B37" s="17" t="s">
        <v>52</v>
      </c>
      <c r="C37" s="130" t="s">
        <v>53</v>
      </c>
      <c r="D37" s="277">
        <v>82.5</v>
      </c>
      <c r="E37" s="16"/>
      <c r="F37" s="74">
        <f>D37*E37</f>
        <v>0</v>
      </c>
      <c r="G37" s="77"/>
      <c r="H37" s="64"/>
    </row>
    <row r="38" spans="1:8" ht="11.25" customHeight="1">
      <c r="A38" s="145"/>
      <c r="B38" s="17"/>
      <c r="C38" s="130"/>
      <c r="D38" s="16"/>
      <c r="E38" s="16"/>
      <c r="F38" s="74"/>
      <c r="G38" s="77"/>
      <c r="H38" s="64"/>
    </row>
    <row r="39" spans="1:8" ht="11.25" customHeight="1">
      <c r="A39" s="144">
        <f>IF(B39&gt;0,MAX(A$33:A38)+1,"")</f>
        <v>2</v>
      </c>
      <c r="B39" s="100" t="s">
        <v>54</v>
      </c>
      <c r="C39" s="130"/>
      <c r="D39" s="16"/>
      <c r="E39" s="16"/>
      <c r="F39" s="74"/>
      <c r="G39" s="77"/>
      <c r="H39" s="64"/>
    </row>
    <row r="40" spans="1:8" ht="56.25" customHeight="1">
      <c r="A40" s="145"/>
      <c r="B40" s="17" t="s">
        <v>55</v>
      </c>
      <c r="C40" s="130"/>
      <c r="D40" s="16"/>
      <c r="E40" s="16"/>
      <c r="F40" s="623"/>
      <c r="G40" s="77"/>
      <c r="H40" s="64"/>
    </row>
    <row r="41" spans="1:8" s="245" customFormat="1">
      <c r="A41" s="246"/>
      <c r="B41" s="247" t="s">
        <v>56</v>
      </c>
      <c r="C41" s="242"/>
      <c r="D41" s="243"/>
      <c r="E41" s="243"/>
      <c r="F41" s="244"/>
      <c r="G41" s="266"/>
    </row>
    <row r="42" spans="1:8" ht="11.25" customHeight="1">
      <c r="A42" s="145"/>
      <c r="B42" s="17" t="s">
        <v>52</v>
      </c>
      <c r="C42" s="130" t="s">
        <v>53</v>
      </c>
      <c r="D42" s="16">
        <v>91.39</v>
      </c>
      <c r="E42" s="16"/>
      <c r="F42" s="74">
        <f>D42*E42</f>
        <v>0</v>
      </c>
      <c r="G42" s="77"/>
      <c r="H42" s="64"/>
    </row>
    <row r="43" spans="1:8" ht="11.25" customHeight="1">
      <c r="A43" s="145"/>
      <c r="B43" s="17"/>
      <c r="C43" s="130"/>
      <c r="D43" s="16"/>
      <c r="E43" s="14"/>
      <c r="F43" s="62"/>
      <c r="G43" s="77"/>
      <c r="H43" s="64"/>
    </row>
    <row r="44" spans="1:8" ht="11.25" customHeight="1">
      <c r="A44" s="144">
        <f>IF(B44&gt;0,MAX(A$33:A43)+1,"")</f>
        <v>3</v>
      </c>
      <c r="B44" s="89" t="s">
        <v>57</v>
      </c>
      <c r="C44" s="76"/>
      <c r="D44" s="14"/>
      <c r="E44" s="14"/>
      <c r="F44" s="62"/>
      <c r="G44" s="146"/>
      <c r="H44" s="64"/>
    </row>
    <row r="45" spans="1:8" ht="112.5" customHeight="1">
      <c r="A45" s="145"/>
      <c r="B45" s="99" t="s">
        <v>58</v>
      </c>
      <c r="C45" s="76"/>
      <c r="D45" s="16"/>
      <c r="E45" s="14"/>
      <c r="F45" s="62"/>
      <c r="G45" s="77"/>
      <c r="H45" s="64"/>
    </row>
    <row r="46" spans="1:8">
      <c r="A46" s="145"/>
      <c r="B46" s="99" t="s">
        <v>51</v>
      </c>
      <c r="C46" s="76"/>
      <c r="D46" s="16"/>
      <c r="E46" s="14"/>
      <c r="F46" s="62"/>
      <c r="G46" s="77"/>
      <c r="H46" s="64"/>
    </row>
    <row r="47" spans="1:8" ht="11.25" customHeight="1">
      <c r="A47" s="145"/>
      <c r="B47" s="17" t="s">
        <v>59</v>
      </c>
      <c r="C47" s="130" t="s">
        <v>53</v>
      </c>
      <c r="D47" s="16">
        <v>73.37</v>
      </c>
      <c r="E47" s="14"/>
      <c r="F47" s="74">
        <f>D47*E47</f>
        <v>0</v>
      </c>
      <c r="G47" s="77"/>
      <c r="H47" s="64"/>
    </row>
    <row r="48" spans="1:8" ht="11.25" customHeight="1">
      <c r="A48" s="145"/>
      <c r="B48" s="17"/>
      <c r="C48" s="130"/>
      <c r="D48" s="16"/>
      <c r="E48" s="16"/>
      <c r="F48" s="74"/>
      <c r="G48" s="77"/>
      <c r="H48" s="64"/>
    </row>
    <row r="49" spans="1:9" s="245" customFormat="1" ht="11.25" customHeight="1">
      <c r="A49" s="144">
        <f>IF(B49&gt;0,MAX(A$33:A48)+1,"")</f>
        <v>4</v>
      </c>
      <c r="B49" s="241" t="s">
        <v>60</v>
      </c>
      <c r="C49" s="242"/>
      <c r="D49" s="243"/>
      <c r="E49" s="243"/>
      <c r="F49" s="244"/>
      <c r="G49" s="244"/>
    </row>
    <row r="50" spans="1:9" s="245" customFormat="1" ht="45" customHeight="1">
      <c r="A50" s="246"/>
      <c r="B50" s="247" t="s">
        <v>61</v>
      </c>
      <c r="C50" s="242"/>
      <c r="D50" s="243"/>
      <c r="E50" s="243"/>
      <c r="F50" s="244"/>
      <c r="G50" s="248"/>
    </row>
    <row r="51" spans="1:9" s="245" customFormat="1">
      <c r="A51" s="246"/>
      <c r="B51" s="247" t="s">
        <v>56</v>
      </c>
      <c r="C51" s="242"/>
      <c r="D51" s="243"/>
      <c r="E51" s="243"/>
      <c r="F51" s="244"/>
      <c r="G51" s="266"/>
    </row>
    <row r="52" spans="1:9" s="245" customFormat="1" ht="11.25" customHeight="1">
      <c r="A52" s="246"/>
      <c r="B52" s="249" t="s">
        <v>62</v>
      </c>
      <c r="C52" s="243" t="s">
        <v>41</v>
      </c>
      <c r="D52" s="250">
        <v>194.44</v>
      </c>
      <c r="E52" s="243"/>
      <c r="F52" s="251">
        <f>D52*E52</f>
        <v>0</v>
      </c>
      <c r="G52" s="267"/>
    </row>
    <row r="53" spans="1:9" s="258" customFormat="1">
      <c r="A53" s="252"/>
      <c r="B53" s="253"/>
      <c r="C53" s="253"/>
      <c r="D53" s="254"/>
      <c r="E53" s="255"/>
      <c r="F53" s="256"/>
      <c r="G53" s="268"/>
      <c r="H53" s="271"/>
      <c r="I53" s="257"/>
    </row>
    <row r="54" spans="1:9" s="260" customFormat="1" ht="22.5" customHeight="1">
      <c r="A54" s="144">
        <f>IF(B54&gt;0,MAX(A$33:A53)+1,"")</f>
        <v>5</v>
      </c>
      <c r="B54" s="238" t="s">
        <v>63</v>
      </c>
      <c r="C54" s="259"/>
      <c r="D54" s="76"/>
      <c r="E54" s="14"/>
      <c r="F54" s="14"/>
      <c r="G54" s="269"/>
      <c r="H54" s="272"/>
      <c r="I54" s="257"/>
    </row>
    <row r="55" spans="1:9" s="260" customFormat="1" ht="45" customHeight="1">
      <c r="A55" s="261"/>
      <c r="B55" s="99" t="s">
        <v>64</v>
      </c>
      <c r="C55" s="99"/>
      <c r="D55" s="76"/>
      <c r="E55" s="14"/>
      <c r="F55" s="14"/>
      <c r="G55" s="269"/>
      <c r="H55" s="265"/>
      <c r="I55" s="257"/>
    </row>
    <row r="56" spans="1:9" s="260" customFormat="1" ht="90" customHeight="1">
      <c r="A56" s="261"/>
      <c r="B56" s="99" t="s">
        <v>65</v>
      </c>
      <c r="C56" s="99"/>
      <c r="D56" s="16"/>
      <c r="E56" s="14"/>
      <c r="F56" s="14"/>
      <c r="G56" s="269"/>
      <c r="H56" s="265"/>
      <c r="I56" s="257"/>
    </row>
    <row r="57" spans="1:9" s="260" customFormat="1">
      <c r="A57" s="261"/>
      <c r="B57" s="247" t="s">
        <v>56</v>
      </c>
      <c r="C57" s="99"/>
      <c r="D57" s="262"/>
      <c r="E57" s="263"/>
      <c r="F57" s="263"/>
      <c r="G57" s="273"/>
      <c r="H57" s="265"/>
      <c r="I57" s="257"/>
    </row>
    <row r="58" spans="1:9" s="260" customFormat="1">
      <c r="A58" s="261"/>
      <c r="B58" s="17" t="s">
        <v>66</v>
      </c>
      <c r="C58" s="130" t="s">
        <v>53</v>
      </c>
      <c r="D58" s="16">
        <v>48.61</v>
      </c>
      <c r="E58" s="14"/>
      <c r="F58" s="239">
        <f>$D58*E58</f>
        <v>0</v>
      </c>
      <c r="H58" s="265"/>
      <c r="I58" s="257"/>
    </row>
    <row r="59" spans="1:9" s="260" customFormat="1">
      <c r="A59" s="261"/>
      <c r="B59" s="17"/>
      <c r="C59" s="130"/>
      <c r="D59" s="130"/>
      <c r="E59" s="16"/>
      <c r="F59" s="251"/>
      <c r="G59" s="270"/>
      <c r="H59" s="265"/>
      <c r="I59" s="257"/>
    </row>
    <row r="60" spans="1:9" s="260" customFormat="1" ht="22.5" customHeight="1">
      <c r="A60" s="144">
        <f>IF(B60&gt;0,MAX(A$33:A59)+1,"")</f>
        <v>6</v>
      </c>
      <c r="B60" s="238" t="s">
        <v>67</v>
      </c>
      <c r="C60" s="259"/>
      <c r="D60" s="76"/>
      <c r="E60" s="14"/>
      <c r="F60" s="14"/>
      <c r="G60" s="269"/>
      <c r="H60" s="272"/>
      <c r="I60" s="257"/>
    </row>
    <row r="61" spans="1:9" s="260" customFormat="1" ht="78.75" customHeight="1">
      <c r="A61" s="261"/>
      <c r="B61" s="99" t="s">
        <v>68</v>
      </c>
      <c r="C61" s="99"/>
      <c r="D61" s="16"/>
      <c r="E61" s="14"/>
      <c r="F61" s="14"/>
      <c r="G61" s="269"/>
      <c r="H61" s="265"/>
      <c r="I61" s="257"/>
    </row>
    <row r="62" spans="1:9" s="245" customFormat="1">
      <c r="A62" s="246"/>
      <c r="B62" s="247" t="s">
        <v>56</v>
      </c>
      <c r="C62" s="242"/>
      <c r="D62" s="243"/>
      <c r="E62" s="243"/>
      <c r="F62" s="244"/>
      <c r="G62" s="266"/>
    </row>
    <row r="63" spans="1:9" s="260" customFormat="1">
      <c r="A63" s="261"/>
      <c r="B63" s="17" t="s">
        <v>66</v>
      </c>
      <c r="C63" s="130" t="s">
        <v>53</v>
      </c>
      <c r="D63" s="130">
        <v>29.17</v>
      </c>
      <c r="E63" s="16"/>
      <c r="F63" s="251">
        <f>D63*E63</f>
        <v>0</v>
      </c>
      <c r="G63" s="270"/>
      <c r="H63" s="265"/>
      <c r="I63" s="257"/>
    </row>
    <row r="64" spans="1:9" ht="11.25" customHeight="1">
      <c r="A64" s="145"/>
      <c r="B64" s="17"/>
      <c r="C64" s="130"/>
      <c r="D64" s="16"/>
      <c r="E64" s="14"/>
      <c r="F64" s="74"/>
      <c r="G64" s="168"/>
      <c r="H64" s="64"/>
    </row>
    <row r="65" spans="1:8" ht="11.25" customHeight="1">
      <c r="A65" s="144">
        <f>IF(B65&gt;0,MAX(A$33:A64)+1,"")</f>
        <v>7</v>
      </c>
      <c r="B65" s="89" t="s">
        <v>69</v>
      </c>
      <c r="C65" s="76"/>
      <c r="D65" s="14"/>
      <c r="E65" s="14"/>
      <c r="F65" s="74"/>
      <c r="G65" s="168"/>
      <c r="H65" s="64"/>
    </row>
    <row r="66" spans="1:8" ht="33.75" customHeight="1">
      <c r="A66" s="145"/>
      <c r="B66" s="99" t="s">
        <v>70</v>
      </c>
      <c r="C66" s="76"/>
      <c r="D66" s="14"/>
      <c r="E66" s="14"/>
      <c r="F66" s="74"/>
      <c r="G66" s="168"/>
      <c r="H66" s="64"/>
    </row>
    <row r="67" spans="1:8" ht="11.25" customHeight="1">
      <c r="A67" s="145"/>
      <c r="B67" s="17" t="s">
        <v>59</v>
      </c>
      <c r="C67" s="130" t="s">
        <v>53</v>
      </c>
      <c r="D67" s="614">
        <v>9.07</v>
      </c>
      <c r="E67" s="16"/>
      <c r="F67" s="74">
        <f>D67*E67</f>
        <v>0</v>
      </c>
      <c r="G67" s="77"/>
      <c r="H67" s="64"/>
    </row>
    <row r="68" spans="1:8" ht="11.25" customHeight="1">
      <c r="A68" s="145"/>
      <c r="B68" s="17"/>
      <c r="C68" s="130"/>
      <c r="D68" s="16"/>
      <c r="E68" s="16"/>
      <c r="F68" s="74"/>
      <c r="G68" s="77"/>
      <c r="H68" s="64"/>
    </row>
    <row r="69" spans="1:8" ht="11.25" customHeight="1">
      <c r="A69" s="144">
        <f>MAX(A$34:A68)+1</f>
        <v>8</v>
      </c>
      <c r="B69" s="100" t="s">
        <v>71</v>
      </c>
      <c r="C69" s="130"/>
      <c r="D69" s="16"/>
      <c r="E69" s="16"/>
      <c r="F69" s="74"/>
      <c r="G69" s="77"/>
      <c r="H69" s="64"/>
    </row>
    <row r="70" spans="1:8" ht="33.75" customHeight="1">
      <c r="A70" s="145"/>
      <c r="B70" s="17" t="s">
        <v>72</v>
      </c>
      <c r="C70" s="130"/>
      <c r="D70" s="16"/>
      <c r="E70" s="16"/>
      <c r="F70" s="74"/>
      <c r="G70" s="77"/>
      <c r="H70" s="64"/>
    </row>
    <row r="71" spans="1:8" ht="11.25" customHeight="1">
      <c r="A71" s="145"/>
      <c r="B71" s="17" t="s">
        <v>52</v>
      </c>
      <c r="C71" s="130" t="s">
        <v>53</v>
      </c>
      <c r="D71" s="614">
        <v>164.82</v>
      </c>
      <c r="E71" s="16"/>
      <c r="F71" s="74">
        <f>D71*E71</f>
        <v>0</v>
      </c>
      <c r="G71" s="77"/>
      <c r="H71" s="64"/>
    </row>
    <row r="72" spans="1:8" ht="11.25" customHeight="1">
      <c r="A72" s="145"/>
      <c r="B72" s="17"/>
      <c r="C72" s="130"/>
      <c r="D72" s="16"/>
      <c r="E72" s="16"/>
      <c r="F72" s="74"/>
      <c r="G72" s="77"/>
      <c r="H72" s="64"/>
    </row>
    <row r="73" spans="1:8" ht="11.25" customHeight="1">
      <c r="A73" s="144">
        <f>MAX(A$34:A72)+1</f>
        <v>9</v>
      </c>
      <c r="B73" s="100" t="s">
        <v>73</v>
      </c>
      <c r="C73" s="130"/>
      <c r="D73" s="16"/>
      <c r="E73" s="16"/>
      <c r="F73" s="74"/>
      <c r="G73" s="77"/>
      <c r="H73" s="64"/>
    </row>
    <row r="74" spans="1:8" ht="56.25" customHeight="1">
      <c r="A74" s="145"/>
      <c r="B74" s="17" t="s">
        <v>74</v>
      </c>
      <c r="C74" s="130"/>
      <c r="D74" s="16"/>
      <c r="E74" s="16"/>
      <c r="F74" s="74"/>
      <c r="G74" s="77"/>
      <c r="H74" s="64"/>
    </row>
    <row r="75" spans="1:8" ht="11.25" customHeight="1">
      <c r="A75" s="145"/>
      <c r="B75" s="17" t="s">
        <v>37</v>
      </c>
      <c r="C75" s="147" t="s">
        <v>33</v>
      </c>
      <c r="D75" s="16">
        <v>1</v>
      </c>
      <c r="E75" s="16"/>
      <c r="F75" s="74">
        <f>D75*E75</f>
        <v>0</v>
      </c>
      <c r="G75" s="77"/>
      <c r="H75" s="64"/>
    </row>
    <row r="76" spans="1:8" s="258" customFormat="1" ht="11.25" customHeight="1">
      <c r="A76" s="351"/>
      <c r="B76" s="253"/>
      <c r="C76" s="352"/>
      <c r="D76" s="353"/>
      <c r="E76" s="354"/>
      <c r="F76" s="355"/>
      <c r="G76" s="356"/>
    </row>
    <row r="77" spans="1:8" ht="11.25" customHeight="1">
      <c r="A77" s="357">
        <v>10</v>
      </c>
      <c r="B77" s="358" t="s">
        <v>75</v>
      </c>
      <c r="C77" s="347"/>
      <c r="D77" s="250"/>
      <c r="E77" s="250"/>
      <c r="F77" s="344"/>
      <c r="G77" s="343"/>
    </row>
    <row r="78" spans="1:8" ht="45" customHeight="1">
      <c r="A78" s="359"/>
      <c r="B78" s="360" t="s">
        <v>76</v>
      </c>
      <c r="C78" s="347"/>
      <c r="D78" s="250"/>
      <c r="E78" s="250"/>
      <c r="F78" s="344"/>
      <c r="G78" s="343"/>
    </row>
    <row r="79" spans="1:8" ht="11.25" customHeight="1">
      <c r="A79" s="359"/>
      <c r="B79" s="360" t="s">
        <v>66</v>
      </c>
      <c r="C79" s="361" t="s">
        <v>53</v>
      </c>
      <c r="D79" s="277">
        <v>5.52</v>
      </c>
      <c r="E79" s="250"/>
      <c r="F79" s="344">
        <f>D79*E79</f>
        <v>0</v>
      </c>
      <c r="G79" s="343"/>
    </row>
    <row r="80" spans="1:8" s="235" customFormat="1" ht="11.25" customHeight="1">
      <c r="A80" s="202"/>
      <c r="B80" s="234"/>
      <c r="C80" s="184"/>
      <c r="D80" s="148"/>
      <c r="E80" s="176"/>
      <c r="F80" s="149"/>
      <c r="G80" s="191"/>
      <c r="H80" s="64"/>
    </row>
    <row r="81" spans="1:8" ht="11.25" customHeight="1">
      <c r="A81" s="203" t="str">
        <f>A27</f>
        <v>A.02.</v>
      </c>
      <c r="B81" s="177" t="s">
        <v>77</v>
      </c>
      <c r="C81" s="177"/>
      <c r="D81" s="126"/>
      <c r="E81" s="177"/>
      <c r="F81" s="69">
        <f>SUM(F33:F80)</f>
        <v>0</v>
      </c>
      <c r="G81" s="192"/>
      <c r="H81" s="64"/>
    </row>
    <row r="82" spans="1:8" ht="11.25" customHeight="1">
      <c r="A82" s="146"/>
      <c r="B82" s="146"/>
      <c r="C82" s="154"/>
      <c r="D82" s="14"/>
      <c r="E82" s="14"/>
      <c r="F82" s="62"/>
      <c r="G82" s="146"/>
      <c r="H82" s="64"/>
    </row>
    <row r="83" spans="1:8" ht="11.25" customHeight="1">
      <c r="A83" s="201" t="s">
        <v>78</v>
      </c>
      <c r="B83" s="211" t="s">
        <v>79</v>
      </c>
      <c r="C83" s="183"/>
      <c r="D83" s="142"/>
      <c r="E83" s="142"/>
      <c r="F83" s="143"/>
      <c r="G83" s="190"/>
      <c r="H83" s="64"/>
    </row>
    <row r="84" spans="1:8" ht="11.25" customHeight="1">
      <c r="A84" s="150"/>
      <c r="B84" s="99"/>
      <c r="C84" s="16"/>
      <c r="D84" s="14"/>
      <c r="E84" s="16"/>
      <c r="F84" s="62"/>
      <c r="G84" s="77"/>
      <c r="H84" s="64"/>
    </row>
    <row r="85" spans="1:8" s="236" customFormat="1" ht="67.5" customHeight="1">
      <c r="A85" s="150"/>
      <c r="B85" s="99" t="s">
        <v>80</v>
      </c>
      <c r="C85" s="16"/>
      <c r="D85" s="14"/>
      <c r="E85" s="16"/>
      <c r="F85" s="62"/>
      <c r="G85" s="77"/>
    </row>
    <row r="86" spans="1:8" s="236" customFormat="1" ht="67.5" customHeight="1">
      <c r="A86" s="150"/>
      <c r="B86" s="99" t="s">
        <v>81</v>
      </c>
      <c r="C86" s="16"/>
      <c r="D86" s="14"/>
      <c r="E86" s="16"/>
      <c r="F86" s="62"/>
      <c r="G86" s="77"/>
    </row>
    <row r="87" spans="1:8" s="236" customFormat="1" ht="157.5" customHeight="1">
      <c r="A87" s="150"/>
      <c r="B87" s="99" t="s">
        <v>82</v>
      </c>
      <c r="C87" s="16"/>
      <c r="D87" s="14"/>
      <c r="E87" s="16"/>
      <c r="F87" s="62"/>
      <c r="G87" s="77"/>
    </row>
    <row r="88" spans="1:8" s="174" customFormat="1" ht="67.5" customHeight="1">
      <c r="A88" s="204"/>
      <c r="B88" s="209" t="s">
        <v>83</v>
      </c>
      <c r="C88" s="185"/>
      <c r="D88" s="186"/>
      <c r="E88" s="178"/>
      <c r="F88" s="193"/>
      <c r="G88" s="194"/>
      <c r="H88" s="173"/>
    </row>
    <row r="89" spans="1:8" s="174" customFormat="1" ht="67.5" customHeight="1">
      <c r="A89" s="204"/>
      <c r="B89" s="209" t="s">
        <v>84</v>
      </c>
      <c r="C89" s="185"/>
      <c r="D89" s="186"/>
      <c r="E89" s="178"/>
      <c r="F89" s="193"/>
      <c r="G89" s="194"/>
      <c r="H89" s="173"/>
    </row>
    <row r="90" spans="1:8" s="174" customFormat="1" ht="168.75" customHeight="1">
      <c r="A90" s="204"/>
      <c r="B90" s="209" t="s">
        <v>85</v>
      </c>
      <c r="C90" s="185"/>
      <c r="D90" s="186"/>
      <c r="E90" s="178"/>
      <c r="F90" s="193"/>
      <c r="G90" s="194"/>
      <c r="H90" s="173"/>
    </row>
    <row r="91" spans="1:8" s="174" customFormat="1" ht="33.75" customHeight="1">
      <c r="A91" s="204"/>
      <c r="B91" s="209" t="s">
        <v>86</v>
      </c>
      <c r="C91" s="185"/>
      <c r="D91" s="186"/>
      <c r="E91" s="178"/>
      <c r="F91" s="193"/>
      <c r="G91" s="194"/>
      <c r="H91" s="173"/>
    </row>
    <row r="92" spans="1:8" s="287" customFormat="1" ht="213.75" customHeight="1">
      <c r="A92" s="150"/>
      <c r="B92" s="760" t="s">
        <v>87</v>
      </c>
      <c r="C92" s="298"/>
      <c r="D92" s="291"/>
      <c r="E92" s="291"/>
      <c r="F92" s="759"/>
      <c r="G92" s="292"/>
      <c r="H92" s="286"/>
    </row>
    <row r="93" spans="1:8" s="174" customFormat="1" ht="22.5" customHeight="1">
      <c r="A93" s="204"/>
      <c r="B93" s="209" t="s">
        <v>88</v>
      </c>
      <c r="C93" s="185"/>
      <c r="D93" s="186"/>
      <c r="E93" s="178"/>
      <c r="F93" s="193"/>
      <c r="G93" s="194"/>
      <c r="H93" s="173"/>
    </row>
    <row r="94" spans="1:8" ht="11.25" customHeight="1">
      <c r="A94" s="150"/>
      <c r="B94" s="99"/>
      <c r="C94" s="16"/>
      <c r="D94" s="14"/>
      <c r="E94" s="16"/>
      <c r="F94" s="62"/>
      <c r="G94" s="77"/>
      <c r="H94" s="64"/>
    </row>
    <row r="95" spans="1:8" ht="11.25" customHeight="1">
      <c r="A95" s="150"/>
      <c r="B95" s="100" t="s">
        <v>89</v>
      </c>
      <c r="C95" s="130"/>
      <c r="D95" s="16"/>
      <c r="E95" s="16"/>
      <c r="F95" s="70"/>
      <c r="G95" s="77"/>
      <c r="H95" s="64"/>
    </row>
    <row r="96" spans="1:8" ht="11.25" customHeight="1">
      <c r="A96" s="150"/>
      <c r="B96" s="17"/>
      <c r="C96" s="130"/>
      <c r="D96" s="16"/>
      <c r="E96" s="16"/>
      <c r="F96" s="70"/>
      <c r="G96" s="77"/>
      <c r="H96" s="64"/>
    </row>
    <row r="97" spans="1:8" ht="11.25" customHeight="1">
      <c r="A97" s="151">
        <v>1</v>
      </c>
      <c r="B97" s="83" t="s">
        <v>90</v>
      </c>
      <c r="C97" s="130"/>
      <c r="D97" s="16"/>
      <c r="E97" s="16"/>
      <c r="F97" s="70"/>
      <c r="G97" s="77"/>
      <c r="H97" s="64"/>
    </row>
    <row r="98" spans="1:8" ht="67.5" customHeight="1">
      <c r="A98" s="150"/>
      <c r="B98" s="48" t="s">
        <v>91</v>
      </c>
      <c r="C98" s="130"/>
      <c r="D98" s="16"/>
      <c r="E98" s="16"/>
      <c r="F98" s="70"/>
      <c r="G98" s="77"/>
      <c r="H98" s="64"/>
    </row>
    <row r="99" spans="1:8">
      <c r="A99" s="150"/>
      <c r="B99" s="290" t="s">
        <v>92</v>
      </c>
      <c r="C99" s="130"/>
      <c r="D99" s="16"/>
      <c r="E99" s="16"/>
      <c r="F99" s="70"/>
      <c r="G99" s="77"/>
      <c r="H99" s="64"/>
    </row>
    <row r="100" spans="1:8" ht="11.25" customHeight="1">
      <c r="A100" s="150"/>
      <c r="B100" s="48" t="s">
        <v>93</v>
      </c>
      <c r="C100" s="14" t="s">
        <v>41</v>
      </c>
      <c r="D100" s="14">
        <v>244.57</v>
      </c>
      <c r="E100" s="16"/>
      <c r="F100" s="70">
        <f>D100*E100</f>
        <v>0</v>
      </c>
      <c r="G100" s="77"/>
      <c r="H100" s="64"/>
    </row>
    <row r="101" spans="1:8" ht="11.25" customHeight="1">
      <c r="A101" s="150"/>
      <c r="B101" s="48"/>
      <c r="C101" s="14"/>
      <c r="D101" s="14"/>
      <c r="E101" s="16"/>
      <c r="F101" s="70"/>
      <c r="G101" s="77"/>
      <c r="H101" s="64"/>
    </row>
    <row r="102" spans="1:8" ht="11.25" customHeight="1">
      <c r="A102" s="151">
        <f>IF(B102&gt;0,MAX(A$97:A101)+1,"")</f>
        <v>2</v>
      </c>
      <c r="B102" s="83" t="s">
        <v>94</v>
      </c>
      <c r="C102" s="130"/>
      <c r="D102" s="16"/>
      <c r="E102" s="16"/>
      <c r="F102" s="70"/>
      <c r="G102" s="77"/>
      <c r="H102" s="64"/>
    </row>
    <row r="103" spans="1:8" ht="56.25" customHeight="1">
      <c r="A103" s="150"/>
      <c r="B103" s="48" t="s">
        <v>95</v>
      </c>
      <c r="C103" s="130"/>
      <c r="D103" s="16"/>
      <c r="E103" s="16"/>
      <c r="F103" s="70"/>
      <c r="G103" s="77"/>
      <c r="H103" s="64"/>
    </row>
    <row r="104" spans="1:8">
      <c r="A104" s="150"/>
      <c r="B104" s="290" t="s">
        <v>92</v>
      </c>
      <c r="C104" s="130"/>
      <c r="D104" s="16"/>
      <c r="E104" s="16"/>
      <c r="F104" s="70"/>
      <c r="G104" s="77"/>
      <c r="H104" s="64"/>
    </row>
    <row r="105" spans="1:8" ht="11.25" customHeight="1">
      <c r="A105" s="150"/>
      <c r="B105" s="48" t="s">
        <v>93</v>
      </c>
      <c r="C105" s="14" t="s">
        <v>41</v>
      </c>
      <c r="D105" s="14">
        <v>234.36</v>
      </c>
      <c r="E105" s="16"/>
      <c r="F105" s="70">
        <f>D105*E105</f>
        <v>0</v>
      </c>
      <c r="G105" s="77"/>
      <c r="H105" s="64"/>
    </row>
    <row r="106" spans="1:8" ht="11.25" customHeight="1">
      <c r="A106" s="150"/>
      <c r="B106" s="83"/>
      <c r="C106" s="76"/>
      <c r="D106" s="14"/>
      <c r="E106" s="16"/>
      <c r="F106" s="70"/>
      <c r="G106" s="77"/>
      <c r="H106" s="64"/>
    </row>
    <row r="107" spans="1:8" ht="11.25" customHeight="1">
      <c r="A107" s="151">
        <f>IF(B107&gt;0,MAX(A$97:A106)+1,"")</f>
        <v>3</v>
      </c>
      <c r="B107" s="238" t="s">
        <v>96</v>
      </c>
      <c r="C107" s="130"/>
      <c r="D107" s="16"/>
      <c r="E107" s="16"/>
      <c r="F107" s="70"/>
      <c r="G107" s="77"/>
      <c r="H107" s="64"/>
    </row>
    <row r="108" spans="1:8" ht="56.25" customHeight="1">
      <c r="A108" s="151"/>
      <c r="B108" s="290" t="s">
        <v>97</v>
      </c>
      <c r="C108" s="130"/>
      <c r="D108" s="16"/>
      <c r="E108" s="16"/>
      <c r="F108" s="70"/>
      <c r="G108" s="77"/>
      <c r="H108" s="64"/>
    </row>
    <row r="109" spans="1:8">
      <c r="A109" s="150"/>
      <c r="B109" s="290" t="s">
        <v>98</v>
      </c>
      <c r="C109" s="130"/>
      <c r="D109" s="16"/>
      <c r="E109" s="16"/>
      <c r="F109" s="70"/>
      <c r="G109" s="77"/>
      <c r="H109" s="64"/>
    </row>
    <row r="110" spans="1:8" ht="11.25" customHeight="1">
      <c r="A110" s="150"/>
      <c r="B110" s="290" t="s">
        <v>93</v>
      </c>
      <c r="C110" s="14" t="s">
        <v>41</v>
      </c>
      <c r="D110" s="700">
        <v>80.64</v>
      </c>
      <c r="E110" s="614"/>
      <c r="F110" s="70">
        <f>D110*E110</f>
        <v>0</v>
      </c>
      <c r="G110" s="702"/>
      <c r="H110" s="64"/>
    </row>
    <row r="111" spans="1:8" ht="11.25" customHeight="1">
      <c r="A111" s="150"/>
      <c r="B111" s="83"/>
      <c r="C111" s="76"/>
      <c r="D111" s="14"/>
      <c r="E111" s="16"/>
      <c r="F111" s="70"/>
      <c r="G111" s="77"/>
      <c r="H111" s="64"/>
    </row>
    <row r="112" spans="1:8" ht="11.25" customHeight="1">
      <c r="A112" s="150"/>
      <c r="B112" s="100" t="s">
        <v>99</v>
      </c>
      <c r="C112" s="130"/>
      <c r="D112" s="16"/>
      <c r="E112" s="16"/>
      <c r="F112" s="70"/>
      <c r="G112" s="77"/>
      <c r="H112" s="64"/>
    </row>
    <row r="113" spans="1:8" ht="11.25" customHeight="1">
      <c r="A113" s="150"/>
      <c r="B113" s="17"/>
      <c r="C113" s="130"/>
      <c r="D113" s="16"/>
      <c r="E113" s="16"/>
      <c r="F113" s="70"/>
      <c r="G113" s="77"/>
      <c r="H113" s="64"/>
    </row>
    <row r="114" spans="1:8" ht="11.25" customHeight="1">
      <c r="A114" s="151">
        <f>IF(B114&gt;0,MAX(A$97:A113)+1,"")</f>
        <v>4</v>
      </c>
      <c r="B114" s="89" t="s">
        <v>100</v>
      </c>
      <c r="C114" s="76"/>
      <c r="D114" s="14"/>
      <c r="E114" s="16"/>
      <c r="F114" s="70"/>
      <c r="G114" s="77"/>
      <c r="H114" s="64"/>
    </row>
    <row r="115" spans="1:8" ht="45" customHeight="1">
      <c r="A115" s="150"/>
      <c r="B115" s="48" t="s">
        <v>101</v>
      </c>
      <c r="C115" s="76"/>
      <c r="D115" s="14"/>
      <c r="E115" s="16"/>
      <c r="F115" s="70"/>
      <c r="G115" s="77"/>
      <c r="H115" s="64"/>
    </row>
    <row r="116" spans="1:8">
      <c r="A116" s="150"/>
      <c r="B116" s="290" t="s">
        <v>92</v>
      </c>
      <c r="C116" s="130"/>
      <c r="D116" s="16"/>
      <c r="E116" s="16"/>
      <c r="F116" s="70"/>
      <c r="G116" s="77"/>
      <c r="H116" s="64"/>
    </row>
    <row r="117" spans="1:8" ht="11.25" customHeight="1">
      <c r="A117" s="150"/>
      <c r="B117" s="48" t="s">
        <v>102</v>
      </c>
      <c r="C117" s="14"/>
      <c r="D117" s="14"/>
      <c r="E117" s="16"/>
      <c r="F117" s="70"/>
      <c r="G117" s="77"/>
      <c r="H117" s="64"/>
    </row>
    <row r="118" spans="1:8" ht="11.25" customHeight="1">
      <c r="A118" s="150"/>
      <c r="B118" s="99" t="s">
        <v>103</v>
      </c>
      <c r="C118" s="14" t="s">
        <v>53</v>
      </c>
      <c r="D118" s="14">
        <v>93.74</v>
      </c>
      <c r="E118" s="16"/>
      <c r="F118" s="70">
        <f>D118*E118</f>
        <v>0</v>
      </c>
      <c r="G118" s="77"/>
      <c r="H118" s="64"/>
    </row>
    <row r="119" spans="1:8" ht="11.25" customHeight="1">
      <c r="A119" s="150"/>
      <c r="B119" s="99" t="s">
        <v>104</v>
      </c>
      <c r="C119" s="14" t="s">
        <v>41</v>
      </c>
      <c r="D119" s="14">
        <v>28.96</v>
      </c>
      <c r="E119" s="16"/>
      <c r="F119" s="70">
        <f>D119*E119</f>
        <v>0</v>
      </c>
      <c r="G119" s="77"/>
      <c r="H119" s="64"/>
    </row>
    <row r="120" spans="1:8" ht="11.25" customHeight="1">
      <c r="A120" s="150"/>
      <c r="B120" s="17"/>
      <c r="C120" s="130"/>
      <c r="D120" s="16"/>
      <c r="E120" s="16"/>
      <c r="F120" s="70"/>
      <c r="G120" s="77"/>
      <c r="H120" s="64"/>
    </row>
    <row r="121" spans="1:8" ht="11.25" customHeight="1">
      <c r="A121" s="151">
        <f>IF(B121&gt;0,MAX(A$97:A120)+1,"")</f>
        <v>5</v>
      </c>
      <c r="B121" s="89" t="s">
        <v>105</v>
      </c>
      <c r="C121" s="76"/>
      <c r="D121" s="14"/>
      <c r="E121" s="16"/>
      <c r="F121" s="70"/>
      <c r="G121" s="77"/>
      <c r="H121" s="64"/>
    </row>
    <row r="122" spans="1:8" ht="67.5" customHeight="1">
      <c r="A122" s="150"/>
      <c r="B122" s="48" t="s">
        <v>106</v>
      </c>
      <c r="C122" s="76"/>
      <c r="D122" s="14"/>
      <c r="E122" s="16"/>
      <c r="F122" s="70"/>
      <c r="G122" s="77"/>
      <c r="H122" s="64"/>
    </row>
    <row r="123" spans="1:8">
      <c r="A123" s="150"/>
      <c r="B123" s="290" t="s">
        <v>107</v>
      </c>
      <c r="C123" s="130"/>
      <c r="D123" s="16"/>
      <c r="E123" s="16"/>
      <c r="F123" s="70"/>
      <c r="G123" s="77"/>
      <c r="H123" s="64"/>
    </row>
    <row r="124" spans="1:8" ht="11.25" customHeight="1">
      <c r="A124" s="150"/>
      <c r="B124" s="48" t="s">
        <v>102</v>
      </c>
      <c r="C124" s="14"/>
      <c r="D124" s="14"/>
      <c r="E124" s="16"/>
      <c r="F124" s="70"/>
      <c r="G124" s="77"/>
      <c r="H124" s="64"/>
    </row>
    <row r="125" spans="1:8" ht="11.25" customHeight="1">
      <c r="A125" s="150"/>
      <c r="B125" s="99" t="s">
        <v>103</v>
      </c>
      <c r="C125" s="14" t="s">
        <v>53</v>
      </c>
      <c r="D125" s="14">
        <v>69.23</v>
      </c>
      <c r="E125" s="16"/>
      <c r="F125" s="70">
        <f>D125*E125</f>
        <v>0</v>
      </c>
      <c r="G125" s="77"/>
      <c r="H125" s="64"/>
    </row>
    <row r="126" spans="1:8" ht="11.25" customHeight="1">
      <c r="A126" s="150"/>
      <c r="B126" s="99" t="s">
        <v>104</v>
      </c>
      <c r="C126" s="14" t="s">
        <v>41</v>
      </c>
      <c r="D126" s="14">
        <v>306.45999999999998</v>
      </c>
      <c r="E126" s="16"/>
      <c r="F126" s="70">
        <f>D126*E126</f>
        <v>0</v>
      </c>
      <c r="G126" s="77"/>
      <c r="H126" s="64"/>
    </row>
    <row r="127" spans="1:8" ht="11.25" customHeight="1">
      <c r="A127" s="150"/>
      <c r="B127" s="17"/>
      <c r="C127" s="130"/>
      <c r="D127" s="16"/>
      <c r="E127" s="16"/>
      <c r="F127" s="70"/>
      <c r="G127" s="77"/>
      <c r="H127" s="64"/>
    </row>
    <row r="128" spans="1:8" ht="11.25" customHeight="1">
      <c r="A128" s="151">
        <f>IF(B128&gt;0,MAX(A$97:A127)+1,"")</f>
        <v>6</v>
      </c>
      <c r="B128" s="89" t="s">
        <v>108</v>
      </c>
      <c r="C128" s="76"/>
      <c r="D128" s="14"/>
      <c r="E128" s="16"/>
      <c r="F128" s="70"/>
      <c r="G128" s="77"/>
      <c r="H128" s="64"/>
    </row>
    <row r="129" spans="1:8" ht="67.5" customHeight="1">
      <c r="A129" s="150"/>
      <c r="B129" s="48" t="s">
        <v>109</v>
      </c>
      <c r="C129" s="76"/>
      <c r="D129" s="14"/>
      <c r="E129" s="16"/>
      <c r="F129" s="70"/>
      <c r="G129" s="77"/>
      <c r="H129" s="64"/>
    </row>
    <row r="130" spans="1:8" ht="11.25" customHeight="1">
      <c r="A130" s="150"/>
      <c r="B130" s="48" t="s">
        <v>102</v>
      </c>
      <c r="C130" s="14"/>
      <c r="D130" s="14"/>
      <c r="E130" s="16"/>
      <c r="F130" s="70"/>
      <c r="G130" s="77"/>
      <c r="H130" s="64"/>
    </row>
    <row r="131" spans="1:8" ht="11.25" customHeight="1">
      <c r="A131" s="150"/>
      <c r="B131" s="99" t="s">
        <v>103</v>
      </c>
      <c r="C131" s="14" t="s">
        <v>53</v>
      </c>
      <c r="D131" s="14">
        <v>3.67</v>
      </c>
      <c r="E131" s="16"/>
      <c r="F131" s="70">
        <f>D131*E131</f>
        <v>0</v>
      </c>
      <c r="G131" s="77"/>
      <c r="H131" s="64"/>
    </row>
    <row r="132" spans="1:8" ht="11.25" customHeight="1">
      <c r="A132" s="150"/>
      <c r="B132" s="99" t="s">
        <v>104</v>
      </c>
      <c r="C132" s="14" t="s">
        <v>41</v>
      </c>
      <c r="D132" s="14">
        <v>3.52</v>
      </c>
      <c r="E132" s="16"/>
      <c r="F132" s="70">
        <f>D132*E132</f>
        <v>0</v>
      </c>
      <c r="G132" s="77"/>
      <c r="H132" s="64"/>
    </row>
    <row r="133" spans="1:8" ht="11.25" customHeight="1">
      <c r="A133" s="150"/>
      <c r="B133" s="83"/>
      <c r="C133" s="76"/>
      <c r="D133" s="14"/>
      <c r="E133" s="16"/>
      <c r="F133" s="70"/>
      <c r="G133" s="77"/>
      <c r="H133" s="64"/>
    </row>
    <row r="134" spans="1:8" ht="11.25" customHeight="1">
      <c r="A134" s="150"/>
      <c r="B134" s="100" t="s">
        <v>110</v>
      </c>
      <c r="C134" s="130"/>
      <c r="D134" s="16"/>
      <c r="E134" s="16"/>
      <c r="F134" s="70"/>
      <c r="G134" s="77"/>
      <c r="H134" s="64"/>
    </row>
    <row r="135" spans="1:8" ht="11.25" customHeight="1">
      <c r="A135" s="150"/>
      <c r="B135" s="83"/>
      <c r="C135" s="76"/>
      <c r="D135" s="14"/>
      <c r="E135" s="16"/>
      <c r="F135" s="70"/>
      <c r="G135" s="77"/>
      <c r="H135" s="64"/>
    </row>
    <row r="136" spans="1:8" ht="11.25" customHeight="1">
      <c r="A136" s="151">
        <f>IF(B136&gt;0,MAX(A$97:A135)+1,"")</f>
        <v>7</v>
      </c>
      <c r="B136" s="89" t="s">
        <v>111</v>
      </c>
      <c r="C136" s="76"/>
      <c r="D136" s="14"/>
      <c r="E136" s="16"/>
      <c r="F136" s="70"/>
      <c r="G136" s="77"/>
      <c r="H136" s="64"/>
    </row>
    <row r="137" spans="1:8" ht="45" customHeight="1">
      <c r="A137" s="150"/>
      <c r="B137" s="213" t="s">
        <v>112</v>
      </c>
      <c r="C137" s="130"/>
      <c r="D137" s="16"/>
      <c r="E137" s="16"/>
      <c r="F137" s="70"/>
      <c r="G137" s="77"/>
      <c r="H137" s="64"/>
    </row>
    <row r="138" spans="1:8">
      <c r="A138" s="150"/>
      <c r="B138" s="290" t="s">
        <v>113</v>
      </c>
      <c r="C138" s="130"/>
      <c r="D138" s="16"/>
      <c r="E138" s="16"/>
      <c r="F138" s="70"/>
      <c r="G138" s="77"/>
      <c r="H138" s="64"/>
    </row>
    <row r="139" spans="1:8" ht="11.25" customHeight="1">
      <c r="A139" s="150"/>
      <c r="B139" s="48" t="s">
        <v>102</v>
      </c>
      <c r="C139" s="76"/>
      <c r="D139" s="14"/>
      <c r="E139" s="14"/>
      <c r="F139" s="70"/>
      <c r="G139" s="77"/>
      <c r="H139" s="64"/>
    </row>
    <row r="140" spans="1:8" ht="11.25" customHeight="1">
      <c r="A140" s="150"/>
      <c r="B140" s="99" t="s">
        <v>103</v>
      </c>
      <c r="C140" s="14" t="s">
        <v>53</v>
      </c>
      <c r="D140" s="14">
        <v>74.010000000000005</v>
      </c>
      <c r="E140" s="16"/>
      <c r="F140" s="70">
        <f>D140*E140</f>
        <v>0</v>
      </c>
      <c r="G140" s="77"/>
      <c r="H140" s="64"/>
    </row>
    <row r="141" spans="1:8" ht="11.25" customHeight="1">
      <c r="A141" s="150"/>
      <c r="B141" s="99" t="s">
        <v>104</v>
      </c>
      <c r="C141" s="14" t="s">
        <v>41</v>
      </c>
      <c r="D141" s="14">
        <v>763.61</v>
      </c>
      <c r="E141" s="16"/>
      <c r="F141" s="70">
        <f>D141*E141</f>
        <v>0</v>
      </c>
      <c r="G141" s="195"/>
      <c r="H141" s="64"/>
    </row>
    <row r="142" spans="1:8" ht="11.25" customHeight="1">
      <c r="A142" s="150"/>
      <c r="B142" s="83"/>
      <c r="C142" s="76"/>
      <c r="D142" s="14"/>
      <c r="E142" s="16"/>
      <c r="F142" s="70"/>
      <c r="G142" s="77"/>
      <c r="H142" s="64"/>
    </row>
    <row r="143" spans="1:8" ht="11.25" customHeight="1">
      <c r="A143" s="151">
        <f>IF(B143&gt;0,MAX(A$97:A142)+1,"")</f>
        <v>8</v>
      </c>
      <c r="B143" s="89" t="s">
        <v>114</v>
      </c>
      <c r="C143" s="76"/>
      <c r="D143" s="14"/>
      <c r="E143" s="16"/>
      <c r="F143" s="70"/>
      <c r="G143" s="77"/>
      <c r="H143" s="64"/>
    </row>
    <row r="144" spans="1:8" ht="56.25" customHeight="1">
      <c r="A144" s="150"/>
      <c r="B144" s="213" t="s">
        <v>115</v>
      </c>
      <c r="C144" s="130"/>
      <c r="D144" s="16"/>
      <c r="E144" s="16"/>
      <c r="F144" s="70"/>
      <c r="G144" s="77"/>
      <c r="H144" s="64"/>
    </row>
    <row r="145" spans="1:8" ht="11.25" customHeight="1">
      <c r="A145" s="150"/>
      <c r="B145" s="48" t="s">
        <v>102</v>
      </c>
      <c r="C145" s="76"/>
      <c r="D145" s="14"/>
      <c r="E145" s="14"/>
      <c r="F145" s="70"/>
      <c r="G145" s="77"/>
      <c r="H145" s="64"/>
    </row>
    <row r="146" spans="1:8" ht="11.25" customHeight="1">
      <c r="A146" s="150"/>
      <c r="B146" s="99" t="s">
        <v>103</v>
      </c>
      <c r="C146" s="14" t="s">
        <v>53</v>
      </c>
      <c r="D146" s="14">
        <v>11.88</v>
      </c>
      <c r="E146" s="16"/>
      <c r="F146" s="70">
        <f>D146*E146</f>
        <v>0</v>
      </c>
      <c r="G146" s="77"/>
      <c r="H146" s="64"/>
    </row>
    <row r="147" spans="1:8" ht="11.25" customHeight="1">
      <c r="A147" s="150"/>
      <c r="B147" s="99" t="s">
        <v>104</v>
      </c>
      <c r="C147" s="14" t="s">
        <v>41</v>
      </c>
      <c r="D147" s="14">
        <v>118.77</v>
      </c>
      <c r="E147" s="16"/>
      <c r="F147" s="70">
        <f>D147*E147</f>
        <v>0</v>
      </c>
      <c r="G147" s="195"/>
      <c r="H147" s="64"/>
    </row>
    <row r="148" spans="1:8" ht="11.25" customHeight="1">
      <c r="A148" s="150"/>
      <c r="B148" s="83"/>
      <c r="C148" s="76"/>
      <c r="D148" s="14"/>
      <c r="E148" s="16"/>
      <c r="F148" s="70"/>
      <c r="G148" s="77"/>
      <c r="H148" s="64"/>
    </row>
    <row r="149" spans="1:8" ht="11.25" customHeight="1">
      <c r="A149" s="151">
        <f>IF(B149&gt;0,MAX(A$97:A148)+1,"")</f>
        <v>9</v>
      </c>
      <c r="B149" s="89" t="s">
        <v>116</v>
      </c>
      <c r="C149" s="76"/>
      <c r="D149" s="14"/>
      <c r="E149" s="16"/>
      <c r="F149" s="70"/>
      <c r="G149" s="77"/>
      <c r="H149" s="64"/>
    </row>
    <row r="150" spans="1:8" ht="45" customHeight="1">
      <c r="A150" s="150"/>
      <c r="B150" s="213" t="s">
        <v>117</v>
      </c>
      <c r="C150" s="130"/>
      <c r="D150" s="16"/>
      <c r="E150" s="16"/>
      <c r="F150" s="70"/>
      <c r="G150" s="77"/>
      <c r="H150" s="64"/>
    </row>
    <row r="151" spans="1:8" ht="11.25" customHeight="1">
      <c r="A151" s="150"/>
      <c r="B151" s="48" t="s">
        <v>102</v>
      </c>
      <c r="C151" s="76"/>
      <c r="D151" s="14"/>
      <c r="E151" s="14"/>
      <c r="F151" s="70"/>
      <c r="G151" s="77"/>
      <c r="H151" s="64"/>
    </row>
    <row r="152" spans="1:8" ht="11.25" customHeight="1">
      <c r="A152" s="150"/>
      <c r="B152" s="99" t="s">
        <v>103</v>
      </c>
      <c r="C152" s="14" t="s">
        <v>53</v>
      </c>
      <c r="D152" s="700">
        <v>4.03</v>
      </c>
      <c r="E152" s="16"/>
      <c r="F152" s="70">
        <f>D152*E152</f>
        <v>0</v>
      </c>
      <c r="G152" s="77"/>
      <c r="H152" s="64"/>
    </row>
    <row r="153" spans="1:8" ht="11.25" customHeight="1">
      <c r="A153" s="150"/>
      <c r="B153" s="99" t="s">
        <v>104</v>
      </c>
      <c r="C153" s="14" t="s">
        <v>41</v>
      </c>
      <c r="D153" s="700">
        <v>40.32</v>
      </c>
      <c r="E153" s="16"/>
      <c r="F153" s="70">
        <f>D153*E153</f>
        <v>0</v>
      </c>
      <c r="G153" s="195"/>
      <c r="H153" s="64"/>
    </row>
    <row r="154" spans="1:8" ht="11.25" customHeight="1">
      <c r="A154" s="150"/>
      <c r="B154" s="99"/>
      <c r="C154" s="14"/>
      <c r="D154" s="14"/>
      <c r="E154" s="16"/>
      <c r="F154" s="70"/>
      <c r="G154" s="195"/>
      <c r="H154" s="64"/>
    </row>
    <row r="155" spans="1:8" ht="11.25" customHeight="1">
      <c r="A155" s="752"/>
      <c r="B155" s="756" t="s">
        <v>118</v>
      </c>
      <c r="C155" s="706"/>
      <c r="D155" s="700"/>
      <c r="E155" s="614"/>
      <c r="F155" s="701"/>
      <c r="G155" s="702"/>
      <c r="H155" s="64"/>
    </row>
    <row r="156" spans="1:8" ht="11.25" customHeight="1">
      <c r="A156" s="752"/>
      <c r="B156" s="756"/>
      <c r="C156" s="706"/>
      <c r="D156" s="700"/>
      <c r="E156" s="614"/>
      <c r="F156" s="701"/>
      <c r="G156" s="702"/>
      <c r="H156" s="64"/>
    </row>
    <row r="157" spans="1:8" ht="11.25" customHeight="1">
      <c r="A157" s="751">
        <f>IF(B157&gt;0,MAX(A$97:A156)+1,"")</f>
        <v>10</v>
      </c>
      <c r="B157" s="705" t="s">
        <v>119</v>
      </c>
      <c r="C157" s="706"/>
      <c r="D157" s="700"/>
      <c r="E157" s="614"/>
      <c r="F157" s="701"/>
      <c r="G157" s="702"/>
      <c r="H157" s="64"/>
    </row>
    <row r="158" spans="1:8" ht="56.25" customHeight="1">
      <c r="A158" s="752"/>
      <c r="B158" s="753" t="s">
        <v>120</v>
      </c>
      <c r="C158" s="704"/>
      <c r="D158" s="614"/>
      <c r="E158" s="614"/>
      <c r="F158" s="701"/>
      <c r="G158" s="702"/>
      <c r="H158" s="64"/>
    </row>
    <row r="159" spans="1:8" ht="11.25" customHeight="1">
      <c r="A159" s="752"/>
      <c r="B159" s="703" t="s">
        <v>102</v>
      </c>
      <c r="C159" s="706"/>
      <c r="D159" s="700"/>
      <c r="E159" s="700"/>
      <c r="F159" s="701"/>
      <c r="G159" s="702"/>
      <c r="H159" s="64"/>
    </row>
    <row r="160" spans="1:8" ht="11.25" customHeight="1">
      <c r="A160" s="752"/>
      <c r="B160" s="703" t="s">
        <v>121</v>
      </c>
      <c r="C160" s="706"/>
      <c r="D160" s="700"/>
      <c r="E160" s="700"/>
      <c r="F160" s="701"/>
      <c r="G160" s="702"/>
      <c r="H160" s="64"/>
    </row>
    <row r="161" spans="1:8" ht="11.25" customHeight="1">
      <c r="A161" s="752"/>
      <c r="B161" s="754" t="s">
        <v>103</v>
      </c>
      <c r="C161" s="700" t="s">
        <v>53</v>
      </c>
      <c r="D161" s="700">
        <v>1.08</v>
      </c>
      <c r="E161" s="614"/>
      <c r="F161" s="701">
        <f>D161*E161</f>
        <v>0</v>
      </c>
      <c r="G161" s="702"/>
      <c r="H161" s="64"/>
    </row>
    <row r="162" spans="1:8" ht="11.25" customHeight="1">
      <c r="A162" s="752"/>
      <c r="B162" s="754" t="s">
        <v>104</v>
      </c>
      <c r="C162" s="700" t="s">
        <v>41</v>
      </c>
      <c r="D162" s="700">
        <v>21.16</v>
      </c>
      <c r="E162" s="614"/>
      <c r="F162" s="701">
        <f>D162*E162</f>
        <v>0</v>
      </c>
      <c r="G162" s="755"/>
      <c r="H162" s="64"/>
    </row>
    <row r="163" spans="1:8" ht="11.25" customHeight="1">
      <c r="A163" s="150"/>
      <c r="B163" s="99"/>
      <c r="C163" s="14"/>
      <c r="D163" s="14"/>
      <c r="E163" s="16"/>
      <c r="F163" s="70"/>
      <c r="G163" s="195"/>
      <c r="H163" s="64"/>
    </row>
    <row r="164" spans="1:8" ht="11.25" customHeight="1">
      <c r="A164" s="150"/>
      <c r="B164" s="83" t="s">
        <v>122</v>
      </c>
      <c r="C164" s="76"/>
      <c r="D164" s="14"/>
      <c r="E164" s="16"/>
      <c r="F164" s="70"/>
      <c r="G164" s="77"/>
      <c r="H164" s="64"/>
    </row>
    <row r="165" spans="1:8" ht="11.25" customHeight="1">
      <c r="A165" s="150"/>
      <c r="B165" s="83"/>
      <c r="C165" s="76"/>
      <c r="D165" s="14"/>
      <c r="E165" s="16"/>
      <c r="F165" s="70"/>
      <c r="G165" s="77"/>
      <c r="H165" s="64"/>
    </row>
    <row r="166" spans="1:8" ht="11.25" customHeight="1">
      <c r="A166" s="151">
        <f>IF(B166&gt;0,MAX(A$97:A165)+1,"")</f>
        <v>11</v>
      </c>
      <c r="B166" s="89" t="s">
        <v>123</v>
      </c>
      <c r="C166" s="76"/>
      <c r="D166" s="14"/>
      <c r="E166" s="16"/>
      <c r="F166" s="70"/>
      <c r="G166" s="77"/>
      <c r="H166" s="64"/>
    </row>
    <row r="167" spans="1:8" ht="45" customHeight="1">
      <c r="A167" s="150"/>
      <c r="B167" s="213" t="s">
        <v>124</v>
      </c>
      <c r="C167" s="130"/>
      <c r="D167" s="16"/>
      <c r="E167" s="16"/>
      <c r="F167" s="70"/>
      <c r="G167" s="77"/>
      <c r="H167" s="64"/>
    </row>
    <row r="168" spans="1:8" ht="11.25" customHeight="1">
      <c r="A168" s="150"/>
      <c r="B168" s="48" t="s">
        <v>102</v>
      </c>
      <c r="C168" s="76"/>
      <c r="D168" s="14"/>
      <c r="E168" s="14"/>
      <c r="F168" s="70"/>
      <c r="G168" s="77"/>
      <c r="H168" s="64"/>
    </row>
    <row r="169" spans="1:8" ht="11.25" customHeight="1">
      <c r="A169" s="150"/>
      <c r="B169" s="48" t="s">
        <v>125</v>
      </c>
      <c r="C169" s="76"/>
      <c r="D169" s="14"/>
      <c r="E169" s="14"/>
      <c r="F169" s="70"/>
      <c r="G169" s="77"/>
      <c r="H169" s="64"/>
    </row>
    <row r="170" spans="1:8" ht="11.25" customHeight="1">
      <c r="A170" s="150"/>
      <c r="B170" s="99" t="s">
        <v>103</v>
      </c>
      <c r="C170" s="14" t="s">
        <v>53</v>
      </c>
      <c r="D170" s="14">
        <v>0.61</v>
      </c>
      <c r="E170" s="16"/>
      <c r="F170" s="70">
        <f>D170*E170</f>
        <v>0</v>
      </c>
      <c r="G170" s="77"/>
      <c r="H170" s="64"/>
    </row>
    <row r="171" spans="1:8" ht="11.25" customHeight="1">
      <c r="A171" s="150"/>
      <c r="B171" s="99" t="s">
        <v>104</v>
      </c>
      <c r="C171" s="14" t="s">
        <v>41</v>
      </c>
      <c r="D171" s="14">
        <v>7.52</v>
      </c>
      <c r="E171" s="16"/>
      <c r="F171" s="70">
        <f>D171*E171</f>
        <v>0</v>
      </c>
      <c r="G171" s="195"/>
      <c r="H171" s="64"/>
    </row>
    <row r="172" spans="1:8" ht="11.25" customHeight="1">
      <c r="A172" s="150"/>
      <c r="B172" s="48" t="s">
        <v>126</v>
      </c>
      <c r="C172" s="76"/>
      <c r="D172" s="14"/>
      <c r="E172" s="14"/>
      <c r="F172" s="70"/>
      <c r="G172" s="77"/>
      <c r="H172" s="64"/>
    </row>
    <row r="173" spans="1:8" ht="11.25" customHeight="1">
      <c r="A173" s="150"/>
      <c r="B173" s="99" t="s">
        <v>103</v>
      </c>
      <c r="C173" s="14" t="s">
        <v>53</v>
      </c>
      <c r="D173" s="14">
        <v>0.55000000000000004</v>
      </c>
      <c r="E173" s="16"/>
      <c r="F173" s="70">
        <f>D173*E173</f>
        <v>0</v>
      </c>
      <c r="G173" s="77"/>
      <c r="H173" s="64"/>
    </row>
    <row r="174" spans="1:8" ht="11.25" customHeight="1">
      <c r="A174" s="150"/>
      <c r="B174" s="99" t="s">
        <v>104</v>
      </c>
      <c r="C174" s="14" t="s">
        <v>41</v>
      </c>
      <c r="D174" s="14">
        <v>6.39</v>
      </c>
      <c r="E174" s="16"/>
      <c r="F174" s="70">
        <f>D174*E174</f>
        <v>0</v>
      </c>
      <c r="G174" s="195"/>
      <c r="H174" s="64"/>
    </row>
    <row r="175" spans="1:8" ht="11.25" customHeight="1">
      <c r="A175" s="150"/>
      <c r="B175" s="48" t="s">
        <v>127</v>
      </c>
      <c r="C175" s="76"/>
      <c r="D175" s="14"/>
      <c r="E175" s="14"/>
      <c r="F175" s="70"/>
      <c r="G175" s="77"/>
      <c r="H175" s="64"/>
    </row>
    <row r="176" spans="1:8" ht="11.25" customHeight="1">
      <c r="A176" s="150"/>
      <c r="B176" s="99" t="s">
        <v>103</v>
      </c>
      <c r="C176" s="14" t="s">
        <v>53</v>
      </c>
      <c r="D176" s="14">
        <v>3.2</v>
      </c>
      <c r="E176" s="16"/>
      <c r="F176" s="70">
        <f>D176*E176</f>
        <v>0</v>
      </c>
      <c r="G176" s="77"/>
      <c r="H176" s="64"/>
    </row>
    <row r="177" spans="1:8" ht="11.25" customHeight="1">
      <c r="A177" s="150"/>
      <c r="B177" s="99" t="s">
        <v>104</v>
      </c>
      <c r="C177" s="14" t="s">
        <v>41</v>
      </c>
      <c r="D177" s="14">
        <v>55.27</v>
      </c>
      <c r="E177" s="16"/>
      <c r="F177" s="70">
        <f>D177*E177</f>
        <v>0</v>
      </c>
      <c r="G177" s="195"/>
      <c r="H177" s="64"/>
    </row>
    <row r="178" spans="1:8" ht="11.25" customHeight="1">
      <c r="A178" s="150"/>
      <c r="B178" s="48" t="s">
        <v>128</v>
      </c>
      <c r="C178" s="76"/>
      <c r="D178" s="14"/>
      <c r="E178" s="14"/>
      <c r="F178" s="70"/>
      <c r="G178" s="77"/>
      <c r="H178" s="64"/>
    </row>
    <row r="179" spans="1:8" ht="11.25" customHeight="1">
      <c r="A179" s="150"/>
      <c r="B179" s="99" t="s">
        <v>103</v>
      </c>
      <c r="C179" s="14" t="s">
        <v>53</v>
      </c>
      <c r="D179" s="14">
        <v>0.81</v>
      </c>
      <c r="E179" s="16"/>
      <c r="F179" s="70">
        <f>D179*E179</f>
        <v>0</v>
      </c>
      <c r="G179" s="77"/>
      <c r="H179" s="64"/>
    </row>
    <row r="180" spans="1:8" ht="11.25" customHeight="1">
      <c r="A180" s="150"/>
      <c r="B180" s="99" t="s">
        <v>104</v>
      </c>
      <c r="C180" s="14" t="s">
        <v>41</v>
      </c>
      <c r="D180" s="14">
        <v>9.52</v>
      </c>
      <c r="E180" s="16"/>
      <c r="F180" s="70">
        <f>D180*E180</f>
        <v>0</v>
      </c>
      <c r="G180" s="195"/>
      <c r="H180" s="64"/>
    </row>
    <row r="181" spans="1:8" ht="11.25" customHeight="1">
      <c r="A181" s="150"/>
      <c r="B181" s="99"/>
      <c r="C181" s="14"/>
      <c r="D181" s="14"/>
      <c r="E181" s="16"/>
      <c r="F181" s="70"/>
      <c r="G181" s="195"/>
      <c r="H181" s="64"/>
    </row>
    <row r="182" spans="1:8" ht="11.25" customHeight="1">
      <c r="A182" s="751">
        <f>IF(B182&gt;0,MAX(A$97:A180)+1,"")</f>
        <v>12</v>
      </c>
      <c r="B182" s="705" t="s">
        <v>129</v>
      </c>
      <c r="C182" s="706"/>
      <c r="D182" s="700"/>
      <c r="E182" s="614"/>
      <c r="F182" s="701"/>
      <c r="G182" s="702"/>
      <c r="H182" s="64"/>
    </row>
    <row r="183" spans="1:8" ht="56.25" customHeight="1">
      <c r="A183" s="752"/>
      <c r="B183" s="753" t="s">
        <v>130</v>
      </c>
      <c r="C183" s="704"/>
      <c r="D183" s="614"/>
      <c r="E183" s="614"/>
      <c r="F183" s="701"/>
      <c r="G183" s="702"/>
      <c r="H183" s="64"/>
    </row>
    <row r="184" spans="1:8" ht="11.25" customHeight="1">
      <c r="A184" s="752"/>
      <c r="B184" s="703" t="s">
        <v>102</v>
      </c>
      <c r="C184" s="706"/>
      <c r="D184" s="700"/>
      <c r="E184" s="700"/>
      <c r="F184" s="701"/>
      <c r="G184" s="702"/>
      <c r="H184" s="64"/>
    </row>
    <row r="185" spans="1:8" ht="11.25" customHeight="1">
      <c r="A185" s="752"/>
      <c r="B185" s="703" t="s">
        <v>131</v>
      </c>
      <c r="C185" s="706"/>
      <c r="D185" s="700"/>
      <c r="E185" s="700"/>
      <c r="F185" s="701"/>
      <c r="G185" s="702"/>
      <c r="H185" s="64"/>
    </row>
    <row r="186" spans="1:8" ht="11.25" customHeight="1">
      <c r="A186" s="752"/>
      <c r="B186" s="754" t="s">
        <v>103</v>
      </c>
      <c r="C186" s="700" t="s">
        <v>53</v>
      </c>
      <c r="D186" s="700">
        <v>3.12</v>
      </c>
      <c r="E186" s="614"/>
      <c r="F186" s="701">
        <f>D186*E186</f>
        <v>0</v>
      </c>
      <c r="G186" s="702"/>
      <c r="H186" s="64"/>
    </row>
    <row r="187" spans="1:8" ht="11.25" customHeight="1">
      <c r="A187" s="752"/>
      <c r="B187" s="754" t="s">
        <v>104</v>
      </c>
      <c r="C187" s="700" t="s">
        <v>41</v>
      </c>
      <c r="D187" s="700">
        <v>41.9</v>
      </c>
      <c r="E187" s="614"/>
      <c r="F187" s="701">
        <f>D187*E187</f>
        <v>0</v>
      </c>
      <c r="G187" s="755"/>
      <c r="H187" s="64"/>
    </row>
    <row r="188" spans="1:8" ht="11.25" customHeight="1">
      <c r="A188" s="150"/>
      <c r="B188" s="83"/>
      <c r="C188" s="76"/>
      <c r="D188" s="14"/>
      <c r="E188" s="16"/>
      <c r="F188" s="70"/>
      <c r="G188" s="77"/>
      <c r="H188" s="64"/>
    </row>
    <row r="189" spans="1:8" ht="11.25" customHeight="1">
      <c r="A189" s="150"/>
      <c r="B189" s="100" t="s">
        <v>132</v>
      </c>
      <c r="C189" s="130"/>
      <c r="D189" s="16"/>
      <c r="E189" s="16"/>
      <c r="F189" s="70"/>
      <c r="G189" s="77"/>
      <c r="H189" s="64"/>
    </row>
    <row r="190" spans="1:8" ht="11.25" customHeight="1">
      <c r="A190" s="150"/>
      <c r="B190" s="99"/>
      <c r="C190" s="14"/>
      <c r="D190" s="14"/>
      <c r="E190" s="16"/>
      <c r="F190" s="70"/>
      <c r="G190" s="77"/>
      <c r="H190" s="64"/>
    </row>
    <row r="191" spans="1:8" ht="11.25" customHeight="1">
      <c r="A191" s="151">
        <f>IF(B191&gt;0,MAX(A$97:A189)+1,"")</f>
        <v>13</v>
      </c>
      <c r="B191" s="13" t="s">
        <v>133</v>
      </c>
      <c r="C191" s="76"/>
      <c r="D191" s="14"/>
      <c r="E191" s="16"/>
      <c r="F191" s="70"/>
      <c r="G191" s="77"/>
      <c r="H191" s="64"/>
    </row>
    <row r="192" spans="1:8" ht="67.5" customHeight="1">
      <c r="A192" s="150"/>
      <c r="B192" s="209" t="s">
        <v>134</v>
      </c>
      <c r="C192" s="76"/>
      <c r="D192" s="14"/>
      <c r="E192" s="16"/>
      <c r="F192" s="70"/>
      <c r="G192" s="77"/>
      <c r="H192" s="64"/>
    </row>
    <row r="193" spans="1:8" ht="11.25" customHeight="1">
      <c r="A193" s="150"/>
      <c r="B193" s="48" t="s">
        <v>102</v>
      </c>
      <c r="C193" s="14"/>
      <c r="D193" s="14"/>
      <c r="E193" s="16"/>
      <c r="F193" s="70"/>
      <c r="G193" s="77"/>
      <c r="H193" s="64"/>
    </row>
    <row r="194" spans="1:8" ht="11.25" customHeight="1">
      <c r="A194" s="150"/>
      <c r="B194" s="99" t="s">
        <v>103</v>
      </c>
      <c r="C194" s="14" t="s">
        <v>53</v>
      </c>
      <c r="D194" s="14">
        <v>2.08</v>
      </c>
      <c r="E194" s="16"/>
      <c r="F194" s="70">
        <f>D194*E194</f>
        <v>0</v>
      </c>
      <c r="G194" s="77"/>
      <c r="H194" s="64"/>
    </row>
    <row r="195" spans="1:8" ht="11.25" customHeight="1">
      <c r="A195" s="150"/>
      <c r="B195" s="99" t="s">
        <v>104</v>
      </c>
      <c r="C195" s="14" t="s">
        <v>41</v>
      </c>
      <c r="D195" s="14">
        <v>14.74</v>
      </c>
      <c r="E195" s="16"/>
      <c r="F195" s="70">
        <f>D195*E195</f>
        <v>0</v>
      </c>
      <c r="G195" s="77"/>
      <c r="H195" s="64"/>
    </row>
    <row r="196" spans="1:8" ht="11.25" customHeight="1">
      <c r="A196" s="150"/>
      <c r="B196" s="99"/>
      <c r="C196" s="14"/>
      <c r="D196" s="14"/>
      <c r="E196" s="16"/>
      <c r="F196" s="70"/>
      <c r="G196" s="77"/>
      <c r="H196" s="64"/>
    </row>
    <row r="197" spans="1:8" ht="11.25" customHeight="1">
      <c r="A197" s="751">
        <f>IF(B197&gt;0,MAX(A$97:A195)+1,"")</f>
        <v>14</v>
      </c>
      <c r="B197" s="757" t="s">
        <v>135</v>
      </c>
      <c r="C197" s="706"/>
      <c r="D197" s="700"/>
      <c r="E197" s="614"/>
      <c r="F197" s="701"/>
      <c r="G197" s="702"/>
      <c r="H197" s="64"/>
    </row>
    <row r="198" spans="1:8" ht="78.75" customHeight="1">
      <c r="A198" s="752"/>
      <c r="B198" s="758" t="s">
        <v>136</v>
      </c>
      <c r="C198" s="706"/>
      <c r="D198" s="700"/>
      <c r="E198" s="614"/>
      <c r="F198" s="701"/>
      <c r="G198" s="702"/>
      <c r="H198" s="64"/>
    </row>
    <row r="199" spans="1:8" ht="11.25" customHeight="1">
      <c r="A199" s="752"/>
      <c r="B199" s="703" t="s">
        <v>102</v>
      </c>
      <c r="C199" s="700"/>
      <c r="D199" s="700"/>
      <c r="E199" s="614"/>
      <c r="F199" s="701"/>
      <c r="G199" s="702"/>
      <c r="H199" s="64"/>
    </row>
    <row r="200" spans="1:8" ht="11.25" customHeight="1">
      <c r="A200" s="752"/>
      <c r="B200" s="754" t="s">
        <v>103</v>
      </c>
      <c r="C200" s="700" t="s">
        <v>53</v>
      </c>
      <c r="D200" s="700">
        <v>1.51</v>
      </c>
      <c r="E200" s="614"/>
      <c r="F200" s="701">
        <f>D200*E200</f>
        <v>0</v>
      </c>
      <c r="G200" s="702"/>
      <c r="H200" s="64"/>
    </row>
    <row r="201" spans="1:8" ht="11.25" customHeight="1">
      <c r="A201" s="752"/>
      <c r="B201" s="754" t="s">
        <v>104</v>
      </c>
      <c r="C201" s="700" t="s">
        <v>41</v>
      </c>
      <c r="D201" s="700">
        <v>17.23</v>
      </c>
      <c r="E201" s="614"/>
      <c r="F201" s="701">
        <f>D201*E201</f>
        <v>0</v>
      </c>
      <c r="G201" s="702"/>
      <c r="H201" s="64"/>
    </row>
    <row r="202" spans="1:8" ht="11.25" customHeight="1">
      <c r="A202" s="150"/>
      <c r="B202" s="83"/>
      <c r="C202" s="76"/>
      <c r="D202" s="14"/>
      <c r="E202" s="16"/>
      <c r="F202" s="71"/>
      <c r="G202" s="77"/>
      <c r="H202" s="64"/>
    </row>
    <row r="203" spans="1:8" ht="11.25" customHeight="1">
      <c r="A203" s="155" t="str">
        <f>A83</f>
        <v>A.03.</v>
      </c>
      <c r="B203" s="156" t="s">
        <v>137</v>
      </c>
      <c r="C203" s="157"/>
      <c r="D203" s="124"/>
      <c r="E203" s="124"/>
      <c r="F203" s="72">
        <f>SUM(F97:F202)</f>
        <v>0</v>
      </c>
      <c r="G203" s="158"/>
      <c r="H203" s="64"/>
    </row>
    <row r="204" spans="1:8" ht="11.25" customHeight="1">
      <c r="A204" s="129"/>
      <c r="B204" s="17"/>
      <c r="C204" s="130"/>
      <c r="D204" s="16"/>
      <c r="E204" s="16"/>
      <c r="F204" s="62"/>
      <c r="G204" s="77"/>
      <c r="H204" s="64"/>
    </row>
    <row r="205" spans="1:8" ht="11.25" customHeight="1">
      <c r="A205" s="201" t="s">
        <v>138</v>
      </c>
      <c r="B205" s="211" t="s">
        <v>139</v>
      </c>
      <c r="C205" s="183"/>
      <c r="D205" s="142"/>
      <c r="E205" s="142"/>
      <c r="F205" s="143"/>
      <c r="G205" s="190"/>
      <c r="H205" s="64"/>
    </row>
    <row r="206" spans="1:8" ht="11.25" customHeight="1">
      <c r="A206" s="205"/>
      <c r="B206" s="83"/>
      <c r="C206" s="76"/>
      <c r="D206" s="14"/>
      <c r="E206" s="14"/>
      <c r="F206" s="62"/>
      <c r="G206" s="74"/>
      <c r="H206" s="64"/>
    </row>
    <row r="207" spans="1:8" ht="11.25" customHeight="1">
      <c r="A207" s="206">
        <v>1</v>
      </c>
      <c r="B207" s="13" t="s">
        <v>140</v>
      </c>
      <c r="C207" s="76"/>
      <c r="D207" s="14"/>
      <c r="E207" s="16"/>
      <c r="F207" s="70"/>
      <c r="G207" s="77"/>
      <c r="H207" s="64"/>
    </row>
    <row r="208" spans="1:8" ht="56.25" customHeight="1">
      <c r="A208" s="150"/>
      <c r="B208" s="209" t="s">
        <v>141</v>
      </c>
      <c r="C208" s="76"/>
      <c r="D208" s="14"/>
      <c r="E208" s="16"/>
      <c r="F208" s="70"/>
      <c r="G208" s="77"/>
      <c r="H208" s="64"/>
    </row>
    <row r="209" spans="1:8" ht="11.25" customHeight="1">
      <c r="A209" s="150"/>
      <c r="B209" s="99" t="s">
        <v>142</v>
      </c>
      <c r="C209" s="14" t="s">
        <v>143</v>
      </c>
      <c r="D209" s="14">
        <f>(D194+D179+D176+D173+D170+D152+D161+D146+D140+D131+D125+D118+D186+D200)*115</f>
        <v>30994.799999999999</v>
      </c>
      <c r="E209" s="16"/>
      <c r="F209" s="70">
        <f>D209*E209</f>
        <v>0</v>
      </c>
      <c r="G209" s="77"/>
      <c r="H209" s="64"/>
    </row>
    <row r="210" spans="1:8" ht="11.25" customHeight="1">
      <c r="A210" s="205"/>
      <c r="B210" s="99"/>
      <c r="C210" s="130"/>
      <c r="D210" s="16"/>
      <c r="E210" s="16"/>
      <c r="F210" s="70"/>
      <c r="G210" s="77"/>
      <c r="H210" s="64"/>
    </row>
    <row r="211" spans="1:8" ht="11.25" customHeight="1">
      <c r="A211" s="155" t="str">
        <f>A205</f>
        <v>A.04.</v>
      </c>
      <c r="B211" s="210" t="s">
        <v>144</v>
      </c>
      <c r="C211" s="157"/>
      <c r="D211" s="124"/>
      <c r="E211" s="124"/>
      <c r="F211" s="72">
        <f>SUM(F209)</f>
        <v>0</v>
      </c>
      <c r="G211" s="158"/>
      <c r="H211" s="64"/>
    </row>
    <row r="212" spans="1:8" ht="11.25" customHeight="1">
      <c r="A212" s="129"/>
      <c r="B212" s="17"/>
      <c r="C212" s="130"/>
      <c r="D212" s="16"/>
      <c r="E212" s="16"/>
      <c r="F212" s="62"/>
      <c r="G212" s="77"/>
      <c r="H212" s="64"/>
    </row>
    <row r="213" spans="1:8" ht="11.25" customHeight="1">
      <c r="A213" s="201" t="s">
        <v>145</v>
      </c>
      <c r="B213" s="211" t="s">
        <v>146</v>
      </c>
      <c r="C213" s="183"/>
      <c r="D213" s="142"/>
      <c r="E213" s="142"/>
      <c r="F213" s="143"/>
      <c r="G213" s="190"/>
      <c r="H213" s="64"/>
    </row>
    <row r="214" spans="1:8" ht="11.25" customHeight="1">
      <c r="A214" s="152"/>
      <c r="B214" s="17"/>
      <c r="C214" s="130"/>
      <c r="D214" s="16"/>
      <c r="E214" s="16"/>
      <c r="F214" s="62"/>
      <c r="G214" s="77"/>
      <c r="H214" s="64"/>
    </row>
    <row r="215" spans="1:8" ht="67.5" customHeight="1">
      <c r="A215" s="152"/>
      <c r="B215" s="17" t="s">
        <v>147</v>
      </c>
      <c r="C215" s="130"/>
      <c r="D215" s="16"/>
      <c r="E215" s="16"/>
      <c r="F215" s="62"/>
      <c r="G215" s="77"/>
      <c r="H215" s="64"/>
    </row>
    <row r="216" spans="1:8" ht="78.75" customHeight="1">
      <c r="A216" s="152"/>
      <c r="B216" s="17" t="s">
        <v>148</v>
      </c>
      <c r="C216" s="130"/>
      <c r="D216" s="16"/>
      <c r="E216" s="16"/>
      <c r="F216" s="62"/>
      <c r="G216" s="77"/>
      <c r="H216" s="64"/>
    </row>
    <row r="217" spans="1:8" ht="101.25" customHeight="1">
      <c r="A217" s="152"/>
      <c r="B217" s="17" t="s">
        <v>149</v>
      </c>
      <c r="C217" s="130"/>
      <c r="D217" s="16"/>
      <c r="E217" s="16"/>
      <c r="F217" s="62"/>
      <c r="G217" s="77"/>
      <c r="H217" s="64"/>
    </row>
    <row r="218" spans="1:8" ht="22.5" customHeight="1">
      <c r="A218" s="152"/>
      <c r="B218" s="17" t="s">
        <v>150</v>
      </c>
      <c r="C218" s="130"/>
      <c r="D218" s="16"/>
      <c r="E218" s="16"/>
      <c r="F218" s="62"/>
      <c r="G218" s="77"/>
      <c r="H218" s="64"/>
    </row>
    <row r="219" spans="1:8" ht="67.5" customHeight="1">
      <c r="A219" s="152"/>
      <c r="B219" s="17" t="s">
        <v>151</v>
      </c>
      <c r="C219" s="130"/>
      <c r="D219" s="16"/>
      <c r="E219" s="16"/>
      <c r="F219" s="62"/>
      <c r="G219" s="77"/>
      <c r="H219" s="64"/>
    </row>
    <row r="220" spans="1:8" ht="22.5" customHeight="1">
      <c r="A220" s="152"/>
      <c r="B220" s="17" t="s">
        <v>152</v>
      </c>
      <c r="C220" s="130"/>
      <c r="D220" s="16"/>
      <c r="E220" s="16"/>
      <c r="F220" s="62"/>
      <c r="G220" s="77"/>
      <c r="H220" s="64"/>
    </row>
    <row r="221" spans="1:8">
      <c r="A221" s="152"/>
      <c r="B221" s="17"/>
      <c r="C221" s="130"/>
      <c r="D221" s="16"/>
      <c r="E221" s="16"/>
      <c r="F221" s="62"/>
      <c r="G221" s="77"/>
      <c r="H221" s="64"/>
    </row>
    <row r="222" spans="1:8" s="236" customFormat="1" ht="11.25" customHeight="1">
      <c r="A222" s="237"/>
      <c r="B222" s="238" t="s">
        <v>153</v>
      </c>
      <c r="C222" s="225"/>
      <c r="D222" s="171"/>
      <c r="E222" s="171"/>
      <c r="F222" s="172"/>
      <c r="G222" s="239"/>
    </row>
    <row r="223" spans="1:8" ht="11.25" customHeight="1">
      <c r="A223" s="152"/>
      <c r="B223" s="17"/>
      <c r="C223" s="130"/>
      <c r="D223" s="16"/>
      <c r="E223" s="16"/>
      <c r="F223" s="62"/>
      <c r="G223" s="77"/>
      <c r="H223" s="64"/>
    </row>
    <row r="224" spans="1:8" ht="11.25" customHeight="1">
      <c r="A224" s="323">
        <v>1</v>
      </c>
      <c r="B224" s="93" t="s">
        <v>154</v>
      </c>
      <c r="C224" s="130"/>
      <c r="D224" s="16"/>
      <c r="E224" s="16"/>
      <c r="F224" s="62"/>
      <c r="G224" s="74"/>
      <c r="H224" s="64"/>
    </row>
    <row r="225" spans="1:8" ht="67.5" customHeight="1">
      <c r="A225" s="152"/>
      <c r="B225" s="17" t="s">
        <v>155</v>
      </c>
      <c r="C225" s="130"/>
      <c r="D225" s="16"/>
      <c r="E225" s="16"/>
      <c r="F225" s="125"/>
      <c r="G225" s="146"/>
      <c r="H225" s="64"/>
    </row>
    <row r="226" spans="1:8" ht="11.25" customHeight="1">
      <c r="A226" s="152"/>
      <c r="B226" s="17" t="s">
        <v>156</v>
      </c>
      <c r="C226" s="130"/>
      <c r="D226" s="16"/>
      <c r="E226" s="16"/>
      <c r="F226" s="125"/>
      <c r="G226" s="146"/>
      <c r="H226" s="64"/>
    </row>
    <row r="227" spans="1:8" ht="22.5" customHeight="1">
      <c r="A227" s="152"/>
      <c r="B227" s="17" t="s">
        <v>157</v>
      </c>
      <c r="C227" s="130"/>
      <c r="D227" s="16"/>
      <c r="E227" s="16"/>
      <c r="F227" s="125"/>
      <c r="G227" s="17"/>
      <c r="H227" s="64"/>
    </row>
    <row r="228" spans="1:8" ht="11.25" customHeight="1">
      <c r="A228" s="152"/>
      <c r="B228" s="17" t="s">
        <v>158</v>
      </c>
      <c r="C228" s="130"/>
      <c r="D228" s="16"/>
      <c r="E228" s="16"/>
      <c r="F228" s="125"/>
      <c r="G228" s="146"/>
      <c r="H228" s="64"/>
    </row>
    <row r="229" spans="1:8" ht="33.75" customHeight="1">
      <c r="A229" s="334"/>
      <c r="B229" s="338" t="s">
        <v>159</v>
      </c>
      <c r="C229" s="298"/>
      <c r="D229" s="291"/>
      <c r="E229" s="291"/>
      <c r="F229" s="325"/>
      <c r="G229" s="326"/>
      <c r="H229" s="327"/>
    </row>
    <row r="230" spans="1:8" ht="11.25" customHeight="1">
      <c r="A230" s="152"/>
      <c r="B230" s="48" t="s">
        <v>92</v>
      </c>
      <c r="C230" s="76"/>
      <c r="D230" s="14"/>
      <c r="E230" s="16"/>
      <c r="F230" s="62"/>
      <c r="G230" s="77"/>
      <c r="H230" s="64"/>
    </row>
    <row r="231" spans="1:8" ht="11.25" customHeight="1">
      <c r="A231" s="152"/>
      <c r="B231" s="101" t="s">
        <v>160</v>
      </c>
      <c r="C231" s="128"/>
      <c r="D231" s="128"/>
      <c r="E231" s="128"/>
      <c r="F231" s="128"/>
      <c r="G231" s="74"/>
      <c r="H231" s="64"/>
    </row>
    <row r="232" spans="1:8" ht="11.25" customHeight="1">
      <c r="A232" s="337"/>
      <c r="B232" s="249" t="s">
        <v>161</v>
      </c>
      <c r="C232" s="14" t="s">
        <v>41</v>
      </c>
      <c r="D232" s="153">
        <v>279.25</v>
      </c>
      <c r="E232" s="146"/>
      <c r="F232" s="71">
        <f>D232*E232</f>
        <v>0</v>
      </c>
      <c r="G232" s="344"/>
    </row>
    <row r="233" spans="1:8" ht="11.25" customHeight="1">
      <c r="A233" s="337"/>
      <c r="B233" s="249" t="s">
        <v>162</v>
      </c>
      <c r="C233" s="341" t="s">
        <v>163</v>
      </c>
      <c r="D233" s="171">
        <v>72.400000000000006</v>
      </c>
      <c r="E233" s="345"/>
      <c r="F233" s="346">
        <f>D233*E233</f>
        <v>0</v>
      </c>
      <c r="G233" s="344"/>
    </row>
    <row r="234" spans="1:8" ht="11.25" customHeight="1">
      <c r="A234" s="237"/>
      <c r="B234" s="322"/>
      <c r="C234" s="171"/>
      <c r="D234" s="171"/>
      <c r="E234" s="171"/>
      <c r="F234" s="172"/>
      <c r="G234" s="239"/>
    </row>
    <row r="235" spans="1:8" ht="11.25" customHeight="1">
      <c r="A235" s="237"/>
      <c r="B235" s="131" t="s">
        <v>164</v>
      </c>
      <c r="C235" s="171"/>
      <c r="D235" s="171"/>
      <c r="E235" s="171"/>
      <c r="F235" s="172"/>
      <c r="G235" s="239"/>
    </row>
    <row r="236" spans="1:8" ht="11.25" customHeight="1">
      <c r="A236" s="237"/>
      <c r="B236" s="322"/>
      <c r="C236" s="171"/>
      <c r="D236" s="171"/>
      <c r="E236" s="171"/>
      <c r="F236" s="172"/>
      <c r="G236" s="239"/>
    </row>
    <row r="237" spans="1:8" ht="11.25" customHeight="1">
      <c r="A237" s="629">
        <f>IF(B237&gt;0,MAX(A$224:A236)+1,"")</f>
        <v>2</v>
      </c>
      <c r="B237" s="324" t="s">
        <v>165</v>
      </c>
      <c r="C237" s="298"/>
      <c r="D237" s="291"/>
      <c r="E237" s="291"/>
      <c r="F237" s="172"/>
      <c r="G237" s="239"/>
    </row>
    <row r="238" spans="1:8" ht="45" customHeight="1">
      <c r="A238" s="237"/>
      <c r="B238" s="297" t="s">
        <v>166</v>
      </c>
      <c r="C238" s="298"/>
      <c r="D238" s="291"/>
      <c r="E238" s="291"/>
      <c r="F238" s="325"/>
      <c r="G238" s="326"/>
      <c r="H238" s="327"/>
    </row>
    <row r="239" spans="1:8" ht="11.25" customHeight="1">
      <c r="A239" s="237"/>
      <c r="B239" s="290" t="s">
        <v>167</v>
      </c>
      <c r="C239" s="225"/>
      <c r="D239" s="171"/>
      <c r="E239" s="291"/>
      <c r="F239" s="172"/>
      <c r="G239" s="292"/>
    </row>
    <row r="240" spans="1:8" ht="11.25" customHeight="1">
      <c r="A240" s="237"/>
      <c r="B240" s="322" t="s">
        <v>93</v>
      </c>
      <c r="G240" s="239"/>
    </row>
    <row r="241" spans="1:8" ht="11.25" customHeight="1">
      <c r="A241" s="237"/>
      <c r="B241" s="322" t="s">
        <v>168</v>
      </c>
      <c r="C241" s="171" t="s">
        <v>41</v>
      </c>
      <c r="D241" s="171">
        <v>15.46</v>
      </c>
      <c r="E241" s="16"/>
      <c r="F241" s="70">
        <f>D241*E241</f>
        <v>0</v>
      </c>
      <c r="G241" s="239"/>
    </row>
    <row r="242" spans="1:8" ht="11.25" customHeight="1">
      <c r="A242" s="237"/>
      <c r="B242" s="322" t="s">
        <v>169</v>
      </c>
      <c r="C242" s="171" t="s">
        <v>41</v>
      </c>
      <c r="D242" s="171">
        <v>7.26</v>
      </c>
      <c r="E242" s="16"/>
      <c r="F242" s="70">
        <f>D242*E242</f>
        <v>0</v>
      </c>
      <c r="G242" s="239"/>
    </row>
    <row r="243" spans="1:8" ht="11.25" customHeight="1">
      <c r="A243" s="328"/>
      <c r="B243" s="329"/>
      <c r="C243" s="330"/>
      <c r="D243" s="331"/>
      <c r="E243" s="331"/>
      <c r="F243" s="332"/>
      <c r="G243" s="333"/>
    </row>
    <row r="244" spans="1:8" ht="11.25" customHeight="1">
      <c r="A244" s="629">
        <f>IF(B244&gt;0,MAX(A$224:A243)+1,"")</f>
        <v>3</v>
      </c>
      <c r="B244" s="324" t="s">
        <v>170</v>
      </c>
      <c r="C244" s="298"/>
      <c r="D244" s="291"/>
      <c r="E244" s="291"/>
      <c r="F244" s="172"/>
      <c r="G244" s="239"/>
    </row>
    <row r="245" spans="1:8" ht="33.75" customHeight="1">
      <c r="A245" s="237"/>
      <c r="B245" s="297" t="s">
        <v>171</v>
      </c>
      <c r="C245" s="298"/>
      <c r="D245" s="291"/>
      <c r="E245" s="291"/>
      <c r="F245" s="325"/>
      <c r="G245" s="326"/>
      <c r="H245" s="327"/>
    </row>
    <row r="246" spans="1:8" ht="11.25" customHeight="1">
      <c r="A246" s="237"/>
      <c r="B246" s="290" t="s">
        <v>172</v>
      </c>
      <c r="C246" s="225"/>
      <c r="D246" s="171"/>
      <c r="E246" s="291"/>
      <c r="F246" s="172"/>
      <c r="G246" s="292"/>
    </row>
    <row r="247" spans="1:8" ht="11.25" customHeight="1">
      <c r="A247" s="237"/>
      <c r="B247" s="322" t="s">
        <v>93</v>
      </c>
      <c r="C247" s="171" t="s">
        <v>41</v>
      </c>
      <c r="D247" s="171">
        <v>131.35</v>
      </c>
      <c r="E247" s="16"/>
      <c r="F247" s="70">
        <f>D247*E247</f>
        <v>0</v>
      </c>
      <c r="G247" s="292"/>
    </row>
    <row r="248" spans="1:8" ht="11.25" customHeight="1">
      <c r="A248" s="328"/>
      <c r="B248" s="329"/>
      <c r="C248" s="330"/>
      <c r="D248" s="331"/>
      <c r="E248" s="331"/>
      <c r="F248" s="332"/>
      <c r="G248" s="333"/>
    </row>
    <row r="249" spans="1:8" ht="11.25" customHeight="1">
      <c r="A249" s="328"/>
      <c r="B249" s="100" t="s">
        <v>173</v>
      </c>
      <c r="C249" s="330"/>
      <c r="D249" s="331"/>
      <c r="E249" s="331"/>
      <c r="F249" s="332"/>
      <c r="G249" s="333"/>
    </row>
    <row r="250" spans="1:8" ht="11.25" customHeight="1">
      <c r="A250" s="328"/>
      <c r="B250" s="329"/>
      <c r="C250" s="330"/>
      <c r="D250" s="331"/>
      <c r="E250" s="331"/>
      <c r="F250" s="332"/>
      <c r="G250" s="333"/>
    </row>
    <row r="251" spans="1:8" ht="11.25" customHeight="1">
      <c r="A251" s="629">
        <f>IF(B251&gt;0,MAX(A$224:A250)+1,"")</f>
        <v>4</v>
      </c>
      <c r="B251" s="336" t="s">
        <v>174</v>
      </c>
      <c r="C251" s="298"/>
      <c r="D251" s="291"/>
      <c r="E251" s="291"/>
      <c r="F251" s="172"/>
      <c r="G251" s="239"/>
    </row>
    <row r="252" spans="1:8" ht="67.5" customHeight="1">
      <c r="A252" s="337"/>
      <c r="B252" s="338" t="s">
        <v>175</v>
      </c>
      <c r="C252" s="298"/>
      <c r="D252" s="291"/>
      <c r="E252" s="291"/>
      <c r="F252" s="325"/>
      <c r="G252" s="326"/>
      <c r="H252" s="327"/>
    </row>
    <row r="253" spans="1:8" ht="11.25" customHeight="1">
      <c r="A253" s="334"/>
      <c r="B253" s="338" t="s">
        <v>156</v>
      </c>
      <c r="C253" s="298"/>
      <c r="D253" s="291"/>
      <c r="E253" s="291"/>
      <c r="F253" s="325"/>
      <c r="G253" s="326"/>
      <c r="H253" s="327"/>
    </row>
    <row r="254" spans="1:8" ht="22.5" customHeight="1">
      <c r="A254" s="334"/>
      <c r="B254" s="338" t="s">
        <v>157</v>
      </c>
      <c r="C254" s="298"/>
      <c r="D254" s="291"/>
      <c r="E254" s="291"/>
      <c r="F254" s="325"/>
      <c r="G254" s="326"/>
      <c r="H254" s="327"/>
    </row>
    <row r="255" spans="1:8" ht="11.25" customHeight="1">
      <c r="A255" s="334"/>
      <c r="B255" s="338" t="s">
        <v>158</v>
      </c>
      <c r="C255" s="298"/>
      <c r="D255" s="291"/>
      <c r="E255" s="291"/>
      <c r="F255" s="325"/>
      <c r="G255" s="326"/>
      <c r="H255" s="327"/>
    </row>
    <row r="256" spans="1:8" ht="33.75" customHeight="1">
      <c r="A256" s="334"/>
      <c r="B256" s="338" t="s">
        <v>159</v>
      </c>
      <c r="C256" s="298"/>
      <c r="D256" s="291"/>
      <c r="E256" s="291"/>
      <c r="F256" s="325"/>
      <c r="G256" s="326"/>
      <c r="H256" s="327"/>
    </row>
    <row r="257" spans="1:8" ht="11.25" customHeight="1">
      <c r="A257" s="337"/>
      <c r="B257" s="339" t="s">
        <v>98</v>
      </c>
      <c r="C257" s="340"/>
      <c r="D257" s="341"/>
      <c r="E257" s="250"/>
      <c r="F257" s="342"/>
      <c r="G257" s="343"/>
    </row>
    <row r="258" spans="1:8" ht="11.25" customHeight="1">
      <c r="A258" s="337"/>
      <c r="B258" s="249" t="s">
        <v>160</v>
      </c>
      <c r="G258" s="344"/>
    </row>
    <row r="259" spans="1:8" ht="11.25" customHeight="1">
      <c r="A259" s="337"/>
      <c r="B259" s="249" t="s">
        <v>161</v>
      </c>
      <c r="C259" s="341" t="s">
        <v>41</v>
      </c>
      <c r="D259" s="341">
        <v>246.41</v>
      </c>
      <c r="E259" s="345"/>
      <c r="F259" s="346">
        <f>D259*E259</f>
        <v>0</v>
      </c>
      <c r="G259" s="344"/>
    </row>
    <row r="260" spans="1:8" ht="11.25" customHeight="1">
      <c r="A260" s="337"/>
      <c r="B260" s="249" t="s">
        <v>162</v>
      </c>
      <c r="C260" s="341" t="s">
        <v>163</v>
      </c>
      <c r="D260" s="171">
        <v>81.099999999999994</v>
      </c>
      <c r="E260" s="345"/>
      <c r="F260" s="346">
        <f>D260*E260</f>
        <v>0</v>
      </c>
      <c r="G260" s="344"/>
    </row>
    <row r="261" spans="1:8" ht="11.25" customHeight="1">
      <c r="A261" s="334"/>
      <c r="B261" s="335"/>
      <c r="C261" s="330"/>
      <c r="D261" s="331"/>
      <c r="E261" s="331"/>
      <c r="F261" s="332"/>
      <c r="G261" s="333"/>
    </row>
    <row r="262" spans="1:8" ht="11.25" customHeight="1">
      <c r="A262" s="629">
        <f>IF(B262&gt;0,MAX(A$224:A261)+1,"")</f>
        <v>5</v>
      </c>
      <c r="B262" s="336" t="s">
        <v>176</v>
      </c>
      <c r="C262" s="347"/>
      <c r="D262" s="250"/>
      <c r="E262" s="250"/>
      <c r="F262" s="342"/>
      <c r="G262" s="344"/>
    </row>
    <row r="263" spans="1:8" ht="78.75" customHeight="1">
      <c r="A263" s="334"/>
      <c r="B263" s="338" t="s">
        <v>177</v>
      </c>
      <c r="C263" s="298"/>
      <c r="D263" s="291"/>
      <c r="E263" s="291"/>
      <c r="F263" s="325"/>
      <c r="G263" s="326"/>
      <c r="H263" s="327"/>
    </row>
    <row r="264" spans="1:8" ht="11.25" customHeight="1">
      <c r="A264" s="337"/>
      <c r="B264" s="339" t="s">
        <v>98</v>
      </c>
      <c r="C264" s="340"/>
      <c r="D264" s="341"/>
      <c r="E264" s="250"/>
      <c r="F264" s="342"/>
      <c r="G264" s="343"/>
    </row>
    <row r="265" spans="1:8" ht="11.25" customHeight="1">
      <c r="A265" s="337"/>
      <c r="B265" s="249" t="s">
        <v>93</v>
      </c>
      <c r="C265" s="341" t="s">
        <v>41</v>
      </c>
      <c r="D265" s="341">
        <v>248.12</v>
      </c>
      <c r="E265" s="345"/>
      <c r="F265" s="346">
        <f>D265*E265</f>
        <v>0</v>
      </c>
      <c r="G265" s="344"/>
    </row>
    <row r="266" spans="1:8">
      <c r="A266" s="152"/>
      <c r="B266" s="17"/>
      <c r="C266" s="130"/>
      <c r="D266" s="16"/>
      <c r="E266" s="16"/>
      <c r="F266" s="62"/>
      <c r="G266" s="77"/>
      <c r="H266" s="64"/>
    </row>
    <row r="267" spans="1:8" ht="11.25" customHeight="1">
      <c r="A267" s="152"/>
      <c r="B267" s="83" t="s">
        <v>178</v>
      </c>
      <c r="C267" s="76"/>
      <c r="D267" s="14"/>
      <c r="E267" s="14"/>
      <c r="F267" s="62"/>
      <c r="G267" s="74"/>
      <c r="H267" s="64"/>
    </row>
    <row r="268" spans="1:8" s="260" customFormat="1" ht="11.25" customHeight="1">
      <c r="A268" s="315"/>
      <c r="B268" s="294"/>
      <c r="C268" s="262"/>
      <c r="D268" s="263"/>
      <c r="E268" s="263"/>
      <c r="F268" s="278"/>
      <c r="G268" s="264"/>
      <c r="H268" s="257"/>
    </row>
    <row r="269" spans="1:8" ht="11.25" customHeight="1">
      <c r="A269" s="629">
        <f>IF(B269&gt;0,MAX(A$224:A268)+1,"")</f>
        <v>6</v>
      </c>
      <c r="B269" s="89" t="s">
        <v>179</v>
      </c>
      <c r="C269" s="76"/>
      <c r="D269" s="14"/>
      <c r="E269" s="14"/>
      <c r="F269" s="62"/>
      <c r="G269" s="74"/>
      <c r="H269" s="64"/>
    </row>
    <row r="270" spans="1:8" ht="45" customHeight="1">
      <c r="A270" s="152"/>
      <c r="B270" s="17" t="s">
        <v>180</v>
      </c>
      <c r="C270" s="130"/>
      <c r="D270" s="16"/>
      <c r="E270" s="16"/>
      <c r="F270" s="62"/>
      <c r="G270" s="77"/>
      <c r="H270" s="64"/>
    </row>
    <row r="271" spans="1:8" ht="11.25" customHeight="1">
      <c r="A271" s="152"/>
      <c r="B271" s="101" t="s">
        <v>181</v>
      </c>
      <c r="C271" s="14" t="s">
        <v>41</v>
      </c>
      <c r="D271" s="14">
        <v>45.24</v>
      </c>
      <c r="E271" s="14"/>
      <c r="F271" s="70">
        <f>D271*E271</f>
        <v>0</v>
      </c>
      <c r="G271" s="77"/>
      <c r="H271" s="64"/>
    </row>
    <row r="272" spans="1:8" ht="11.25" customHeight="1">
      <c r="A272" s="152"/>
      <c r="B272" s="83"/>
      <c r="C272" s="76"/>
      <c r="D272" s="14"/>
      <c r="E272" s="14"/>
      <c r="F272" s="62"/>
      <c r="G272" s="74"/>
      <c r="H272" s="64"/>
    </row>
    <row r="273" spans="1:8" ht="11.25" customHeight="1">
      <c r="A273" s="629">
        <f>IF(B273&gt;0,MAX(A$224:A272)+1,"")</f>
        <v>7</v>
      </c>
      <c r="B273" s="93" t="s">
        <v>182</v>
      </c>
      <c r="C273" s="130"/>
      <c r="D273" s="16"/>
      <c r="E273" s="16"/>
      <c r="F273" s="62"/>
      <c r="G273" s="77"/>
      <c r="H273" s="64"/>
    </row>
    <row r="274" spans="1:8" ht="22.5" customHeight="1">
      <c r="A274" s="207"/>
      <c r="B274" s="17" t="s">
        <v>183</v>
      </c>
      <c r="C274" s="130"/>
      <c r="D274" s="16"/>
      <c r="E274" s="16"/>
      <c r="F274" s="62"/>
      <c r="G274" s="74"/>
      <c r="H274" s="64"/>
    </row>
    <row r="275" spans="1:8" ht="11.25" customHeight="1">
      <c r="A275" s="152"/>
      <c r="B275" s="101" t="s">
        <v>93</v>
      </c>
      <c r="C275" s="14" t="s">
        <v>41</v>
      </c>
      <c r="D275" s="14">
        <v>45.58</v>
      </c>
      <c r="E275" s="16"/>
      <c r="F275" s="71">
        <f>D275*E275</f>
        <v>0</v>
      </c>
      <c r="G275" s="77"/>
      <c r="H275" s="64"/>
    </row>
    <row r="276" spans="1:8" s="260" customFormat="1" ht="11.25" customHeight="1">
      <c r="A276" s="315"/>
      <c r="B276" s="294"/>
      <c r="C276" s="262"/>
      <c r="D276" s="263"/>
      <c r="E276" s="263"/>
      <c r="F276" s="278"/>
      <c r="G276" s="264"/>
      <c r="H276" s="257"/>
    </row>
    <row r="277" spans="1:8" s="260" customFormat="1" ht="11.25" customHeight="1">
      <c r="A277" s="629">
        <f>IF(B277&gt;0,MAX(A$224:A276)+1,"")</f>
        <v>8</v>
      </c>
      <c r="B277" s="259" t="s">
        <v>184</v>
      </c>
      <c r="C277" s="225"/>
      <c r="D277" s="171"/>
      <c r="E277" s="171"/>
      <c r="F277" s="172"/>
      <c r="G277" s="239"/>
      <c r="H277" s="257"/>
    </row>
    <row r="278" spans="1:8" s="260" customFormat="1" ht="78.75" customHeight="1">
      <c r="A278" s="237"/>
      <c r="B278" s="297" t="s">
        <v>185</v>
      </c>
      <c r="C278" s="298"/>
      <c r="D278" s="291"/>
      <c r="E278" s="291"/>
      <c r="F278" s="172"/>
      <c r="G278" s="292"/>
      <c r="H278" s="257"/>
    </row>
    <row r="279" spans="1:8" s="260" customFormat="1" ht="11.25" customHeight="1">
      <c r="A279" s="237"/>
      <c r="B279" s="290" t="s">
        <v>186</v>
      </c>
      <c r="C279" s="348"/>
      <c r="D279" s="349"/>
      <c r="E279" s="350"/>
      <c r="F279" s="349"/>
      <c r="G279" s="292"/>
      <c r="H279" s="257"/>
    </row>
    <row r="280" spans="1:8" s="260" customFormat="1" ht="11.25" customHeight="1">
      <c r="A280" s="237"/>
      <c r="B280" s="322" t="s">
        <v>181</v>
      </c>
      <c r="C280" s="171" t="s">
        <v>41</v>
      </c>
      <c r="D280" s="171">
        <v>69.59</v>
      </c>
      <c r="E280" s="171"/>
      <c r="F280" s="70">
        <f>D280*E280</f>
        <v>0</v>
      </c>
      <c r="G280" s="292"/>
      <c r="H280" s="257"/>
    </row>
    <row r="281" spans="1:8">
      <c r="A281" s="152"/>
      <c r="B281" s="17"/>
      <c r="C281" s="130"/>
      <c r="D281" s="16"/>
      <c r="E281" s="16"/>
      <c r="F281" s="62"/>
      <c r="G281" s="77"/>
      <c r="H281" s="64"/>
    </row>
    <row r="282" spans="1:8" s="287" customFormat="1" ht="11.25" customHeight="1">
      <c r="A282" s="629">
        <f>IF(B282&gt;0,MAX(A$224:A281)+1,"")</f>
        <v>9</v>
      </c>
      <c r="B282" s="259" t="s">
        <v>187</v>
      </c>
      <c r="C282" s="225"/>
      <c r="D282" s="171"/>
      <c r="E282" s="171"/>
      <c r="F282" s="172"/>
      <c r="G282" s="239"/>
      <c r="H282" s="257"/>
    </row>
    <row r="283" spans="1:8" s="287" customFormat="1" ht="22.5" customHeight="1">
      <c r="A283" s="314"/>
      <c r="B283" s="99" t="s">
        <v>188</v>
      </c>
      <c r="C283" s="225"/>
      <c r="D283" s="171"/>
      <c r="E283" s="171"/>
      <c r="F283" s="172"/>
      <c r="G283" s="239"/>
      <c r="H283" s="257"/>
    </row>
    <row r="284" spans="1:8" s="287" customFormat="1" ht="33.75" customHeight="1">
      <c r="A284" s="237"/>
      <c r="B284" s="297" t="s">
        <v>189</v>
      </c>
      <c r="C284" s="298"/>
      <c r="D284" s="291"/>
      <c r="E284" s="291"/>
      <c r="F284" s="172"/>
      <c r="G284" s="292"/>
      <c r="H284" s="257"/>
    </row>
    <row r="285" spans="1:8" s="287" customFormat="1" ht="22.5" customHeight="1">
      <c r="A285" s="237"/>
      <c r="B285" s="297" t="s">
        <v>190</v>
      </c>
      <c r="C285" s="298"/>
      <c r="D285" s="291"/>
      <c r="E285" s="291"/>
      <c r="F285" s="172"/>
      <c r="G285" s="292"/>
      <c r="H285" s="257"/>
    </row>
    <row r="286" spans="1:8" s="287" customFormat="1" ht="22.5" customHeight="1">
      <c r="A286" s="237"/>
      <c r="B286" s="297" t="s">
        <v>191</v>
      </c>
      <c r="C286" s="298"/>
      <c r="D286" s="291"/>
      <c r="E286" s="291"/>
      <c r="F286" s="172"/>
      <c r="G286" s="292"/>
      <c r="H286" s="257"/>
    </row>
    <row r="287" spans="1:8" s="287" customFormat="1" ht="11.25" customHeight="1">
      <c r="A287" s="237"/>
      <c r="B287" s="290" t="s">
        <v>92</v>
      </c>
      <c r="C287" s="225"/>
      <c r="D287" s="171"/>
      <c r="E287" s="291"/>
      <c r="F287" s="172"/>
      <c r="G287" s="292"/>
      <c r="H287" s="257"/>
    </row>
    <row r="288" spans="1:8" s="287" customFormat="1" ht="11.25" customHeight="1">
      <c r="A288" s="237"/>
      <c r="B288" s="322" t="s">
        <v>93</v>
      </c>
      <c r="C288" s="171" t="s">
        <v>41</v>
      </c>
      <c r="D288" s="171">
        <v>214.63</v>
      </c>
      <c r="E288" s="16"/>
      <c r="F288" s="70">
        <f>D288*E288</f>
        <v>0</v>
      </c>
      <c r="G288" s="292"/>
      <c r="H288" s="257"/>
    </row>
    <row r="289" spans="1:8" s="287" customFormat="1" ht="11.25" customHeight="1">
      <c r="A289" s="237"/>
      <c r="B289" s="322"/>
      <c r="C289" s="171"/>
      <c r="D289" s="171"/>
      <c r="E289" s="16"/>
      <c r="F289" s="70"/>
      <c r="G289" s="292"/>
      <c r="H289" s="257"/>
    </row>
    <row r="290" spans="1:8" s="287" customFormat="1" ht="11.25" customHeight="1">
      <c r="A290" s="629">
        <f>IF(B290&gt;0,MAX(A$224:A289)+1,"")</f>
        <v>10</v>
      </c>
      <c r="B290" s="259" t="s">
        <v>192</v>
      </c>
      <c r="C290" s="225"/>
      <c r="D290" s="171"/>
      <c r="E290" s="171"/>
      <c r="F290" s="172"/>
      <c r="G290" s="239"/>
      <c r="H290" s="257"/>
    </row>
    <row r="291" spans="1:8" s="287" customFormat="1" ht="24" customHeight="1">
      <c r="A291" s="314"/>
      <c r="B291" s="99" t="s">
        <v>188</v>
      </c>
      <c r="C291" s="225"/>
      <c r="D291" s="171"/>
      <c r="E291" s="171"/>
      <c r="F291" s="172"/>
      <c r="G291" s="239"/>
      <c r="H291" s="257"/>
    </row>
    <row r="292" spans="1:8" s="287" customFormat="1" ht="22.5" customHeight="1">
      <c r="A292" s="237"/>
      <c r="B292" s="297" t="s">
        <v>193</v>
      </c>
      <c r="C292" s="298"/>
      <c r="D292" s="291"/>
      <c r="E292" s="291"/>
      <c r="F292" s="172"/>
      <c r="G292" s="292"/>
      <c r="H292" s="257"/>
    </row>
    <row r="293" spans="1:8" s="287" customFormat="1" ht="33.75" customHeight="1">
      <c r="A293" s="237"/>
      <c r="B293" s="297" t="s">
        <v>194</v>
      </c>
      <c r="C293" s="298"/>
      <c r="D293" s="291"/>
      <c r="E293" s="291"/>
      <c r="F293" s="172"/>
      <c r="G293" s="292"/>
      <c r="H293" s="257"/>
    </row>
    <row r="294" spans="1:8" s="287" customFormat="1" ht="22.5" customHeight="1">
      <c r="A294" s="237"/>
      <c r="B294" s="297" t="s">
        <v>195</v>
      </c>
      <c r="C294" s="298"/>
      <c r="D294" s="291"/>
      <c r="E294" s="291"/>
      <c r="F294" s="172"/>
      <c r="G294" s="292"/>
      <c r="H294" s="257"/>
    </row>
    <row r="295" spans="1:8" s="287" customFormat="1" ht="22.5" customHeight="1">
      <c r="A295" s="237"/>
      <c r="B295" s="297" t="s">
        <v>196</v>
      </c>
      <c r="C295" s="298"/>
      <c r="D295" s="291"/>
      <c r="E295" s="291"/>
      <c r="F295" s="172"/>
      <c r="G295" s="292"/>
      <c r="H295" s="257"/>
    </row>
    <row r="296" spans="1:8" s="287" customFormat="1" ht="11.25" customHeight="1">
      <c r="A296" s="237"/>
      <c r="B296" s="290" t="s">
        <v>197</v>
      </c>
      <c r="C296" s="225"/>
      <c r="D296" s="171"/>
      <c r="E296" s="291"/>
      <c r="F296" s="172"/>
      <c r="G296" s="292"/>
      <c r="H296" s="257"/>
    </row>
    <row r="297" spans="1:8" s="287" customFormat="1" ht="11.25" customHeight="1">
      <c r="A297" s="237"/>
      <c r="B297" s="322" t="s">
        <v>93</v>
      </c>
      <c r="C297" s="171" t="s">
        <v>41</v>
      </c>
      <c r="D297" s="171">
        <v>69.31</v>
      </c>
      <c r="E297" s="16"/>
      <c r="F297" s="70">
        <f>D297*E297</f>
        <v>0</v>
      </c>
      <c r="G297" s="292"/>
      <c r="H297" s="257"/>
    </row>
    <row r="298" spans="1:8" ht="11.25" customHeight="1">
      <c r="A298" s="237"/>
      <c r="B298" s="238"/>
      <c r="C298" s="225"/>
      <c r="D298" s="171"/>
      <c r="E298" s="171"/>
      <c r="F298" s="172"/>
      <c r="G298" s="239"/>
    </row>
    <row r="299" spans="1:8" ht="11.25" customHeight="1">
      <c r="A299" s="629">
        <f>IF(B299&gt;0,MAX(A$224:A298)+1,"")</f>
        <v>11</v>
      </c>
      <c r="B299" s="259" t="s">
        <v>198</v>
      </c>
      <c r="C299" s="225"/>
      <c r="D299" s="171"/>
      <c r="E299" s="171"/>
      <c r="F299" s="172"/>
      <c r="G299" s="239"/>
    </row>
    <row r="300" spans="1:8" ht="45" customHeight="1">
      <c r="A300" s="237"/>
      <c r="B300" s="17" t="s">
        <v>199</v>
      </c>
      <c r="C300" s="298"/>
      <c r="D300" s="291"/>
      <c r="E300" s="291"/>
      <c r="F300" s="172"/>
      <c r="G300" s="292"/>
    </row>
    <row r="301" spans="1:8" ht="11.25" customHeight="1">
      <c r="A301" s="237"/>
      <c r="B301" s="322" t="s">
        <v>181</v>
      </c>
      <c r="C301" s="171" t="s">
        <v>41</v>
      </c>
      <c r="D301" s="171">
        <v>14.67</v>
      </c>
      <c r="E301" s="16"/>
      <c r="F301" s="70">
        <f>D301*E301</f>
        <v>0</v>
      </c>
      <c r="G301" s="292"/>
    </row>
    <row r="302" spans="1:8" ht="11.25" customHeight="1">
      <c r="A302" s="237"/>
      <c r="B302" s="238"/>
      <c r="C302" s="225"/>
      <c r="D302" s="171"/>
      <c r="E302" s="171"/>
      <c r="F302" s="172"/>
      <c r="G302" s="239"/>
    </row>
    <row r="303" spans="1:8" ht="11.25" customHeight="1">
      <c r="A303" s="629">
        <f>IF(B303&gt;0,MAX(A$224:A302)+1,"")</f>
        <v>12</v>
      </c>
      <c r="B303" s="259" t="s">
        <v>200</v>
      </c>
      <c r="C303" s="225"/>
      <c r="D303" s="171"/>
      <c r="E303" s="171"/>
      <c r="F303" s="172"/>
      <c r="G303" s="239"/>
    </row>
    <row r="304" spans="1:8" ht="45" customHeight="1">
      <c r="A304" s="237"/>
      <c r="B304" s="17" t="s">
        <v>201</v>
      </c>
      <c r="C304" s="298"/>
      <c r="D304" s="291"/>
      <c r="E304" s="291"/>
      <c r="F304" s="172"/>
      <c r="G304" s="292"/>
    </row>
    <row r="305" spans="1:9" ht="11.25" customHeight="1">
      <c r="A305" s="237"/>
      <c r="B305" s="290" t="s">
        <v>202</v>
      </c>
      <c r="C305" s="225"/>
      <c r="D305" s="171"/>
      <c r="E305" s="291"/>
      <c r="F305" s="172"/>
      <c r="G305" s="292"/>
    </row>
    <row r="306" spans="1:9" ht="11.25" customHeight="1">
      <c r="A306" s="237"/>
      <c r="B306" s="322" t="s">
        <v>181</v>
      </c>
      <c r="C306" s="171" t="s">
        <v>41</v>
      </c>
      <c r="D306" s="171">
        <v>80.64</v>
      </c>
      <c r="E306" s="16"/>
      <c r="F306" s="70">
        <f>D306*E306</f>
        <v>0</v>
      </c>
      <c r="G306" s="292"/>
    </row>
    <row r="307" spans="1:9" ht="11.25" customHeight="1">
      <c r="A307" s="237"/>
      <c r="B307" s="238"/>
      <c r="C307" s="225"/>
      <c r="D307" s="171"/>
      <c r="E307" s="171"/>
      <c r="F307" s="172"/>
      <c r="G307" s="239"/>
    </row>
    <row r="308" spans="1:9" ht="11.25" customHeight="1">
      <c r="A308" s="629">
        <f>IF(B308&gt;0,MAX(A$224:A307)+1,"")</f>
        <v>13</v>
      </c>
      <c r="B308" s="259" t="s">
        <v>203</v>
      </c>
      <c r="C308" s="225"/>
      <c r="D308" s="171"/>
      <c r="E308" s="171"/>
      <c r="F308" s="172"/>
      <c r="G308" s="239"/>
    </row>
    <row r="309" spans="1:9" ht="45" customHeight="1">
      <c r="A309" s="237"/>
      <c r="B309" s="17" t="s">
        <v>204</v>
      </c>
      <c r="C309" s="298"/>
      <c r="D309" s="291"/>
      <c r="E309" s="291"/>
      <c r="F309" s="172"/>
      <c r="G309" s="292"/>
    </row>
    <row r="310" spans="1:9" ht="22.5" customHeight="1">
      <c r="A310" s="237"/>
      <c r="B310" s="335" t="s">
        <v>205</v>
      </c>
      <c r="C310" s="298"/>
      <c r="D310" s="291"/>
      <c r="E310" s="291"/>
      <c r="F310" s="172"/>
      <c r="G310" s="292"/>
    </row>
    <row r="311" spans="1:9" ht="11.25" customHeight="1">
      <c r="A311" s="237"/>
      <c r="B311" s="290" t="s">
        <v>206</v>
      </c>
      <c r="C311" s="225"/>
      <c r="D311" s="171"/>
      <c r="E311" s="291"/>
      <c r="F311" s="172"/>
      <c r="G311" s="292"/>
    </row>
    <row r="312" spans="1:9" ht="11.25" customHeight="1">
      <c r="A312" s="237"/>
      <c r="B312" s="322" t="s">
        <v>181</v>
      </c>
      <c r="C312" s="171" t="s">
        <v>41</v>
      </c>
      <c r="D312" s="171">
        <v>137.76</v>
      </c>
      <c r="E312" s="16"/>
      <c r="F312" s="70">
        <f>D312*E312</f>
        <v>0</v>
      </c>
      <c r="G312" s="292"/>
    </row>
    <row r="313" spans="1:9" ht="11.25" customHeight="1">
      <c r="A313" s="237"/>
      <c r="B313" s="238"/>
      <c r="C313" s="225"/>
      <c r="D313" s="171"/>
      <c r="E313" s="171"/>
      <c r="F313" s="172"/>
      <c r="G313" s="239"/>
    </row>
    <row r="314" spans="1:9" ht="11.25" customHeight="1">
      <c r="A314" s="629">
        <f>IF(B314&gt;0,MAX(A$224:A313)+1,"")</f>
        <v>14</v>
      </c>
      <c r="B314" s="259" t="s">
        <v>207</v>
      </c>
      <c r="C314" s="225"/>
      <c r="D314" s="171"/>
      <c r="E314" s="171"/>
      <c r="F314" s="172"/>
      <c r="G314" s="239"/>
    </row>
    <row r="315" spans="1:9" ht="56.25" customHeight="1">
      <c r="A315" s="237"/>
      <c r="B315" s="297" t="s">
        <v>208</v>
      </c>
      <c r="C315" s="298"/>
      <c r="D315" s="291"/>
      <c r="E315" s="291"/>
      <c r="F315" s="172"/>
      <c r="G315" s="292"/>
    </row>
    <row r="316" spans="1:9" ht="11.25" customHeight="1">
      <c r="A316" s="237"/>
      <c r="B316" s="322" t="s">
        <v>181</v>
      </c>
      <c r="C316" s="171" t="s">
        <v>41</v>
      </c>
      <c r="D316" s="171">
        <v>15.96</v>
      </c>
      <c r="E316" s="171"/>
      <c r="F316" s="70">
        <f>D316*E316</f>
        <v>0</v>
      </c>
      <c r="G316" s="292"/>
    </row>
    <row r="317" spans="1:9" ht="11.25" customHeight="1">
      <c r="A317" s="152"/>
      <c r="B317" s="17"/>
      <c r="C317" s="130"/>
      <c r="D317" s="16"/>
      <c r="E317" s="16"/>
      <c r="F317" s="62"/>
      <c r="G317" s="77"/>
      <c r="H317" s="64"/>
    </row>
    <row r="318" spans="1:9" ht="11.25" customHeight="1">
      <c r="A318" s="155" t="str">
        <f>A213</f>
        <v>A.05.</v>
      </c>
      <c r="B318" s="156" t="s">
        <v>209</v>
      </c>
      <c r="C318" s="157"/>
      <c r="D318" s="124"/>
      <c r="E318" s="124"/>
      <c r="F318" s="72">
        <f>SUM(F224:F317)</f>
        <v>0</v>
      </c>
      <c r="G318" s="158"/>
      <c r="H318" s="64"/>
    </row>
    <row r="319" spans="1:9" s="260" customFormat="1" ht="11.25" customHeight="1">
      <c r="A319" s="274"/>
      <c r="B319" s="275"/>
      <c r="C319" s="276"/>
      <c r="D319" s="277"/>
      <c r="E319" s="277"/>
      <c r="F319" s="278"/>
      <c r="G319" s="279"/>
      <c r="H319" s="257"/>
    </row>
    <row r="320" spans="1:9" s="260" customFormat="1" ht="11.25" customHeight="1">
      <c r="A320" s="280" t="s">
        <v>210</v>
      </c>
      <c r="B320" s="281" t="s">
        <v>211</v>
      </c>
      <c r="C320" s="282"/>
      <c r="D320" s="283"/>
      <c r="E320" s="283"/>
      <c r="F320" s="284"/>
      <c r="G320" s="285"/>
      <c r="H320" s="286"/>
      <c r="I320" s="287"/>
    </row>
    <row r="321" spans="1:8" s="260" customFormat="1" ht="11.25" customHeight="1">
      <c r="A321" s="293"/>
      <c r="B321" s="294"/>
      <c r="C321" s="262"/>
      <c r="D321" s="263"/>
      <c r="E321" s="263"/>
      <c r="F321" s="278"/>
      <c r="G321" s="264"/>
      <c r="H321" s="257"/>
    </row>
    <row r="322" spans="1:8" s="287" customFormat="1" ht="11.25" customHeight="1">
      <c r="A322" s="318">
        <v>1</v>
      </c>
      <c r="B322" s="259" t="s">
        <v>212</v>
      </c>
      <c r="C322" s="225"/>
      <c r="D322" s="171"/>
      <c r="E322" s="171"/>
      <c r="F322" s="172"/>
      <c r="G322" s="239"/>
      <c r="H322" s="286"/>
    </row>
    <row r="323" spans="1:8" s="260" customFormat="1" ht="90" customHeight="1">
      <c r="A323" s="295"/>
      <c r="B323" s="247" t="s">
        <v>213</v>
      </c>
      <c r="C323" s="262"/>
      <c r="D323" s="263"/>
      <c r="E323" s="263"/>
      <c r="F323" s="278"/>
      <c r="G323" s="264"/>
      <c r="H323" s="257"/>
    </row>
    <row r="324" spans="1:8" s="260" customFormat="1" ht="11.25" customHeight="1">
      <c r="A324" s="315"/>
      <c r="B324" s="290" t="s">
        <v>214</v>
      </c>
      <c r="C324" s="262"/>
      <c r="D324" s="263"/>
      <c r="E324" s="277"/>
      <c r="F324" s="278"/>
      <c r="G324" s="279"/>
      <c r="H324" s="257"/>
    </row>
    <row r="325" spans="1:8" s="287" customFormat="1" ht="11.25" customHeight="1">
      <c r="A325" s="289"/>
      <c r="B325" s="290" t="s">
        <v>93</v>
      </c>
      <c r="C325" s="171" t="s">
        <v>41</v>
      </c>
      <c r="D325" s="263">
        <v>114.25</v>
      </c>
      <c r="E325" s="171"/>
      <c r="F325" s="172">
        <f>D325*E325</f>
        <v>0</v>
      </c>
      <c r="G325" s="239"/>
      <c r="H325" s="286"/>
    </row>
    <row r="326" spans="1:8" s="260" customFormat="1" ht="11.25" customHeight="1">
      <c r="A326" s="293"/>
      <c r="B326" s="294"/>
      <c r="C326" s="262"/>
      <c r="D326" s="263"/>
      <c r="E326" s="263"/>
      <c r="F326" s="278"/>
      <c r="G326" s="264"/>
      <c r="H326" s="257"/>
    </row>
    <row r="327" spans="1:8" s="287" customFormat="1" ht="11.25" customHeight="1">
      <c r="A327" s="318">
        <f>IF(B327&gt;0,MAX(A$322:A326)+1,"")</f>
        <v>2</v>
      </c>
      <c r="B327" s="259" t="s">
        <v>215</v>
      </c>
      <c r="C327" s="225"/>
      <c r="D327" s="171"/>
      <c r="E327" s="171"/>
      <c r="F327" s="172"/>
      <c r="G327" s="239"/>
      <c r="H327" s="286"/>
    </row>
    <row r="328" spans="1:8" s="260" customFormat="1" ht="78.75" customHeight="1">
      <c r="A328" s="295"/>
      <c r="B328" s="99" t="s">
        <v>216</v>
      </c>
      <c r="C328" s="262"/>
      <c r="D328" s="263"/>
      <c r="E328" s="263"/>
      <c r="F328" s="278"/>
      <c r="G328" s="264"/>
      <c r="H328" s="257"/>
    </row>
    <row r="329" spans="1:8" s="260" customFormat="1" ht="11.25" customHeight="1">
      <c r="A329" s="315"/>
      <c r="B329" s="290" t="s">
        <v>217</v>
      </c>
      <c r="C329" s="262"/>
      <c r="D329" s="263"/>
      <c r="E329" s="277"/>
      <c r="F329" s="278"/>
      <c r="G329" s="279"/>
      <c r="H329" s="257"/>
    </row>
    <row r="330" spans="1:8" s="287" customFormat="1" ht="11.25" customHeight="1">
      <c r="A330" s="289"/>
      <c r="B330" s="290" t="s">
        <v>93</v>
      </c>
      <c r="C330" s="171" t="s">
        <v>41</v>
      </c>
      <c r="D330" s="263">
        <v>77.12</v>
      </c>
      <c r="E330" s="171"/>
      <c r="F330" s="172">
        <f>D330*E330</f>
        <v>0</v>
      </c>
      <c r="G330" s="239"/>
      <c r="H330" s="286"/>
    </row>
    <row r="331" spans="1:8" s="287" customFormat="1" ht="11.25" customHeight="1">
      <c r="A331" s="288"/>
      <c r="B331" s="238"/>
      <c r="C331" s="225"/>
      <c r="D331" s="171"/>
      <c r="E331" s="171"/>
      <c r="F331" s="172"/>
      <c r="G331" s="239"/>
      <c r="H331" s="286"/>
    </row>
    <row r="332" spans="1:8" s="287" customFormat="1" ht="11.25" customHeight="1">
      <c r="A332" s="289"/>
      <c r="B332" s="238" t="s">
        <v>218</v>
      </c>
      <c r="C332" s="225"/>
      <c r="D332" s="171"/>
      <c r="E332" s="171"/>
      <c r="F332" s="172"/>
      <c r="G332" s="239"/>
      <c r="H332" s="286"/>
    </row>
    <row r="333" spans="1:8" s="287" customFormat="1" ht="11.25" customHeight="1">
      <c r="A333" s="288"/>
      <c r="B333" s="99" t="s">
        <v>219</v>
      </c>
      <c r="C333" s="225"/>
      <c r="D333" s="171"/>
      <c r="E333" s="171"/>
      <c r="F333" s="172"/>
      <c r="G333" s="239"/>
      <c r="H333" s="286"/>
    </row>
    <row r="334" spans="1:8" s="287" customFormat="1" ht="22.5" customHeight="1">
      <c r="A334" s="288"/>
      <c r="B334" s="99" t="s">
        <v>220</v>
      </c>
      <c r="C334" s="225"/>
      <c r="D334" s="171"/>
      <c r="E334" s="171"/>
      <c r="F334" s="172"/>
      <c r="G334" s="239"/>
      <c r="H334" s="286"/>
    </row>
    <row r="335" spans="1:8" s="260" customFormat="1" ht="11.25" customHeight="1">
      <c r="A335" s="295"/>
      <c r="B335" s="294"/>
      <c r="C335" s="277"/>
      <c r="D335" s="263"/>
      <c r="E335" s="263"/>
      <c r="F335" s="278"/>
      <c r="G335" s="264"/>
      <c r="H335" s="257"/>
    </row>
    <row r="336" spans="1:8" s="287" customFormat="1" ht="11.25" customHeight="1">
      <c r="A336" s="318">
        <f>IF(B336&gt;0,MAX(A$322:A335)+1,"")</f>
        <v>3</v>
      </c>
      <c r="B336" s="238" t="s">
        <v>221</v>
      </c>
      <c r="C336" s="225"/>
      <c r="D336" s="171"/>
      <c r="E336" s="171"/>
      <c r="F336" s="172"/>
      <c r="G336" s="239"/>
      <c r="H336" s="286"/>
    </row>
    <row r="337" spans="1:9" s="260" customFormat="1" ht="78.75" customHeight="1">
      <c r="A337" s="295"/>
      <c r="B337" s="99" t="s">
        <v>222</v>
      </c>
      <c r="C337" s="262"/>
      <c r="D337" s="263"/>
      <c r="E337" s="263"/>
      <c r="F337" s="278"/>
      <c r="G337" s="296"/>
      <c r="H337" s="257"/>
    </row>
    <row r="338" spans="1:9" s="287" customFormat="1">
      <c r="A338" s="289"/>
      <c r="B338" s="290" t="s">
        <v>197</v>
      </c>
      <c r="C338" s="225"/>
      <c r="D338" s="171"/>
      <c r="E338" s="171"/>
      <c r="F338" s="172"/>
      <c r="G338" s="319"/>
      <c r="H338" s="286"/>
    </row>
    <row r="339" spans="1:9" s="287" customFormat="1" ht="11.25" customHeight="1">
      <c r="A339" s="289"/>
      <c r="B339" s="290" t="s">
        <v>93</v>
      </c>
      <c r="C339" s="171" t="s">
        <v>41</v>
      </c>
      <c r="D339" s="171">
        <v>66.78</v>
      </c>
      <c r="E339" s="171"/>
      <c r="F339" s="172">
        <f>D339*E339</f>
        <v>0</v>
      </c>
      <c r="G339" s="239"/>
      <c r="H339" s="286"/>
    </row>
    <row r="340" spans="1:9" s="260" customFormat="1" ht="11.25" customHeight="1">
      <c r="A340" s="295"/>
      <c r="B340" s="294"/>
      <c r="C340" s="277"/>
      <c r="D340" s="263"/>
      <c r="E340" s="263"/>
      <c r="F340" s="278"/>
      <c r="G340" s="264"/>
      <c r="H340" s="257"/>
    </row>
    <row r="341" spans="1:9" s="287" customFormat="1" ht="11.25" customHeight="1">
      <c r="A341" s="318">
        <f>IF(B341&gt;0,MAX(A$322:A340)+1,"")</f>
        <v>4</v>
      </c>
      <c r="B341" s="238" t="s">
        <v>223</v>
      </c>
      <c r="C341" s="225"/>
      <c r="D341" s="171"/>
      <c r="E341" s="171"/>
      <c r="F341" s="172"/>
      <c r="G341" s="239"/>
      <c r="H341" s="286"/>
    </row>
    <row r="342" spans="1:9" s="260" customFormat="1" ht="45" customHeight="1">
      <c r="A342" s="295"/>
      <c r="B342" s="99" t="s">
        <v>224</v>
      </c>
      <c r="C342" s="262"/>
      <c r="D342" s="263"/>
      <c r="E342" s="263"/>
      <c r="F342" s="278"/>
      <c r="G342" s="296"/>
      <c r="H342" s="257"/>
    </row>
    <row r="343" spans="1:9" s="287" customFormat="1" ht="11.25" customHeight="1">
      <c r="A343" s="289"/>
      <c r="B343" s="290" t="s">
        <v>93</v>
      </c>
      <c r="G343" s="239"/>
      <c r="H343" s="286"/>
    </row>
    <row r="344" spans="1:9" s="287" customFormat="1" ht="11.25" customHeight="1">
      <c r="A344" s="289"/>
      <c r="B344" s="299" t="s">
        <v>225</v>
      </c>
      <c r="C344" s="698"/>
      <c r="D344" s="698"/>
      <c r="E344" s="320"/>
      <c r="F344" s="699"/>
      <c r="G344" s="239"/>
      <c r="H344" s="286"/>
    </row>
    <row r="345" spans="1:9" s="287" customFormat="1" ht="11.25" customHeight="1">
      <c r="A345" s="289"/>
      <c r="B345" s="813" t="s">
        <v>226</v>
      </c>
      <c r="C345" s="263" t="s">
        <v>41</v>
      </c>
      <c r="D345" s="263">
        <v>3.74</v>
      </c>
      <c r="E345" s="171"/>
      <c r="F345" s="172">
        <f>D345*E345</f>
        <v>0</v>
      </c>
      <c r="G345" s="239"/>
      <c r="H345" s="286"/>
    </row>
    <row r="346" spans="1:9" s="287" customFormat="1" ht="11.25" customHeight="1">
      <c r="A346" s="289"/>
      <c r="B346" s="290" t="s">
        <v>227</v>
      </c>
      <c r="C346" s="320"/>
      <c r="D346" s="320"/>
      <c r="E346" s="320"/>
      <c r="F346" s="321"/>
      <c r="G346" s="239"/>
      <c r="H346" s="286"/>
    </row>
    <row r="347" spans="1:9" s="287" customFormat="1" ht="11.25" customHeight="1">
      <c r="A347" s="289"/>
      <c r="B347" s="290" t="s">
        <v>206</v>
      </c>
      <c r="C347" s="171" t="s">
        <v>41</v>
      </c>
      <c r="D347" s="263">
        <v>114.42</v>
      </c>
      <c r="E347" s="171"/>
      <c r="F347" s="172">
        <f>D347*E347</f>
        <v>0</v>
      </c>
      <c r="G347" s="239"/>
      <c r="H347" s="286"/>
    </row>
    <row r="348" spans="1:9" s="287" customFormat="1" ht="11.25" customHeight="1">
      <c r="A348" s="289"/>
      <c r="B348" s="290" t="s">
        <v>228</v>
      </c>
      <c r="C348" s="320"/>
      <c r="D348" s="320"/>
      <c r="E348" s="320"/>
      <c r="F348" s="321"/>
      <c r="G348" s="239"/>
      <c r="H348" s="286"/>
    </row>
    <row r="349" spans="1:9" s="287" customFormat="1" ht="11.25" customHeight="1">
      <c r="A349" s="289"/>
      <c r="B349" s="290" t="s">
        <v>229</v>
      </c>
      <c r="C349" s="171" t="s">
        <v>41</v>
      </c>
      <c r="D349" s="263">
        <v>212.04</v>
      </c>
      <c r="E349" s="171"/>
      <c r="F349" s="172">
        <f>D349*E349</f>
        <v>0</v>
      </c>
      <c r="G349" s="239"/>
      <c r="H349" s="286"/>
    </row>
    <row r="350" spans="1:9" s="260" customFormat="1" ht="11.25" customHeight="1">
      <c r="A350" s="295"/>
      <c r="B350" s="299"/>
      <c r="C350" s="263"/>
      <c r="D350" s="263"/>
      <c r="E350" s="171"/>
      <c r="F350" s="172"/>
      <c r="G350" s="264"/>
      <c r="H350" s="286"/>
      <c r="I350" s="287"/>
    </row>
    <row r="351" spans="1:9" s="260" customFormat="1" ht="11.25" customHeight="1">
      <c r="A351" s="295"/>
      <c r="B351" s="83" t="s">
        <v>230</v>
      </c>
      <c r="C351" s="262"/>
      <c r="D351" s="263"/>
      <c r="E351" s="263"/>
      <c r="F351" s="278"/>
      <c r="G351" s="264"/>
      <c r="H351" s="286"/>
      <c r="I351" s="287"/>
    </row>
    <row r="352" spans="1:9" s="260" customFormat="1" ht="11.25" customHeight="1">
      <c r="A352" s="295"/>
      <c r="B352" s="83"/>
      <c r="C352" s="262"/>
      <c r="D352" s="263"/>
      <c r="E352" s="263"/>
      <c r="F352" s="278"/>
      <c r="G352" s="264"/>
      <c r="H352" s="286"/>
      <c r="I352" s="287"/>
    </row>
    <row r="353" spans="1:9" s="260" customFormat="1" ht="11.25" customHeight="1">
      <c r="B353" s="83" t="s">
        <v>231</v>
      </c>
      <c r="C353" s="262"/>
      <c r="D353" s="263"/>
      <c r="E353" s="263"/>
      <c r="F353" s="278"/>
      <c r="G353" s="264"/>
      <c r="H353" s="286"/>
      <c r="I353" s="287"/>
    </row>
    <row r="354" spans="1:9" s="260" customFormat="1" ht="45" customHeight="1">
      <c r="A354" s="295"/>
      <c r="B354" s="99" t="s">
        <v>232</v>
      </c>
      <c r="C354" s="262"/>
      <c r="D354" s="263"/>
      <c r="E354" s="263"/>
      <c r="F354" s="278"/>
      <c r="G354" s="264"/>
      <c r="H354" s="286"/>
      <c r="I354" s="287"/>
    </row>
    <row r="355" spans="1:9" s="260" customFormat="1" ht="33.75" customHeight="1">
      <c r="A355" s="295"/>
      <c r="B355" s="99" t="s">
        <v>233</v>
      </c>
      <c r="C355" s="262"/>
      <c r="D355" s="263"/>
      <c r="E355" s="263"/>
      <c r="F355" s="278"/>
      <c r="G355" s="264"/>
      <c r="H355" s="286"/>
      <c r="I355" s="287"/>
    </row>
    <row r="356" spans="1:9" s="260" customFormat="1" ht="11.25" customHeight="1">
      <c r="A356" s="289"/>
      <c r="B356" s="238"/>
      <c r="C356" s="225"/>
      <c r="D356" s="171"/>
      <c r="E356" s="171"/>
      <c r="F356" s="172"/>
      <c r="G356" s="239"/>
      <c r="H356" s="257"/>
    </row>
    <row r="357" spans="1:9" s="260" customFormat="1" ht="22.5" customHeight="1">
      <c r="A357" s="318">
        <f>IF(B353&gt;0,MAX(A$322:A352)+1,"")</f>
        <v>5</v>
      </c>
      <c r="B357" s="238" t="s">
        <v>234</v>
      </c>
      <c r="C357" s="225"/>
      <c r="D357" s="171"/>
      <c r="E357" s="171"/>
      <c r="F357" s="172"/>
      <c r="G357" s="239"/>
      <c r="H357" s="257"/>
    </row>
    <row r="358" spans="1:9" s="260" customFormat="1" ht="33.75" customHeight="1">
      <c r="A358" s="289"/>
      <c r="B358" s="297" t="s">
        <v>235</v>
      </c>
      <c r="C358" s="298"/>
      <c r="D358" s="291"/>
      <c r="E358" s="291"/>
      <c r="F358" s="172"/>
      <c r="G358" s="292"/>
      <c r="H358" s="257"/>
    </row>
    <row r="359" spans="1:9" s="260" customFormat="1" ht="11.25" customHeight="1">
      <c r="A359" s="289"/>
      <c r="B359" s="297" t="s">
        <v>236</v>
      </c>
      <c r="C359" s="298"/>
      <c r="D359" s="291"/>
      <c r="E359" s="291"/>
      <c r="F359" s="172"/>
      <c r="G359" s="292"/>
      <c r="H359" s="257"/>
    </row>
    <row r="360" spans="1:9" s="260" customFormat="1" ht="56.25" customHeight="1">
      <c r="A360" s="289"/>
      <c r="B360" s="275" t="s">
        <v>237</v>
      </c>
      <c r="C360" s="298"/>
      <c r="D360" s="291"/>
      <c r="E360" s="291"/>
      <c r="F360" s="172"/>
      <c r="G360" s="292"/>
      <c r="H360" s="257"/>
    </row>
    <row r="361" spans="1:9" s="260" customFormat="1" ht="22.5" customHeight="1">
      <c r="A361" s="289"/>
      <c r="B361" s="297" t="s">
        <v>238</v>
      </c>
      <c r="C361" s="298"/>
      <c r="D361" s="291"/>
      <c r="E361" s="291"/>
      <c r="F361" s="172"/>
      <c r="G361" s="292"/>
      <c r="H361" s="257"/>
    </row>
    <row r="362" spans="1:9" s="260" customFormat="1" ht="33.75" customHeight="1">
      <c r="A362" s="289"/>
      <c r="B362" s="297" t="s">
        <v>239</v>
      </c>
      <c r="C362" s="298"/>
      <c r="D362" s="291"/>
      <c r="E362" s="291"/>
      <c r="F362" s="172"/>
      <c r="G362" s="292"/>
      <c r="H362" s="257"/>
    </row>
    <row r="363" spans="1:9" s="260" customFormat="1" ht="11.25" customHeight="1">
      <c r="A363" s="289"/>
      <c r="B363" s="317" t="s">
        <v>240</v>
      </c>
      <c r="C363" s="225"/>
      <c r="D363" s="171"/>
      <c r="E363" s="291"/>
      <c r="F363" s="172"/>
      <c r="G363" s="292"/>
      <c r="H363" s="257"/>
    </row>
    <row r="364" spans="1:9" s="260" customFormat="1" ht="11.25" customHeight="1">
      <c r="A364" s="289"/>
      <c r="B364" s="290" t="s">
        <v>241</v>
      </c>
      <c r="C364" s="171" t="s">
        <v>41</v>
      </c>
      <c r="D364" s="171">
        <v>190.98</v>
      </c>
      <c r="E364" s="171">
        <v>140</v>
      </c>
      <c r="F364" s="172">
        <f>D364*E364</f>
        <v>26737.200000000001</v>
      </c>
      <c r="G364" s="292"/>
      <c r="H364" s="257"/>
    </row>
    <row r="365" spans="1:9" s="260" customFormat="1" ht="49.5" customHeight="1">
      <c r="A365" s="295"/>
      <c r="B365" s="797" t="s">
        <v>242</v>
      </c>
      <c r="C365" s="262"/>
      <c r="D365" s="263"/>
      <c r="E365" s="263"/>
      <c r="F365" s="278"/>
      <c r="G365" s="264"/>
      <c r="H365" s="286"/>
      <c r="I365" s="287"/>
    </row>
    <row r="366" spans="1:9" s="260" customFormat="1" ht="11.25" customHeight="1">
      <c r="A366" s="318">
        <f>IF(B366&gt;0,MAX(A$322:A365)+1,"")</f>
        <v>6</v>
      </c>
      <c r="B366" s="238" t="s">
        <v>243</v>
      </c>
      <c r="C366" s="262"/>
      <c r="D366" s="263"/>
      <c r="E366" s="263"/>
      <c r="F366" s="278"/>
      <c r="G366" s="264"/>
      <c r="H366" s="257"/>
    </row>
    <row r="367" spans="1:9" s="260" customFormat="1" ht="33.75" customHeight="1">
      <c r="A367" s="295"/>
      <c r="B367" s="297" t="s">
        <v>235</v>
      </c>
      <c r="C367" s="276"/>
      <c r="D367" s="277"/>
      <c r="E367" s="277"/>
      <c r="F367" s="278"/>
      <c r="G367" s="279"/>
      <c r="H367" s="257"/>
    </row>
    <row r="368" spans="1:9" s="260" customFormat="1" ht="11.25" customHeight="1">
      <c r="A368" s="295"/>
      <c r="B368" s="297" t="s">
        <v>236</v>
      </c>
      <c r="C368" s="276"/>
      <c r="D368" s="277"/>
      <c r="E368" s="277"/>
      <c r="F368" s="278"/>
      <c r="G368" s="279"/>
      <c r="H368" s="257"/>
    </row>
    <row r="369" spans="1:9" s="260" customFormat="1" ht="56.25" customHeight="1">
      <c r="A369" s="295"/>
      <c r="B369" s="275" t="s">
        <v>237</v>
      </c>
      <c r="C369" s="276"/>
      <c r="D369" s="277"/>
      <c r="E369" s="277"/>
      <c r="F369" s="278"/>
      <c r="G369" s="316"/>
      <c r="H369" s="257"/>
    </row>
    <row r="370" spans="1:9" s="260" customFormat="1" ht="22.5" customHeight="1">
      <c r="A370" s="295"/>
      <c r="B370" s="297" t="s">
        <v>238</v>
      </c>
      <c r="C370" s="276"/>
      <c r="D370" s="277"/>
      <c r="E370" s="277"/>
      <c r="F370" s="278"/>
      <c r="G370" s="279"/>
      <c r="H370" s="257"/>
    </row>
    <row r="371" spans="1:9" s="260" customFormat="1" ht="22.5" customHeight="1">
      <c r="A371" s="295"/>
      <c r="B371" s="297" t="s">
        <v>244</v>
      </c>
      <c r="C371" s="276"/>
      <c r="D371" s="277"/>
      <c r="E371" s="277"/>
      <c r="F371" s="278"/>
      <c r="G371" s="279"/>
      <c r="H371" s="257"/>
    </row>
    <row r="372" spans="1:9" s="260" customFormat="1" ht="11.25" customHeight="1">
      <c r="A372" s="295"/>
      <c r="B372" s="317" t="s">
        <v>240</v>
      </c>
      <c r="C372" s="262"/>
      <c r="D372" s="263"/>
      <c r="E372" s="277"/>
      <c r="F372" s="278"/>
      <c r="G372" s="279"/>
      <c r="H372" s="257"/>
    </row>
    <row r="373" spans="1:9" s="260" customFormat="1" ht="11.25" customHeight="1">
      <c r="A373" s="295"/>
      <c r="B373" s="290" t="s">
        <v>241</v>
      </c>
      <c r="C373" s="171" t="s">
        <v>41</v>
      </c>
      <c r="D373" s="171">
        <v>235.14</v>
      </c>
      <c r="E373" s="171">
        <v>80</v>
      </c>
      <c r="F373" s="172">
        <f>D373*E373</f>
        <v>18811.2</v>
      </c>
      <c r="G373" s="292"/>
      <c r="H373" s="286"/>
    </row>
    <row r="374" spans="1:9" s="260" customFormat="1" ht="52.5" customHeight="1">
      <c r="A374" s="295"/>
      <c r="B374" s="797" t="s">
        <v>245</v>
      </c>
      <c r="C374" s="262"/>
      <c r="D374" s="263"/>
      <c r="E374" s="263"/>
      <c r="F374" s="278"/>
      <c r="G374" s="264"/>
      <c r="H374" s="286"/>
      <c r="I374" s="287"/>
    </row>
    <row r="375" spans="1:9" s="260" customFormat="1" ht="11.25" customHeight="1">
      <c r="A375" s="318">
        <f>IF(B375&gt;0,MAX(A$322:A374)+1,"")</f>
        <v>7</v>
      </c>
      <c r="B375" s="238" t="s">
        <v>246</v>
      </c>
      <c r="C375" s="262"/>
      <c r="D375" s="263"/>
      <c r="E375" s="263"/>
      <c r="F375" s="278"/>
      <c r="G375" s="264"/>
      <c r="H375" s="257"/>
    </row>
    <row r="376" spans="1:9" s="260" customFormat="1" ht="33.75" customHeight="1">
      <c r="A376" s="295"/>
      <c r="B376" s="297" t="s">
        <v>235</v>
      </c>
      <c r="C376" s="276"/>
      <c r="D376" s="277"/>
      <c r="E376" s="277"/>
      <c r="F376" s="278"/>
      <c r="G376" s="279"/>
      <c r="H376" s="257"/>
    </row>
    <row r="377" spans="1:9" s="260" customFormat="1" ht="11.25" customHeight="1">
      <c r="A377" s="295"/>
      <c r="B377" s="297" t="s">
        <v>236</v>
      </c>
      <c r="C377" s="276"/>
      <c r="D377" s="277"/>
      <c r="E377" s="277"/>
      <c r="F377" s="278"/>
      <c r="G377" s="279"/>
      <c r="H377" s="257"/>
    </row>
    <row r="378" spans="1:9" s="260" customFormat="1" ht="56.25" customHeight="1">
      <c r="A378" s="295"/>
      <c r="B378" s="275" t="s">
        <v>247</v>
      </c>
      <c r="C378" s="276"/>
      <c r="D378" s="277"/>
      <c r="E378" s="277"/>
      <c r="F378" s="278"/>
      <c r="G378" s="316"/>
      <c r="H378" s="257"/>
    </row>
    <row r="379" spans="1:9" s="260" customFormat="1" ht="22.5" customHeight="1">
      <c r="A379" s="295"/>
      <c r="B379" s="297" t="s">
        <v>238</v>
      </c>
      <c r="C379" s="276"/>
      <c r="D379" s="277"/>
      <c r="E379" s="277"/>
      <c r="F379" s="278"/>
      <c r="G379" s="279"/>
      <c r="H379" s="257"/>
    </row>
    <row r="380" spans="1:9" s="260" customFormat="1" ht="22.5" customHeight="1">
      <c r="A380" s="295"/>
      <c r="B380" s="297" t="s">
        <v>244</v>
      </c>
      <c r="C380" s="276"/>
      <c r="D380" s="277"/>
      <c r="E380" s="277"/>
      <c r="F380" s="278"/>
      <c r="G380" s="279"/>
      <c r="H380" s="257"/>
    </row>
    <row r="381" spans="1:9" s="260" customFormat="1" ht="11.25" customHeight="1">
      <c r="A381" s="295"/>
      <c r="B381" s="247" t="s">
        <v>248</v>
      </c>
      <c r="C381" s="262"/>
      <c r="D381" s="263"/>
      <c r="E381" s="277"/>
      <c r="F381" s="278"/>
      <c r="G381" s="279"/>
      <c r="H381" s="257"/>
    </row>
    <row r="382" spans="1:9" s="260" customFormat="1" ht="11.25" customHeight="1">
      <c r="A382" s="295"/>
      <c r="B382" s="290" t="s">
        <v>241</v>
      </c>
      <c r="C382" s="171" t="s">
        <v>41</v>
      </c>
      <c r="D382" s="171">
        <v>33.049999999999997</v>
      </c>
      <c r="E382" s="171">
        <v>68</v>
      </c>
      <c r="F382" s="172">
        <f>D382*E382</f>
        <v>2247.4</v>
      </c>
      <c r="G382" s="292"/>
      <c r="H382" s="286"/>
    </row>
    <row r="383" spans="1:9" s="260" customFormat="1" ht="39" customHeight="1">
      <c r="A383" s="295"/>
      <c r="B383" s="797" t="s">
        <v>245</v>
      </c>
      <c r="C383" s="263"/>
      <c r="D383" s="263"/>
      <c r="E383" s="263"/>
      <c r="F383" s="278"/>
      <c r="G383" s="279"/>
      <c r="H383" s="257"/>
    </row>
    <row r="384" spans="1:9" s="260" customFormat="1" ht="11.25" customHeight="1">
      <c r="A384" s="288"/>
      <c r="B384" s="307" t="s">
        <v>249</v>
      </c>
      <c r="C384" s="171"/>
      <c r="D384" s="171"/>
      <c r="E384" s="171"/>
      <c r="F384" s="172"/>
      <c r="G384" s="239"/>
      <c r="H384" s="257"/>
    </row>
    <row r="385" spans="1:8" s="260" customFormat="1" ht="11.25" customHeight="1">
      <c r="A385" s="288"/>
      <c r="B385" s="307"/>
      <c r="C385" s="171"/>
      <c r="D385" s="171"/>
      <c r="E385" s="171"/>
      <c r="F385" s="172"/>
      <c r="G385" s="239"/>
      <c r="H385" s="257"/>
    </row>
    <row r="386" spans="1:8" s="260" customFormat="1" ht="11.25" customHeight="1">
      <c r="A386" s="318">
        <f>IF(B386&gt;0,MAX(A$322:A385)+1,"")</f>
        <v>8</v>
      </c>
      <c r="B386" s="300" t="s">
        <v>250</v>
      </c>
      <c r="C386" s="301"/>
      <c r="D386" s="302"/>
      <c r="E386" s="302"/>
      <c r="F386" s="303"/>
      <c r="G386" s="304"/>
      <c r="H386" s="257"/>
    </row>
    <row r="387" spans="1:8" s="260" customFormat="1" ht="56.25" customHeight="1">
      <c r="A387" s="305"/>
      <c r="B387" s="306" t="s">
        <v>251</v>
      </c>
      <c r="C387" s="301"/>
      <c r="D387" s="302"/>
      <c r="E387" s="302"/>
      <c r="F387" s="303"/>
      <c r="G387" s="304"/>
      <c r="H387" s="257"/>
    </row>
    <row r="388" spans="1:8" s="260" customFormat="1" ht="45" customHeight="1">
      <c r="A388" s="305"/>
      <c r="B388" s="306" t="s">
        <v>252</v>
      </c>
      <c r="C388" s="301"/>
      <c r="D388" s="302"/>
      <c r="E388" s="302"/>
      <c r="F388" s="303"/>
      <c r="G388" s="304"/>
      <c r="H388" s="257"/>
    </row>
    <row r="389" spans="1:8" s="260" customFormat="1" ht="22.5" customHeight="1">
      <c r="A389" s="305"/>
      <c r="B389" s="306" t="s">
        <v>253</v>
      </c>
      <c r="C389" s="301"/>
      <c r="D389" s="302"/>
      <c r="E389" s="302"/>
      <c r="F389" s="303"/>
      <c r="G389" s="304"/>
      <c r="H389" s="257"/>
    </row>
    <row r="390" spans="1:8" s="260" customFormat="1" ht="33.75" customHeight="1">
      <c r="A390" s="305"/>
      <c r="B390" s="306" t="s">
        <v>254</v>
      </c>
      <c r="C390" s="301"/>
      <c r="D390" s="302"/>
      <c r="E390" s="302"/>
      <c r="F390" s="303"/>
      <c r="G390" s="304"/>
      <c r="H390" s="257"/>
    </row>
    <row r="391" spans="1:8" s="260" customFormat="1">
      <c r="A391" s="305"/>
      <c r="B391" s="306"/>
      <c r="C391" s="301"/>
      <c r="D391" s="302"/>
      <c r="E391" s="302"/>
      <c r="F391" s="303"/>
      <c r="G391" s="304"/>
      <c r="H391" s="257"/>
    </row>
    <row r="392" spans="1:8" s="260" customFormat="1" ht="11.25" customHeight="1">
      <c r="A392" s="305"/>
      <c r="B392" s="306" t="s">
        <v>255</v>
      </c>
      <c r="C392" s="301" t="s">
        <v>41</v>
      </c>
      <c r="D392" s="302">
        <v>552.34</v>
      </c>
      <c r="E392" s="302">
        <v>8.3000000000000007</v>
      </c>
      <c r="F392" s="172">
        <f>D392*E392</f>
        <v>4584.42</v>
      </c>
      <c r="G392" s="304"/>
      <c r="H392" s="257"/>
    </row>
    <row r="393" spans="1:8" s="260" customFormat="1" ht="37.5" customHeight="1">
      <c r="A393" s="798" t="s">
        <v>256</v>
      </c>
      <c r="B393" s="799" t="s">
        <v>257</v>
      </c>
      <c r="C393" s="301" t="s">
        <v>258</v>
      </c>
      <c r="D393" s="302">
        <v>95</v>
      </c>
      <c r="E393" s="302">
        <v>45</v>
      </c>
      <c r="F393" s="172">
        <f>D393*E393</f>
        <v>4275</v>
      </c>
      <c r="G393" s="304"/>
      <c r="H393" s="257"/>
    </row>
    <row r="394" spans="1:8" s="260" customFormat="1" ht="11.25" customHeight="1">
      <c r="A394" s="288"/>
      <c r="B394" s="290"/>
      <c r="C394" s="171"/>
      <c r="D394" s="171"/>
      <c r="E394" s="171"/>
      <c r="F394" s="172"/>
      <c r="G394" s="239"/>
      <c r="H394" s="257"/>
    </row>
    <row r="395" spans="1:8" s="260" customFormat="1" ht="11.25" customHeight="1">
      <c r="A395" s="308" t="str">
        <f>A320</f>
        <v>A.06.</v>
      </c>
      <c r="B395" s="309" t="s">
        <v>259</v>
      </c>
      <c r="C395" s="310"/>
      <c r="D395" s="311"/>
      <c r="E395" s="311"/>
      <c r="F395" s="312">
        <f>SUM(F321:F393)</f>
        <v>56655.22</v>
      </c>
      <c r="G395" s="313"/>
      <c r="H395" s="257"/>
    </row>
    <row r="396" spans="1:8" s="260" customFormat="1" ht="11.25" customHeight="1">
      <c r="A396" s="618"/>
      <c r="B396" s="619"/>
      <c r="C396" s="298"/>
      <c r="D396" s="171"/>
      <c r="E396" s="171"/>
      <c r="F396" s="620"/>
      <c r="G396" s="621"/>
      <c r="H396" s="257"/>
    </row>
    <row r="397" spans="1:8" s="260" customFormat="1" ht="11.25" customHeight="1">
      <c r="A397" s="568" t="s">
        <v>260</v>
      </c>
      <c r="B397" s="569" t="s">
        <v>261</v>
      </c>
      <c r="C397" s="570"/>
      <c r="D397" s="571"/>
      <c r="E397" s="572"/>
      <c r="F397" s="573"/>
      <c r="G397" s="570"/>
      <c r="H397" s="257"/>
    </row>
    <row r="398" spans="1:8" s="260" customFormat="1" ht="11.25" customHeight="1">
      <c r="A398" s="574"/>
      <c r="B398" s="462"/>
      <c r="C398" s="575"/>
      <c r="D398" s="576"/>
      <c r="E398" s="577"/>
      <c r="F398" s="511"/>
      <c r="G398" s="578"/>
      <c r="H398" s="257"/>
    </row>
    <row r="399" spans="1:8" s="601" customFormat="1">
      <c r="A399" s="574"/>
      <c r="B399" s="600" t="s">
        <v>262</v>
      </c>
      <c r="C399" s="575"/>
      <c r="D399" s="576"/>
      <c r="E399" s="577"/>
      <c r="F399" s="511"/>
      <c r="G399" s="578"/>
    </row>
    <row r="400" spans="1:8" s="601" customFormat="1" ht="45" customHeight="1">
      <c r="A400" s="574"/>
      <c r="B400" s="462" t="s">
        <v>263</v>
      </c>
      <c r="C400" s="575"/>
      <c r="D400" s="576"/>
      <c r="E400" s="577"/>
      <c r="F400" s="511"/>
      <c r="G400" s="578"/>
    </row>
    <row r="401" spans="1:8" s="601" customFormat="1" ht="258.75" customHeight="1">
      <c r="A401" s="574"/>
      <c r="B401" s="429" t="s">
        <v>264</v>
      </c>
      <c r="C401" s="575"/>
      <c r="D401" s="576"/>
      <c r="E401" s="577"/>
      <c r="F401" s="511"/>
      <c r="G401" s="578"/>
    </row>
    <row r="402" spans="1:8" s="596" customFormat="1" ht="90" customHeight="1">
      <c r="A402" s="591"/>
      <c r="B402" s="591" t="s">
        <v>265</v>
      </c>
      <c r="C402" s="592"/>
      <c r="D402" s="593"/>
      <c r="E402" s="593"/>
      <c r="F402" s="594"/>
      <c r="G402" s="595"/>
    </row>
    <row r="403" spans="1:8" s="260" customFormat="1" ht="11.25" customHeight="1">
      <c r="A403" s="574"/>
      <c r="B403" s="462"/>
      <c r="C403" s="575"/>
      <c r="D403" s="576"/>
      <c r="E403" s="577"/>
      <c r="F403" s="511"/>
      <c r="G403" s="578"/>
      <c r="H403" s="257"/>
    </row>
    <row r="404" spans="1:8" s="598" customFormat="1">
      <c r="A404" s="579">
        <v>1</v>
      </c>
      <c r="B404" s="580" t="s">
        <v>266</v>
      </c>
      <c r="C404" s="581"/>
      <c r="D404" s="576"/>
      <c r="E404" s="576"/>
      <c r="F404" s="582"/>
      <c r="G404" s="597"/>
    </row>
    <row r="405" spans="1:8" s="598" customFormat="1" ht="67.5" customHeight="1">
      <c r="A405" s="583"/>
      <c r="B405" s="584" t="s">
        <v>267</v>
      </c>
      <c r="C405" s="581"/>
      <c r="D405" s="576"/>
      <c r="E405" s="576"/>
      <c r="F405" s="582"/>
      <c r="G405" s="599"/>
    </row>
    <row r="406" spans="1:8" s="598" customFormat="1">
      <c r="A406" s="583"/>
      <c r="B406" s="584" t="s">
        <v>268</v>
      </c>
      <c r="C406" s="581" t="s">
        <v>163</v>
      </c>
      <c r="D406" s="576">
        <v>44.3</v>
      </c>
      <c r="E406" s="576"/>
      <c r="F406" s="582">
        <f>D406*E406</f>
        <v>0</v>
      </c>
      <c r="G406" s="597"/>
    </row>
    <row r="407" spans="1:8" s="598" customFormat="1">
      <c r="A407" s="583"/>
      <c r="B407" s="584"/>
      <c r="C407" s="581"/>
      <c r="D407" s="576"/>
      <c r="E407" s="576"/>
      <c r="F407" s="582"/>
      <c r="G407" s="597"/>
    </row>
    <row r="408" spans="1:8" s="598" customFormat="1">
      <c r="A408" s="634">
        <f>IF(B408&gt;0,MAX(A$404:A407)+1,"")</f>
        <v>2</v>
      </c>
      <c r="B408" s="580" t="s">
        <v>269</v>
      </c>
      <c r="C408" s="581"/>
      <c r="D408" s="576"/>
      <c r="E408" s="576"/>
      <c r="F408" s="582"/>
      <c r="G408" s="597"/>
    </row>
    <row r="409" spans="1:8" s="598" customFormat="1" ht="67.5" customHeight="1">
      <c r="A409" s="583"/>
      <c r="B409" s="584" t="s">
        <v>270</v>
      </c>
      <c r="C409" s="581"/>
      <c r="D409" s="576"/>
      <c r="E409" s="576"/>
      <c r="F409" s="582"/>
      <c r="G409" s="599"/>
    </row>
    <row r="410" spans="1:8" s="598" customFormat="1">
      <c r="A410" s="583"/>
      <c r="B410" s="584" t="s">
        <v>268</v>
      </c>
      <c r="C410" s="581" t="s">
        <v>163</v>
      </c>
      <c r="D410" s="576">
        <v>36.799999999999997</v>
      </c>
      <c r="E410" s="576"/>
      <c r="F410" s="582">
        <f>D410*E410</f>
        <v>0</v>
      </c>
      <c r="G410" s="597"/>
    </row>
    <row r="411" spans="1:8" s="260" customFormat="1" ht="11.25" customHeight="1">
      <c r="A411" s="585"/>
      <c r="B411" s="466"/>
      <c r="C411" s="586"/>
      <c r="D411" s="587"/>
      <c r="E411" s="588"/>
      <c r="F411" s="589"/>
      <c r="G411" s="590"/>
      <c r="H411" s="257"/>
    </row>
    <row r="412" spans="1:8" s="260" customFormat="1" ht="11.25" customHeight="1">
      <c r="A412" s="568" t="s">
        <v>260</v>
      </c>
      <c r="B412" s="569" t="s">
        <v>271</v>
      </c>
      <c r="C412" s="570"/>
      <c r="D412" s="571"/>
      <c r="E412" s="572"/>
      <c r="F412" s="573">
        <f>SUM(F404:F410)</f>
        <v>0</v>
      </c>
      <c r="G412" s="570"/>
      <c r="H412" s="257"/>
    </row>
    <row r="413" spans="1:8" ht="11.25" customHeight="1">
      <c r="A413" s="208"/>
      <c r="B413" s="212"/>
      <c r="C413" s="187"/>
      <c r="D413" s="159"/>
      <c r="E413" s="179"/>
      <c r="F413" s="160"/>
      <c r="G413" s="187"/>
      <c r="H413" s="64"/>
    </row>
    <row r="414" spans="1:8" ht="11.25" customHeight="1">
      <c r="A414" s="78"/>
      <c r="B414" s="79" t="s">
        <v>11</v>
      </c>
      <c r="C414" s="80"/>
      <c r="D414" s="81"/>
      <c r="E414" s="81"/>
      <c r="F414" s="73"/>
      <c r="G414" s="73"/>
    </row>
    <row r="415" spans="1:8" ht="11.25" customHeight="1">
      <c r="A415" s="82"/>
      <c r="B415" s="83"/>
      <c r="C415" s="76"/>
      <c r="D415" s="14"/>
      <c r="E415" s="14"/>
      <c r="F415" s="74"/>
      <c r="G415" s="74"/>
    </row>
    <row r="416" spans="1:8" ht="11.25" customHeight="1">
      <c r="A416" s="84" t="s">
        <v>12</v>
      </c>
      <c r="B416" s="85" t="s">
        <v>13</v>
      </c>
      <c r="C416" s="86"/>
      <c r="D416" s="87"/>
      <c r="E416" s="87"/>
      <c r="F416" s="75"/>
      <c r="G416" s="75"/>
    </row>
    <row r="417" spans="1:7" ht="11.25" customHeight="1">
      <c r="A417" s="88" t="str">
        <f>A25</f>
        <v>A.01.</v>
      </c>
      <c r="B417" s="89" t="str">
        <f>B25</f>
        <v>PRIPREMNI I GEODETSKI RADOVI UKUPNO:</v>
      </c>
      <c r="C417" s="90"/>
      <c r="D417" s="91"/>
      <c r="E417" s="91"/>
      <c r="F417" s="68">
        <f>F25</f>
        <v>0</v>
      </c>
      <c r="G417" s="12"/>
    </row>
    <row r="418" spans="1:7" ht="11.25" customHeight="1">
      <c r="A418" s="88" t="str">
        <f>A81</f>
        <v>A.02.</v>
      </c>
      <c r="B418" s="89" t="str">
        <f>B81</f>
        <v>ZEMLJANI RADOVI UKUPNO:</v>
      </c>
      <c r="C418" s="90"/>
      <c r="D418" s="91"/>
      <c r="E418" s="91"/>
      <c r="F418" s="68">
        <f>F81</f>
        <v>0</v>
      </c>
      <c r="G418" s="12"/>
    </row>
    <row r="419" spans="1:7" ht="11.25" customHeight="1">
      <c r="A419" s="92" t="str">
        <f>A203</f>
        <v>A.03.</v>
      </c>
      <c r="B419" s="93" t="str">
        <f>B203</f>
        <v>BETONSKI I ARMIRANOBETONSKI RADOVI UKUPNO:</v>
      </c>
      <c r="C419" s="90"/>
      <c r="D419" s="91"/>
      <c r="E419" s="91"/>
      <c r="F419" s="68">
        <f>F203</f>
        <v>0</v>
      </c>
      <c r="G419" s="12"/>
    </row>
    <row r="420" spans="1:7" ht="11.25" customHeight="1">
      <c r="A420" s="92" t="str">
        <f>A211</f>
        <v>A.04.</v>
      </c>
      <c r="B420" s="93" t="str">
        <f>B211</f>
        <v>ARMIRAČKI RADOVI UKUPNO:</v>
      </c>
      <c r="C420" s="90"/>
      <c r="D420" s="91"/>
      <c r="E420" s="91"/>
      <c r="F420" s="68">
        <f>F211</f>
        <v>0</v>
      </c>
      <c r="G420" s="12"/>
    </row>
    <row r="421" spans="1:7" ht="11.25" customHeight="1">
      <c r="A421" s="92" t="str">
        <f>A318</f>
        <v>A.05.</v>
      </c>
      <c r="B421" s="93" t="str">
        <f>B318</f>
        <v>IZOLATERSKI RADOVI UKUPNO:</v>
      </c>
      <c r="C421" s="90"/>
      <c r="D421" s="91"/>
      <c r="E421" s="91"/>
      <c r="F421" s="68">
        <f>F318</f>
        <v>0</v>
      </c>
      <c r="G421" s="12"/>
    </row>
    <row r="422" spans="1:7" ht="11.25" customHeight="1">
      <c r="A422" s="92" t="str">
        <f>A395</f>
        <v>A.06.</v>
      </c>
      <c r="B422" s="93" t="str">
        <f>B395</f>
        <v>ZIDARSKO - FASADERSKI RADOVI UKUPNO:</v>
      </c>
      <c r="C422" s="90"/>
      <c r="D422" s="91"/>
      <c r="E422" s="91"/>
      <c r="F422" s="68">
        <f>F395</f>
        <v>56655.22</v>
      </c>
      <c r="G422" s="12"/>
    </row>
    <row r="423" spans="1:7" ht="11.25" customHeight="1">
      <c r="A423" s="92" t="str">
        <f>A412</f>
        <v>A.07.</v>
      </c>
      <c r="B423" s="92" t="str">
        <f>B412</f>
        <v>LIMARSKI RADOVI UKUPNO:</v>
      </c>
      <c r="C423" s="92"/>
      <c r="D423" s="92"/>
      <c r="E423" s="92"/>
      <c r="F423" s="68">
        <f>F412</f>
        <v>0</v>
      </c>
      <c r="G423" s="12"/>
    </row>
    <row r="424" spans="1:7" ht="11.25" customHeight="1">
      <c r="A424" s="94" t="str">
        <f>A416</f>
        <v>A.</v>
      </c>
      <c r="B424" s="95" t="s">
        <v>14</v>
      </c>
      <c r="C424" s="96"/>
      <c r="D424" s="97"/>
      <c r="E424" s="97"/>
      <c r="F424" s="69">
        <f>SUM(F417:F423)</f>
        <v>56655.22</v>
      </c>
      <c r="G424" s="98"/>
    </row>
    <row r="425" spans="1:7" ht="11.25" customHeight="1">
      <c r="A425" s="12"/>
      <c r="B425" s="12"/>
      <c r="C425" s="90"/>
      <c r="D425" s="91"/>
      <c r="E425" s="91"/>
      <c r="F425" s="68"/>
      <c r="G425" s="12"/>
    </row>
    <row r="426" spans="1:7" ht="11.25" customHeight="1"/>
    <row r="427" spans="1:7" ht="11.25" customHeight="1"/>
  </sheetData>
  <mergeCells count="7">
    <mergeCell ref="A1:A2"/>
    <mergeCell ref="C1:C2"/>
    <mergeCell ref="B1:B2"/>
    <mergeCell ref="G1:G2"/>
    <mergeCell ref="E1:E2"/>
    <mergeCell ref="D1:D2"/>
    <mergeCell ref="F1:F2"/>
  </mergeCells>
  <pageMargins left="0.77031249999999996" right="0.6020833333333333" top="0.75" bottom="0.75" header="0.3" footer="0.3"/>
  <pageSetup paperSize="9" scale="81" orientation="portrait" r:id="rId1"/>
  <headerFooter>
    <oddHeader>&amp;C&amp;"Arial,Regular"&amp;8 Građevinski radovi</oddHeader>
  </headerFooter>
  <rowBreaks count="2" manualBreakCount="2">
    <brk id="357" max="6" man="1"/>
    <brk id="395"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pageSetUpPr fitToPage="1"/>
  </sheetPr>
  <dimension ref="A1:AF467"/>
  <sheetViews>
    <sheetView view="pageBreakPreview" topLeftCell="A433" zoomScale="115" zoomScaleNormal="115" zoomScaleSheetLayoutView="115" workbookViewId="0">
      <selection activeCell="B103" sqref="B103"/>
    </sheetView>
  </sheetViews>
  <sheetFormatPr defaultColWidth="9.140625" defaultRowHeight="11.25"/>
  <cols>
    <col min="1" max="1" width="7.85546875" style="226" customWidth="1"/>
    <col min="2" max="2" width="42.42578125" style="28" customWidth="1"/>
    <col min="3" max="3" width="6.7109375" style="227" customWidth="1"/>
    <col min="4" max="5" width="10.7109375" style="228" customWidth="1"/>
    <col min="6" max="6" width="10.7109375" style="560" customWidth="1"/>
    <col min="7" max="7" width="10.7109375" style="229" customWidth="1"/>
    <col min="8" max="8" width="21.140625" style="678" customWidth="1"/>
    <col min="9" max="9" width="9.140625" style="28" customWidth="1"/>
    <col min="10" max="16384" width="9.140625" style="28"/>
  </cols>
  <sheetData>
    <row r="1" spans="1:8" ht="15" customHeight="1">
      <c r="A1" s="807" t="s">
        <v>18</v>
      </c>
      <c r="B1" s="807" t="s">
        <v>19</v>
      </c>
      <c r="C1" s="807" t="s">
        <v>20</v>
      </c>
      <c r="D1" s="804" t="s">
        <v>21</v>
      </c>
      <c r="E1" s="802" t="s">
        <v>22</v>
      </c>
      <c r="F1" s="810" t="s">
        <v>23</v>
      </c>
      <c r="G1" s="808" t="s">
        <v>24</v>
      </c>
    </row>
    <row r="2" spans="1:8" s="36" customFormat="1">
      <c r="A2" s="801"/>
      <c r="B2" s="801"/>
      <c r="C2" s="801"/>
      <c r="D2" s="801"/>
      <c r="E2" s="803"/>
      <c r="F2" s="801"/>
      <c r="G2" s="809"/>
      <c r="H2" s="679"/>
    </row>
    <row r="3" spans="1:8" s="41" customFormat="1">
      <c r="A3" s="37"/>
      <c r="B3" s="38"/>
      <c r="C3" s="39"/>
      <c r="D3" s="40"/>
      <c r="E3" s="40"/>
      <c r="F3" s="526"/>
      <c r="G3" s="647"/>
      <c r="H3" s="678"/>
    </row>
    <row r="4" spans="1:8">
      <c r="A4" s="42" t="s">
        <v>15</v>
      </c>
      <c r="B4" s="43" t="s">
        <v>16</v>
      </c>
      <c r="C4" s="44"/>
      <c r="D4" s="45"/>
      <c r="E4" s="45"/>
      <c r="F4" s="46"/>
      <c r="G4" s="648"/>
    </row>
    <row r="5" spans="1:8">
      <c r="A5" s="37"/>
      <c r="B5" s="38"/>
      <c r="C5" s="39"/>
      <c r="D5" s="40"/>
      <c r="E5" s="40"/>
      <c r="F5" s="526"/>
      <c r="G5" s="649"/>
    </row>
    <row r="6" spans="1:8" ht="45" customHeight="1">
      <c r="A6" s="37"/>
      <c r="B6" s="38" t="s">
        <v>272</v>
      </c>
      <c r="C6" s="39"/>
      <c r="D6" s="40"/>
      <c r="E6" s="40"/>
      <c r="F6" s="526"/>
      <c r="G6" s="649"/>
    </row>
    <row r="7" spans="1:8">
      <c r="A7" s="37"/>
      <c r="B7" s="38"/>
      <c r="C7" s="39"/>
      <c r="D7" s="40"/>
      <c r="E7" s="40"/>
      <c r="F7" s="526"/>
      <c r="G7" s="649"/>
    </row>
    <row r="8" spans="1:8" s="367" customFormat="1">
      <c r="A8" s="363" t="s">
        <v>273</v>
      </c>
      <c r="B8" s="364" t="s">
        <v>274</v>
      </c>
      <c r="C8" s="365"/>
      <c r="D8" s="366"/>
      <c r="E8" s="366"/>
      <c r="F8" s="527"/>
      <c r="G8" s="650"/>
      <c r="H8" s="680"/>
    </row>
    <row r="9" spans="1:8" s="362" customFormat="1">
      <c r="A9" s="368"/>
      <c r="B9" s="369"/>
      <c r="C9" s="370"/>
      <c r="D9" s="371"/>
      <c r="E9" s="371"/>
      <c r="F9" s="528"/>
      <c r="G9" s="651"/>
      <c r="H9" s="680"/>
    </row>
    <row r="10" spans="1:8" s="362" customFormat="1" ht="22.5" customHeight="1">
      <c r="A10" s="368"/>
      <c r="B10" s="38" t="s">
        <v>275</v>
      </c>
      <c r="C10" s="370"/>
      <c r="D10" s="371"/>
      <c r="E10" s="371"/>
      <c r="F10" s="528"/>
      <c r="G10" s="651"/>
      <c r="H10" s="680"/>
    </row>
    <row r="11" spans="1:8" s="362" customFormat="1" ht="135" customHeight="1">
      <c r="A11" s="368"/>
      <c r="B11" s="38" t="s">
        <v>276</v>
      </c>
      <c r="C11" s="370"/>
      <c r="D11" s="371"/>
      <c r="E11" s="371"/>
      <c r="F11" s="528"/>
      <c r="G11" s="651"/>
      <c r="H11" s="680"/>
    </row>
    <row r="12" spans="1:8" s="362" customFormat="1">
      <c r="A12" s="368"/>
      <c r="B12" s="372" t="s">
        <v>277</v>
      </c>
      <c r="C12" s="370"/>
      <c r="D12" s="371"/>
      <c r="E12" s="371"/>
      <c r="F12" s="528"/>
      <c r="G12" s="651"/>
      <c r="H12" s="680"/>
    </row>
    <row r="13" spans="1:8" s="362" customFormat="1" ht="67.5" customHeight="1">
      <c r="A13" s="368"/>
      <c r="B13" s="372" t="s">
        <v>278</v>
      </c>
      <c r="C13" s="370"/>
      <c r="D13" s="371"/>
      <c r="E13" s="371"/>
      <c r="F13" s="528"/>
      <c r="G13" s="651"/>
      <c r="H13" s="680"/>
    </row>
    <row r="14" spans="1:8" s="362" customFormat="1" ht="22.5" customHeight="1">
      <c r="A14" s="368"/>
      <c r="B14" s="373" t="s">
        <v>279</v>
      </c>
      <c r="C14" s="370"/>
      <c r="D14" s="371"/>
      <c r="E14" s="371"/>
      <c r="F14" s="528"/>
      <c r="G14" s="651"/>
      <c r="H14" s="680"/>
    </row>
    <row r="15" spans="1:8" s="362" customFormat="1" ht="101.25" customHeight="1">
      <c r="A15" s="368"/>
      <c r="B15" s="374" t="s">
        <v>280</v>
      </c>
      <c r="C15" s="370"/>
      <c r="D15" s="371"/>
      <c r="E15" s="371"/>
      <c r="F15" s="528"/>
      <c r="G15" s="651"/>
      <c r="H15" s="680"/>
    </row>
    <row r="16" spans="1:8" s="362" customFormat="1" ht="123.75" customHeight="1">
      <c r="A16" s="368"/>
      <c r="B16" s="375" t="s">
        <v>281</v>
      </c>
      <c r="C16" s="370"/>
      <c r="D16" s="371"/>
      <c r="E16" s="371"/>
      <c r="F16" s="528"/>
      <c r="G16" s="651"/>
      <c r="H16" s="680"/>
    </row>
    <row r="17" spans="1:8" s="362" customFormat="1" ht="135" customHeight="1">
      <c r="A17" s="368"/>
      <c r="B17" s="375" t="s">
        <v>282</v>
      </c>
      <c r="C17" s="370"/>
      <c r="D17" s="371"/>
      <c r="E17" s="371"/>
      <c r="F17" s="528"/>
      <c r="G17" s="651"/>
      <c r="H17" s="680"/>
    </row>
    <row r="18" spans="1:8" s="362" customFormat="1" ht="101.25" customHeight="1">
      <c r="A18" s="368"/>
      <c r="B18" s="375" t="s">
        <v>283</v>
      </c>
      <c r="C18" s="370"/>
      <c r="D18" s="371"/>
      <c r="E18" s="371"/>
      <c r="F18" s="528"/>
      <c r="G18" s="651"/>
      <c r="H18" s="680"/>
    </row>
    <row r="19" spans="1:8" s="362" customFormat="1" ht="56.25" customHeight="1">
      <c r="A19" s="368"/>
      <c r="B19" s="376" t="s">
        <v>284</v>
      </c>
      <c r="C19" s="370"/>
      <c r="D19" s="371"/>
      <c r="E19" s="371"/>
      <c r="F19" s="528"/>
      <c r="G19" s="651"/>
      <c r="H19" s="680"/>
    </row>
    <row r="20" spans="1:8" s="362" customFormat="1">
      <c r="A20" s="368"/>
      <c r="B20" s="369"/>
      <c r="C20" s="370"/>
      <c r="D20" s="371"/>
      <c r="E20" s="371"/>
      <c r="F20" s="528"/>
      <c r="G20" s="651"/>
      <c r="H20" s="680"/>
    </row>
    <row r="21" spans="1:8" s="362" customFormat="1">
      <c r="A21" s="377"/>
      <c r="B21" s="378" t="s">
        <v>285</v>
      </c>
      <c r="C21" s="379"/>
      <c r="D21" s="40"/>
      <c r="E21" s="40"/>
      <c r="F21" s="526"/>
      <c r="G21" s="649"/>
      <c r="H21" s="680"/>
    </row>
    <row r="22" spans="1:8" s="362" customFormat="1">
      <c r="A22" s="377"/>
      <c r="B22" s="378"/>
      <c r="C22" s="379"/>
      <c r="D22" s="40"/>
      <c r="E22" s="40"/>
      <c r="F22" s="526"/>
      <c r="G22" s="649"/>
      <c r="H22" s="680"/>
    </row>
    <row r="23" spans="1:8" s="362" customFormat="1">
      <c r="A23" s="380">
        <v>1</v>
      </c>
      <c r="B23" s="381" t="s">
        <v>286</v>
      </c>
      <c r="C23" s="382"/>
      <c r="D23" s="383"/>
      <c r="E23" s="383"/>
      <c r="F23" s="529"/>
      <c r="G23" s="652"/>
      <c r="H23" s="680"/>
    </row>
    <row r="24" spans="1:8" s="362" customFormat="1" ht="45" customHeight="1">
      <c r="A24" s="384"/>
      <c r="B24" s="385" t="s">
        <v>287</v>
      </c>
      <c r="C24" s="386"/>
      <c r="D24" s="383"/>
      <c r="E24" s="383"/>
      <c r="F24" s="529"/>
      <c r="G24" s="652"/>
      <c r="H24" s="680"/>
    </row>
    <row r="25" spans="1:8" s="362" customFormat="1" ht="22.5" customHeight="1">
      <c r="A25" s="384"/>
      <c r="B25" s="385" t="s">
        <v>288</v>
      </c>
      <c r="C25" s="386"/>
      <c r="D25" s="383"/>
      <c r="E25" s="383"/>
      <c r="F25" s="529"/>
      <c r="G25" s="652"/>
      <c r="H25" s="680"/>
    </row>
    <row r="26" spans="1:8" s="362" customFormat="1" ht="33.75" customHeight="1">
      <c r="A26" s="384"/>
      <c r="B26" s="387" t="s">
        <v>289</v>
      </c>
      <c r="C26" s="386"/>
      <c r="D26" s="383"/>
      <c r="E26" s="383"/>
      <c r="F26" s="529"/>
      <c r="G26" s="652"/>
      <c r="H26" s="680"/>
    </row>
    <row r="27" spans="1:8" s="362" customFormat="1" ht="22.5" customHeight="1">
      <c r="A27" s="384"/>
      <c r="B27" s="385" t="s">
        <v>290</v>
      </c>
      <c r="C27" s="386"/>
      <c r="D27" s="383"/>
      <c r="E27" s="383"/>
      <c r="F27" s="529"/>
      <c r="G27" s="652"/>
      <c r="H27" s="680"/>
    </row>
    <row r="28" spans="1:8" s="362" customFormat="1">
      <c r="A28" s="384"/>
      <c r="B28" s="385" t="s">
        <v>93</v>
      </c>
      <c r="C28" s="386" t="s">
        <v>41</v>
      </c>
      <c r="D28" s="383">
        <v>9.48</v>
      </c>
      <c r="E28" s="383"/>
      <c r="F28" s="529">
        <f>D28*E28</f>
        <v>0</v>
      </c>
      <c r="G28" s="652"/>
      <c r="H28" s="680"/>
    </row>
    <row r="29" spans="1:8" s="362" customFormat="1">
      <c r="A29" s="388"/>
      <c r="B29" s="369"/>
      <c r="C29" s="389"/>
      <c r="D29" s="371"/>
      <c r="E29" s="371"/>
      <c r="F29" s="528"/>
      <c r="G29" s="651"/>
      <c r="H29" s="680"/>
    </row>
    <row r="30" spans="1:8" s="362" customFormat="1">
      <c r="A30" s="380">
        <f>IF(B30&gt;0,MAX(A$22:A29)+1,"")</f>
        <v>2</v>
      </c>
      <c r="B30" s="381" t="s">
        <v>291</v>
      </c>
      <c r="C30" s="382"/>
      <c r="D30" s="383"/>
      <c r="E30" s="383"/>
      <c r="F30" s="529"/>
      <c r="G30" s="652"/>
      <c r="H30" s="680"/>
    </row>
    <row r="31" spans="1:8" s="362" customFormat="1" ht="45" customHeight="1">
      <c r="A31" s="384"/>
      <c r="B31" s="385" t="s">
        <v>287</v>
      </c>
      <c r="C31" s="386"/>
      <c r="D31" s="383"/>
      <c r="E31" s="383"/>
      <c r="F31" s="529"/>
      <c r="G31" s="652"/>
      <c r="H31" s="680"/>
    </row>
    <row r="32" spans="1:8" s="362" customFormat="1" ht="22.5" customHeight="1">
      <c r="A32" s="384"/>
      <c r="B32" s="385" t="s">
        <v>288</v>
      </c>
      <c r="C32" s="386"/>
      <c r="D32" s="383"/>
      <c r="E32" s="383"/>
      <c r="F32" s="529"/>
      <c r="G32" s="652"/>
      <c r="H32" s="680"/>
    </row>
    <row r="33" spans="1:8" s="362" customFormat="1" ht="33.75" customHeight="1">
      <c r="A33" s="384"/>
      <c r="B33" s="387" t="s">
        <v>289</v>
      </c>
      <c r="C33" s="386"/>
      <c r="D33" s="383"/>
      <c r="E33" s="383"/>
      <c r="F33" s="529"/>
      <c r="G33" s="652"/>
      <c r="H33" s="680"/>
    </row>
    <row r="34" spans="1:8" s="362" customFormat="1" ht="22.5" customHeight="1">
      <c r="A34" s="384"/>
      <c r="B34" s="385" t="s">
        <v>292</v>
      </c>
      <c r="C34" s="386"/>
      <c r="D34" s="383"/>
      <c r="E34" s="383"/>
      <c r="F34" s="529"/>
      <c r="G34" s="652"/>
      <c r="H34" s="680"/>
    </row>
    <row r="35" spans="1:8" s="362" customFormat="1">
      <c r="A35" s="384"/>
      <c r="B35" s="385" t="s">
        <v>93</v>
      </c>
      <c r="C35" s="386" t="s">
        <v>41</v>
      </c>
      <c r="D35" s="383">
        <v>9.57</v>
      </c>
      <c r="E35" s="383"/>
      <c r="F35" s="529">
        <f>D35*E35</f>
        <v>0</v>
      </c>
      <c r="G35" s="652"/>
      <c r="H35" s="680"/>
    </row>
    <row r="36" spans="1:8" s="362" customFormat="1">
      <c r="A36" s="384"/>
      <c r="B36" s="385"/>
      <c r="C36" s="386"/>
      <c r="D36" s="383"/>
      <c r="E36" s="383"/>
      <c r="F36" s="529"/>
      <c r="G36" s="652"/>
      <c r="H36" s="680"/>
    </row>
    <row r="37" spans="1:8" s="362" customFormat="1">
      <c r="A37" s="380">
        <f>IF(B37&gt;0,MAX(A$22:A36)+1,"")</f>
        <v>3</v>
      </c>
      <c r="B37" s="381" t="s">
        <v>293</v>
      </c>
      <c r="C37" s="382"/>
      <c r="D37" s="383"/>
      <c r="E37" s="383"/>
      <c r="F37" s="529"/>
      <c r="G37" s="652"/>
      <c r="H37" s="680"/>
    </row>
    <row r="38" spans="1:8" s="362" customFormat="1" ht="45" customHeight="1">
      <c r="A38" s="384"/>
      <c r="B38" s="385" t="s">
        <v>287</v>
      </c>
      <c r="C38" s="386"/>
      <c r="D38" s="383"/>
      <c r="E38" s="383"/>
      <c r="F38" s="529"/>
      <c r="G38" s="652"/>
      <c r="H38" s="680"/>
    </row>
    <row r="39" spans="1:8" s="362" customFormat="1" ht="22.5" customHeight="1">
      <c r="A39" s="384"/>
      <c r="B39" s="385" t="s">
        <v>294</v>
      </c>
      <c r="C39" s="386"/>
      <c r="D39" s="383"/>
      <c r="E39" s="383"/>
      <c r="F39" s="529"/>
      <c r="G39" s="652"/>
      <c r="H39" s="680"/>
    </row>
    <row r="40" spans="1:8" s="362" customFormat="1" ht="33.75" customHeight="1">
      <c r="A40" s="384"/>
      <c r="B40" s="387" t="s">
        <v>295</v>
      </c>
      <c r="C40" s="386"/>
      <c r="D40" s="383"/>
      <c r="E40" s="383"/>
      <c r="F40" s="529"/>
      <c r="G40" s="652"/>
      <c r="H40" s="680"/>
    </row>
    <row r="41" spans="1:8" s="362" customFormat="1" ht="22.5" customHeight="1">
      <c r="A41" s="384"/>
      <c r="B41" s="385" t="s">
        <v>292</v>
      </c>
      <c r="C41" s="386"/>
      <c r="D41" s="383"/>
      <c r="E41" s="383"/>
      <c r="F41" s="529"/>
      <c r="G41" s="652"/>
      <c r="H41" s="680"/>
    </row>
    <row r="42" spans="1:8" s="362" customFormat="1">
      <c r="A42" s="384"/>
      <c r="B42" s="385" t="s">
        <v>93</v>
      </c>
      <c r="C42" s="386" t="s">
        <v>41</v>
      </c>
      <c r="D42" s="383">
        <v>5.09</v>
      </c>
      <c r="E42" s="383"/>
      <c r="F42" s="529">
        <f>D42*E42</f>
        <v>0</v>
      </c>
      <c r="G42" s="652"/>
      <c r="H42" s="680"/>
    </row>
    <row r="43" spans="1:8" s="362" customFormat="1">
      <c r="A43" s="388"/>
      <c r="B43" s="369"/>
      <c r="C43" s="389"/>
      <c r="D43" s="371"/>
      <c r="E43" s="371"/>
      <c r="F43" s="528"/>
      <c r="G43" s="651"/>
      <c r="H43" s="680"/>
    </row>
    <row r="44" spans="1:8" s="362" customFormat="1">
      <c r="A44" s="380">
        <f>IF(B44&gt;0,MAX(A$22:A43)+1,"")</f>
        <v>4</v>
      </c>
      <c r="B44" s="381" t="s">
        <v>296</v>
      </c>
      <c r="C44" s="382"/>
      <c r="D44" s="383"/>
      <c r="E44" s="383"/>
      <c r="F44" s="529"/>
      <c r="G44" s="652"/>
      <c r="H44" s="680"/>
    </row>
    <row r="45" spans="1:8" s="362" customFormat="1" ht="45" customHeight="1">
      <c r="A45" s="384"/>
      <c r="B45" s="385" t="s">
        <v>287</v>
      </c>
      <c r="C45" s="386"/>
      <c r="D45" s="383"/>
      <c r="E45" s="383"/>
      <c r="F45" s="529"/>
      <c r="G45" s="652"/>
      <c r="H45" s="680"/>
    </row>
    <row r="46" spans="1:8" s="362" customFormat="1" ht="22.5" customHeight="1">
      <c r="A46" s="384"/>
      <c r="B46" s="385" t="s">
        <v>288</v>
      </c>
      <c r="C46" s="386"/>
      <c r="D46" s="383"/>
      <c r="E46" s="383"/>
      <c r="F46" s="529"/>
      <c r="G46" s="652"/>
      <c r="H46" s="680"/>
    </row>
    <row r="47" spans="1:8" s="362" customFormat="1" ht="33.75" customHeight="1">
      <c r="A47" s="384"/>
      <c r="B47" s="387" t="s">
        <v>297</v>
      </c>
      <c r="C47" s="386"/>
      <c r="D47" s="383"/>
      <c r="E47" s="383"/>
      <c r="F47" s="529"/>
      <c r="G47" s="652"/>
      <c r="H47" s="680"/>
    </row>
    <row r="48" spans="1:8" s="362" customFormat="1" ht="22.5" customHeight="1">
      <c r="A48" s="384"/>
      <c r="B48" s="385" t="s">
        <v>292</v>
      </c>
      <c r="C48" s="386"/>
      <c r="D48" s="383"/>
      <c r="E48" s="383"/>
      <c r="F48" s="529"/>
      <c r="G48" s="652"/>
      <c r="H48" s="680"/>
    </row>
    <row r="49" spans="1:8" s="362" customFormat="1">
      <c r="A49" s="384"/>
      <c r="B49" s="385" t="s">
        <v>93</v>
      </c>
      <c r="C49" s="386" t="s">
        <v>41</v>
      </c>
      <c r="D49" s="383">
        <v>8.56</v>
      </c>
      <c r="E49" s="383"/>
      <c r="F49" s="529">
        <f>D49*E49</f>
        <v>0</v>
      </c>
      <c r="G49" s="652"/>
      <c r="H49" s="680"/>
    </row>
    <row r="50" spans="1:8" s="439" customFormat="1">
      <c r="A50" s="451"/>
      <c r="B50" s="452"/>
      <c r="C50" s="453"/>
      <c r="D50" s="454"/>
      <c r="E50" s="455"/>
      <c r="F50" s="530"/>
      <c r="G50" s="653"/>
      <c r="H50" s="456"/>
    </row>
    <row r="51" spans="1:8" s="439" customFormat="1">
      <c r="A51" s="380">
        <f>IF(B51&gt;0,MAX(A$22:A50)+1,"")</f>
        <v>5</v>
      </c>
      <c r="B51" s="457" t="s">
        <v>298</v>
      </c>
      <c r="C51" s="458"/>
      <c r="D51" s="459"/>
      <c r="E51" s="459"/>
      <c r="F51" s="511"/>
      <c r="G51" s="654"/>
      <c r="H51" s="456"/>
    </row>
    <row r="52" spans="1:8" s="439" customFormat="1" ht="45" customHeight="1">
      <c r="A52" s="461"/>
      <c r="B52" s="462" t="s">
        <v>287</v>
      </c>
      <c r="C52" s="463"/>
      <c r="D52" s="459"/>
      <c r="E52" s="459"/>
      <c r="F52" s="511"/>
      <c r="G52" s="654"/>
      <c r="H52" s="456"/>
    </row>
    <row r="53" spans="1:8" s="439" customFormat="1" ht="22.5" customHeight="1">
      <c r="A53" s="461"/>
      <c r="B53" s="462" t="s">
        <v>299</v>
      </c>
      <c r="C53" s="463"/>
      <c r="D53" s="459"/>
      <c r="E53" s="459"/>
      <c r="F53" s="511"/>
      <c r="G53" s="654"/>
      <c r="H53" s="456"/>
    </row>
    <row r="54" spans="1:8" s="439" customFormat="1" ht="33.75" customHeight="1">
      <c r="A54" s="461"/>
      <c r="B54" s="464" t="s">
        <v>300</v>
      </c>
      <c r="C54" s="463"/>
      <c r="D54" s="459"/>
      <c r="E54" s="459"/>
      <c r="F54" s="511"/>
      <c r="G54" s="654"/>
      <c r="H54" s="456"/>
    </row>
    <row r="55" spans="1:8" s="439" customFormat="1" ht="22.5" customHeight="1">
      <c r="A55" s="461"/>
      <c r="B55" s="462" t="s">
        <v>301</v>
      </c>
      <c r="C55" s="463"/>
      <c r="D55" s="459"/>
      <c r="E55" s="459"/>
      <c r="F55" s="511"/>
      <c r="G55" s="654"/>
      <c r="H55" s="456"/>
    </row>
    <row r="56" spans="1:8" s="439" customFormat="1">
      <c r="A56" s="461"/>
      <c r="B56" s="462" t="s">
        <v>93</v>
      </c>
      <c r="C56" s="463" t="s">
        <v>41</v>
      </c>
      <c r="D56" s="465">
        <v>7.28</v>
      </c>
      <c r="E56" s="459"/>
      <c r="F56" s="511">
        <f>D56*E56</f>
        <v>0</v>
      </c>
      <c r="G56" s="654"/>
      <c r="H56" s="456"/>
    </row>
    <row r="57" spans="1:8" s="362" customFormat="1">
      <c r="A57" s="388"/>
      <c r="B57" s="369"/>
      <c r="C57" s="389"/>
      <c r="D57" s="371"/>
      <c r="E57" s="371"/>
      <c r="F57" s="528"/>
      <c r="G57" s="651"/>
      <c r="H57" s="680"/>
    </row>
    <row r="58" spans="1:8" s="362" customFormat="1">
      <c r="A58" s="380">
        <f>IF(B58&gt;0,MAX(A$22:A57)+1,"")</f>
        <v>6</v>
      </c>
      <c r="B58" s="381" t="s">
        <v>302</v>
      </c>
      <c r="C58" s="382"/>
      <c r="D58" s="383"/>
      <c r="E58" s="383"/>
      <c r="F58" s="529"/>
      <c r="G58" s="652"/>
      <c r="H58" s="680"/>
    </row>
    <row r="59" spans="1:8" s="362" customFormat="1" ht="45" customHeight="1">
      <c r="A59" s="384"/>
      <c r="B59" s="385" t="s">
        <v>287</v>
      </c>
      <c r="C59" s="386"/>
      <c r="D59" s="383"/>
      <c r="E59" s="383"/>
      <c r="F59" s="529"/>
      <c r="G59" s="652"/>
      <c r="H59" s="680"/>
    </row>
    <row r="60" spans="1:8" s="362" customFormat="1" ht="22.5" customHeight="1">
      <c r="A60" s="384"/>
      <c r="B60" s="385" t="s">
        <v>303</v>
      </c>
      <c r="C60" s="386"/>
      <c r="D60" s="383"/>
      <c r="E60" s="383"/>
      <c r="F60" s="529"/>
      <c r="G60" s="652"/>
      <c r="H60" s="680"/>
    </row>
    <row r="61" spans="1:8" s="362" customFormat="1" ht="33.75" customHeight="1">
      <c r="A61" s="384"/>
      <c r="B61" s="387" t="s">
        <v>304</v>
      </c>
      <c r="C61" s="386"/>
      <c r="D61" s="383"/>
      <c r="E61" s="383"/>
      <c r="F61" s="529"/>
      <c r="G61" s="652"/>
      <c r="H61" s="680"/>
    </row>
    <row r="62" spans="1:8" s="362" customFormat="1" ht="22.5" customHeight="1">
      <c r="A62" s="384"/>
      <c r="B62" s="385" t="s">
        <v>292</v>
      </c>
      <c r="C62" s="386"/>
      <c r="D62" s="383"/>
      <c r="E62" s="383"/>
      <c r="F62" s="529"/>
      <c r="G62" s="652"/>
      <c r="H62" s="680"/>
    </row>
    <row r="63" spans="1:8" s="362" customFormat="1">
      <c r="A63" s="384"/>
      <c r="B63" s="385" t="s">
        <v>93</v>
      </c>
      <c r="C63" s="386" t="s">
        <v>41</v>
      </c>
      <c r="D63" s="383">
        <v>4.09</v>
      </c>
      <c r="E63" s="383"/>
      <c r="F63" s="529">
        <f>D63*E63</f>
        <v>0</v>
      </c>
      <c r="G63" s="652"/>
      <c r="H63" s="680"/>
    </row>
    <row r="64" spans="1:8" s="362" customFormat="1">
      <c r="A64" s="384"/>
      <c r="B64" s="385"/>
      <c r="C64" s="386"/>
      <c r="D64" s="383"/>
      <c r="E64" s="383"/>
      <c r="F64" s="529"/>
      <c r="G64" s="652"/>
      <c r="H64" s="680"/>
    </row>
    <row r="65" spans="1:32" s="367" customFormat="1">
      <c r="A65" s="380">
        <f>IF(B65&gt;0,MAX(A$22:A64)+1,"")</f>
        <v>7</v>
      </c>
      <c r="B65" s="378" t="s">
        <v>305</v>
      </c>
      <c r="C65" s="379"/>
      <c r="D65" s="40"/>
      <c r="E65" s="40"/>
      <c r="F65" s="526"/>
      <c r="G65" s="649"/>
      <c r="H65" s="680"/>
      <c r="I65" s="362"/>
      <c r="J65" s="362"/>
      <c r="K65" s="362"/>
      <c r="L65" s="362"/>
      <c r="M65" s="362"/>
      <c r="N65" s="362"/>
      <c r="O65" s="362"/>
      <c r="P65" s="362"/>
      <c r="Q65" s="362"/>
      <c r="R65" s="362"/>
      <c r="S65" s="362"/>
      <c r="T65" s="362"/>
      <c r="U65" s="362"/>
      <c r="V65" s="362"/>
      <c r="W65" s="362"/>
      <c r="X65" s="362"/>
      <c r="Y65" s="362"/>
      <c r="Z65" s="362"/>
      <c r="AA65" s="362"/>
      <c r="AB65" s="362"/>
      <c r="AC65" s="362"/>
      <c r="AD65" s="362"/>
      <c r="AE65" s="362"/>
      <c r="AF65" s="362"/>
    </row>
    <row r="66" spans="1:32" s="367" customFormat="1" ht="33.75" customHeight="1">
      <c r="A66" s="390"/>
      <c r="B66" s="38" t="s">
        <v>306</v>
      </c>
      <c r="C66" s="39"/>
      <c r="D66" s="40"/>
      <c r="E66" s="40"/>
      <c r="F66" s="526"/>
      <c r="G66" s="649"/>
      <c r="H66" s="680"/>
      <c r="I66" s="362"/>
      <c r="J66" s="362"/>
      <c r="K66" s="362"/>
      <c r="L66" s="362"/>
      <c r="M66" s="362"/>
      <c r="N66" s="362"/>
      <c r="O66" s="362"/>
      <c r="P66" s="362"/>
      <c r="Q66" s="362"/>
      <c r="R66" s="362"/>
      <c r="S66" s="362"/>
      <c r="T66" s="362"/>
      <c r="U66" s="362"/>
      <c r="V66" s="362"/>
      <c r="W66" s="362"/>
      <c r="X66" s="362"/>
      <c r="Y66" s="362"/>
      <c r="Z66" s="362"/>
      <c r="AA66" s="362"/>
      <c r="AB66" s="362"/>
      <c r="AC66" s="362"/>
      <c r="AD66" s="362"/>
      <c r="AE66" s="362"/>
      <c r="AF66" s="362"/>
    </row>
    <row r="67" spans="1:32" s="367" customFormat="1" ht="22.5" customHeight="1">
      <c r="A67" s="390"/>
      <c r="B67" s="38" t="s">
        <v>307</v>
      </c>
      <c r="C67" s="39"/>
      <c r="D67" s="40"/>
      <c r="E67" s="40"/>
      <c r="F67" s="526"/>
      <c r="G67" s="649"/>
      <c r="H67" s="680"/>
      <c r="I67" s="362"/>
      <c r="J67" s="362"/>
      <c r="K67" s="362"/>
      <c r="L67" s="362"/>
      <c r="M67" s="362"/>
      <c r="N67" s="362"/>
      <c r="O67" s="362"/>
      <c r="P67" s="362"/>
      <c r="Q67" s="362"/>
      <c r="R67" s="362"/>
      <c r="S67" s="362"/>
      <c r="T67" s="362"/>
      <c r="U67" s="362"/>
      <c r="V67" s="362"/>
      <c r="W67" s="362"/>
      <c r="X67" s="362"/>
      <c r="Y67" s="362"/>
      <c r="Z67" s="362"/>
      <c r="AA67" s="362"/>
      <c r="AB67" s="362"/>
      <c r="AC67" s="362"/>
      <c r="AD67" s="362"/>
      <c r="AE67" s="362"/>
      <c r="AF67" s="362"/>
    </row>
    <row r="68" spans="1:32" s="367" customFormat="1">
      <c r="A68" s="390"/>
      <c r="B68" s="391" t="s">
        <v>308</v>
      </c>
      <c r="C68" s="39"/>
      <c r="D68" s="40"/>
      <c r="E68" s="40"/>
      <c r="F68" s="526"/>
      <c r="G68" s="649"/>
      <c r="H68" s="680"/>
      <c r="I68" s="362"/>
      <c r="J68" s="362"/>
      <c r="K68" s="362"/>
      <c r="L68" s="362"/>
      <c r="M68" s="362"/>
      <c r="N68" s="362"/>
      <c r="O68" s="362"/>
      <c r="P68" s="362"/>
      <c r="Q68" s="362"/>
      <c r="R68" s="362"/>
      <c r="S68" s="362"/>
      <c r="T68" s="362"/>
      <c r="U68" s="362"/>
      <c r="V68" s="362"/>
      <c r="W68" s="362"/>
      <c r="X68" s="362"/>
      <c r="Y68" s="362"/>
      <c r="Z68" s="362"/>
      <c r="AA68" s="362"/>
      <c r="AB68" s="362"/>
      <c r="AC68" s="362"/>
      <c r="AD68" s="362"/>
      <c r="AE68" s="362"/>
      <c r="AF68" s="362"/>
    </row>
    <row r="69" spans="1:32" s="367" customFormat="1">
      <c r="A69" s="390"/>
      <c r="B69" s="391" t="s">
        <v>309</v>
      </c>
      <c r="C69" s="39"/>
      <c r="D69" s="40"/>
      <c r="E69" s="40"/>
      <c r="F69" s="526"/>
      <c r="G69" s="649"/>
      <c r="H69" s="680"/>
      <c r="I69" s="362"/>
      <c r="J69" s="362"/>
      <c r="K69" s="362"/>
      <c r="L69" s="362"/>
      <c r="M69" s="362"/>
      <c r="N69" s="362"/>
      <c r="O69" s="362"/>
      <c r="P69" s="362"/>
      <c r="Q69" s="362"/>
      <c r="R69" s="362"/>
      <c r="S69" s="362"/>
      <c r="T69" s="362"/>
      <c r="U69" s="362"/>
      <c r="V69" s="362"/>
      <c r="W69" s="362"/>
      <c r="X69" s="362"/>
      <c r="Y69" s="362"/>
      <c r="Z69" s="362"/>
      <c r="AA69" s="362"/>
      <c r="AB69" s="362"/>
      <c r="AC69" s="362"/>
      <c r="AD69" s="362"/>
      <c r="AE69" s="362"/>
      <c r="AF69" s="362"/>
    </row>
    <row r="70" spans="1:32" s="362" customFormat="1">
      <c r="A70" s="390"/>
      <c r="B70" s="38" t="s">
        <v>93</v>
      </c>
      <c r="C70" s="39" t="s">
        <v>41</v>
      </c>
      <c r="D70" s="40">
        <v>2.44</v>
      </c>
      <c r="E70" s="40"/>
      <c r="F70" s="526">
        <f>D70*E70</f>
        <v>0</v>
      </c>
      <c r="G70" s="649"/>
      <c r="H70" s="680"/>
    </row>
    <row r="71" spans="1:32" s="362" customFormat="1">
      <c r="A71" s="390"/>
      <c r="B71" s="38"/>
      <c r="C71" s="39"/>
      <c r="D71" s="40"/>
      <c r="E71" s="40"/>
      <c r="F71" s="526"/>
      <c r="G71" s="649"/>
      <c r="H71" s="680"/>
      <c r="I71" s="681"/>
    </row>
    <row r="72" spans="1:32" s="392" customFormat="1">
      <c r="A72" s="390"/>
      <c r="B72" s="378" t="s">
        <v>310</v>
      </c>
      <c r="C72" s="39"/>
      <c r="D72" s="40"/>
      <c r="E72" s="40"/>
      <c r="F72" s="526"/>
      <c r="G72" s="649"/>
      <c r="H72" s="680"/>
    </row>
    <row r="73" spans="1:32" s="392" customFormat="1">
      <c r="A73" s="390"/>
      <c r="B73" s="391"/>
      <c r="C73" s="39"/>
      <c r="D73" s="40"/>
      <c r="E73" s="40"/>
      <c r="F73" s="526"/>
      <c r="G73" s="649"/>
      <c r="H73" s="680"/>
    </row>
    <row r="74" spans="1:32" s="392" customFormat="1">
      <c r="A74" s="380">
        <f>IF(B74&gt;0,MAX(A$22:A73)+1,"")</f>
        <v>8</v>
      </c>
      <c r="B74" s="397" t="s">
        <v>311</v>
      </c>
      <c r="C74" s="398"/>
      <c r="D74" s="399"/>
      <c r="E74" s="400"/>
      <c r="F74" s="531"/>
      <c r="G74" s="446"/>
      <c r="H74" s="680"/>
    </row>
    <row r="75" spans="1:32" s="394" customFormat="1" ht="112.5" customHeight="1">
      <c r="A75" s="380"/>
      <c r="B75" s="401" t="s">
        <v>312</v>
      </c>
      <c r="C75" s="398"/>
      <c r="D75" s="399"/>
      <c r="E75" s="400"/>
      <c r="F75" s="531"/>
      <c r="G75" s="446"/>
      <c r="H75" s="680"/>
    </row>
    <row r="76" spans="1:32" s="396" customFormat="1">
      <c r="A76" s="402"/>
      <c r="B76" s="403" t="s">
        <v>167</v>
      </c>
      <c r="C76" s="404"/>
      <c r="D76" s="405"/>
      <c r="E76" s="406"/>
      <c r="F76" s="531"/>
      <c r="G76" s="446"/>
      <c r="H76" s="680"/>
    </row>
    <row r="77" spans="1:32" s="396" customFormat="1">
      <c r="A77" s="402"/>
      <c r="B77" s="403" t="s">
        <v>313</v>
      </c>
      <c r="C77" s="404" t="s">
        <v>314</v>
      </c>
      <c r="D77" s="405">
        <v>2</v>
      </c>
      <c r="E77" s="406"/>
      <c r="F77" s="529">
        <f>D77*E77</f>
        <v>0</v>
      </c>
      <c r="G77" s="446"/>
      <c r="H77" s="680"/>
    </row>
    <row r="78" spans="1:32" s="392" customFormat="1">
      <c r="A78" s="407"/>
      <c r="B78" s="408"/>
      <c r="C78" s="409"/>
      <c r="D78" s="410"/>
      <c r="E78" s="410"/>
      <c r="F78" s="532"/>
      <c r="G78" s="655"/>
      <c r="H78" s="680"/>
    </row>
    <row r="79" spans="1:32" s="392" customFormat="1">
      <c r="A79" s="380">
        <f>IF(B79&gt;0,MAX(A$22:A78)+1,"")</f>
        <v>9</v>
      </c>
      <c r="B79" s="397" t="s">
        <v>315</v>
      </c>
      <c r="C79" s="398"/>
      <c r="D79" s="399"/>
      <c r="E79" s="400"/>
      <c r="F79" s="531"/>
      <c r="G79" s="446"/>
      <c r="H79" s="680"/>
    </row>
    <row r="80" spans="1:32" s="394" customFormat="1" ht="112.5" customHeight="1">
      <c r="A80" s="380"/>
      <c r="B80" s="401" t="s">
        <v>316</v>
      </c>
      <c r="C80" s="398"/>
      <c r="D80" s="399"/>
      <c r="E80" s="400"/>
      <c r="F80" s="531"/>
      <c r="G80" s="446"/>
      <c r="H80" s="680"/>
    </row>
    <row r="81" spans="1:9" s="396" customFormat="1">
      <c r="A81" s="402"/>
      <c r="B81" s="403" t="s">
        <v>167</v>
      </c>
      <c r="C81" s="404"/>
      <c r="D81" s="405"/>
      <c r="E81" s="406"/>
      <c r="F81" s="531"/>
      <c r="G81" s="446"/>
      <c r="H81" s="680"/>
    </row>
    <row r="82" spans="1:9" s="396" customFormat="1">
      <c r="A82" s="402"/>
      <c r="B82" s="403" t="s">
        <v>313</v>
      </c>
      <c r="C82" s="404" t="s">
        <v>314</v>
      </c>
      <c r="D82" s="405">
        <v>1</v>
      </c>
      <c r="E82" s="406"/>
      <c r="F82" s="529">
        <f>D82*E82</f>
        <v>0</v>
      </c>
      <c r="G82" s="446"/>
      <c r="H82" s="680"/>
    </row>
    <row r="83" spans="1:9" s="392" customFormat="1">
      <c r="A83" s="407"/>
      <c r="B83" s="408"/>
      <c r="C83" s="409"/>
      <c r="D83" s="410"/>
      <c r="E83" s="410"/>
      <c r="F83" s="532"/>
      <c r="G83" s="655"/>
      <c r="H83" s="680"/>
    </row>
    <row r="84" spans="1:9" s="392" customFormat="1">
      <c r="A84" s="380">
        <f>IF(B84&gt;0,MAX(A$22:A83)+1,"")</f>
        <v>10</v>
      </c>
      <c r="B84" s="397" t="s">
        <v>317</v>
      </c>
      <c r="C84" s="398"/>
      <c r="D84" s="399"/>
      <c r="E84" s="400"/>
      <c r="F84" s="531"/>
      <c r="G84" s="446"/>
      <c r="H84" s="680"/>
    </row>
    <row r="85" spans="1:9" s="394" customFormat="1" ht="67.5" customHeight="1">
      <c r="A85" s="380"/>
      <c r="B85" s="401" t="s">
        <v>318</v>
      </c>
      <c r="C85" s="398"/>
      <c r="D85" s="399"/>
      <c r="E85" s="400"/>
      <c r="F85" s="531"/>
      <c r="G85" s="446"/>
      <c r="H85" s="680"/>
    </row>
    <row r="86" spans="1:9" s="396" customFormat="1">
      <c r="A86" s="402"/>
      <c r="B86" s="403" t="s">
        <v>167</v>
      </c>
      <c r="C86" s="404"/>
      <c r="D86" s="405"/>
      <c r="E86" s="406"/>
      <c r="F86" s="531"/>
      <c r="G86" s="446"/>
      <c r="H86" s="680"/>
    </row>
    <row r="87" spans="1:9" s="396" customFormat="1">
      <c r="A87" s="402"/>
      <c r="B87" s="403" t="s">
        <v>313</v>
      </c>
      <c r="C87" s="404" t="s">
        <v>314</v>
      </c>
      <c r="D87" s="405">
        <v>2</v>
      </c>
      <c r="E87" s="406"/>
      <c r="F87" s="529">
        <f>D87*E87</f>
        <v>0</v>
      </c>
      <c r="G87" s="446"/>
      <c r="H87" s="680"/>
    </row>
    <row r="88" spans="1:9" s="432" customFormat="1">
      <c r="A88" s="440"/>
      <c r="B88" s="441"/>
      <c r="C88" s="441"/>
      <c r="D88" s="442"/>
      <c r="E88" s="443"/>
      <c r="F88" s="533"/>
      <c r="G88" s="449"/>
      <c r="H88" s="682"/>
      <c r="I88" s="646"/>
    </row>
    <row r="89" spans="1:9" s="362" customFormat="1">
      <c r="A89" s="380">
        <f>IF(B89&gt;0,MAX(A$22:A87)+1,"")</f>
        <v>11</v>
      </c>
      <c r="B89" s="411" t="s">
        <v>319</v>
      </c>
      <c r="C89" s="412"/>
      <c r="D89" s="413"/>
      <c r="E89" s="414"/>
      <c r="F89" s="534"/>
      <c r="G89" s="450"/>
      <c r="H89" s="680"/>
    </row>
    <row r="90" spans="1:9" s="394" customFormat="1" ht="22.5" customHeight="1">
      <c r="A90" s="415"/>
      <c r="B90" s="416" t="s">
        <v>320</v>
      </c>
      <c r="C90" s="412"/>
      <c r="D90" s="413"/>
      <c r="E90" s="414"/>
      <c r="F90" s="534"/>
      <c r="G90" s="450"/>
      <c r="H90" s="680"/>
    </row>
    <row r="91" spans="1:9" s="362" customFormat="1" ht="56.25" customHeight="1">
      <c r="A91" s="415"/>
      <c r="B91" s="416" t="s">
        <v>321</v>
      </c>
      <c r="C91" s="412"/>
      <c r="D91" s="413"/>
      <c r="E91" s="414"/>
      <c r="F91" s="534"/>
      <c r="G91" s="450"/>
      <c r="H91" s="680"/>
    </row>
    <row r="92" spans="1:9" s="362" customFormat="1">
      <c r="A92" s="411"/>
      <c r="B92" s="416" t="s">
        <v>322</v>
      </c>
      <c r="C92" s="417"/>
      <c r="D92" s="418"/>
      <c r="E92" s="419"/>
      <c r="F92" s="534"/>
      <c r="G92" s="450"/>
      <c r="H92" s="680"/>
    </row>
    <row r="93" spans="1:9" s="362" customFormat="1">
      <c r="A93" s="411"/>
      <c r="B93" s="416" t="s">
        <v>268</v>
      </c>
      <c r="C93" s="417" t="s">
        <v>163</v>
      </c>
      <c r="D93" s="418">
        <v>6</v>
      </c>
      <c r="E93" s="419"/>
      <c r="F93" s="526">
        <f>D93*E93</f>
        <v>0</v>
      </c>
      <c r="G93" s="450"/>
      <c r="H93" s="680"/>
    </row>
    <row r="94" spans="1:9" s="362" customFormat="1">
      <c r="A94" s="420"/>
      <c r="B94" s="421"/>
      <c r="C94" s="422"/>
      <c r="D94" s="423"/>
      <c r="E94" s="423"/>
      <c r="F94" s="535"/>
      <c r="G94" s="656"/>
      <c r="H94" s="680"/>
    </row>
    <row r="95" spans="1:9" s="436" customFormat="1">
      <c r="A95" s="380">
        <f>IF(B95&gt;0,MAX(A$22:A90)+1,"")</f>
        <v>12</v>
      </c>
      <c r="B95" s="467" t="s">
        <v>323</v>
      </c>
      <c r="C95" s="433"/>
      <c r="D95" s="434"/>
      <c r="E95" s="435"/>
      <c r="F95" s="536"/>
      <c r="G95" s="448"/>
      <c r="H95" s="682"/>
      <c r="I95" s="646"/>
    </row>
    <row r="96" spans="1:9" s="439" customFormat="1" ht="135" customHeight="1">
      <c r="A96" s="437"/>
      <c r="B96" s="630" t="s">
        <v>324</v>
      </c>
      <c r="C96" s="438"/>
      <c r="D96" s="434"/>
      <c r="E96" s="435"/>
      <c r="F96" s="536"/>
      <c r="G96" s="448"/>
      <c r="H96" s="682"/>
      <c r="I96" s="646"/>
    </row>
    <row r="97" spans="1:9" s="432" customFormat="1">
      <c r="A97" s="440"/>
      <c r="B97" s="441" t="s">
        <v>325</v>
      </c>
      <c r="C97" s="442" t="s">
        <v>314</v>
      </c>
      <c r="D97" s="443">
        <v>2</v>
      </c>
      <c r="E97" s="444"/>
      <c r="F97" s="537">
        <f>$D97*E97</f>
        <v>0</v>
      </c>
      <c r="H97" s="682"/>
      <c r="I97" s="646"/>
    </row>
    <row r="98" spans="1:9" s="432" customFormat="1">
      <c r="A98" s="428"/>
      <c r="B98" s="429"/>
      <c r="C98" s="429"/>
      <c r="D98" s="430"/>
      <c r="E98" s="431"/>
      <c r="F98" s="538"/>
      <c r="G98" s="447"/>
      <c r="H98" s="683"/>
      <c r="I98" s="646"/>
    </row>
    <row r="99" spans="1:9" s="436" customFormat="1">
      <c r="A99" s="380">
        <f>IF(B99&gt;0,MAX(A$22:A98)+1,"")</f>
        <v>13</v>
      </c>
      <c r="B99" s="433" t="s">
        <v>326</v>
      </c>
      <c r="C99" s="433"/>
      <c r="D99" s="434"/>
      <c r="E99" s="435"/>
      <c r="F99" s="536"/>
      <c r="G99" s="448"/>
      <c r="H99" s="682"/>
      <c r="I99" s="646"/>
    </row>
    <row r="100" spans="1:9" s="439" customFormat="1" ht="67.5" customHeight="1">
      <c r="A100" s="437"/>
      <c r="B100" s="438" t="s">
        <v>327</v>
      </c>
      <c r="C100" s="438"/>
      <c r="D100" s="434"/>
      <c r="E100" s="435"/>
      <c r="F100" s="536"/>
      <c r="G100" s="448"/>
      <c r="H100" s="682"/>
      <c r="I100" s="646"/>
    </row>
    <row r="101" spans="1:9" s="432" customFormat="1">
      <c r="A101" s="440"/>
      <c r="B101" s="441" t="s">
        <v>328</v>
      </c>
      <c r="C101" s="442" t="s">
        <v>163</v>
      </c>
      <c r="D101" s="443">
        <v>2.2999999999999998</v>
      </c>
      <c r="E101" s="444"/>
      <c r="F101" s="537">
        <f>$D101*E101</f>
        <v>0</v>
      </c>
      <c r="H101" s="682"/>
      <c r="I101" s="646"/>
    </row>
    <row r="102" spans="1:9" s="432" customFormat="1">
      <c r="A102" s="440"/>
      <c r="B102" s="441"/>
      <c r="C102" s="441"/>
      <c r="D102" s="442"/>
      <c r="E102" s="443"/>
      <c r="F102" s="533"/>
      <c r="G102" s="449"/>
      <c r="H102" s="682"/>
      <c r="I102" s="646"/>
    </row>
    <row r="103" spans="1:9" s="362" customFormat="1">
      <c r="A103" s="424" t="s">
        <v>273</v>
      </c>
      <c r="B103" s="425" t="s">
        <v>329</v>
      </c>
      <c r="C103" s="426"/>
      <c r="D103" s="427"/>
      <c r="E103" s="427"/>
      <c r="F103" s="539">
        <f>SUM(F28:F101)</f>
        <v>0</v>
      </c>
      <c r="G103" s="657"/>
      <c r="H103" s="680"/>
    </row>
    <row r="104" spans="1:9" s="362" customFormat="1">
      <c r="A104" s="407"/>
      <c r="B104" s="408"/>
      <c r="C104" s="409"/>
      <c r="D104" s="410"/>
      <c r="E104" s="410"/>
      <c r="F104" s="532"/>
      <c r="G104" s="655"/>
      <c r="H104" s="680"/>
    </row>
    <row r="105" spans="1:9" s="472" customFormat="1">
      <c r="A105" s="468" t="s">
        <v>330</v>
      </c>
      <c r="B105" s="469" t="s">
        <v>331</v>
      </c>
      <c r="C105" s="470"/>
      <c r="D105" s="471"/>
      <c r="E105" s="471"/>
      <c r="F105" s="540"/>
      <c r="G105" s="612"/>
      <c r="H105" s="646"/>
    </row>
    <row r="106" spans="1:9" s="472" customFormat="1">
      <c r="A106" s="473"/>
      <c r="B106" s="474"/>
      <c r="C106" s="475"/>
      <c r="D106" s="476"/>
      <c r="E106" s="476"/>
      <c r="F106" s="541"/>
      <c r="G106" s="658"/>
      <c r="H106" s="646"/>
    </row>
    <row r="107" spans="1:9" s="472" customFormat="1" ht="22.5" customHeight="1">
      <c r="A107" s="473"/>
      <c r="B107" s="635" t="s">
        <v>332</v>
      </c>
      <c r="C107" s="475"/>
      <c r="D107" s="476"/>
      <c r="E107" s="476"/>
      <c r="F107" s="541"/>
      <c r="G107" s="658"/>
      <c r="H107" s="646"/>
    </row>
    <row r="108" spans="1:9" s="472" customFormat="1" ht="22.5" customHeight="1">
      <c r="A108" s="473"/>
      <c r="B108" s="395" t="s">
        <v>333</v>
      </c>
      <c r="C108" s="475"/>
      <c r="D108" s="476"/>
      <c r="E108" s="476"/>
      <c r="F108" s="541"/>
      <c r="G108" s="658"/>
      <c r="H108" s="646"/>
    </row>
    <row r="109" spans="1:9" s="472" customFormat="1" ht="123.75" customHeight="1">
      <c r="A109" s="473"/>
      <c r="B109" s="395" t="s">
        <v>334</v>
      </c>
      <c r="C109" s="475"/>
      <c r="D109" s="476"/>
      <c r="E109" s="476"/>
      <c r="F109" s="541"/>
      <c r="G109" s="658"/>
      <c r="H109" s="646"/>
    </row>
    <row r="110" spans="1:9" s="472" customFormat="1" ht="22.5" customHeight="1">
      <c r="A110" s="473"/>
      <c r="B110" s="395" t="s">
        <v>335</v>
      </c>
      <c r="C110" s="475"/>
      <c r="D110" s="476"/>
      <c r="E110" s="476"/>
      <c r="F110" s="541"/>
      <c r="G110" s="658"/>
      <c r="H110" s="646"/>
    </row>
    <row r="111" spans="1:9" s="472" customFormat="1" ht="22.5" customHeight="1">
      <c r="A111" s="473"/>
      <c r="B111" s="395" t="s">
        <v>336</v>
      </c>
      <c r="C111" s="475"/>
      <c r="D111" s="476"/>
      <c r="E111" s="476"/>
      <c r="F111" s="541"/>
      <c r="G111" s="658"/>
      <c r="H111" s="646"/>
    </row>
    <row r="112" spans="1:9" s="472" customFormat="1" ht="22.5" customHeight="1">
      <c r="A112" s="473"/>
      <c r="B112" s="395" t="s">
        <v>337</v>
      </c>
      <c r="C112" s="475"/>
      <c r="D112" s="476"/>
      <c r="E112" s="476"/>
      <c r="F112" s="541"/>
      <c r="G112" s="658"/>
      <c r="H112" s="646"/>
    </row>
    <row r="113" spans="1:8" s="472" customFormat="1">
      <c r="A113" s="473"/>
      <c r="B113" s="395" t="s">
        <v>338</v>
      </c>
      <c r="C113" s="475"/>
      <c r="D113" s="476"/>
      <c r="E113" s="476"/>
      <c r="F113" s="541"/>
      <c r="G113" s="658"/>
      <c r="H113" s="646"/>
    </row>
    <row r="114" spans="1:8" s="128" customFormat="1" ht="22.5" customHeight="1">
      <c r="A114" s="152"/>
      <c r="B114" s="17" t="s">
        <v>339</v>
      </c>
      <c r="C114" s="130"/>
      <c r="D114" s="16"/>
      <c r="E114" s="16"/>
      <c r="F114" s="62"/>
      <c r="G114" s="168"/>
      <c r="H114" s="64"/>
    </row>
    <row r="115" spans="1:8" s="472" customFormat="1">
      <c r="A115" s="473"/>
      <c r="B115" s="395"/>
      <c r="C115" s="475"/>
      <c r="D115" s="476"/>
      <c r="E115" s="476"/>
      <c r="F115" s="541"/>
      <c r="G115" s="658"/>
      <c r="H115" s="646"/>
    </row>
    <row r="116" spans="1:8" s="472" customFormat="1">
      <c r="A116" s="478"/>
      <c r="B116" s="393" t="s">
        <v>340</v>
      </c>
      <c r="C116" s="479"/>
      <c r="D116" s="480"/>
      <c r="E116" s="480"/>
      <c r="F116" s="542"/>
      <c r="G116" s="615"/>
      <c r="H116" s="646"/>
    </row>
    <row r="117" spans="1:8" s="472" customFormat="1">
      <c r="A117" s="478"/>
      <c r="B117" s="393"/>
      <c r="C117" s="479"/>
      <c r="D117" s="480"/>
      <c r="E117" s="480"/>
      <c r="F117" s="542"/>
      <c r="G117" s="615"/>
      <c r="H117" s="646"/>
    </row>
    <row r="118" spans="1:8" s="472" customFormat="1">
      <c r="A118" s="482">
        <v>1</v>
      </c>
      <c r="B118" s="393" t="s">
        <v>341</v>
      </c>
      <c r="C118" s="479"/>
      <c r="D118" s="480"/>
      <c r="E118" s="480"/>
      <c r="F118" s="542"/>
      <c r="G118" s="615"/>
      <c r="H118" s="646"/>
    </row>
    <row r="119" spans="1:8" s="472" customFormat="1" ht="33.75" customHeight="1">
      <c r="A119" s="483"/>
      <c r="B119" s="395" t="s">
        <v>342</v>
      </c>
      <c r="C119" s="479"/>
      <c r="D119" s="480"/>
      <c r="E119" s="480"/>
      <c r="F119" s="542"/>
      <c r="G119" s="615"/>
      <c r="H119" s="646"/>
    </row>
    <row r="120" spans="1:8" s="472" customFormat="1" ht="22.5" customHeight="1">
      <c r="A120" s="483"/>
      <c r="B120" s="395" t="s">
        <v>343</v>
      </c>
      <c r="C120" s="479"/>
      <c r="D120" s="480"/>
      <c r="E120" s="480"/>
      <c r="F120" s="542"/>
      <c r="G120" s="615"/>
      <c r="H120" s="646"/>
    </row>
    <row r="121" spans="1:8" s="472" customFormat="1">
      <c r="A121" s="483"/>
      <c r="B121" s="395" t="s">
        <v>93</v>
      </c>
      <c r="C121" s="395"/>
      <c r="D121" s="484"/>
      <c r="E121" s="485"/>
      <c r="F121" s="484"/>
      <c r="G121" s="615"/>
      <c r="H121" s="646"/>
    </row>
    <row r="122" spans="1:8" s="472" customFormat="1">
      <c r="A122" s="483"/>
      <c r="B122" s="486" t="s">
        <v>344</v>
      </c>
      <c r="C122" s="479" t="s">
        <v>41</v>
      </c>
      <c r="D122" s="476">
        <v>34.42</v>
      </c>
      <c r="E122" s="480"/>
      <c r="F122" s="542">
        <f>D122*E122</f>
        <v>0</v>
      </c>
      <c r="G122" s="615"/>
      <c r="H122" s="646"/>
    </row>
    <row r="123" spans="1:8" s="472" customFormat="1">
      <c r="A123" s="483"/>
      <c r="B123" s="486" t="s">
        <v>345</v>
      </c>
      <c r="C123" s="479" t="s">
        <v>41</v>
      </c>
      <c r="D123" s="476">
        <v>34.43</v>
      </c>
      <c r="E123" s="480"/>
      <c r="F123" s="542">
        <f>D123*E123</f>
        <v>0</v>
      </c>
      <c r="G123" s="615"/>
      <c r="H123" s="646"/>
    </row>
    <row r="124" spans="1:8" s="472" customFormat="1">
      <c r="A124" s="483"/>
      <c r="B124" s="395"/>
      <c r="C124" s="479"/>
      <c r="D124" s="480"/>
      <c r="E124" s="480"/>
      <c r="F124" s="542"/>
      <c r="G124" s="615"/>
      <c r="H124" s="646"/>
    </row>
    <row r="125" spans="1:8" s="472" customFormat="1">
      <c r="A125" s="219">
        <f>IF(B125&gt;0,MAX(A118:A$124)+1,"")</f>
        <v>2</v>
      </c>
      <c r="B125" s="393" t="s">
        <v>346</v>
      </c>
      <c r="C125" s="479"/>
      <c r="D125" s="480"/>
      <c r="E125" s="480"/>
      <c r="F125" s="542"/>
      <c r="G125" s="615"/>
      <c r="H125" s="646"/>
    </row>
    <row r="126" spans="1:8" s="472" customFormat="1" ht="33.75" customHeight="1">
      <c r="A126" s="483"/>
      <c r="B126" s="395" t="s">
        <v>347</v>
      </c>
      <c r="C126" s="479"/>
      <c r="D126" s="480"/>
      <c r="E126" s="480"/>
      <c r="F126" s="542"/>
      <c r="G126" s="615"/>
      <c r="H126" s="646"/>
    </row>
    <row r="127" spans="1:8" s="472" customFormat="1" ht="22.5" customHeight="1">
      <c r="A127" s="483"/>
      <c r="B127" s="395" t="s">
        <v>343</v>
      </c>
      <c r="C127" s="479"/>
      <c r="D127" s="480"/>
      <c r="E127" s="480"/>
      <c r="F127" s="542"/>
      <c r="G127" s="615"/>
      <c r="H127" s="646"/>
    </row>
    <row r="128" spans="1:8" s="472" customFormat="1">
      <c r="A128" s="483"/>
      <c r="B128" s="395" t="s">
        <v>93</v>
      </c>
      <c r="C128" s="395"/>
      <c r="D128" s="484"/>
      <c r="E128" s="485"/>
      <c r="F128" s="542"/>
      <c r="G128" s="615"/>
      <c r="H128" s="646"/>
    </row>
    <row r="129" spans="1:8" s="472" customFormat="1">
      <c r="A129" s="483"/>
      <c r="B129" s="486" t="s">
        <v>344</v>
      </c>
      <c r="C129" s="479" t="s">
        <v>41</v>
      </c>
      <c r="D129" s="480">
        <v>4.05</v>
      </c>
      <c r="E129" s="480"/>
      <c r="F129" s="542">
        <f>D129*E129</f>
        <v>0</v>
      </c>
      <c r="G129" s="615"/>
      <c r="H129" s="646"/>
    </row>
    <row r="130" spans="1:8" s="472" customFormat="1">
      <c r="A130" s="483"/>
      <c r="B130" s="486" t="s">
        <v>345</v>
      </c>
      <c r="C130" s="479" t="s">
        <v>41</v>
      </c>
      <c r="D130" s="480">
        <v>4.05</v>
      </c>
      <c r="E130" s="480"/>
      <c r="F130" s="542">
        <f>D130*E130</f>
        <v>0</v>
      </c>
      <c r="G130" s="615"/>
      <c r="H130" s="646"/>
    </row>
    <row r="131" spans="1:8" s="472" customFormat="1">
      <c r="A131" s="487"/>
      <c r="B131" s="477"/>
      <c r="C131" s="488"/>
      <c r="D131" s="476"/>
      <c r="E131" s="476"/>
      <c r="F131" s="541"/>
      <c r="G131" s="658"/>
      <c r="H131" s="646"/>
    </row>
    <row r="132" spans="1:8" s="472" customFormat="1">
      <c r="A132" s="483"/>
      <c r="B132" s="393" t="s">
        <v>348</v>
      </c>
      <c r="C132" s="479"/>
      <c r="D132" s="480"/>
      <c r="E132" s="480"/>
      <c r="F132" s="542"/>
      <c r="G132" s="615"/>
      <c r="H132" s="646"/>
    </row>
    <row r="133" spans="1:8" s="472" customFormat="1">
      <c r="A133" s="483"/>
      <c r="B133" s="395"/>
      <c r="C133" s="479"/>
      <c r="D133" s="480"/>
      <c r="E133" s="480"/>
      <c r="F133" s="542"/>
      <c r="G133" s="615"/>
      <c r="H133" s="646"/>
    </row>
    <row r="134" spans="1:8" s="472" customFormat="1">
      <c r="A134" s="219">
        <f>IF(B134&gt;0,MAX(A$124:A127)+1,"")</f>
        <v>3</v>
      </c>
      <c r="B134" s="393" t="s">
        <v>349</v>
      </c>
      <c r="C134" s="479"/>
      <c r="D134" s="480"/>
      <c r="E134" s="480"/>
      <c r="F134" s="542"/>
      <c r="G134" s="615"/>
      <c r="H134" s="646"/>
    </row>
    <row r="135" spans="1:8" s="472" customFormat="1" ht="33.75" customHeight="1">
      <c r="A135" s="483"/>
      <c r="B135" s="395" t="s">
        <v>350</v>
      </c>
      <c r="C135" s="479"/>
      <c r="D135" s="480"/>
      <c r="E135" s="480"/>
      <c r="F135" s="542"/>
      <c r="G135" s="615"/>
      <c r="H135" s="646"/>
    </row>
    <row r="136" spans="1:8" s="472" customFormat="1">
      <c r="A136" s="483"/>
      <c r="B136" s="395" t="s">
        <v>93</v>
      </c>
      <c r="C136" s="395"/>
      <c r="D136" s="484"/>
      <c r="E136" s="485"/>
      <c r="F136" s="542"/>
      <c r="G136" s="615"/>
      <c r="H136" s="646"/>
    </row>
    <row r="137" spans="1:8" s="472" customFormat="1">
      <c r="A137" s="483"/>
      <c r="B137" s="395" t="s">
        <v>351</v>
      </c>
      <c r="C137" s="395"/>
      <c r="D137" s="484"/>
      <c r="E137" s="485"/>
      <c r="F137" s="542"/>
      <c r="G137" s="615"/>
      <c r="H137" s="646"/>
    </row>
    <row r="138" spans="1:8" s="472" customFormat="1">
      <c r="A138" s="483"/>
      <c r="B138" s="486" t="s">
        <v>344</v>
      </c>
      <c r="C138" s="479" t="s">
        <v>41</v>
      </c>
      <c r="D138" s="480">
        <v>3.02</v>
      </c>
      <c r="E138" s="480"/>
      <c r="F138" s="542">
        <f>D138*E138</f>
        <v>0</v>
      </c>
      <c r="G138" s="615"/>
      <c r="H138" s="646"/>
    </row>
    <row r="139" spans="1:8" s="472" customFormat="1">
      <c r="A139" s="483"/>
      <c r="B139" s="486" t="s">
        <v>345</v>
      </c>
      <c r="C139" s="479" t="s">
        <v>41</v>
      </c>
      <c r="D139" s="480">
        <v>3.02</v>
      </c>
      <c r="E139" s="480"/>
      <c r="F139" s="542">
        <f>D139*E139</f>
        <v>0</v>
      </c>
      <c r="G139" s="615"/>
      <c r="H139" s="646"/>
    </row>
    <row r="140" spans="1:8" s="472" customFormat="1">
      <c r="A140" s="483"/>
      <c r="B140" s="395" t="s">
        <v>352</v>
      </c>
      <c r="C140" s="395"/>
      <c r="D140" s="484"/>
      <c r="E140" s="485"/>
      <c r="F140" s="542"/>
      <c r="G140" s="615"/>
      <c r="H140" s="646"/>
    </row>
    <row r="141" spans="1:8" s="472" customFormat="1">
      <c r="A141" s="483"/>
      <c r="B141" s="486" t="s">
        <v>344</v>
      </c>
      <c r="C141" s="479" t="s">
        <v>41</v>
      </c>
      <c r="D141" s="480">
        <v>10.15</v>
      </c>
      <c r="E141" s="480"/>
      <c r="F141" s="542">
        <f>D141*E141</f>
        <v>0</v>
      </c>
      <c r="G141" s="615"/>
      <c r="H141" s="646"/>
    </row>
    <row r="142" spans="1:8" s="472" customFormat="1">
      <c r="A142" s="483"/>
      <c r="B142" s="486" t="s">
        <v>345</v>
      </c>
      <c r="C142" s="479" t="s">
        <v>41</v>
      </c>
      <c r="D142" s="480">
        <v>10.15</v>
      </c>
      <c r="E142" s="480"/>
      <c r="F142" s="542">
        <f>D142*E142</f>
        <v>0</v>
      </c>
      <c r="G142" s="615"/>
      <c r="H142" s="646"/>
    </row>
    <row r="143" spans="1:8" s="472" customFormat="1">
      <c r="A143" s="483"/>
      <c r="B143" s="395" t="s">
        <v>353</v>
      </c>
      <c r="C143" s="395"/>
      <c r="D143" s="484"/>
      <c r="E143" s="485"/>
      <c r="F143" s="542"/>
      <c r="G143" s="615"/>
      <c r="H143" s="646"/>
    </row>
    <row r="144" spans="1:8" s="472" customFormat="1">
      <c r="A144" s="483"/>
      <c r="B144" s="486" t="s">
        <v>344</v>
      </c>
      <c r="C144" s="479" t="s">
        <v>41</v>
      </c>
      <c r="D144" s="480">
        <v>8.8699999999999992</v>
      </c>
      <c r="E144" s="480"/>
      <c r="F144" s="542">
        <f>D144*E144</f>
        <v>0</v>
      </c>
      <c r="G144" s="615"/>
      <c r="H144" s="646"/>
    </row>
    <row r="145" spans="1:8" s="472" customFormat="1">
      <c r="A145" s="483"/>
      <c r="B145" s="486" t="s">
        <v>345</v>
      </c>
      <c r="C145" s="479" t="s">
        <v>41</v>
      </c>
      <c r="D145" s="480">
        <v>8.8699999999999992</v>
      </c>
      <c r="E145" s="480"/>
      <c r="F145" s="542">
        <f>D145*E145</f>
        <v>0</v>
      </c>
      <c r="G145" s="615"/>
      <c r="H145" s="646"/>
    </row>
    <row r="146" spans="1:8" s="472" customFormat="1">
      <c r="A146" s="483"/>
      <c r="B146" s="395" t="s">
        <v>354</v>
      </c>
      <c r="C146" s="395"/>
      <c r="D146" s="484"/>
      <c r="E146" s="485"/>
      <c r="F146" s="542"/>
      <c r="G146" s="615"/>
      <c r="H146" s="646"/>
    </row>
    <row r="147" spans="1:8" s="472" customFormat="1">
      <c r="A147" s="483"/>
      <c r="B147" s="486" t="s">
        <v>344</v>
      </c>
      <c r="C147" s="479" t="s">
        <v>41</v>
      </c>
      <c r="D147" s="480">
        <v>3.71</v>
      </c>
      <c r="E147" s="480"/>
      <c r="F147" s="542">
        <f>D147*E147</f>
        <v>0</v>
      </c>
      <c r="G147" s="615"/>
      <c r="H147" s="646"/>
    </row>
    <row r="148" spans="1:8" s="472" customFormat="1">
      <c r="A148" s="483"/>
      <c r="B148" s="486" t="s">
        <v>345</v>
      </c>
      <c r="C148" s="479" t="s">
        <v>41</v>
      </c>
      <c r="D148" s="480">
        <v>3.71</v>
      </c>
      <c r="E148" s="480"/>
      <c r="F148" s="542">
        <f>D148*E148</f>
        <v>0</v>
      </c>
      <c r="G148" s="615"/>
      <c r="H148" s="646"/>
    </row>
    <row r="149" spans="1:8" s="472" customFormat="1">
      <c r="A149" s="483"/>
      <c r="B149" s="477" t="s">
        <v>355</v>
      </c>
      <c r="C149" s="395"/>
      <c r="D149" s="484"/>
      <c r="E149" s="485"/>
      <c r="F149" s="542"/>
      <c r="G149" s="615"/>
      <c r="H149" s="646"/>
    </row>
    <row r="150" spans="1:8" s="472" customFormat="1">
      <c r="A150" s="483"/>
      <c r="B150" s="486" t="s">
        <v>344</v>
      </c>
      <c r="C150" s="479" t="s">
        <v>41</v>
      </c>
      <c r="D150" s="476">
        <v>5.76</v>
      </c>
      <c r="E150" s="480"/>
      <c r="F150" s="542">
        <f>D150*E150</f>
        <v>0</v>
      </c>
      <c r="G150" s="615"/>
      <c r="H150" s="646"/>
    </row>
    <row r="151" spans="1:8" s="472" customFormat="1">
      <c r="A151" s="483"/>
      <c r="B151" s="486" t="s">
        <v>345</v>
      </c>
      <c r="C151" s="479" t="s">
        <v>41</v>
      </c>
      <c r="D151" s="476">
        <v>5.76</v>
      </c>
      <c r="E151" s="480"/>
      <c r="F151" s="542">
        <f>D151*E151</f>
        <v>0</v>
      </c>
      <c r="G151" s="615"/>
      <c r="H151" s="646"/>
    </row>
    <row r="152" spans="1:8" s="472" customFormat="1">
      <c r="A152" s="483"/>
      <c r="B152" s="477" t="s">
        <v>356</v>
      </c>
      <c r="C152" s="395"/>
      <c r="D152" s="484"/>
      <c r="E152" s="485"/>
      <c r="F152" s="542"/>
      <c r="G152" s="615"/>
      <c r="H152" s="646"/>
    </row>
    <row r="153" spans="1:8" s="472" customFormat="1">
      <c r="A153" s="483"/>
      <c r="B153" s="747" t="s">
        <v>344</v>
      </c>
      <c r="C153" s="488" t="s">
        <v>41</v>
      </c>
      <c r="D153" s="476">
        <v>10.31</v>
      </c>
      <c r="E153" s="476"/>
      <c r="F153" s="541">
        <f>D153*E153</f>
        <v>0</v>
      </c>
      <c r="G153" s="615"/>
      <c r="H153" s="646"/>
    </row>
    <row r="154" spans="1:8" s="472" customFormat="1">
      <c r="A154" s="483"/>
      <c r="B154" s="747" t="s">
        <v>345</v>
      </c>
      <c r="C154" s="488" t="s">
        <v>41</v>
      </c>
      <c r="D154" s="476">
        <v>10.31</v>
      </c>
      <c r="E154" s="476"/>
      <c r="F154" s="541">
        <f>D154*E154</f>
        <v>0</v>
      </c>
      <c r="G154" s="615"/>
      <c r="H154" s="646"/>
    </row>
    <row r="155" spans="1:8" s="472" customFormat="1">
      <c r="A155" s="489"/>
      <c r="B155" s="395"/>
      <c r="C155" s="479"/>
      <c r="D155" s="480"/>
      <c r="E155" s="480"/>
      <c r="F155" s="542"/>
      <c r="G155" s="615"/>
      <c r="H155" s="646"/>
    </row>
    <row r="156" spans="1:8" s="472" customFormat="1">
      <c r="A156" s="219">
        <f>IF(B156&gt;0,MAX(A$124:A146)+1,"")</f>
        <v>4</v>
      </c>
      <c r="B156" s="393" t="s">
        <v>357</v>
      </c>
      <c r="C156" s="479"/>
      <c r="D156" s="480"/>
      <c r="E156" s="480"/>
      <c r="F156" s="542"/>
      <c r="G156" s="615"/>
      <c r="H156" s="646"/>
    </row>
    <row r="157" spans="1:8" s="472" customFormat="1" ht="22.5" customHeight="1">
      <c r="A157" s="490"/>
      <c r="B157" s="491" t="s">
        <v>358</v>
      </c>
      <c r="C157" s="492"/>
      <c r="D157" s="493"/>
      <c r="E157" s="493"/>
      <c r="F157" s="542"/>
      <c r="G157" s="611"/>
      <c r="H157" s="646"/>
    </row>
    <row r="158" spans="1:8" s="472" customFormat="1">
      <c r="A158" s="489"/>
      <c r="B158" s="395" t="s">
        <v>268</v>
      </c>
      <c r="C158" s="480"/>
      <c r="D158" s="480"/>
      <c r="E158" s="481"/>
      <c r="F158" s="543"/>
      <c r="G158" s="659"/>
      <c r="H158" s="646"/>
    </row>
    <row r="159" spans="1:8" s="472" customFormat="1">
      <c r="A159" s="489"/>
      <c r="B159" s="395" t="s">
        <v>351</v>
      </c>
      <c r="C159" s="493"/>
      <c r="D159" s="493"/>
      <c r="E159" s="481"/>
      <c r="F159" s="544"/>
      <c r="G159" s="660"/>
      <c r="H159" s="646"/>
    </row>
    <row r="160" spans="1:8" s="472" customFormat="1">
      <c r="A160" s="483"/>
      <c r="B160" s="486" t="s">
        <v>344</v>
      </c>
      <c r="C160" s="479" t="s">
        <v>163</v>
      </c>
      <c r="D160" s="480">
        <v>4.1900000000000004</v>
      </c>
      <c r="E160" s="480"/>
      <c r="F160" s="542">
        <f>D160*E160</f>
        <v>0</v>
      </c>
      <c r="G160" s="615"/>
      <c r="H160" s="646"/>
    </row>
    <row r="161" spans="1:8" s="472" customFormat="1">
      <c r="A161" s="483"/>
      <c r="B161" s="486" t="s">
        <v>345</v>
      </c>
      <c r="C161" s="479" t="s">
        <v>163</v>
      </c>
      <c r="D161" s="480">
        <v>4.1900000000000004</v>
      </c>
      <c r="E161" s="480"/>
      <c r="F161" s="542">
        <f>D161*E161</f>
        <v>0</v>
      </c>
      <c r="G161" s="615"/>
      <c r="H161" s="646"/>
    </row>
    <row r="162" spans="1:8" s="472" customFormat="1">
      <c r="A162" s="489"/>
      <c r="B162" s="395" t="s">
        <v>359</v>
      </c>
      <c r="C162" s="479"/>
      <c r="D162" s="480"/>
      <c r="E162" s="480"/>
      <c r="F162" s="542"/>
      <c r="G162" s="615"/>
      <c r="H162" s="646"/>
    </row>
    <row r="163" spans="1:8" s="472" customFormat="1">
      <c r="A163" s="483"/>
      <c r="B163" s="486" t="s">
        <v>344</v>
      </c>
      <c r="C163" s="479" t="s">
        <v>163</v>
      </c>
      <c r="D163" s="480">
        <v>8.8000000000000007</v>
      </c>
      <c r="E163" s="480"/>
      <c r="F163" s="542">
        <f>D163*E163</f>
        <v>0</v>
      </c>
      <c r="G163" s="615"/>
      <c r="H163" s="646"/>
    </row>
    <row r="164" spans="1:8" s="472" customFormat="1">
      <c r="A164" s="483"/>
      <c r="B164" s="486" t="s">
        <v>345</v>
      </c>
      <c r="C164" s="479" t="s">
        <v>163</v>
      </c>
      <c r="D164" s="480">
        <v>8.8000000000000007</v>
      </c>
      <c r="E164" s="480"/>
      <c r="F164" s="542">
        <f>D164*E164</f>
        <v>0</v>
      </c>
      <c r="G164" s="615"/>
      <c r="H164" s="646"/>
    </row>
    <row r="165" spans="1:8" s="472" customFormat="1">
      <c r="A165" s="483"/>
      <c r="B165" s="395" t="s">
        <v>360</v>
      </c>
      <c r="C165" s="479"/>
      <c r="D165" s="480"/>
      <c r="E165" s="480"/>
      <c r="F165" s="542"/>
      <c r="G165" s="615"/>
      <c r="H165" s="646"/>
    </row>
    <row r="166" spans="1:8" s="472" customFormat="1">
      <c r="A166" s="483"/>
      <c r="B166" s="486" t="s">
        <v>344</v>
      </c>
      <c r="C166" s="479" t="s">
        <v>163</v>
      </c>
      <c r="D166" s="480">
        <v>7.06</v>
      </c>
      <c r="E166" s="480"/>
      <c r="F166" s="542">
        <f>D166*E166</f>
        <v>0</v>
      </c>
      <c r="G166" s="615"/>
      <c r="H166" s="646"/>
    </row>
    <row r="167" spans="1:8" s="472" customFormat="1">
      <c r="A167" s="483"/>
      <c r="B167" s="486" t="s">
        <v>345</v>
      </c>
      <c r="C167" s="479" t="s">
        <v>163</v>
      </c>
      <c r="D167" s="480">
        <v>7.06</v>
      </c>
      <c r="E167" s="480"/>
      <c r="F167" s="542">
        <f>D167*E167</f>
        <v>0</v>
      </c>
      <c r="G167" s="615"/>
      <c r="H167" s="646"/>
    </row>
    <row r="168" spans="1:8" s="472" customFormat="1">
      <c r="A168" s="483"/>
      <c r="B168" s="477" t="s">
        <v>361</v>
      </c>
      <c r="C168" s="395"/>
      <c r="D168" s="484"/>
      <c r="E168" s="485"/>
      <c r="F168" s="542"/>
      <c r="G168" s="615"/>
      <c r="H168" s="646"/>
    </row>
    <row r="169" spans="1:8" s="472" customFormat="1">
      <c r="A169" s="483"/>
      <c r="B169" s="486" t="s">
        <v>344</v>
      </c>
      <c r="C169" s="479" t="s">
        <v>163</v>
      </c>
      <c r="D169" s="476">
        <v>7.09</v>
      </c>
      <c r="E169" s="480"/>
      <c r="F169" s="542">
        <f>D169*E169</f>
        <v>0</v>
      </c>
      <c r="G169" s="615"/>
      <c r="H169" s="646"/>
    </row>
    <row r="170" spans="1:8" s="472" customFormat="1">
      <c r="A170" s="483"/>
      <c r="B170" s="486" t="s">
        <v>345</v>
      </c>
      <c r="C170" s="479" t="s">
        <v>163</v>
      </c>
      <c r="D170" s="476">
        <v>7.09</v>
      </c>
      <c r="E170" s="480"/>
      <c r="F170" s="542">
        <f>D170*E170</f>
        <v>0</v>
      </c>
      <c r="G170" s="615"/>
      <c r="H170" s="646"/>
    </row>
    <row r="171" spans="1:8" s="472" customFormat="1">
      <c r="A171" s="494"/>
      <c r="B171" s="490"/>
      <c r="C171" s="495"/>
      <c r="D171" s="496"/>
      <c r="E171" s="496"/>
      <c r="F171" s="545"/>
      <c r="G171" s="645"/>
      <c r="H171" s="646"/>
    </row>
    <row r="172" spans="1:8" s="472" customFormat="1">
      <c r="A172" s="497" t="s">
        <v>330</v>
      </c>
      <c r="B172" s="498" t="s">
        <v>362</v>
      </c>
      <c r="C172" s="499"/>
      <c r="D172" s="500"/>
      <c r="E172" s="500"/>
      <c r="F172" s="546">
        <f>SUM(F122:F170)</f>
        <v>0</v>
      </c>
      <c r="G172" s="612"/>
      <c r="H172" s="646"/>
    </row>
    <row r="173" spans="1:8" s="472" customFormat="1">
      <c r="A173" s="501"/>
      <c r="B173" s="502"/>
      <c r="C173" s="503"/>
      <c r="D173" s="504"/>
      <c r="E173" s="504"/>
      <c r="F173" s="547"/>
      <c r="G173" s="644"/>
      <c r="H173" s="646"/>
    </row>
    <row r="174" spans="1:8" s="472" customFormat="1">
      <c r="A174" s="468" t="s">
        <v>363</v>
      </c>
      <c r="B174" s="469" t="s">
        <v>364</v>
      </c>
      <c r="C174" s="470"/>
      <c r="D174" s="471"/>
      <c r="E174" s="471"/>
      <c r="F174" s="540"/>
      <c r="G174" s="612"/>
      <c r="H174" s="646"/>
    </row>
    <row r="175" spans="1:8" s="472" customFormat="1">
      <c r="A175" s="505"/>
      <c r="B175" s="491"/>
      <c r="C175" s="492"/>
      <c r="D175" s="493"/>
      <c r="E175" s="493"/>
      <c r="F175" s="545"/>
      <c r="G175" s="611"/>
      <c r="H175" s="646"/>
    </row>
    <row r="176" spans="1:8" s="472" customFormat="1" ht="22.5" customHeight="1">
      <c r="A176" s="505"/>
      <c r="B176" s="635" t="s">
        <v>332</v>
      </c>
      <c r="C176" s="492"/>
      <c r="D176" s="493"/>
      <c r="E176" s="493"/>
      <c r="F176" s="545"/>
      <c r="G176" s="611"/>
      <c r="H176" s="646"/>
    </row>
    <row r="177" spans="1:9" s="472" customFormat="1">
      <c r="A177" s="506"/>
      <c r="B177" s="491" t="s">
        <v>365</v>
      </c>
      <c r="C177" s="506"/>
      <c r="D177" s="636"/>
      <c r="E177" s="493"/>
      <c r="F177" s="493"/>
      <c r="G177" s="617"/>
      <c r="H177" s="637"/>
      <c r="I177" s="646"/>
    </row>
    <row r="178" spans="1:9" s="472" customFormat="1" ht="33.75" customHeight="1">
      <c r="A178" s="506"/>
      <c r="B178" s="491" t="s">
        <v>366</v>
      </c>
      <c r="C178" s="506"/>
      <c r="D178" s="636"/>
      <c r="E178" s="493"/>
      <c r="F178" s="493"/>
      <c r="G178" s="617"/>
      <c r="H178" s="637"/>
      <c r="I178" s="646"/>
    </row>
    <row r="179" spans="1:9" s="472" customFormat="1" ht="45" customHeight="1">
      <c r="A179" s="506"/>
      <c r="B179" s="491" t="s">
        <v>367</v>
      </c>
      <c r="C179" s="506"/>
      <c r="D179" s="636"/>
      <c r="E179" s="493"/>
      <c r="F179" s="493"/>
      <c r="G179" s="617"/>
      <c r="H179" s="637"/>
      <c r="I179" s="646"/>
    </row>
    <row r="180" spans="1:9" s="472" customFormat="1" ht="90" customHeight="1">
      <c r="A180" s="506"/>
      <c r="B180" s="491" t="s">
        <v>368</v>
      </c>
      <c r="C180" s="506"/>
      <c r="D180" s="636"/>
      <c r="E180" s="493"/>
      <c r="F180" s="493"/>
      <c r="G180" s="617"/>
      <c r="H180" s="637"/>
      <c r="I180" s="646"/>
    </row>
    <row r="181" spans="1:9" s="472" customFormat="1" ht="22.5" customHeight="1">
      <c r="A181" s="506"/>
      <c r="B181" s="491" t="s">
        <v>369</v>
      </c>
      <c r="C181" s="506"/>
      <c r="D181" s="636"/>
      <c r="E181" s="493"/>
      <c r="F181" s="493"/>
      <c r="G181" s="617"/>
      <c r="H181" s="637"/>
      <c r="I181" s="646"/>
    </row>
    <row r="182" spans="1:9" s="472" customFormat="1" ht="22.5" customHeight="1">
      <c r="A182" s="506"/>
      <c r="B182" s="491" t="s">
        <v>370</v>
      </c>
      <c r="C182" s="506"/>
      <c r="D182" s="636"/>
      <c r="E182" s="493"/>
      <c r="F182" s="493"/>
      <c r="G182" s="617"/>
      <c r="H182" s="637"/>
      <c r="I182" s="646"/>
    </row>
    <row r="183" spans="1:9" s="472" customFormat="1" ht="33.75" customHeight="1">
      <c r="A183" s="506"/>
      <c r="B183" s="491" t="s">
        <v>371</v>
      </c>
      <c r="C183" s="506"/>
      <c r="D183" s="636"/>
      <c r="E183" s="493"/>
      <c r="F183" s="493"/>
      <c r="G183" s="617"/>
      <c r="H183" s="637"/>
      <c r="I183" s="646"/>
    </row>
    <row r="184" spans="1:9" s="472" customFormat="1">
      <c r="A184" s="507"/>
      <c r="B184" s="502"/>
      <c r="C184" s="503"/>
      <c r="D184" s="504"/>
      <c r="E184" s="504"/>
      <c r="F184" s="547"/>
      <c r="G184" s="613"/>
      <c r="H184" s="646"/>
    </row>
    <row r="185" spans="1:9" s="472" customFormat="1">
      <c r="A185" s="505"/>
      <c r="B185" s="506" t="s">
        <v>372</v>
      </c>
      <c r="C185" s="492"/>
      <c r="D185" s="493"/>
      <c r="E185" s="493"/>
      <c r="F185" s="545"/>
      <c r="G185" s="611"/>
      <c r="H185" s="646"/>
    </row>
    <row r="186" spans="1:9" s="472" customFormat="1">
      <c r="A186" s="507"/>
      <c r="B186" s="502"/>
      <c r="C186" s="503"/>
      <c r="D186" s="504"/>
      <c r="E186" s="504"/>
      <c r="F186" s="547"/>
      <c r="G186" s="613"/>
      <c r="H186" s="646"/>
    </row>
    <row r="187" spans="1:9" s="472" customFormat="1">
      <c r="A187" s="508">
        <v>1</v>
      </c>
      <c r="B187" s="509" t="s">
        <v>373</v>
      </c>
      <c r="C187" s="492"/>
      <c r="D187" s="493"/>
      <c r="E187" s="493"/>
      <c r="F187" s="545"/>
      <c r="G187" s="611"/>
      <c r="H187" s="646"/>
    </row>
    <row r="188" spans="1:9" s="472" customFormat="1" ht="45" customHeight="1">
      <c r="A188" s="505"/>
      <c r="B188" s="491" t="s">
        <v>374</v>
      </c>
      <c r="C188" s="492"/>
      <c r="D188" s="493"/>
      <c r="E188" s="493"/>
      <c r="F188" s="545"/>
      <c r="G188" s="611"/>
      <c r="H188" s="646"/>
    </row>
    <row r="189" spans="1:9" s="472" customFormat="1">
      <c r="A189" s="505"/>
      <c r="B189" s="491" t="s">
        <v>375</v>
      </c>
      <c r="C189" s="492"/>
      <c r="D189" s="493"/>
      <c r="E189" s="493"/>
      <c r="F189" s="545"/>
      <c r="G189" s="611"/>
      <c r="H189" s="646"/>
    </row>
    <row r="190" spans="1:9" s="472" customFormat="1">
      <c r="A190" s="505"/>
      <c r="B190" s="491" t="s">
        <v>93</v>
      </c>
      <c r="C190" s="492"/>
      <c r="D190" s="493"/>
      <c r="E190" s="493"/>
      <c r="F190" s="545"/>
      <c r="G190" s="611"/>
      <c r="H190" s="646"/>
    </row>
    <row r="191" spans="1:9" s="472" customFormat="1">
      <c r="A191" s="505"/>
      <c r="B191" s="486" t="s">
        <v>344</v>
      </c>
      <c r="C191" s="492" t="s">
        <v>41</v>
      </c>
      <c r="D191" s="493">
        <v>41.55</v>
      </c>
      <c r="E191" s="493"/>
      <c r="F191" s="545">
        <f>D191*E191</f>
        <v>0</v>
      </c>
      <c r="G191" s="611"/>
      <c r="H191" s="646"/>
    </row>
    <row r="192" spans="1:9" s="472" customFormat="1">
      <c r="A192" s="505"/>
      <c r="B192" s="486" t="s">
        <v>345</v>
      </c>
      <c r="C192" s="492" t="s">
        <v>41</v>
      </c>
      <c r="D192" s="493">
        <v>41.55</v>
      </c>
      <c r="E192" s="493"/>
      <c r="F192" s="545">
        <f>D192*E192</f>
        <v>0</v>
      </c>
      <c r="G192" s="611"/>
      <c r="H192" s="646"/>
    </row>
    <row r="193" spans="1:8" s="472" customFormat="1">
      <c r="A193" s="507"/>
      <c r="B193" s="502"/>
      <c r="C193" s="503"/>
      <c r="D193" s="504"/>
      <c r="E193" s="504"/>
      <c r="F193" s="547"/>
      <c r="G193" s="613"/>
      <c r="H193" s="646"/>
    </row>
    <row r="194" spans="1:8" s="472" customFormat="1">
      <c r="A194" s="627">
        <f>IF(B194&gt;0,MAX(A$187:A193)+1,"")</f>
        <v>2</v>
      </c>
      <c r="B194" s="506" t="s">
        <v>376</v>
      </c>
      <c r="C194" s="492"/>
      <c r="D194" s="493"/>
      <c r="E194" s="493"/>
      <c r="F194" s="545"/>
      <c r="G194" s="611"/>
      <c r="H194" s="646"/>
    </row>
    <row r="195" spans="1:8" s="472" customFormat="1" ht="33.75" customHeight="1">
      <c r="A195" s="505"/>
      <c r="B195" s="491" t="s">
        <v>377</v>
      </c>
      <c r="C195" s="492"/>
      <c r="D195" s="493"/>
      <c r="E195" s="493"/>
      <c r="F195" s="545"/>
      <c r="G195" s="661"/>
      <c r="H195" s="646"/>
    </row>
    <row r="196" spans="1:8" s="472" customFormat="1">
      <c r="A196" s="505"/>
      <c r="B196" s="491" t="s">
        <v>268</v>
      </c>
      <c r="C196" s="492"/>
      <c r="D196" s="493"/>
      <c r="E196" s="493"/>
      <c r="F196" s="545"/>
      <c r="G196" s="611"/>
      <c r="H196" s="646"/>
    </row>
    <row r="197" spans="1:8" s="472" customFormat="1">
      <c r="A197" s="505"/>
      <c r="B197" s="486" t="s">
        <v>344</v>
      </c>
      <c r="C197" s="492" t="s">
        <v>163</v>
      </c>
      <c r="D197" s="493">
        <v>21.77</v>
      </c>
      <c r="E197" s="493"/>
      <c r="F197" s="545">
        <f>D197*E197</f>
        <v>0</v>
      </c>
      <c r="G197" s="611"/>
      <c r="H197" s="646"/>
    </row>
    <row r="198" spans="1:8" s="472" customFormat="1">
      <c r="A198" s="505"/>
      <c r="B198" s="486" t="s">
        <v>345</v>
      </c>
      <c r="C198" s="492" t="s">
        <v>163</v>
      </c>
      <c r="D198" s="493">
        <v>21.77</v>
      </c>
      <c r="E198" s="493"/>
      <c r="F198" s="545">
        <f>D198*E198</f>
        <v>0</v>
      </c>
      <c r="G198" s="611"/>
      <c r="H198" s="646"/>
    </row>
    <row r="199" spans="1:8" s="472" customFormat="1">
      <c r="A199" s="510"/>
      <c r="B199" s="491"/>
      <c r="C199" s="492"/>
      <c r="D199" s="493"/>
      <c r="E199" s="493"/>
      <c r="F199" s="545"/>
      <c r="G199" s="611"/>
      <c r="H199" s="646"/>
    </row>
    <row r="200" spans="1:8" s="472" customFormat="1">
      <c r="A200" s="510"/>
      <c r="B200" s="506" t="s">
        <v>310</v>
      </c>
      <c r="C200" s="492"/>
      <c r="D200" s="493"/>
      <c r="E200" s="493"/>
      <c r="F200" s="545"/>
      <c r="G200" s="611"/>
      <c r="H200" s="646"/>
    </row>
    <row r="201" spans="1:8" s="472" customFormat="1">
      <c r="A201" s="510"/>
      <c r="B201" s="491"/>
      <c r="C201" s="492"/>
      <c r="D201" s="493"/>
      <c r="E201" s="493"/>
      <c r="F201" s="545"/>
      <c r="G201" s="611"/>
      <c r="H201" s="646"/>
    </row>
    <row r="202" spans="1:8" s="472" customFormat="1">
      <c r="A202" s="627">
        <f>IF(B202&gt;0,MAX(A$187:A201)+1,"")</f>
        <v>3</v>
      </c>
      <c r="B202" s="393" t="s">
        <v>378</v>
      </c>
      <c r="C202" s="479"/>
      <c r="D202" s="480"/>
      <c r="E202" s="480"/>
      <c r="F202" s="542"/>
      <c r="G202" s="615"/>
      <c r="H202" s="646"/>
    </row>
    <row r="203" spans="1:8" s="472" customFormat="1" ht="67.5" customHeight="1">
      <c r="A203" s="490"/>
      <c r="B203" s="491" t="s">
        <v>379</v>
      </c>
      <c r="C203" s="492"/>
      <c r="D203" s="493"/>
      <c r="E203" s="493"/>
      <c r="F203" s="542"/>
      <c r="G203" s="611"/>
      <c r="H203" s="646"/>
    </row>
    <row r="204" spans="1:8" s="472" customFormat="1" ht="22.5" customHeight="1">
      <c r="A204" s="490"/>
      <c r="B204" s="491" t="s">
        <v>380</v>
      </c>
      <c r="C204" s="492"/>
      <c r="D204" s="493"/>
      <c r="E204" s="493"/>
      <c r="F204" s="542"/>
      <c r="G204" s="611"/>
      <c r="H204" s="646"/>
    </row>
    <row r="205" spans="1:8" s="472" customFormat="1">
      <c r="A205" s="489"/>
      <c r="B205" s="395" t="s">
        <v>93</v>
      </c>
      <c r="C205" s="479" t="s">
        <v>41</v>
      </c>
      <c r="D205" s="476">
        <v>225.69</v>
      </c>
      <c r="E205" s="480"/>
      <c r="F205" s="545">
        <f>D205*E205</f>
        <v>0</v>
      </c>
      <c r="G205" s="615"/>
      <c r="H205" s="646"/>
    </row>
    <row r="206" spans="1:8" s="472" customFormat="1">
      <c r="A206" s="510"/>
      <c r="B206" s="491"/>
      <c r="C206" s="492"/>
      <c r="D206" s="493"/>
      <c r="E206" s="493"/>
      <c r="F206" s="545"/>
      <c r="G206" s="611"/>
      <c r="H206" s="646"/>
    </row>
    <row r="207" spans="1:8" s="472" customFormat="1">
      <c r="A207" s="738">
        <f>IF(B207&gt;0,MAX(A$187:A206)+1,"")</f>
        <v>4</v>
      </c>
      <c r="B207" s="739" t="s">
        <v>381</v>
      </c>
      <c r="C207" s="740"/>
      <c r="D207" s="741"/>
      <c r="E207" s="741"/>
      <c r="F207" s="742"/>
      <c r="G207" s="743"/>
      <c r="H207" s="646"/>
    </row>
    <row r="208" spans="1:8" s="472" customFormat="1" ht="67.5" customHeight="1">
      <c r="A208" s="744"/>
      <c r="B208" s="721" t="s">
        <v>382</v>
      </c>
      <c r="C208" s="722"/>
      <c r="D208" s="723"/>
      <c r="E208" s="723"/>
      <c r="F208" s="742"/>
      <c r="G208" s="725"/>
      <c r="H208" s="646"/>
    </row>
    <row r="209" spans="1:8" s="472" customFormat="1">
      <c r="A209" s="720"/>
      <c r="B209" s="721" t="s">
        <v>383</v>
      </c>
      <c r="C209" s="722"/>
      <c r="D209" s="723"/>
      <c r="E209" s="723"/>
      <c r="F209" s="724"/>
      <c r="G209" s="725"/>
      <c r="H209" s="646"/>
    </row>
    <row r="210" spans="1:8" s="472" customFormat="1" ht="22.5" customHeight="1">
      <c r="A210" s="744"/>
      <c r="B210" s="721" t="s">
        <v>380</v>
      </c>
      <c r="C210" s="722"/>
      <c r="D210" s="723"/>
      <c r="E210" s="723"/>
      <c r="F210" s="742"/>
      <c r="G210" s="725"/>
      <c r="H210" s="646"/>
    </row>
    <row r="211" spans="1:8" s="472" customFormat="1">
      <c r="A211" s="745"/>
      <c r="B211" s="746" t="s">
        <v>93</v>
      </c>
      <c r="C211" s="740" t="s">
        <v>41</v>
      </c>
      <c r="D211" s="741">
        <v>0</v>
      </c>
      <c r="E211" s="741"/>
      <c r="F211" s="724">
        <f>D211*E211</f>
        <v>0</v>
      </c>
      <c r="G211" s="743"/>
      <c r="H211" s="646"/>
    </row>
    <row r="212" spans="1:8" s="472" customFormat="1">
      <c r="A212" s="489"/>
      <c r="B212" s="395"/>
      <c r="C212" s="479"/>
      <c r="D212" s="480"/>
      <c r="E212" s="480"/>
      <c r="F212" s="545"/>
      <c r="G212" s="615"/>
      <c r="H212" s="646"/>
    </row>
    <row r="213" spans="1:8" s="472" customFormat="1">
      <c r="A213" s="627">
        <f>IF(B213&gt;0,MAX(A$187:A212)+1,"")</f>
        <v>5</v>
      </c>
      <c r="B213" s="393" t="s">
        <v>384</v>
      </c>
      <c r="C213" s="479"/>
      <c r="D213" s="480"/>
      <c r="E213" s="480"/>
      <c r="F213" s="542"/>
      <c r="G213" s="615"/>
      <c r="H213" s="646"/>
    </row>
    <row r="214" spans="1:8" s="472" customFormat="1" ht="101.25" customHeight="1">
      <c r="A214" s="490"/>
      <c r="B214" s="491" t="s">
        <v>385</v>
      </c>
      <c r="C214" s="492"/>
      <c r="D214" s="493"/>
      <c r="E214" s="493"/>
      <c r="F214" s="542"/>
      <c r="G214" s="611"/>
      <c r="H214" s="646"/>
    </row>
    <row r="215" spans="1:8" s="472" customFormat="1" ht="22.5" customHeight="1">
      <c r="A215" s="490"/>
      <c r="B215" s="491" t="s">
        <v>380</v>
      </c>
      <c r="C215" s="492"/>
      <c r="D215" s="493"/>
      <c r="E215" s="493"/>
      <c r="F215" s="542"/>
      <c r="G215" s="611"/>
      <c r="H215" s="646"/>
    </row>
    <row r="216" spans="1:8" ht="11.25" customHeight="1">
      <c r="A216" s="237"/>
      <c r="B216" s="299" t="s">
        <v>386</v>
      </c>
      <c r="C216" s="225"/>
      <c r="D216" s="171"/>
      <c r="E216" s="291"/>
      <c r="F216" s="172"/>
      <c r="G216" s="292"/>
    </row>
    <row r="217" spans="1:8" s="472" customFormat="1">
      <c r="A217" s="489"/>
      <c r="B217" s="395" t="s">
        <v>93</v>
      </c>
      <c r="C217" s="479" t="s">
        <v>41</v>
      </c>
      <c r="D217" s="476">
        <v>35.57</v>
      </c>
      <c r="E217" s="480"/>
      <c r="F217" s="545">
        <f>D217*E217</f>
        <v>0</v>
      </c>
      <c r="G217" s="615"/>
      <c r="H217" s="646"/>
    </row>
    <row r="218" spans="1:8" s="472" customFormat="1">
      <c r="A218" s="489"/>
      <c r="B218" s="395"/>
      <c r="C218" s="479"/>
      <c r="D218" s="480"/>
      <c r="E218" s="480"/>
      <c r="F218" s="545"/>
      <c r="G218" s="615"/>
      <c r="H218" s="646"/>
    </row>
    <row r="219" spans="1:8" s="472" customFormat="1">
      <c r="A219" s="734">
        <f>IF(B219&gt;0,MAX(A$187:A218)+1,"")</f>
        <v>6</v>
      </c>
      <c r="B219" s="735" t="s">
        <v>387</v>
      </c>
      <c r="C219" s="488"/>
      <c r="D219" s="476"/>
      <c r="E219" s="476"/>
      <c r="F219" s="541"/>
      <c r="G219" s="658"/>
      <c r="H219" s="646"/>
    </row>
    <row r="220" spans="1:8" s="472" customFormat="1" ht="56.25" customHeight="1">
      <c r="A220" s="736"/>
      <c r="B220" s="502" t="s">
        <v>388</v>
      </c>
      <c r="C220" s="503"/>
      <c r="D220" s="504"/>
      <c r="E220" s="504"/>
      <c r="F220" s="541"/>
      <c r="G220" s="613"/>
      <c r="H220" s="646"/>
    </row>
    <row r="221" spans="1:8" s="472" customFormat="1" ht="22.5" customHeight="1">
      <c r="A221" s="736"/>
      <c r="B221" s="502" t="s">
        <v>380</v>
      </c>
      <c r="C221" s="503"/>
      <c r="D221" s="504"/>
      <c r="E221" s="504"/>
      <c r="F221" s="541"/>
      <c r="G221" s="613"/>
      <c r="H221" s="646"/>
    </row>
    <row r="222" spans="1:8" ht="11.25" customHeight="1">
      <c r="A222" s="237"/>
      <c r="B222" s="299" t="s">
        <v>172</v>
      </c>
      <c r="C222" s="225"/>
      <c r="D222" s="171"/>
      <c r="E222" s="291"/>
      <c r="F222" s="172"/>
      <c r="G222" s="292"/>
    </row>
    <row r="223" spans="1:8" s="472" customFormat="1">
      <c r="A223" s="737"/>
      <c r="B223" s="477" t="s">
        <v>93</v>
      </c>
      <c r="C223" s="488" t="s">
        <v>41</v>
      </c>
      <c r="D223" s="476">
        <v>71.77</v>
      </c>
      <c r="E223" s="476"/>
      <c r="F223" s="547">
        <f>D223*E223</f>
        <v>0</v>
      </c>
      <c r="G223" s="658"/>
      <c r="H223" s="646"/>
    </row>
    <row r="224" spans="1:8" s="472" customFormat="1">
      <c r="A224" s="510"/>
      <c r="B224" s="491"/>
      <c r="C224" s="492"/>
      <c r="D224" s="493"/>
      <c r="E224" s="493"/>
      <c r="F224" s="545"/>
      <c r="G224" s="611"/>
      <c r="H224" s="646"/>
    </row>
    <row r="225" spans="1:32" s="472" customFormat="1">
      <c r="A225" s="627">
        <f>IF(B225&gt;0,MAX(A$187:A224)+1,"")</f>
        <v>7</v>
      </c>
      <c r="B225" s="393" t="s">
        <v>389</v>
      </c>
      <c r="C225" s="479"/>
      <c r="D225" s="480"/>
      <c r="E225" s="480"/>
      <c r="F225" s="542"/>
      <c r="G225" s="615"/>
      <c r="H225" s="646"/>
    </row>
    <row r="226" spans="1:32" s="472" customFormat="1" ht="45" customHeight="1">
      <c r="A226" s="490"/>
      <c r="B226" s="491" t="s">
        <v>390</v>
      </c>
      <c r="C226" s="492"/>
      <c r="D226" s="493"/>
      <c r="E226" s="493"/>
      <c r="F226" s="542"/>
      <c r="G226" s="611"/>
      <c r="H226" s="646"/>
    </row>
    <row r="227" spans="1:32" s="472" customFormat="1" ht="12" customHeight="1">
      <c r="A227" s="489"/>
      <c r="B227" s="395" t="s">
        <v>268</v>
      </c>
      <c r="C227" s="479" t="s">
        <v>163</v>
      </c>
      <c r="D227" s="480">
        <v>7.4</v>
      </c>
      <c r="E227" s="480"/>
      <c r="F227" s="545">
        <f>D227*E227</f>
        <v>0</v>
      </c>
      <c r="G227" s="615"/>
      <c r="H227" s="646"/>
    </row>
    <row r="228" spans="1:32" s="472" customFormat="1">
      <c r="A228" s="507"/>
      <c r="B228" s="502"/>
      <c r="C228" s="502"/>
      <c r="D228" s="503"/>
      <c r="E228" s="504"/>
      <c r="F228" s="504"/>
      <c r="G228" s="616"/>
      <c r="H228" s="684"/>
      <c r="I228" s="646"/>
    </row>
    <row r="229" spans="1:32" s="472" customFormat="1">
      <c r="A229" s="505"/>
      <c r="B229" s="506" t="s">
        <v>391</v>
      </c>
      <c r="C229" s="491"/>
      <c r="D229" s="492"/>
      <c r="E229" s="493"/>
      <c r="F229" s="493"/>
      <c r="G229" s="617"/>
      <c r="H229" s="685"/>
      <c r="I229" s="646"/>
    </row>
    <row r="230" spans="1:32" s="472" customFormat="1" ht="12" customHeight="1">
      <c r="A230" s="489"/>
      <c r="B230" s="395"/>
      <c r="C230" s="479"/>
      <c r="D230" s="480"/>
      <c r="E230" s="480"/>
      <c r="F230" s="545"/>
      <c r="G230" s="615"/>
      <c r="H230" s="646"/>
    </row>
    <row r="231" spans="1:32" s="562" customFormat="1" ht="22.5" customHeight="1">
      <c r="A231" s="627">
        <f>IF(B231&gt;0,MAX(A$187:A230)+1,"")</f>
        <v>8</v>
      </c>
      <c r="B231" s="561" t="s">
        <v>392</v>
      </c>
      <c r="C231" s="463"/>
      <c r="D231" s="459"/>
      <c r="E231" s="459"/>
      <c r="F231" s="460"/>
      <c r="G231" s="609"/>
    </row>
    <row r="232" spans="1:32" s="456" customFormat="1" ht="22.5" customHeight="1">
      <c r="A232" s="563"/>
      <c r="B232" s="564" t="s">
        <v>393</v>
      </c>
      <c r="C232" s="463"/>
      <c r="D232" s="459"/>
      <c r="E232" s="459"/>
      <c r="F232" s="460"/>
      <c r="G232" s="662"/>
      <c r="I232" s="439"/>
      <c r="J232" s="439"/>
      <c r="K232" s="439"/>
      <c r="L232" s="439"/>
      <c r="M232" s="439"/>
      <c r="N232" s="439"/>
      <c r="O232" s="439"/>
      <c r="P232" s="439"/>
      <c r="Q232" s="439"/>
      <c r="R232" s="439"/>
      <c r="S232" s="439"/>
      <c r="T232" s="439"/>
      <c r="U232" s="439"/>
      <c r="V232" s="439"/>
      <c r="W232" s="439"/>
      <c r="X232" s="439"/>
      <c r="Y232" s="439"/>
      <c r="Z232" s="439"/>
      <c r="AA232" s="439"/>
      <c r="AB232" s="439"/>
      <c r="AC232" s="439"/>
      <c r="AD232" s="439"/>
      <c r="AE232" s="439"/>
      <c r="AF232" s="439"/>
    </row>
    <row r="233" spans="1:32" s="456" customFormat="1" ht="33.75" customHeight="1">
      <c r="A233" s="563"/>
      <c r="B233" s="632" t="s">
        <v>394</v>
      </c>
      <c r="C233" s="463"/>
      <c r="D233" s="459"/>
      <c r="E233" s="459"/>
      <c r="F233" s="460"/>
      <c r="G233" s="662"/>
      <c r="I233" s="439"/>
      <c r="J233" s="439"/>
      <c r="K233" s="439"/>
      <c r="L233" s="439"/>
      <c r="M233" s="439"/>
      <c r="N233" s="439"/>
      <c r="O233" s="439"/>
      <c r="P233" s="439"/>
      <c r="Q233" s="439"/>
      <c r="R233" s="439"/>
      <c r="S233" s="439"/>
      <c r="T233" s="439"/>
      <c r="U233" s="439"/>
      <c r="V233" s="439"/>
      <c r="W233" s="439"/>
      <c r="X233" s="439"/>
      <c r="Y233" s="439"/>
      <c r="Z233" s="439"/>
      <c r="AA233" s="439"/>
      <c r="AB233" s="439"/>
      <c r="AC233" s="439"/>
      <c r="AD233" s="439"/>
      <c r="AE233" s="439"/>
      <c r="AF233" s="439"/>
    </row>
    <row r="234" spans="1:32" s="456" customFormat="1" ht="22.5" customHeight="1">
      <c r="A234" s="563"/>
      <c r="B234" s="632" t="s">
        <v>395</v>
      </c>
      <c r="C234" s="463"/>
      <c r="D234" s="459"/>
      <c r="E234" s="459"/>
      <c r="F234" s="460"/>
      <c r="G234" s="662"/>
      <c r="I234" s="439"/>
      <c r="J234" s="439"/>
      <c r="K234" s="439"/>
      <c r="L234" s="439"/>
      <c r="M234" s="439"/>
      <c r="N234" s="439"/>
      <c r="O234" s="439"/>
      <c r="P234" s="439"/>
      <c r="Q234" s="439"/>
      <c r="R234" s="439"/>
      <c r="S234" s="439"/>
      <c r="T234" s="439"/>
      <c r="U234" s="439"/>
      <c r="V234" s="439"/>
      <c r="W234" s="439"/>
      <c r="X234" s="439"/>
      <c r="Y234" s="439"/>
      <c r="Z234" s="439"/>
      <c r="AA234" s="439"/>
      <c r="AB234" s="439"/>
      <c r="AC234" s="439"/>
      <c r="AD234" s="439"/>
      <c r="AE234" s="439"/>
      <c r="AF234" s="439"/>
    </row>
    <row r="235" spans="1:32" s="562" customFormat="1" ht="101.25" customHeight="1">
      <c r="A235" s="565"/>
      <c r="B235" s="632" t="s">
        <v>396</v>
      </c>
      <c r="C235" s="462"/>
      <c r="D235" s="566"/>
      <c r="E235" s="567"/>
      <c r="F235" s="460"/>
      <c r="G235" s="609"/>
    </row>
    <row r="236" spans="1:32" s="456" customFormat="1" ht="33.75" customHeight="1">
      <c r="A236" s="563"/>
      <c r="B236" s="632" t="s">
        <v>397</v>
      </c>
      <c r="C236" s="463"/>
      <c r="D236" s="459"/>
      <c r="E236" s="459"/>
      <c r="F236" s="460"/>
      <c r="G236" s="662"/>
      <c r="I236" s="439"/>
      <c r="J236" s="439"/>
      <c r="K236" s="439"/>
      <c r="L236" s="439"/>
      <c r="M236" s="439"/>
      <c r="N236" s="439"/>
      <c r="O236" s="439"/>
      <c r="P236" s="439"/>
      <c r="Q236" s="439"/>
      <c r="R236" s="439"/>
      <c r="S236" s="439"/>
      <c r="T236" s="439"/>
      <c r="U236" s="439"/>
      <c r="V236" s="439"/>
      <c r="W236" s="439"/>
      <c r="X236" s="439"/>
      <c r="Y236" s="439"/>
      <c r="Z236" s="439"/>
      <c r="AA236" s="439"/>
      <c r="AB236" s="439"/>
      <c r="AC236" s="439"/>
      <c r="AD236" s="439"/>
      <c r="AE236" s="439"/>
      <c r="AF236" s="439"/>
    </row>
    <row r="237" spans="1:32" s="456" customFormat="1">
      <c r="A237" s="563"/>
      <c r="B237" s="247" t="s">
        <v>56</v>
      </c>
      <c r="C237" s="463"/>
      <c r="D237" s="459"/>
      <c r="E237" s="459"/>
      <c r="F237" s="460"/>
      <c r="G237" s="662"/>
      <c r="I237" s="439"/>
      <c r="J237" s="439"/>
      <c r="K237" s="439"/>
      <c r="L237" s="439"/>
      <c r="M237" s="439"/>
      <c r="N237" s="439"/>
      <c r="O237" s="439"/>
      <c r="P237" s="439"/>
      <c r="Q237" s="439"/>
      <c r="R237" s="439"/>
      <c r="S237" s="439"/>
      <c r="T237" s="439"/>
      <c r="U237" s="439"/>
      <c r="V237" s="439"/>
      <c r="W237" s="439"/>
      <c r="X237" s="439"/>
      <c r="Y237" s="439"/>
      <c r="Z237" s="439"/>
      <c r="AA237" s="439"/>
      <c r="AB237" s="439"/>
      <c r="AC237" s="439"/>
      <c r="AD237" s="439"/>
      <c r="AE237" s="439"/>
      <c r="AF237" s="439"/>
    </row>
    <row r="238" spans="1:32" s="562" customFormat="1">
      <c r="A238" s="565"/>
      <c r="B238" s="462" t="s">
        <v>93</v>
      </c>
      <c r="C238" s="463" t="s">
        <v>41</v>
      </c>
      <c r="D238" s="459">
        <v>194.44</v>
      </c>
      <c r="E238" s="459"/>
      <c r="F238" s="460">
        <f>D238*E238</f>
        <v>0</v>
      </c>
      <c r="G238" s="609"/>
    </row>
    <row r="239" spans="1:32" s="562" customFormat="1">
      <c r="A239" s="565"/>
      <c r="B239" s="462"/>
      <c r="C239" s="463"/>
      <c r="D239" s="459"/>
      <c r="E239" s="459"/>
      <c r="F239" s="460"/>
      <c r="G239" s="609"/>
    </row>
    <row r="240" spans="1:32" s="472" customFormat="1">
      <c r="A240" s="627">
        <f>IF(B240&gt;0,MAX(A$187:A239)+1,"")</f>
        <v>9</v>
      </c>
      <c r="B240" s="603" t="s">
        <v>398</v>
      </c>
      <c r="C240" s="604"/>
      <c r="D240" s="605"/>
      <c r="E240" s="606"/>
      <c r="F240" s="606"/>
      <c r="G240" s="610"/>
      <c r="H240" s="686"/>
      <c r="I240" s="646"/>
    </row>
    <row r="241" spans="1:9" s="472" customFormat="1" ht="101.25" customHeight="1">
      <c r="A241" s="508"/>
      <c r="B241" s="622" t="s">
        <v>399</v>
      </c>
      <c r="C241" s="603"/>
      <c r="D241" s="605"/>
      <c r="E241" s="606"/>
      <c r="F241" s="606"/>
      <c r="G241" s="610"/>
      <c r="H241" s="686"/>
      <c r="I241" s="646"/>
    </row>
    <row r="242" spans="1:9" s="472" customFormat="1">
      <c r="A242" s="608"/>
      <c r="B242" s="607" t="s">
        <v>400</v>
      </c>
      <c r="C242" s="605" t="s">
        <v>163</v>
      </c>
      <c r="D242" s="606">
        <v>50.48</v>
      </c>
      <c r="E242" s="606"/>
      <c r="F242" s="445">
        <f>$D242*E242</f>
        <v>0</v>
      </c>
      <c r="H242" s="686"/>
      <c r="I242" s="646"/>
    </row>
    <row r="243" spans="1:9" s="472" customFormat="1">
      <c r="A243" s="505"/>
      <c r="B243" s="491"/>
      <c r="C243" s="492"/>
      <c r="D243" s="493"/>
      <c r="E243" s="493"/>
      <c r="F243" s="545"/>
      <c r="G243" s="611"/>
      <c r="H243" s="646"/>
    </row>
    <row r="244" spans="1:9" s="472" customFormat="1">
      <c r="A244" s="468" t="s">
        <v>363</v>
      </c>
      <c r="B244" s="512" t="s">
        <v>401</v>
      </c>
      <c r="C244" s="470"/>
      <c r="D244" s="471"/>
      <c r="E244" s="471"/>
      <c r="F244" s="548">
        <f>SUM(F191:F242)</f>
        <v>0</v>
      </c>
      <c r="G244" s="612"/>
      <c r="H244" s="646"/>
    </row>
    <row r="245" spans="1:9" s="472" customFormat="1">
      <c r="A245" s="513"/>
      <c r="B245" s="502"/>
      <c r="C245" s="503"/>
      <c r="D245" s="504"/>
      <c r="E245" s="504"/>
      <c r="F245" s="547"/>
      <c r="G245" s="613"/>
      <c r="H245" s="646"/>
    </row>
    <row r="246" spans="1:9" s="472" customFormat="1">
      <c r="A246" s="468" t="s">
        <v>402</v>
      </c>
      <c r="B246" s="469" t="s">
        <v>403</v>
      </c>
      <c r="C246" s="470"/>
      <c r="D246" s="514"/>
      <c r="E246" s="471"/>
      <c r="F246" s="549"/>
      <c r="G246" s="663"/>
      <c r="H246" s="646"/>
    </row>
    <row r="247" spans="1:9" s="472" customFormat="1">
      <c r="A247" s="515"/>
      <c r="B247" s="516"/>
      <c r="C247" s="517"/>
      <c r="D247" s="517"/>
      <c r="E247" s="518"/>
      <c r="F247" s="62"/>
      <c r="G247" s="643"/>
      <c r="H247" s="646"/>
    </row>
    <row r="248" spans="1:9" s="472" customFormat="1" ht="22.5" customHeight="1">
      <c r="A248" s="515"/>
      <c r="B248" s="31" t="s">
        <v>332</v>
      </c>
      <c r="C248" s="517"/>
      <c r="D248" s="517"/>
      <c r="E248" s="518"/>
      <c r="F248" s="62"/>
      <c r="G248" s="643"/>
      <c r="H248" s="646"/>
    </row>
    <row r="249" spans="1:9" s="472" customFormat="1">
      <c r="A249" s="638"/>
      <c r="B249" s="31" t="s">
        <v>404</v>
      </c>
      <c r="C249" s="639"/>
      <c r="D249" s="640"/>
      <c r="E249" s="641"/>
      <c r="F249" s="641"/>
      <c r="G249" s="616"/>
      <c r="H249" s="642"/>
      <c r="I249" s="646"/>
    </row>
    <row r="250" spans="1:9" s="472" customFormat="1" ht="56.25" customHeight="1">
      <c r="A250" s="638"/>
      <c r="B250" s="31" t="s">
        <v>405</v>
      </c>
      <c r="C250" s="639"/>
      <c r="D250" s="640"/>
      <c r="E250" s="641"/>
      <c r="F250" s="641"/>
      <c r="G250" s="616"/>
      <c r="H250" s="642"/>
      <c r="I250" s="646"/>
    </row>
    <row r="251" spans="1:9" s="472" customFormat="1">
      <c r="A251" s="638"/>
      <c r="B251" s="31" t="s">
        <v>406</v>
      </c>
      <c r="C251" s="639"/>
      <c r="D251" s="640"/>
      <c r="E251" s="641"/>
      <c r="F251" s="641"/>
      <c r="G251" s="616"/>
      <c r="H251" s="642"/>
      <c r="I251" s="646"/>
    </row>
    <row r="252" spans="1:9" s="472" customFormat="1" ht="22.5" customHeight="1">
      <c r="A252" s="638"/>
      <c r="B252" s="31" t="s">
        <v>407</v>
      </c>
      <c r="C252" s="639"/>
      <c r="D252" s="640"/>
      <c r="E252" s="641"/>
      <c r="F252" s="641"/>
      <c r="G252" s="616"/>
      <c r="H252" s="642"/>
      <c r="I252" s="646"/>
    </row>
    <row r="253" spans="1:9" s="472" customFormat="1">
      <c r="A253" s="515"/>
      <c r="B253" s="491"/>
      <c r="C253" s="517"/>
      <c r="D253" s="517"/>
      <c r="E253" s="518"/>
      <c r="F253" s="62"/>
      <c r="G253" s="643"/>
      <c r="H253" s="646"/>
    </row>
    <row r="254" spans="1:9" s="472" customFormat="1">
      <c r="A254" s="519"/>
      <c r="B254" s="520" t="s">
        <v>408</v>
      </c>
      <c r="C254" s="495"/>
      <c r="D254" s="496"/>
      <c r="E254" s="496"/>
      <c r="F254" s="545"/>
      <c r="G254" s="644"/>
      <c r="H254" s="646"/>
    </row>
    <row r="255" spans="1:9" s="522" customFormat="1">
      <c r="A255" s="524"/>
      <c r="B255" s="31"/>
      <c r="C255" s="495"/>
      <c r="D255" s="496"/>
      <c r="E255" s="496"/>
      <c r="F255" s="545"/>
      <c r="G255" s="645"/>
      <c r="H255" s="646"/>
    </row>
    <row r="256" spans="1:9" s="472" customFormat="1">
      <c r="A256" s="521">
        <v>1</v>
      </c>
      <c r="B256" s="520" t="s">
        <v>409</v>
      </c>
      <c r="C256" s="495"/>
      <c r="D256" s="493"/>
      <c r="E256" s="493"/>
      <c r="F256" s="545"/>
      <c r="G256" s="645"/>
      <c r="H256" s="646"/>
    </row>
    <row r="257" spans="1:8" s="472" customFormat="1" ht="67.5" customHeight="1">
      <c r="A257" s="519"/>
      <c r="B257" s="523" t="s">
        <v>410</v>
      </c>
      <c r="C257" s="495"/>
      <c r="D257" s="493"/>
      <c r="E257" s="493"/>
      <c r="F257" s="545"/>
      <c r="G257" s="645"/>
      <c r="H257" s="646"/>
    </row>
    <row r="258" spans="1:8" s="472" customFormat="1">
      <c r="A258" s="524"/>
      <c r="B258" s="31" t="s">
        <v>93</v>
      </c>
      <c r="C258" s="495" t="s">
        <v>41</v>
      </c>
      <c r="D258" s="641">
        <v>114.25</v>
      </c>
      <c r="E258" s="496"/>
      <c r="F258" s="545">
        <f>D258*E258</f>
        <v>0</v>
      </c>
      <c r="G258" s="645"/>
      <c r="H258" s="646"/>
    </row>
    <row r="259" spans="1:8" s="472" customFormat="1">
      <c r="A259" s="524"/>
      <c r="B259" s="31"/>
      <c r="C259" s="495"/>
      <c r="D259" s="496"/>
      <c r="E259" s="496"/>
      <c r="F259" s="545"/>
      <c r="G259" s="645"/>
      <c r="H259" s="646"/>
    </row>
    <row r="260" spans="1:8" s="472" customFormat="1" ht="22.5" customHeight="1">
      <c r="A260" s="628">
        <f>IF(B260&gt;0,MAX(A$256:A259)+1,"")</f>
        <v>2</v>
      </c>
      <c r="B260" s="525" t="s">
        <v>411</v>
      </c>
      <c r="C260" s="495"/>
      <c r="D260" s="493"/>
      <c r="E260" s="493"/>
      <c r="F260" s="545"/>
      <c r="G260" s="645"/>
      <c r="H260" s="646"/>
    </row>
    <row r="261" spans="1:8" s="472" customFormat="1" ht="67.5" customHeight="1">
      <c r="A261" s="519"/>
      <c r="B261" s="523" t="s">
        <v>412</v>
      </c>
      <c r="C261" s="495"/>
      <c r="D261" s="493"/>
      <c r="E261" s="493"/>
      <c r="F261" s="545"/>
      <c r="G261" s="645"/>
      <c r="H261" s="646"/>
    </row>
    <row r="262" spans="1:8" s="472" customFormat="1">
      <c r="A262" s="524"/>
      <c r="B262" s="31" t="s">
        <v>93</v>
      </c>
      <c r="C262" s="495" t="s">
        <v>41</v>
      </c>
      <c r="D262" s="641">
        <v>77.12</v>
      </c>
      <c r="E262" s="496"/>
      <c r="F262" s="545">
        <f>D262*E262</f>
        <v>0</v>
      </c>
      <c r="G262" s="645"/>
      <c r="H262" s="646"/>
    </row>
    <row r="263" spans="1:8" s="522" customFormat="1">
      <c r="A263" s="524"/>
      <c r="B263" s="31"/>
      <c r="C263" s="495"/>
      <c r="D263" s="496"/>
      <c r="E263" s="496"/>
      <c r="F263" s="545"/>
      <c r="G263" s="645"/>
      <c r="H263" s="646"/>
    </row>
    <row r="264" spans="1:8" s="693" customFormat="1">
      <c r="A264" s="761">
        <v>3</v>
      </c>
      <c r="B264" s="762" t="s">
        <v>413</v>
      </c>
      <c r="C264" s="763"/>
      <c r="D264" s="723"/>
      <c r="E264" s="723"/>
      <c r="F264" s="724"/>
      <c r="G264" s="764"/>
      <c r="H264" s="692"/>
    </row>
    <row r="265" spans="1:8" s="693" customFormat="1" ht="78.75" customHeight="1">
      <c r="A265" s="765"/>
      <c r="B265" s="766" t="s">
        <v>414</v>
      </c>
      <c r="C265" s="763"/>
      <c r="D265" s="723"/>
      <c r="E265" s="723"/>
      <c r="F265" s="724"/>
      <c r="G265" s="764"/>
      <c r="H265" s="692"/>
    </row>
    <row r="266" spans="1:8" s="693" customFormat="1">
      <c r="A266" s="767"/>
      <c r="B266" s="768" t="s">
        <v>93</v>
      </c>
      <c r="C266" s="763" t="s">
        <v>41</v>
      </c>
      <c r="D266" s="769">
        <v>0</v>
      </c>
      <c r="E266" s="769"/>
      <c r="F266" s="724">
        <f>D266*E266</f>
        <v>0</v>
      </c>
      <c r="G266" s="764"/>
      <c r="H266" s="692"/>
    </row>
    <row r="267" spans="1:8" s="472" customFormat="1">
      <c r="A267" s="524"/>
      <c r="B267" s="31"/>
      <c r="C267" s="495"/>
      <c r="D267" s="496"/>
      <c r="E267" s="496"/>
      <c r="F267" s="545"/>
      <c r="G267" s="645"/>
      <c r="H267" s="646"/>
    </row>
    <row r="268" spans="1:8" s="693" customFormat="1">
      <c r="A268" s="696">
        <f>IF(B268&gt;0,MAX(A$256:A267)+1,"")</f>
        <v>4</v>
      </c>
      <c r="B268" s="697" t="s">
        <v>415</v>
      </c>
      <c r="C268" s="640"/>
      <c r="D268" s="504"/>
      <c r="E268" s="504"/>
      <c r="F268" s="547"/>
      <c r="G268" s="644"/>
      <c r="H268" s="692"/>
    </row>
    <row r="269" spans="1:8" s="693" customFormat="1" ht="22.5" customHeight="1">
      <c r="A269" s="638"/>
      <c r="B269" s="694" t="s">
        <v>416</v>
      </c>
      <c r="C269" s="640"/>
      <c r="D269" s="504"/>
      <c r="E269" s="504"/>
      <c r="F269" s="547"/>
      <c r="G269" s="644"/>
      <c r="H269" s="692"/>
    </row>
    <row r="270" spans="1:8" s="693" customFormat="1">
      <c r="A270" s="695"/>
      <c r="B270" s="639" t="s">
        <v>93</v>
      </c>
      <c r="C270" s="640" t="s">
        <v>41</v>
      </c>
      <c r="D270" s="641">
        <v>238.79</v>
      </c>
      <c r="E270" s="641"/>
      <c r="F270" s="547">
        <f>D270*E270</f>
        <v>0</v>
      </c>
      <c r="G270" s="644"/>
      <c r="H270" s="692"/>
    </row>
    <row r="271" spans="1:8" s="472" customFormat="1">
      <c r="A271" s="524"/>
      <c r="B271" s="31"/>
      <c r="C271" s="495"/>
      <c r="D271" s="496"/>
      <c r="E271" s="496"/>
      <c r="F271" s="545"/>
      <c r="G271" s="645"/>
      <c r="H271" s="646"/>
    </row>
    <row r="272" spans="1:8" s="472" customFormat="1">
      <c r="A272" s="519"/>
      <c r="B272" s="520" t="s">
        <v>417</v>
      </c>
      <c r="C272" s="495"/>
      <c r="D272" s="496"/>
      <c r="E272" s="496"/>
      <c r="F272" s="545"/>
      <c r="G272" s="644"/>
      <c r="H272" s="646"/>
    </row>
    <row r="273" spans="1:8" s="472" customFormat="1">
      <c r="A273" s="524"/>
      <c r="B273" s="31"/>
      <c r="C273" s="495"/>
      <c r="D273" s="496"/>
      <c r="E273" s="496"/>
      <c r="F273" s="545"/>
      <c r="G273" s="664"/>
      <c r="H273" s="646"/>
    </row>
    <row r="274" spans="1:8" s="472" customFormat="1">
      <c r="A274" s="628">
        <f>IF(B274&gt;0,MAX(A$256:A273)+1,"")</f>
        <v>5</v>
      </c>
      <c r="B274" s="520" t="s">
        <v>418</v>
      </c>
      <c r="C274" s="495"/>
      <c r="D274" s="493"/>
      <c r="E274" s="493"/>
      <c r="F274" s="545"/>
      <c r="G274" s="664"/>
      <c r="H274" s="646"/>
    </row>
    <row r="275" spans="1:8" s="472" customFormat="1" ht="33.75" customHeight="1">
      <c r="A275" s="519"/>
      <c r="B275" s="491" t="s">
        <v>419</v>
      </c>
      <c r="C275" s="495"/>
      <c r="D275" s="493"/>
      <c r="E275" s="493"/>
      <c r="F275" s="545"/>
      <c r="G275" s="664"/>
      <c r="H275" s="646"/>
    </row>
    <row r="276" spans="1:8" s="472" customFormat="1">
      <c r="A276" s="519"/>
      <c r="B276" s="31" t="s">
        <v>93</v>
      </c>
      <c r="C276" s="495" t="s">
        <v>41</v>
      </c>
      <c r="D276" s="496">
        <v>534.61</v>
      </c>
      <c r="E276" s="496"/>
      <c r="F276" s="545">
        <f>D276*E276</f>
        <v>0</v>
      </c>
      <c r="G276" s="664"/>
      <c r="H276" s="646"/>
    </row>
    <row r="277" spans="1:8" s="472" customFormat="1">
      <c r="A277" s="524"/>
      <c r="B277" s="31"/>
      <c r="C277" s="495"/>
      <c r="D277" s="496"/>
      <c r="E277" s="496"/>
      <c r="F277" s="545"/>
      <c r="G277" s="664"/>
      <c r="H277" s="646"/>
    </row>
    <row r="278" spans="1:8" s="472" customFormat="1">
      <c r="A278" s="696">
        <f>IF(B278&gt;0,MAX(A$256:A277)+1,"")</f>
        <v>6</v>
      </c>
      <c r="B278" s="691" t="s">
        <v>420</v>
      </c>
      <c r="C278" s="640"/>
      <c r="D278" s="504"/>
      <c r="E278" s="504"/>
      <c r="F278" s="547"/>
      <c r="G278" s="644"/>
      <c r="H278" s="646"/>
    </row>
    <row r="279" spans="1:8" s="472" customFormat="1" ht="33.75" customHeight="1">
      <c r="A279" s="638"/>
      <c r="B279" s="502" t="s">
        <v>421</v>
      </c>
      <c r="C279" s="640"/>
      <c r="D279" s="504"/>
      <c r="E279" s="504"/>
      <c r="F279" s="547"/>
      <c r="G279" s="644"/>
      <c r="H279" s="646"/>
    </row>
    <row r="280" spans="1:8" s="472" customFormat="1">
      <c r="A280" s="638"/>
      <c r="B280" s="639" t="s">
        <v>93</v>
      </c>
      <c r="C280" s="640" t="s">
        <v>41</v>
      </c>
      <c r="D280" s="641">
        <v>26.46</v>
      </c>
      <c r="E280" s="641"/>
      <c r="F280" s="547">
        <f>D280*E280</f>
        <v>0</v>
      </c>
      <c r="G280" s="644"/>
      <c r="H280" s="646"/>
    </row>
    <row r="281" spans="1:8" s="472" customFormat="1">
      <c r="A281" s="519"/>
      <c r="B281" s="31"/>
      <c r="C281" s="495"/>
      <c r="D281" s="496"/>
      <c r="E281" s="496"/>
      <c r="F281" s="545"/>
      <c r="G281" s="644"/>
      <c r="H281" s="646"/>
    </row>
    <row r="282" spans="1:8" s="472" customFormat="1">
      <c r="A282" s="628">
        <f>IF(B282&gt;0,MAX(A$256:A281)+1,"")</f>
        <v>7</v>
      </c>
      <c r="B282" s="520" t="s">
        <v>422</v>
      </c>
      <c r="C282" s="495"/>
      <c r="D282" s="493"/>
      <c r="E282" s="493"/>
      <c r="F282" s="545"/>
      <c r="G282" s="664"/>
      <c r="H282" s="646"/>
    </row>
    <row r="283" spans="1:8" s="472" customFormat="1" ht="22.5" customHeight="1">
      <c r="A283" s="519"/>
      <c r="B283" s="491" t="s">
        <v>423</v>
      </c>
      <c r="C283" s="495"/>
      <c r="D283" s="493"/>
      <c r="E283" s="493"/>
      <c r="F283" s="545"/>
      <c r="G283" s="664"/>
      <c r="H283" s="646"/>
    </row>
    <row r="284" spans="1:8" s="472" customFormat="1">
      <c r="A284" s="524"/>
      <c r="B284" s="31" t="s">
        <v>93</v>
      </c>
      <c r="C284" s="495" t="s">
        <v>41</v>
      </c>
      <c r="D284" s="496">
        <v>331.78</v>
      </c>
      <c r="E284" s="496"/>
      <c r="F284" s="545">
        <f>D284*E284</f>
        <v>0</v>
      </c>
      <c r="G284" s="664"/>
      <c r="H284" s="646"/>
    </row>
    <row r="285" spans="1:8" s="472" customFormat="1">
      <c r="A285" s="519"/>
      <c r="B285" s="31"/>
      <c r="C285" s="495"/>
      <c r="D285" s="496"/>
      <c r="E285" s="496"/>
      <c r="F285" s="545"/>
      <c r="G285" s="644"/>
      <c r="H285" s="646"/>
    </row>
    <row r="286" spans="1:8" s="472" customFormat="1">
      <c r="A286" s="696">
        <f>IF(B286&gt;0,MAX(A$256:A284)+1,"")</f>
        <v>8</v>
      </c>
      <c r="B286" s="691" t="s">
        <v>424</v>
      </c>
      <c r="C286" s="640"/>
      <c r="D286" s="504"/>
      <c r="E286" s="504"/>
      <c r="F286" s="547"/>
      <c r="G286" s="644"/>
      <c r="H286" s="646"/>
    </row>
    <row r="287" spans="1:8" s="472" customFormat="1" ht="22.5" customHeight="1">
      <c r="A287" s="638"/>
      <c r="B287" s="502" t="s">
        <v>425</v>
      </c>
      <c r="C287" s="640"/>
      <c r="D287" s="504"/>
      <c r="E287" s="504"/>
      <c r="F287" s="547"/>
      <c r="G287" s="644"/>
      <c r="H287" s="646"/>
    </row>
    <row r="288" spans="1:8" s="472" customFormat="1">
      <c r="A288" s="638"/>
      <c r="B288" s="639" t="s">
        <v>93</v>
      </c>
      <c r="C288" s="640" t="s">
        <v>41</v>
      </c>
      <c r="D288" s="641">
        <v>277.7</v>
      </c>
      <c r="E288" s="641"/>
      <c r="F288" s="547">
        <f>D288*E288</f>
        <v>0</v>
      </c>
      <c r="G288" s="644"/>
      <c r="H288" s="646"/>
    </row>
    <row r="289" spans="1:32" s="472" customFormat="1">
      <c r="A289" s="507"/>
      <c r="B289" s="502"/>
      <c r="C289" s="503"/>
      <c r="D289" s="504"/>
      <c r="E289" s="504"/>
      <c r="F289" s="547"/>
      <c r="G289" s="613"/>
      <c r="H289" s="646"/>
    </row>
    <row r="290" spans="1:32" s="472" customFormat="1">
      <c r="A290" s="468" t="s">
        <v>402</v>
      </c>
      <c r="B290" s="512" t="s">
        <v>426</v>
      </c>
      <c r="C290" s="470"/>
      <c r="D290" s="514"/>
      <c r="E290" s="471"/>
      <c r="F290" s="550">
        <f>SUM(F255:F284)</f>
        <v>0</v>
      </c>
      <c r="G290" s="665"/>
      <c r="H290" s="646"/>
    </row>
    <row r="291" spans="1:32">
      <c r="A291" s="30"/>
      <c r="B291" s="31"/>
      <c r="C291" s="32"/>
      <c r="D291" s="33"/>
      <c r="E291" s="33"/>
      <c r="F291" s="526"/>
      <c r="G291" s="649"/>
    </row>
    <row r="292" spans="1:32">
      <c r="A292" s="23" t="s">
        <v>427</v>
      </c>
      <c r="B292" s="29" t="s">
        <v>428</v>
      </c>
      <c r="C292" s="25"/>
      <c r="D292" s="26"/>
      <c r="E292" s="26"/>
      <c r="F292" s="551"/>
      <c r="G292" s="666"/>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spans="1:32">
      <c r="A293" s="30"/>
      <c r="B293" s="31"/>
      <c r="C293" s="32"/>
      <c r="D293" s="33"/>
      <c r="E293" s="33"/>
      <c r="F293" s="526"/>
      <c r="G293" s="649"/>
    </row>
    <row r="294" spans="1:32" s="164" customFormat="1" ht="14.25" customHeight="1">
      <c r="A294" s="129"/>
      <c r="B294" s="34" t="s">
        <v>262</v>
      </c>
      <c r="C294" s="77"/>
      <c r="D294" s="16"/>
      <c r="E294" s="16"/>
      <c r="F294" s="552"/>
      <c r="G294" s="168"/>
    </row>
    <row r="295" spans="1:32" s="164" customFormat="1" ht="45" customHeight="1">
      <c r="A295" s="129"/>
      <c r="B295" s="35" t="s">
        <v>429</v>
      </c>
      <c r="C295" s="77"/>
      <c r="D295" s="16"/>
      <c r="E295" s="16"/>
      <c r="F295" s="552"/>
      <c r="G295" s="168"/>
    </row>
    <row r="296" spans="1:32" s="164" customFormat="1" ht="247.5" customHeight="1">
      <c r="A296" s="129"/>
      <c r="B296" s="35" t="s">
        <v>430</v>
      </c>
      <c r="C296" s="77"/>
      <c r="D296" s="16"/>
      <c r="E296" s="16"/>
      <c r="F296" s="552"/>
      <c r="G296" s="168"/>
    </row>
    <row r="297" spans="1:32" s="164" customFormat="1" ht="90" customHeight="1">
      <c r="A297" s="165"/>
      <c r="B297" s="48" t="s">
        <v>431</v>
      </c>
      <c r="C297" s="165"/>
      <c r="D297" s="166"/>
      <c r="E297" s="14"/>
      <c r="F297" s="166"/>
      <c r="G297" s="667"/>
    </row>
    <row r="298" spans="1:32" s="164" customFormat="1" ht="56.25" customHeight="1">
      <c r="A298" s="165"/>
      <c r="B298" s="48" t="s">
        <v>432</v>
      </c>
      <c r="C298" s="165"/>
      <c r="D298" s="166"/>
      <c r="E298" s="14"/>
      <c r="F298" s="166"/>
      <c r="G298" s="667"/>
    </row>
    <row r="299" spans="1:32" s="164" customFormat="1" ht="33.75" customHeight="1">
      <c r="A299" s="165"/>
      <c r="B299" s="48" t="s">
        <v>433</v>
      </c>
      <c r="C299" s="165"/>
      <c r="D299" s="166"/>
      <c r="E299" s="14"/>
      <c r="F299" s="166"/>
      <c r="G299" s="667"/>
    </row>
    <row r="300" spans="1:32" s="164" customFormat="1" ht="22.5" customHeight="1">
      <c r="A300" s="165"/>
      <c r="B300" s="15" t="s">
        <v>434</v>
      </c>
      <c r="C300" s="165"/>
      <c r="D300" s="166"/>
      <c r="E300" s="14"/>
      <c r="F300" s="166"/>
      <c r="G300" s="667"/>
    </row>
    <row r="301" spans="1:32" s="140" customFormat="1">
      <c r="A301" s="18"/>
      <c r="B301" s="22"/>
      <c r="C301" s="20"/>
      <c r="D301" s="21"/>
      <c r="E301" s="21"/>
      <c r="F301" s="553"/>
      <c r="G301" s="668"/>
      <c r="H301" s="167"/>
    </row>
    <row r="302" spans="1:32" s="140" customFormat="1">
      <c r="A302" s="18"/>
      <c r="B302" s="19" t="s">
        <v>435</v>
      </c>
      <c r="C302" s="20"/>
      <c r="D302" s="21"/>
      <c r="E302" s="21"/>
      <c r="F302" s="553"/>
      <c r="G302" s="668"/>
      <c r="H302" s="167"/>
    </row>
    <row r="303" spans="1:32" s="140" customFormat="1">
      <c r="A303" s="18"/>
      <c r="B303" s="22"/>
      <c r="C303" s="20"/>
      <c r="D303" s="21"/>
      <c r="E303" s="21"/>
      <c r="F303" s="553"/>
      <c r="G303" s="668"/>
      <c r="H303" s="167"/>
    </row>
    <row r="304" spans="1:32" s="164" customFormat="1" ht="11.25" customHeight="1">
      <c r="A304" s="626">
        <f>IF(B304&gt;0,MAX(A302:A$303)+1,"")</f>
        <v>1</v>
      </c>
      <c r="B304" s="89" t="s">
        <v>436</v>
      </c>
      <c r="C304" s="76"/>
      <c r="D304" s="14"/>
      <c r="E304" s="14"/>
      <c r="F304" s="552"/>
      <c r="G304" s="669"/>
    </row>
    <row r="305" spans="1:8" s="164" customFormat="1" ht="33.75" customHeight="1">
      <c r="A305" s="152"/>
      <c r="B305" s="17" t="s">
        <v>437</v>
      </c>
      <c r="C305" s="130"/>
      <c r="D305" s="16"/>
      <c r="E305" s="16"/>
      <c r="F305" s="552"/>
      <c r="G305" s="670"/>
      <c r="H305" s="167"/>
    </row>
    <row r="306" spans="1:8" s="164" customFormat="1" ht="11.25" customHeight="1">
      <c r="A306" s="152"/>
      <c r="B306" s="17" t="s">
        <v>438</v>
      </c>
      <c r="G306" s="168"/>
    </row>
    <row r="307" spans="1:8" s="164" customFormat="1" ht="11.25" customHeight="1">
      <c r="A307" s="165"/>
      <c r="B307" s="48" t="s">
        <v>313</v>
      </c>
      <c r="C307" s="16" t="s">
        <v>314</v>
      </c>
      <c r="D307" s="16">
        <v>2</v>
      </c>
      <c r="E307" s="14"/>
      <c r="F307" s="70">
        <f>D307*E307</f>
        <v>0</v>
      </c>
      <c r="G307" s="667"/>
    </row>
    <row r="308" spans="1:8" s="164" customFormat="1" ht="11.25" customHeight="1">
      <c r="A308" s="152"/>
      <c r="B308" s="17"/>
      <c r="C308" s="16"/>
      <c r="D308" s="16"/>
      <c r="E308" s="14"/>
      <c r="F308" s="70"/>
      <c r="G308" s="168"/>
    </row>
    <row r="309" spans="1:8" s="164" customFormat="1" ht="11.25" customHeight="1">
      <c r="A309" s="626">
        <f>IF(B309&gt;0,MAX(A302:A$308)+1,"")</f>
        <v>2</v>
      </c>
      <c r="B309" s="89" t="s">
        <v>436</v>
      </c>
      <c r="C309" s="76"/>
      <c r="D309" s="14"/>
      <c r="E309" s="14"/>
      <c r="F309" s="552"/>
      <c r="G309" s="669"/>
    </row>
    <row r="310" spans="1:8" s="164" customFormat="1" ht="33.75" customHeight="1">
      <c r="A310" s="152"/>
      <c r="B310" s="17" t="s">
        <v>439</v>
      </c>
      <c r="C310" s="130"/>
      <c r="D310" s="16"/>
      <c r="E310" s="16"/>
      <c r="F310" s="552"/>
      <c r="G310" s="670"/>
      <c r="H310" s="167"/>
    </row>
    <row r="311" spans="1:8" s="164" customFormat="1" ht="11.25" customHeight="1">
      <c r="A311" s="152"/>
      <c r="B311" s="17" t="s">
        <v>440</v>
      </c>
      <c r="G311" s="168"/>
    </row>
    <row r="312" spans="1:8" s="164" customFormat="1" ht="11.25" customHeight="1">
      <c r="A312" s="165"/>
      <c r="B312" s="48" t="s">
        <v>313</v>
      </c>
      <c r="C312" s="16" t="s">
        <v>314</v>
      </c>
      <c r="D312" s="16">
        <v>2</v>
      </c>
      <c r="E312" s="14"/>
      <c r="F312" s="70">
        <f>D312*E312</f>
        <v>0</v>
      </c>
      <c r="G312" s="667"/>
    </row>
    <row r="313" spans="1:8" s="164" customFormat="1" ht="11.25" customHeight="1">
      <c r="A313" s="165"/>
      <c r="B313" s="48"/>
      <c r="C313" s="16"/>
      <c r="D313" s="16"/>
      <c r="E313" s="14"/>
      <c r="F313" s="70"/>
      <c r="G313" s="667"/>
    </row>
    <row r="314" spans="1:8" s="164" customFormat="1" ht="11.25" customHeight="1">
      <c r="A314" s="626">
        <f>IF(B314&gt;0,MAX(A302:A$313)+1,"")</f>
        <v>3</v>
      </c>
      <c r="B314" s="89" t="s">
        <v>436</v>
      </c>
      <c r="C314" s="76"/>
      <c r="D314" s="14"/>
      <c r="E314" s="14"/>
      <c r="F314" s="552"/>
      <c r="G314" s="669"/>
    </row>
    <row r="315" spans="1:8" s="164" customFormat="1" ht="33.75" customHeight="1">
      <c r="A315" s="152"/>
      <c r="B315" s="17" t="s">
        <v>441</v>
      </c>
      <c r="C315" s="130"/>
      <c r="D315" s="16"/>
      <c r="E315" s="16"/>
      <c r="F315" s="552"/>
      <c r="G315" s="670"/>
      <c r="H315" s="167"/>
    </row>
    <row r="316" spans="1:8" s="164" customFormat="1" ht="11.25" customHeight="1">
      <c r="A316" s="152"/>
      <c r="B316" s="17" t="s">
        <v>440</v>
      </c>
      <c r="G316" s="168"/>
    </row>
    <row r="317" spans="1:8" s="164" customFormat="1" ht="11.25" customHeight="1">
      <c r="A317" s="165"/>
      <c r="B317" s="48" t="s">
        <v>313</v>
      </c>
      <c r="C317" s="16" t="s">
        <v>314</v>
      </c>
      <c r="D317" s="16">
        <v>1</v>
      </c>
      <c r="E317" s="14"/>
      <c r="F317" s="70">
        <f>D317*E317</f>
        <v>0</v>
      </c>
      <c r="G317" s="667"/>
    </row>
    <row r="318" spans="1:8" s="164" customFormat="1" ht="11.25" customHeight="1">
      <c r="A318" s="165"/>
      <c r="B318" s="48"/>
      <c r="C318" s="16"/>
      <c r="D318" s="16"/>
      <c r="E318" s="14"/>
      <c r="F318" s="70"/>
      <c r="G318" s="667"/>
    </row>
    <row r="319" spans="1:8" s="140" customFormat="1">
      <c r="A319" s="18"/>
      <c r="B319" s="19" t="s">
        <v>310</v>
      </c>
      <c r="C319" s="20"/>
      <c r="D319" s="21"/>
      <c r="E319" s="21"/>
      <c r="F319" s="553"/>
      <c r="G319" s="668"/>
      <c r="H319" s="167"/>
    </row>
    <row r="320" spans="1:8" s="140" customFormat="1">
      <c r="A320" s="18"/>
      <c r="B320" s="19"/>
      <c r="C320" s="20"/>
      <c r="D320" s="21"/>
      <c r="E320" s="21"/>
      <c r="F320" s="553"/>
      <c r="G320" s="668"/>
      <c r="H320" s="167"/>
    </row>
    <row r="321" spans="1:32" s="164" customFormat="1" ht="11.25" customHeight="1">
      <c r="A321" s="626">
        <f>IF(B321&gt;0,MAX(A$303:A314)+1,"")</f>
        <v>4</v>
      </c>
      <c r="B321" s="89" t="s">
        <v>442</v>
      </c>
      <c r="C321" s="76"/>
      <c r="D321" s="14"/>
      <c r="E321" s="14"/>
      <c r="F321" s="552"/>
      <c r="G321" s="669"/>
    </row>
    <row r="322" spans="1:32" s="164" customFormat="1" ht="45" customHeight="1">
      <c r="A322" s="152"/>
      <c r="B322" s="17" t="s">
        <v>443</v>
      </c>
      <c r="C322" s="130"/>
      <c r="D322" s="16"/>
      <c r="E322" s="16"/>
      <c r="F322" s="552"/>
      <c r="G322" s="670"/>
      <c r="H322" s="167"/>
    </row>
    <row r="323" spans="1:32" s="164" customFormat="1" ht="11.25" customHeight="1">
      <c r="A323" s="165"/>
      <c r="B323" s="48" t="s">
        <v>32</v>
      </c>
      <c r="C323" s="16" t="s">
        <v>33</v>
      </c>
      <c r="D323" s="16">
        <v>1</v>
      </c>
      <c r="E323" s="14"/>
      <c r="F323" s="70">
        <f>D323*E323</f>
        <v>0</v>
      </c>
      <c r="G323" s="667"/>
    </row>
    <row r="324" spans="1:32" s="164" customFormat="1" ht="11.25" customHeight="1">
      <c r="A324" s="165"/>
      <c r="B324" s="48"/>
      <c r="C324" s="16"/>
      <c r="D324" s="16"/>
      <c r="E324" s="14"/>
      <c r="F324" s="70"/>
      <c r="G324" s="667"/>
    </row>
    <row r="325" spans="1:32" s="164" customFormat="1" ht="11.25" customHeight="1">
      <c r="A325" s="748">
        <f>IF(B325&gt;0,MAX(A$303:A324)+1,"")</f>
        <v>5</v>
      </c>
      <c r="B325" s="705" t="s">
        <v>444</v>
      </c>
      <c r="C325" s="706"/>
      <c r="D325" s="700"/>
      <c r="E325" s="700"/>
      <c r="F325" s="707"/>
      <c r="G325" s="749"/>
    </row>
    <row r="326" spans="1:32" s="164" customFormat="1" ht="33.75" customHeight="1">
      <c r="A326" s="334"/>
      <c r="B326" s="335" t="s">
        <v>445</v>
      </c>
      <c r="C326" s="704"/>
      <c r="D326" s="614"/>
      <c r="E326" s="614"/>
      <c r="F326" s="707"/>
      <c r="G326" s="750"/>
      <c r="H326" s="167"/>
    </row>
    <row r="327" spans="1:32" s="164" customFormat="1" ht="11.25" customHeight="1">
      <c r="A327" s="709"/>
      <c r="B327" s="703" t="s">
        <v>93</v>
      </c>
      <c r="C327" s="614" t="s">
        <v>41</v>
      </c>
      <c r="D327" s="614">
        <v>2.02</v>
      </c>
      <c r="E327" s="700"/>
      <c r="F327" s="701">
        <f>D327*E327</f>
        <v>0</v>
      </c>
      <c r="G327" s="708"/>
    </row>
    <row r="328" spans="1:32" s="140" customFormat="1">
      <c r="A328" s="18"/>
      <c r="B328" s="22"/>
      <c r="C328" s="20"/>
      <c r="D328" s="21"/>
      <c r="E328" s="21"/>
      <c r="F328" s="553"/>
      <c r="G328" s="668"/>
      <c r="H328" s="167"/>
    </row>
    <row r="329" spans="1:32">
      <c r="A329" s="122" t="s">
        <v>427</v>
      </c>
      <c r="B329" s="24" t="s">
        <v>446</v>
      </c>
      <c r="C329" s="25"/>
      <c r="D329" s="26"/>
      <c r="E329" s="26"/>
      <c r="F329" s="631">
        <f>SUM(F302:F328)</f>
        <v>0</v>
      </c>
      <c r="G329" s="666"/>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spans="1:32">
      <c r="A330" s="30"/>
      <c r="B330" s="31"/>
      <c r="C330" s="32"/>
      <c r="D330" s="33"/>
      <c r="E330" s="33"/>
      <c r="F330" s="526"/>
      <c r="G330" s="649"/>
    </row>
    <row r="331" spans="1:32">
      <c r="A331" s="23" t="s">
        <v>447</v>
      </c>
      <c r="B331" s="29" t="s">
        <v>448</v>
      </c>
      <c r="C331" s="25"/>
      <c r="D331" s="26"/>
      <c r="E331" s="26"/>
      <c r="F331" s="551"/>
      <c r="G331" s="666"/>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spans="1:32">
      <c r="A332" s="30"/>
      <c r="B332" s="31"/>
      <c r="C332" s="32"/>
      <c r="D332" s="33"/>
      <c r="E332" s="33"/>
      <c r="F332" s="526"/>
      <c r="G332" s="649"/>
    </row>
    <row r="333" spans="1:32" s="217" customFormat="1">
      <c r="A333" s="214"/>
      <c r="B333" s="34" t="s">
        <v>262</v>
      </c>
      <c r="C333" s="215"/>
      <c r="D333" s="216"/>
      <c r="E333" s="216"/>
      <c r="F333" s="554"/>
      <c r="G333" s="671"/>
      <c r="H333" s="687"/>
    </row>
    <row r="334" spans="1:32" s="217" customFormat="1" ht="45" customHeight="1">
      <c r="A334" s="214"/>
      <c r="B334" s="35" t="s">
        <v>449</v>
      </c>
      <c r="C334" s="215"/>
      <c r="D334" s="216"/>
      <c r="E334" s="216"/>
      <c r="F334" s="554"/>
      <c r="G334" s="671"/>
      <c r="H334" s="687"/>
    </row>
    <row r="335" spans="1:32" s="217" customFormat="1" ht="225" customHeight="1">
      <c r="A335" s="214"/>
      <c r="B335" s="35" t="s">
        <v>450</v>
      </c>
      <c r="C335" s="215"/>
      <c r="D335" s="216"/>
      <c r="E335" s="216"/>
      <c r="F335" s="554"/>
      <c r="G335" s="671"/>
      <c r="H335" s="687"/>
    </row>
    <row r="336" spans="1:32" s="217" customFormat="1" ht="258.75" customHeight="1">
      <c r="A336" s="214"/>
      <c r="B336" s="48" t="s">
        <v>451</v>
      </c>
      <c r="C336" s="215"/>
      <c r="D336" s="216"/>
      <c r="E336" s="216"/>
      <c r="F336" s="554"/>
      <c r="G336" s="671"/>
      <c r="H336" s="687"/>
    </row>
    <row r="337" spans="1:8" s="217" customFormat="1" ht="22.5" customHeight="1">
      <c r="A337" s="214"/>
      <c r="B337" s="15" t="s">
        <v>452</v>
      </c>
      <c r="C337" s="215"/>
      <c r="D337" s="216"/>
      <c r="E337" s="216"/>
      <c r="F337" s="554"/>
      <c r="G337" s="671"/>
      <c r="H337" s="687"/>
    </row>
    <row r="338" spans="1:8" s="140" customFormat="1">
      <c r="A338" s="18"/>
      <c r="B338" s="22"/>
      <c r="C338" s="20"/>
      <c r="D338" s="21"/>
      <c r="E338" s="21"/>
      <c r="F338" s="553"/>
      <c r="G338" s="668"/>
      <c r="H338" s="167"/>
    </row>
    <row r="339" spans="1:8" s="140" customFormat="1">
      <c r="A339" s="18"/>
      <c r="B339" s="19" t="s">
        <v>453</v>
      </c>
      <c r="C339" s="20"/>
      <c r="D339" s="21"/>
      <c r="E339" s="21"/>
      <c r="F339" s="553"/>
      <c r="G339" s="668"/>
      <c r="H339" s="167"/>
    </row>
    <row r="340" spans="1:8" s="217" customFormat="1">
      <c r="A340" s="214"/>
      <c r="B340" s="218"/>
      <c r="C340" s="215"/>
      <c r="D340" s="216"/>
      <c r="E340" s="216"/>
      <c r="F340" s="554"/>
      <c r="G340" s="671"/>
      <c r="H340" s="687"/>
    </row>
    <row r="341" spans="1:8" s="164" customFormat="1" ht="11.25" customHeight="1">
      <c r="A341" s="624">
        <v>1</v>
      </c>
      <c r="B341" s="89" t="s">
        <v>454</v>
      </c>
      <c r="C341" s="76"/>
      <c r="D341" s="14"/>
      <c r="E341" s="14"/>
      <c r="F341" s="552"/>
      <c r="G341" s="669"/>
    </row>
    <row r="342" spans="1:8" s="164" customFormat="1" ht="45" customHeight="1">
      <c r="A342" s="152"/>
      <c r="B342" s="17" t="s">
        <v>455</v>
      </c>
      <c r="C342" s="130"/>
      <c r="D342" s="16"/>
      <c r="E342" s="16"/>
      <c r="F342" s="552"/>
      <c r="G342" s="670"/>
      <c r="H342" s="167"/>
    </row>
    <row r="343" spans="1:8" s="164" customFormat="1" ht="11.25" customHeight="1">
      <c r="A343" s="152"/>
      <c r="B343" s="17" t="s">
        <v>456</v>
      </c>
      <c r="C343" s="130"/>
      <c r="D343" s="16"/>
      <c r="E343" s="16"/>
      <c r="F343" s="552"/>
      <c r="G343" s="168"/>
    </row>
    <row r="344" spans="1:8" s="164" customFormat="1" ht="11.25" customHeight="1">
      <c r="A344" s="165"/>
      <c r="B344" s="48" t="s">
        <v>313</v>
      </c>
      <c r="C344" s="16" t="s">
        <v>314</v>
      </c>
      <c r="D344" s="16">
        <v>1</v>
      </c>
      <c r="E344" s="14"/>
      <c r="F344" s="70">
        <f>D344*E344</f>
        <v>0</v>
      </c>
      <c r="G344" s="667"/>
    </row>
    <row r="345" spans="1:8" s="217" customFormat="1">
      <c r="A345" s="214"/>
      <c r="B345" s="15"/>
      <c r="C345" s="215"/>
      <c r="D345" s="216"/>
      <c r="E345" s="216"/>
      <c r="F345" s="554"/>
      <c r="G345" s="671"/>
      <c r="H345" s="687"/>
    </row>
    <row r="346" spans="1:8" s="164" customFormat="1" ht="11.25" customHeight="1">
      <c r="A346" s="165"/>
      <c r="B346" s="49" t="s">
        <v>435</v>
      </c>
      <c r="C346" s="165"/>
      <c r="D346" s="166"/>
      <c r="E346" s="14"/>
      <c r="F346" s="166"/>
      <c r="G346" s="667"/>
    </row>
    <row r="347" spans="1:8" s="140" customFormat="1">
      <c r="A347" s="18"/>
      <c r="B347" s="22"/>
      <c r="C347" s="20"/>
      <c r="D347" s="21"/>
      <c r="E347" s="21"/>
      <c r="F347" s="553"/>
      <c r="G347" s="668"/>
      <c r="H347" s="167"/>
    </row>
    <row r="348" spans="1:8" s="164" customFormat="1" ht="11.25" customHeight="1">
      <c r="A348" s="625">
        <f>IF(B348&gt;0,MAX(A341:A$347)+1,"")</f>
        <v>2</v>
      </c>
      <c r="B348" s="89" t="s">
        <v>457</v>
      </c>
      <c r="C348" s="76"/>
      <c r="D348" s="14"/>
      <c r="E348" s="14"/>
      <c r="F348" s="163"/>
      <c r="G348" s="669"/>
    </row>
    <row r="349" spans="1:8" s="164" customFormat="1" ht="56.25" customHeight="1">
      <c r="A349" s="152"/>
      <c r="B349" s="17" t="s">
        <v>458</v>
      </c>
      <c r="C349" s="130"/>
      <c r="D349" s="16"/>
      <c r="E349" s="614"/>
      <c r="F349" s="163"/>
      <c r="G349" s="670"/>
      <c r="H349" s="688"/>
    </row>
    <row r="350" spans="1:8" s="164" customFormat="1" ht="11.25" customHeight="1">
      <c r="A350" s="152"/>
      <c r="B350" s="17" t="s">
        <v>459</v>
      </c>
      <c r="C350" s="130"/>
      <c r="D350" s="16"/>
      <c r="E350" s="16"/>
      <c r="F350" s="163"/>
      <c r="G350" s="168"/>
    </row>
    <row r="351" spans="1:8" s="164" customFormat="1" ht="11.25" customHeight="1">
      <c r="A351" s="165"/>
      <c r="B351" s="48" t="s">
        <v>313</v>
      </c>
      <c r="C351" s="16" t="s">
        <v>314</v>
      </c>
      <c r="D351" s="16">
        <v>1</v>
      </c>
      <c r="E351" s="14"/>
      <c r="F351" s="602">
        <f>D351*E351</f>
        <v>0</v>
      </c>
      <c r="G351" s="667"/>
    </row>
    <row r="352" spans="1:8" s="217" customFormat="1">
      <c r="A352" s="214"/>
      <c r="B352" s="218"/>
      <c r="C352" s="215"/>
      <c r="D352" s="216"/>
      <c r="E352" s="216"/>
      <c r="F352" s="554"/>
      <c r="G352" s="671"/>
      <c r="H352" s="687"/>
    </row>
    <row r="353" spans="1:8" s="164" customFormat="1" ht="11.25" customHeight="1">
      <c r="A353" s="625">
        <f>IF(B353&gt;0,MAX(A$348:A352)+1,"")</f>
        <v>3</v>
      </c>
      <c r="B353" s="89" t="s">
        <v>457</v>
      </c>
      <c r="C353" s="76"/>
      <c r="D353" s="14"/>
      <c r="E353" s="14"/>
      <c r="F353" s="163"/>
      <c r="G353" s="669"/>
    </row>
    <row r="354" spans="1:8" s="164" customFormat="1" ht="45" customHeight="1">
      <c r="A354" s="152"/>
      <c r="B354" s="17" t="s">
        <v>460</v>
      </c>
      <c r="C354" s="130"/>
      <c r="D354" s="16"/>
      <c r="E354" s="614"/>
      <c r="F354" s="163"/>
      <c r="G354" s="670"/>
      <c r="H354" s="688"/>
    </row>
    <row r="355" spans="1:8" s="164" customFormat="1" ht="11.25" customHeight="1">
      <c r="A355" s="152"/>
      <c r="B355" s="17" t="s">
        <v>461</v>
      </c>
      <c r="C355" s="130"/>
      <c r="D355" s="16"/>
      <c r="E355" s="16"/>
      <c r="F355" s="163"/>
      <c r="G355" s="168"/>
    </row>
    <row r="356" spans="1:8" s="164" customFormat="1" ht="11.25" customHeight="1">
      <c r="A356" s="165"/>
      <c r="B356" s="48" t="s">
        <v>313</v>
      </c>
      <c r="C356" s="16" t="s">
        <v>314</v>
      </c>
      <c r="D356" s="16">
        <v>2</v>
      </c>
      <c r="E356" s="14"/>
      <c r="F356" s="602">
        <f>D356*E356</f>
        <v>0</v>
      </c>
      <c r="G356" s="667"/>
    </row>
    <row r="357" spans="1:8" s="164" customFormat="1" ht="11.25" customHeight="1">
      <c r="A357" s="165"/>
      <c r="B357" s="48"/>
      <c r="C357" s="16"/>
      <c r="D357" s="16"/>
      <c r="E357" s="14"/>
      <c r="F357" s="602"/>
      <c r="G357" s="667"/>
    </row>
    <row r="358" spans="1:8" s="164" customFormat="1" ht="11.25" customHeight="1">
      <c r="A358" s="625">
        <f>IF(B358&gt;0,MAX(A$348:A357)+1,"")</f>
        <v>4</v>
      </c>
      <c r="B358" s="89" t="s">
        <v>457</v>
      </c>
      <c r="C358" s="76"/>
      <c r="D358" s="14"/>
      <c r="E358" s="14"/>
      <c r="F358" s="163"/>
      <c r="G358" s="669"/>
    </row>
    <row r="359" spans="1:8" s="164" customFormat="1" ht="45" customHeight="1">
      <c r="A359" s="152"/>
      <c r="B359" s="17" t="s">
        <v>462</v>
      </c>
      <c r="C359" s="130"/>
      <c r="D359" s="16"/>
      <c r="E359" s="16"/>
      <c r="F359" s="163"/>
      <c r="G359" s="670"/>
      <c r="H359" s="688"/>
    </row>
    <row r="360" spans="1:8" s="164" customFormat="1" ht="11.25" customHeight="1">
      <c r="A360" s="152"/>
      <c r="B360" s="17" t="s">
        <v>463</v>
      </c>
      <c r="C360" s="130"/>
      <c r="D360" s="16"/>
      <c r="E360" s="16"/>
      <c r="F360" s="163"/>
      <c r="G360" s="168"/>
    </row>
    <row r="361" spans="1:8" s="164" customFormat="1" ht="11.25" customHeight="1">
      <c r="A361" s="165"/>
      <c r="B361" s="48" t="s">
        <v>313</v>
      </c>
      <c r="C361" s="16" t="s">
        <v>314</v>
      </c>
      <c r="D361" s="16">
        <v>2</v>
      </c>
      <c r="E361" s="14"/>
      <c r="F361" s="602">
        <f>D361*E361</f>
        <v>0</v>
      </c>
      <c r="G361" s="667"/>
    </row>
    <row r="362" spans="1:8" s="164" customFormat="1" ht="11.25" customHeight="1">
      <c r="A362" s="165"/>
      <c r="B362" s="48"/>
      <c r="C362" s="16"/>
      <c r="D362" s="16"/>
      <c r="E362" s="14"/>
      <c r="F362" s="602"/>
      <c r="G362" s="667"/>
    </row>
    <row r="363" spans="1:8" s="164" customFormat="1" ht="11.25" customHeight="1">
      <c r="A363" s="165"/>
      <c r="B363" s="49" t="s">
        <v>464</v>
      </c>
      <c r="C363" s="165"/>
      <c r="D363" s="166"/>
      <c r="E363" s="14"/>
      <c r="F363" s="166"/>
      <c r="G363" s="667"/>
    </row>
    <row r="364" spans="1:8" s="164" customFormat="1" ht="11.25" customHeight="1">
      <c r="A364" s="165"/>
      <c r="B364" s="48"/>
      <c r="C364" s="165"/>
      <c r="D364" s="166"/>
      <c r="E364" s="14"/>
      <c r="F364" s="166"/>
      <c r="G364" s="667"/>
    </row>
    <row r="365" spans="1:8" s="164" customFormat="1" ht="11.25" customHeight="1">
      <c r="A365" s="625">
        <f>IF(B365&gt;0,MAX(A$348:A364)+1,"")</f>
        <v>5</v>
      </c>
      <c r="B365" s="89" t="s">
        <v>465</v>
      </c>
      <c r="C365" s="76"/>
      <c r="D365" s="14"/>
      <c r="E365" s="14"/>
      <c r="F365" s="552"/>
      <c r="G365" s="669"/>
    </row>
    <row r="366" spans="1:8" s="164" customFormat="1" ht="33.75" customHeight="1">
      <c r="A366" s="152"/>
      <c r="B366" s="17" t="s">
        <v>466</v>
      </c>
      <c r="C366" s="130"/>
      <c r="D366" s="16"/>
      <c r="E366" s="16"/>
      <c r="F366" s="552"/>
      <c r="G366" s="670"/>
      <c r="H366" s="167"/>
    </row>
    <row r="367" spans="1:8" s="164" customFormat="1" ht="11.25" customHeight="1">
      <c r="A367" s="152"/>
      <c r="B367" s="17" t="s">
        <v>467</v>
      </c>
      <c r="C367" s="130"/>
      <c r="D367" s="16"/>
      <c r="E367" s="16"/>
      <c r="F367" s="552"/>
      <c r="G367" s="168"/>
    </row>
    <row r="368" spans="1:8" s="164" customFormat="1" ht="11.25" customHeight="1">
      <c r="A368" s="165"/>
      <c r="B368" s="48" t="s">
        <v>313</v>
      </c>
      <c r="C368" s="16" t="s">
        <v>314</v>
      </c>
      <c r="D368" s="16">
        <v>3</v>
      </c>
      <c r="E368" s="21"/>
      <c r="F368" s="70">
        <f>D368*E368</f>
        <v>0</v>
      </c>
      <c r="G368" s="667"/>
    </row>
    <row r="369" spans="1:8" s="164" customFormat="1" ht="11.25" customHeight="1">
      <c r="A369" s="165"/>
      <c r="B369" s="48"/>
      <c r="C369" s="165"/>
      <c r="D369" s="166"/>
      <c r="E369" s="14"/>
      <c r="F369" s="166"/>
      <c r="G369" s="667"/>
    </row>
    <row r="370" spans="1:8" s="164" customFormat="1" ht="11.25" customHeight="1">
      <c r="A370" s="625">
        <f>IF(B370&gt;0,MAX(A$348:A369)+1,"")</f>
        <v>6</v>
      </c>
      <c r="B370" s="89" t="s">
        <v>465</v>
      </c>
      <c r="C370" s="76"/>
      <c r="D370" s="14"/>
      <c r="E370" s="14"/>
      <c r="F370" s="552"/>
      <c r="G370" s="669"/>
    </row>
    <row r="371" spans="1:8" s="164" customFormat="1" ht="45" customHeight="1">
      <c r="A371" s="152"/>
      <c r="B371" s="17" t="s">
        <v>468</v>
      </c>
      <c r="C371" s="130"/>
      <c r="D371" s="16"/>
      <c r="E371" s="614"/>
      <c r="F371" s="552"/>
      <c r="G371" s="670"/>
      <c r="H371" s="167"/>
    </row>
    <row r="372" spans="1:8" s="164" customFormat="1" ht="11.25" customHeight="1">
      <c r="A372" s="152"/>
      <c r="B372" s="17" t="s">
        <v>469</v>
      </c>
      <c r="C372" s="130"/>
      <c r="D372" s="16"/>
      <c r="E372" s="16"/>
      <c r="F372" s="552"/>
      <c r="G372" s="168"/>
    </row>
    <row r="373" spans="1:8" s="164" customFormat="1" ht="11.25" customHeight="1">
      <c r="A373" s="165"/>
      <c r="B373" s="48" t="s">
        <v>313</v>
      </c>
      <c r="C373" s="16" t="s">
        <v>314</v>
      </c>
      <c r="D373" s="16">
        <v>1</v>
      </c>
      <c r="E373" s="21"/>
      <c r="F373" s="70">
        <f>D373*E373</f>
        <v>0</v>
      </c>
      <c r="G373" s="667"/>
    </row>
    <row r="374" spans="1:8" s="164" customFormat="1" ht="11.25" customHeight="1">
      <c r="A374" s="165"/>
      <c r="B374" s="48"/>
      <c r="C374" s="165"/>
      <c r="D374" s="166"/>
      <c r="E374" s="14"/>
      <c r="F374" s="166"/>
      <c r="G374" s="667"/>
    </row>
    <row r="375" spans="1:8" s="164" customFormat="1" ht="11.25" customHeight="1">
      <c r="A375" s="625">
        <f>IF(B375&gt;0,MAX(A$348:A374)+1,"")</f>
        <v>7</v>
      </c>
      <c r="B375" s="89" t="s">
        <v>465</v>
      </c>
      <c r="C375" s="76"/>
      <c r="D375" s="14"/>
      <c r="E375" s="14"/>
      <c r="F375" s="552"/>
      <c r="G375" s="669"/>
    </row>
    <row r="376" spans="1:8" s="164" customFormat="1" ht="45" customHeight="1">
      <c r="A376" s="152"/>
      <c r="B376" s="17" t="s">
        <v>470</v>
      </c>
      <c r="C376" s="130"/>
      <c r="D376" s="16"/>
      <c r="E376" s="16"/>
      <c r="F376" s="552"/>
      <c r="G376" s="670"/>
      <c r="H376" s="167"/>
    </row>
    <row r="377" spans="1:8" s="164" customFormat="1" ht="11.25" customHeight="1">
      <c r="A377" s="152"/>
      <c r="B377" s="17" t="s">
        <v>471</v>
      </c>
      <c r="C377" s="130"/>
      <c r="D377" s="16"/>
      <c r="E377" s="16"/>
      <c r="F377" s="552"/>
      <c r="G377" s="168"/>
    </row>
    <row r="378" spans="1:8" s="164" customFormat="1" ht="11.25" customHeight="1">
      <c r="A378" s="165"/>
      <c r="B378" s="48" t="s">
        <v>313</v>
      </c>
      <c r="C378" s="16" t="s">
        <v>314</v>
      </c>
      <c r="D378" s="16">
        <v>1</v>
      </c>
      <c r="E378" s="21"/>
      <c r="F378" s="70">
        <f>D378*E378</f>
        <v>0</v>
      </c>
      <c r="G378" s="667"/>
    </row>
    <row r="379" spans="1:8" s="164" customFormat="1" ht="11.25" customHeight="1">
      <c r="A379" s="165"/>
      <c r="B379" s="48"/>
      <c r="C379" s="165"/>
      <c r="D379" s="166"/>
      <c r="E379" s="14"/>
      <c r="F379" s="166"/>
      <c r="G379" s="667"/>
    </row>
    <row r="380" spans="1:8" s="164" customFormat="1" ht="11.25" customHeight="1">
      <c r="A380" s="625">
        <f>IF(B380&gt;0,MAX(A$348:A379)+1,"")</f>
        <v>8</v>
      </c>
      <c r="B380" s="89" t="s">
        <v>465</v>
      </c>
      <c r="C380" s="76"/>
      <c r="D380" s="14"/>
      <c r="E380" s="14"/>
      <c r="F380" s="552"/>
      <c r="G380" s="669"/>
    </row>
    <row r="381" spans="1:8" s="164" customFormat="1" ht="45" customHeight="1">
      <c r="A381" s="152"/>
      <c r="B381" s="17" t="s">
        <v>472</v>
      </c>
      <c r="C381" s="130"/>
      <c r="D381" s="16"/>
      <c r="E381" s="614"/>
      <c r="F381" s="552"/>
      <c r="G381" s="670"/>
      <c r="H381" s="167"/>
    </row>
    <row r="382" spans="1:8" s="164" customFormat="1" ht="11.25" customHeight="1">
      <c r="A382" s="152"/>
      <c r="B382" s="17" t="s">
        <v>471</v>
      </c>
      <c r="C382" s="130"/>
      <c r="D382" s="16"/>
      <c r="E382" s="16"/>
      <c r="F382" s="552"/>
      <c r="G382" s="168"/>
    </row>
    <row r="383" spans="1:8" s="164" customFormat="1" ht="11.25" customHeight="1">
      <c r="A383" s="165"/>
      <c r="B383" s="48" t="s">
        <v>313</v>
      </c>
      <c r="C383" s="16" t="s">
        <v>314</v>
      </c>
      <c r="D383" s="16">
        <v>1</v>
      </c>
      <c r="E383" s="21"/>
      <c r="F383" s="70">
        <f>D383*E383</f>
        <v>0</v>
      </c>
      <c r="G383" s="667"/>
    </row>
    <row r="384" spans="1:8" s="164" customFormat="1" ht="11.25" customHeight="1">
      <c r="A384" s="165"/>
      <c r="B384" s="48"/>
      <c r="C384" s="165"/>
      <c r="D384" s="166"/>
      <c r="E384" s="14"/>
      <c r="F384" s="166"/>
      <c r="G384" s="667"/>
    </row>
    <row r="385" spans="1:8" s="164" customFormat="1" ht="11.25" customHeight="1">
      <c r="A385" s="625">
        <f>IF(B385&gt;0,MAX(A$348:A384)+1,"")</f>
        <v>9</v>
      </c>
      <c r="B385" s="89" t="s">
        <v>465</v>
      </c>
      <c r="C385" s="76"/>
      <c r="D385" s="14"/>
      <c r="E385" s="14"/>
      <c r="F385" s="552"/>
      <c r="G385" s="669"/>
    </row>
    <row r="386" spans="1:8" s="164" customFormat="1" ht="33.75" customHeight="1">
      <c r="A386" s="152"/>
      <c r="B386" s="17" t="s">
        <v>466</v>
      </c>
      <c r="C386" s="130"/>
      <c r="D386" s="16"/>
      <c r="E386" s="16"/>
      <c r="F386" s="552"/>
      <c r="G386" s="670"/>
      <c r="H386" s="167"/>
    </row>
    <row r="387" spans="1:8" s="164" customFormat="1" ht="11.25" customHeight="1">
      <c r="A387" s="152"/>
      <c r="B387" s="17" t="s">
        <v>473</v>
      </c>
      <c r="C387" s="130"/>
      <c r="D387" s="16"/>
      <c r="E387" s="16"/>
      <c r="F387" s="552"/>
      <c r="G387" s="168"/>
    </row>
    <row r="388" spans="1:8" s="164" customFormat="1" ht="11.25" customHeight="1">
      <c r="A388" s="165"/>
      <c r="B388" s="48" t="s">
        <v>313</v>
      </c>
      <c r="C388" s="16" t="s">
        <v>314</v>
      </c>
      <c r="D388" s="16">
        <v>1</v>
      </c>
      <c r="E388" s="21"/>
      <c r="F388" s="70">
        <f>D388*E388</f>
        <v>0</v>
      </c>
      <c r="G388" s="667"/>
    </row>
    <row r="389" spans="1:8" s="164" customFormat="1" ht="11.25" customHeight="1">
      <c r="A389" s="165"/>
      <c r="B389" s="48"/>
      <c r="C389" s="165"/>
      <c r="D389" s="166"/>
      <c r="E389" s="14"/>
      <c r="F389" s="166"/>
      <c r="G389" s="667"/>
    </row>
    <row r="390" spans="1:8" s="164" customFormat="1" ht="11.25" customHeight="1">
      <c r="A390" s="625">
        <f>IF(B390&gt;0,MAX(A$348:A389)+1,"")</f>
        <v>10</v>
      </c>
      <c r="B390" s="89" t="s">
        <v>465</v>
      </c>
      <c r="C390" s="76"/>
      <c r="D390" s="14"/>
      <c r="E390" s="14"/>
      <c r="F390" s="552"/>
      <c r="G390" s="669"/>
    </row>
    <row r="391" spans="1:8" s="164" customFormat="1" ht="33.75" customHeight="1">
      <c r="A391" s="152"/>
      <c r="B391" s="17" t="s">
        <v>466</v>
      </c>
      <c r="C391" s="130"/>
      <c r="D391" s="16"/>
      <c r="E391" s="16"/>
      <c r="F391" s="552"/>
      <c r="G391" s="670"/>
      <c r="H391" s="167"/>
    </row>
    <row r="392" spans="1:8" s="164" customFormat="1" ht="11.25" customHeight="1">
      <c r="A392" s="152"/>
      <c r="B392" s="17" t="s">
        <v>474</v>
      </c>
      <c r="C392" s="130"/>
      <c r="D392" s="16"/>
      <c r="E392" s="16"/>
      <c r="F392" s="552"/>
      <c r="G392" s="168"/>
    </row>
    <row r="393" spans="1:8" s="164" customFormat="1" ht="11.25" customHeight="1">
      <c r="A393" s="165"/>
      <c r="B393" s="48" t="s">
        <v>313</v>
      </c>
      <c r="C393" s="16" t="s">
        <v>314</v>
      </c>
      <c r="D393" s="16">
        <v>1</v>
      </c>
      <c r="E393" s="21"/>
      <c r="F393" s="70">
        <f>D393*E393</f>
        <v>0</v>
      </c>
      <c r="G393" s="667"/>
    </row>
    <row r="394" spans="1:8" s="164" customFormat="1" ht="11.25" customHeight="1">
      <c r="A394" s="165"/>
      <c r="B394" s="48"/>
      <c r="C394" s="165"/>
      <c r="D394" s="166"/>
      <c r="E394" s="14"/>
      <c r="F394" s="166"/>
      <c r="G394" s="667"/>
    </row>
    <row r="395" spans="1:8" s="164" customFormat="1" ht="11.25" customHeight="1">
      <c r="A395" s="625">
        <f>IF(B395&gt;0,MAX(A$348:A394)+1,"")</f>
        <v>11</v>
      </c>
      <c r="B395" s="89" t="s">
        <v>465</v>
      </c>
      <c r="C395" s="76"/>
      <c r="D395" s="14"/>
      <c r="E395" s="14"/>
      <c r="F395" s="552"/>
      <c r="G395" s="669"/>
    </row>
    <row r="396" spans="1:8" s="164" customFormat="1" ht="33.75" customHeight="1">
      <c r="A396" s="152"/>
      <c r="B396" s="17" t="s">
        <v>466</v>
      </c>
      <c r="C396" s="130"/>
      <c r="D396" s="16"/>
      <c r="E396" s="16"/>
      <c r="F396" s="552"/>
      <c r="G396" s="670"/>
      <c r="H396" s="167"/>
    </row>
    <row r="397" spans="1:8" s="164" customFormat="1" ht="11.25" customHeight="1">
      <c r="A397" s="152"/>
      <c r="B397" s="17" t="s">
        <v>475</v>
      </c>
      <c r="C397" s="130"/>
      <c r="D397" s="16"/>
      <c r="E397" s="16"/>
      <c r="F397" s="552"/>
      <c r="G397" s="168"/>
    </row>
    <row r="398" spans="1:8" s="164" customFormat="1" ht="11.25" customHeight="1">
      <c r="A398" s="165"/>
      <c r="B398" s="48" t="s">
        <v>313</v>
      </c>
      <c r="C398" s="16" t="s">
        <v>314</v>
      </c>
      <c r="D398" s="16">
        <v>1</v>
      </c>
      <c r="E398" s="21"/>
      <c r="F398" s="70">
        <f>D398*E398</f>
        <v>0</v>
      </c>
      <c r="G398" s="667"/>
    </row>
    <row r="399" spans="1:8" s="164" customFormat="1" ht="11.25" customHeight="1">
      <c r="A399" s="165"/>
      <c r="B399" s="48"/>
      <c r="C399" s="165"/>
      <c r="D399" s="166"/>
      <c r="E399" s="14"/>
      <c r="F399" s="166"/>
      <c r="G399" s="667"/>
    </row>
    <row r="400" spans="1:8" s="164" customFormat="1" ht="11.25" customHeight="1">
      <c r="A400" s="625">
        <f>IF(B400&gt;0,MAX(A$348:A399)+1,"")</f>
        <v>12</v>
      </c>
      <c r="B400" s="89" t="s">
        <v>465</v>
      </c>
      <c r="C400" s="76"/>
      <c r="D400" s="14"/>
      <c r="E400" s="14"/>
      <c r="F400" s="552"/>
      <c r="G400" s="669"/>
    </row>
    <row r="401" spans="1:8" s="164" customFormat="1" ht="33.75" customHeight="1">
      <c r="A401" s="152"/>
      <c r="B401" s="17" t="s">
        <v>466</v>
      </c>
      <c r="C401" s="130"/>
      <c r="D401" s="16"/>
      <c r="E401" s="16"/>
      <c r="F401" s="552"/>
      <c r="G401" s="670"/>
      <c r="H401" s="167"/>
    </row>
    <row r="402" spans="1:8" s="164" customFormat="1" ht="11.25" customHeight="1">
      <c r="A402" s="152"/>
      <c r="B402" s="17" t="s">
        <v>476</v>
      </c>
      <c r="C402" s="130"/>
      <c r="D402" s="16"/>
      <c r="E402" s="16"/>
      <c r="F402" s="552"/>
      <c r="G402" s="168"/>
    </row>
    <row r="403" spans="1:8" s="164" customFormat="1" ht="11.25" customHeight="1">
      <c r="A403" s="165"/>
      <c r="B403" s="48" t="s">
        <v>313</v>
      </c>
      <c r="C403" s="16" t="s">
        <v>314</v>
      </c>
      <c r="D403" s="16">
        <v>1</v>
      </c>
      <c r="E403" s="21"/>
      <c r="F403" s="70">
        <f>D403*E403</f>
        <v>0</v>
      </c>
      <c r="G403" s="667"/>
    </row>
    <row r="404" spans="1:8" s="164" customFormat="1" ht="11.25" customHeight="1">
      <c r="A404" s="165"/>
      <c r="B404" s="48"/>
      <c r="C404" s="165"/>
      <c r="D404" s="166"/>
      <c r="E404" s="14"/>
      <c r="F404" s="166"/>
      <c r="G404" s="667"/>
    </row>
    <row r="405" spans="1:8" s="164" customFormat="1" ht="11.25" customHeight="1">
      <c r="A405" s="625">
        <f>IF(B405&gt;0,MAX(A$348:A404)+1,"")</f>
        <v>13</v>
      </c>
      <c r="B405" s="89" t="s">
        <v>477</v>
      </c>
      <c r="C405" s="76"/>
      <c r="D405" s="14"/>
      <c r="E405" s="14"/>
      <c r="F405" s="552"/>
      <c r="G405" s="669"/>
    </row>
    <row r="406" spans="1:8" s="164" customFormat="1" ht="33.75" customHeight="1">
      <c r="A406" s="152"/>
      <c r="B406" s="17" t="s">
        <v>478</v>
      </c>
      <c r="C406" s="130"/>
      <c r="D406" s="16"/>
      <c r="E406" s="16"/>
      <c r="F406" s="552"/>
      <c r="G406" s="670"/>
      <c r="H406" s="167"/>
    </row>
    <row r="407" spans="1:8" s="164" customFormat="1" ht="11.25" customHeight="1">
      <c r="A407" s="152"/>
      <c r="B407" s="17" t="s">
        <v>479</v>
      </c>
      <c r="C407" s="130"/>
      <c r="D407" s="16"/>
      <c r="E407" s="16"/>
      <c r="F407" s="552"/>
      <c r="G407" s="168"/>
    </row>
    <row r="408" spans="1:8" s="164" customFormat="1" ht="11.25" customHeight="1">
      <c r="A408" s="165"/>
      <c r="B408" s="48" t="s">
        <v>313</v>
      </c>
      <c r="C408" s="16" t="s">
        <v>314</v>
      </c>
      <c r="D408" s="16">
        <v>2</v>
      </c>
      <c r="E408" s="21"/>
      <c r="F408" s="70">
        <f>D408*E408</f>
        <v>0</v>
      </c>
      <c r="G408" s="667"/>
    </row>
    <row r="409" spans="1:8" s="164" customFormat="1" ht="11.25" customHeight="1">
      <c r="A409" s="165"/>
      <c r="B409" s="48"/>
      <c r="C409" s="165"/>
      <c r="D409" s="166"/>
      <c r="E409" s="14"/>
      <c r="F409" s="166"/>
      <c r="G409" s="667"/>
    </row>
    <row r="410" spans="1:8" s="164" customFormat="1" ht="11.25" customHeight="1">
      <c r="A410" s="625">
        <f>IF(B410&gt;0,MAX(A$348:A409)+1,"")</f>
        <v>14</v>
      </c>
      <c r="B410" s="89" t="s">
        <v>477</v>
      </c>
      <c r="C410" s="76"/>
      <c r="D410" s="14"/>
      <c r="E410" s="14"/>
      <c r="F410" s="552"/>
      <c r="G410" s="669"/>
    </row>
    <row r="411" spans="1:8" s="164" customFormat="1" ht="45" customHeight="1">
      <c r="A411" s="152"/>
      <c r="B411" s="17" t="s">
        <v>480</v>
      </c>
      <c r="C411" s="130"/>
      <c r="D411" s="16"/>
      <c r="E411" s="16"/>
      <c r="F411" s="552"/>
      <c r="G411" s="670"/>
      <c r="H411" s="167"/>
    </row>
    <row r="412" spans="1:8" s="164" customFormat="1" ht="11.25" customHeight="1">
      <c r="A412" s="152"/>
      <c r="B412" s="17" t="s">
        <v>481</v>
      </c>
      <c r="C412" s="130"/>
      <c r="D412" s="16"/>
      <c r="E412" s="16"/>
      <c r="F412" s="552"/>
      <c r="G412" s="168"/>
    </row>
    <row r="413" spans="1:8" s="164" customFormat="1" ht="11.25" customHeight="1">
      <c r="A413" s="165"/>
      <c r="B413" s="48" t="s">
        <v>313</v>
      </c>
      <c r="C413" s="16" t="s">
        <v>314</v>
      </c>
      <c r="D413" s="16">
        <v>1</v>
      </c>
      <c r="E413" s="21"/>
      <c r="F413" s="70">
        <f>D413*E413</f>
        <v>0</v>
      </c>
      <c r="G413" s="667"/>
    </row>
    <row r="414" spans="1:8" s="164" customFormat="1" ht="11.25" customHeight="1">
      <c r="A414" s="165"/>
      <c r="B414" s="48"/>
      <c r="C414" s="16"/>
      <c r="D414" s="16"/>
      <c r="E414" s="21"/>
      <c r="F414" s="70"/>
      <c r="G414" s="667"/>
    </row>
    <row r="415" spans="1:8" s="164" customFormat="1" ht="11.25" customHeight="1">
      <c r="A415" s="625">
        <f>IF(B415&gt;0,MAX(A$348:A414)+1,"")</f>
        <v>15</v>
      </c>
      <c r="B415" s="89" t="s">
        <v>482</v>
      </c>
      <c r="C415" s="76"/>
      <c r="D415" s="14"/>
      <c r="E415" s="14"/>
      <c r="F415" s="552"/>
      <c r="G415" s="669"/>
    </row>
    <row r="416" spans="1:8" s="164" customFormat="1" ht="45" customHeight="1">
      <c r="A416" s="152"/>
      <c r="B416" s="17" t="s">
        <v>483</v>
      </c>
      <c r="C416" s="130"/>
      <c r="D416" s="16"/>
      <c r="E416" s="16"/>
      <c r="F416" s="552"/>
      <c r="G416" s="670"/>
      <c r="H416" s="167"/>
    </row>
    <row r="417" spans="1:8" s="164" customFormat="1" ht="11.25" customHeight="1">
      <c r="A417" s="152"/>
      <c r="B417" s="17" t="s">
        <v>484</v>
      </c>
      <c r="C417" s="130"/>
      <c r="D417" s="16"/>
      <c r="E417" s="16"/>
      <c r="F417" s="552"/>
      <c r="G417" s="168"/>
    </row>
    <row r="418" spans="1:8" s="164" customFormat="1" ht="11.25" customHeight="1">
      <c r="A418" s="165"/>
      <c r="B418" s="48" t="s">
        <v>313</v>
      </c>
      <c r="C418" s="16" t="s">
        <v>314</v>
      </c>
      <c r="D418" s="16">
        <v>1</v>
      </c>
      <c r="E418" s="21"/>
      <c r="F418" s="70">
        <f>D418*E418</f>
        <v>0</v>
      </c>
      <c r="G418" s="667"/>
    </row>
    <row r="419" spans="1:8" s="140" customFormat="1">
      <c r="A419" s="18"/>
      <c r="B419" s="22"/>
      <c r="C419" s="20"/>
      <c r="D419" s="21"/>
      <c r="E419" s="21"/>
      <c r="F419" s="553"/>
      <c r="G419" s="668"/>
      <c r="H419" s="167"/>
    </row>
    <row r="420" spans="1:8" s="140" customFormat="1">
      <c r="A420" s="18"/>
      <c r="B420" s="19" t="s">
        <v>485</v>
      </c>
      <c r="C420" s="20"/>
      <c r="D420" s="21"/>
      <c r="E420" s="21"/>
      <c r="F420" s="553"/>
      <c r="G420" s="668"/>
      <c r="H420" s="167"/>
    </row>
    <row r="421" spans="1:8" s="140" customFormat="1">
      <c r="A421" s="18"/>
      <c r="B421" s="22"/>
      <c r="C421" s="20"/>
      <c r="D421" s="21"/>
      <c r="E421" s="21"/>
      <c r="F421" s="553"/>
      <c r="G421" s="668"/>
      <c r="H421" s="167"/>
    </row>
    <row r="422" spans="1:8" s="164" customFormat="1" ht="11.25" customHeight="1">
      <c r="A422" s="625">
        <f>IF(B422&gt;0,MAX(A$348:A421)+1,"")</f>
        <v>16</v>
      </c>
      <c r="B422" s="89" t="s">
        <v>486</v>
      </c>
      <c r="C422" s="76"/>
      <c r="D422" s="14"/>
      <c r="E422" s="14"/>
      <c r="F422" s="552"/>
      <c r="G422" s="669"/>
    </row>
    <row r="423" spans="1:8" s="164" customFormat="1" ht="33.75" customHeight="1">
      <c r="A423" s="152"/>
      <c r="B423" s="17" t="s">
        <v>487</v>
      </c>
      <c r="C423" s="130"/>
      <c r="D423" s="16"/>
      <c r="E423" s="16"/>
      <c r="F423" s="552"/>
      <c r="G423" s="670"/>
      <c r="H423" s="167"/>
    </row>
    <row r="424" spans="1:8" s="164" customFormat="1" ht="33.75" customHeight="1">
      <c r="A424" s="152"/>
      <c r="B424" s="335" t="s">
        <v>488</v>
      </c>
      <c r="C424" s="130"/>
      <c r="D424" s="16"/>
      <c r="E424" s="16"/>
      <c r="F424" s="552"/>
      <c r="G424" s="670"/>
      <c r="H424" s="167"/>
    </row>
    <row r="425" spans="1:8" s="164" customFormat="1" ht="11.25" customHeight="1">
      <c r="A425" s="152"/>
      <c r="B425" s="48" t="s">
        <v>489</v>
      </c>
      <c r="C425" s="130"/>
      <c r="D425" s="16"/>
      <c r="E425" s="16"/>
      <c r="F425" s="552"/>
      <c r="G425" s="168"/>
    </row>
    <row r="426" spans="1:8" s="164" customFormat="1" ht="11.25" customHeight="1">
      <c r="A426" s="165"/>
      <c r="B426" s="48" t="s">
        <v>490</v>
      </c>
      <c r="C426" s="16" t="s">
        <v>314</v>
      </c>
      <c r="D426" s="16">
        <v>1</v>
      </c>
      <c r="E426" s="14"/>
      <c r="F426" s="70">
        <f>D426*E426</f>
        <v>0</v>
      </c>
      <c r="G426" s="667"/>
    </row>
    <row r="427" spans="1:8" s="164" customFormat="1" ht="11.25" customHeight="1">
      <c r="A427" s="152"/>
      <c r="B427" s="703" t="s">
        <v>491</v>
      </c>
      <c r="C427" s="704" t="s">
        <v>143</v>
      </c>
      <c r="D427" s="614">
        <v>37.14</v>
      </c>
      <c r="E427" s="16"/>
      <c r="F427" s="70">
        <f>D427*E427</f>
        <v>0</v>
      </c>
      <c r="G427" s="168"/>
    </row>
    <row r="428" spans="1:8">
      <c r="A428" s="30"/>
      <c r="B428" s="31"/>
      <c r="C428" s="32"/>
      <c r="D428" s="33"/>
      <c r="E428" s="33"/>
      <c r="F428" s="526"/>
      <c r="G428" s="649"/>
    </row>
    <row r="429" spans="1:8" s="164" customFormat="1" ht="11.25" customHeight="1">
      <c r="A429" s="625">
        <f>IF(B429&gt;0,MAX(A$348:A428)+1,"")</f>
        <v>17</v>
      </c>
      <c r="B429" s="89" t="s">
        <v>492</v>
      </c>
      <c r="C429" s="76"/>
      <c r="D429" s="14"/>
      <c r="E429" s="14"/>
      <c r="F429" s="552"/>
      <c r="G429" s="669"/>
    </row>
    <row r="430" spans="1:8" s="164" customFormat="1" ht="45" customHeight="1">
      <c r="A430" s="152"/>
      <c r="B430" s="17" t="s">
        <v>493</v>
      </c>
      <c r="C430" s="130"/>
      <c r="D430" s="16"/>
      <c r="E430" s="16"/>
      <c r="F430" s="552"/>
      <c r="G430" s="670"/>
      <c r="H430" s="167"/>
    </row>
    <row r="431" spans="1:8" s="164" customFormat="1" ht="11.25" customHeight="1">
      <c r="A431" s="152"/>
      <c r="B431" s="48" t="s">
        <v>494</v>
      </c>
      <c r="C431" s="130"/>
      <c r="D431" s="16"/>
      <c r="E431" s="16"/>
      <c r="F431" s="552"/>
      <c r="G431" s="168"/>
    </row>
    <row r="432" spans="1:8" s="164" customFormat="1" ht="11.25" customHeight="1">
      <c r="A432" s="165"/>
      <c r="B432" s="48" t="s">
        <v>313</v>
      </c>
      <c r="C432" s="16" t="s">
        <v>314</v>
      </c>
      <c r="D432" s="16">
        <v>1</v>
      </c>
      <c r="E432" s="14"/>
      <c r="F432" s="70">
        <f>D432*E432</f>
        <v>0</v>
      </c>
      <c r="G432" s="667"/>
    </row>
    <row r="433" spans="1:8">
      <c r="A433" s="30"/>
      <c r="B433" s="31"/>
      <c r="C433" s="32"/>
      <c r="D433" s="33"/>
      <c r="E433" s="33"/>
      <c r="F433" s="526"/>
      <c r="G433" s="649"/>
    </row>
    <row r="434" spans="1:8" s="164" customFormat="1" ht="11.25" customHeight="1">
      <c r="A434" s="165"/>
      <c r="B434" s="49" t="s">
        <v>310</v>
      </c>
      <c r="C434" s="16"/>
      <c r="D434" s="16"/>
      <c r="E434" s="14"/>
      <c r="F434" s="70"/>
      <c r="G434" s="667"/>
    </row>
    <row r="435" spans="1:8" s="164" customFormat="1" ht="11.25" customHeight="1">
      <c r="A435" s="165"/>
      <c r="B435" s="48"/>
      <c r="C435" s="16"/>
      <c r="D435" s="16"/>
      <c r="E435" s="14"/>
      <c r="F435" s="70"/>
      <c r="G435" s="667"/>
    </row>
    <row r="436" spans="1:8" s="164" customFormat="1" ht="11.25" customHeight="1">
      <c r="A436" s="625">
        <f>IF(B436&gt;0,MAX(A$348:A435)+1,"")</f>
        <v>18</v>
      </c>
      <c r="B436" s="89" t="s">
        <v>495</v>
      </c>
      <c r="C436" s="76"/>
      <c r="D436" s="14"/>
      <c r="E436" s="14"/>
      <c r="F436" s="552"/>
      <c r="G436" s="667"/>
    </row>
    <row r="437" spans="1:8" s="164" customFormat="1" ht="33.75" customHeight="1">
      <c r="A437" s="152"/>
      <c r="B437" s="17" t="s">
        <v>496</v>
      </c>
      <c r="C437" s="130"/>
      <c r="D437" s="16"/>
      <c r="E437" s="16"/>
      <c r="F437" s="552"/>
      <c r="G437" s="667"/>
    </row>
    <row r="438" spans="1:8" s="164" customFormat="1" ht="11.25" customHeight="1">
      <c r="A438" s="152"/>
      <c r="B438" s="17" t="s">
        <v>497</v>
      </c>
      <c r="C438" s="130"/>
      <c r="D438" s="16"/>
      <c r="E438" s="16"/>
      <c r="F438" s="552"/>
      <c r="G438" s="667"/>
    </row>
    <row r="439" spans="1:8" s="164" customFormat="1" ht="11.25" customHeight="1">
      <c r="A439" s="165"/>
      <c r="B439" s="48" t="s">
        <v>313</v>
      </c>
      <c r="C439" s="16" t="s">
        <v>314</v>
      </c>
      <c r="D439" s="16">
        <v>1</v>
      </c>
      <c r="E439" s="14"/>
      <c r="F439" s="70">
        <f>D439*E439</f>
        <v>0</v>
      </c>
      <c r="G439" s="667"/>
    </row>
    <row r="440" spans="1:8" s="164" customFormat="1" ht="11.25" customHeight="1">
      <c r="A440" s="165"/>
      <c r="B440" s="48"/>
      <c r="C440" s="16"/>
      <c r="D440" s="16"/>
      <c r="E440" s="14"/>
      <c r="F440" s="70"/>
      <c r="G440" s="667"/>
    </row>
    <row r="441" spans="1:8" s="164" customFormat="1" ht="11.25" customHeight="1">
      <c r="A441" s="710">
        <f>IF(B441&gt;0,MAX(A$348:A440)+1,"")</f>
        <v>19</v>
      </c>
      <c r="B441" s="711" t="s">
        <v>498</v>
      </c>
      <c r="C441" s="712"/>
      <c r="D441" s="713"/>
      <c r="E441" s="713"/>
      <c r="F441" s="714"/>
      <c r="G441" s="715"/>
    </row>
    <row r="442" spans="1:8" s="164" customFormat="1" ht="90" customHeight="1">
      <c r="A442" s="716"/>
      <c r="B442" s="717" t="s">
        <v>499</v>
      </c>
      <c r="C442" s="718"/>
      <c r="D442" s="719"/>
      <c r="E442" s="719"/>
      <c r="F442" s="714"/>
      <c r="G442" s="715"/>
    </row>
    <row r="443" spans="1:8" s="472" customFormat="1">
      <c r="A443" s="720"/>
      <c r="B443" s="721" t="s">
        <v>248</v>
      </c>
      <c r="C443" s="722"/>
      <c r="D443" s="723"/>
      <c r="E443" s="723"/>
      <c r="F443" s="724"/>
      <c r="G443" s="725"/>
      <c r="H443" s="646"/>
    </row>
    <row r="444" spans="1:8" s="164" customFormat="1" ht="11.25" customHeight="1">
      <c r="A444" s="726"/>
      <c r="B444" s="727" t="s">
        <v>500</v>
      </c>
      <c r="C444" s="719" t="s">
        <v>143</v>
      </c>
      <c r="D444" s="719">
        <v>0</v>
      </c>
      <c r="E444" s="713"/>
      <c r="F444" s="728"/>
      <c r="G444" s="715"/>
    </row>
    <row r="445" spans="1:8" s="164" customFormat="1" ht="11.25" customHeight="1">
      <c r="A445" s="165"/>
      <c r="B445" s="48"/>
      <c r="C445" s="16"/>
      <c r="D445" s="16"/>
      <c r="E445" s="14"/>
      <c r="F445" s="70"/>
      <c r="G445" s="667"/>
    </row>
    <row r="446" spans="1:8" s="164" customFormat="1" ht="11.25" customHeight="1">
      <c r="A446" s="710">
        <f>IF(B446&gt;0,MAX(A$348:A445)+1,"")</f>
        <v>20</v>
      </c>
      <c r="B446" s="711" t="s">
        <v>501</v>
      </c>
      <c r="C446" s="712"/>
      <c r="D446" s="713"/>
      <c r="E446" s="713"/>
      <c r="F446" s="714"/>
      <c r="G446" s="715"/>
    </row>
    <row r="447" spans="1:8" s="164" customFormat="1" ht="67.5" customHeight="1">
      <c r="A447" s="716"/>
      <c r="B447" s="717" t="s">
        <v>502</v>
      </c>
      <c r="C447" s="718"/>
      <c r="D447" s="719"/>
      <c r="E447" s="719"/>
      <c r="F447" s="714"/>
      <c r="G447" s="715"/>
    </row>
    <row r="448" spans="1:8" s="633" customFormat="1">
      <c r="A448" s="729"/>
      <c r="B448" s="729" t="s">
        <v>503</v>
      </c>
      <c r="C448" s="730"/>
      <c r="D448" s="731"/>
      <c r="E448" s="732"/>
      <c r="F448" s="731"/>
      <c r="G448" s="733"/>
    </row>
    <row r="449" spans="1:32" s="472" customFormat="1">
      <c r="A449" s="720"/>
      <c r="B449" s="721" t="s">
        <v>504</v>
      </c>
      <c r="C449" s="722"/>
      <c r="D449" s="723"/>
      <c r="E449" s="723"/>
      <c r="F449" s="724"/>
      <c r="G449" s="725"/>
      <c r="H449" s="646"/>
    </row>
    <row r="450" spans="1:32" s="164" customFormat="1" ht="11.25" customHeight="1">
      <c r="A450" s="726"/>
      <c r="B450" s="727" t="s">
        <v>32</v>
      </c>
      <c r="C450" s="719" t="s">
        <v>33</v>
      </c>
      <c r="D450" s="719">
        <v>0</v>
      </c>
      <c r="E450" s="713"/>
      <c r="F450" s="728">
        <f>D450*E450</f>
        <v>0</v>
      </c>
      <c r="G450" s="715"/>
    </row>
    <row r="451" spans="1:32" s="167" customFormat="1" ht="11.25" customHeight="1">
      <c r="A451" s="220"/>
      <c r="B451" s="221"/>
      <c r="C451" s="222"/>
      <c r="D451" s="223"/>
      <c r="E451" s="223"/>
      <c r="F451" s="555"/>
      <c r="G451" s="672"/>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row>
    <row r="452" spans="1:32">
      <c r="A452" s="23" t="s">
        <v>447</v>
      </c>
      <c r="B452" s="24" t="s">
        <v>505</v>
      </c>
      <c r="C452" s="25"/>
      <c r="D452" s="26"/>
      <c r="E452" s="26"/>
      <c r="F452" s="631">
        <f>SUM(F351:F451)</f>
        <v>0</v>
      </c>
      <c r="G452" s="666"/>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row>
    <row r="453" spans="1:32">
      <c r="A453" s="102"/>
      <c r="B453" s="224"/>
      <c r="C453" s="32"/>
      <c r="D453" s="33"/>
      <c r="E453" s="33"/>
      <c r="F453" s="526"/>
      <c r="G453" s="649"/>
    </row>
    <row r="454" spans="1:32" s="164" customFormat="1" ht="11.25" customHeight="1">
      <c r="A454" s="78"/>
      <c r="B454" s="79" t="s">
        <v>11</v>
      </c>
      <c r="C454" s="80"/>
      <c r="D454" s="81"/>
      <c r="E454" s="81"/>
      <c r="F454" s="556"/>
      <c r="G454" s="673"/>
      <c r="H454" s="689"/>
    </row>
    <row r="455" spans="1:32" s="164" customFormat="1" ht="11.25" customHeight="1">
      <c r="A455" s="82"/>
      <c r="B455" s="83"/>
      <c r="C455" s="76"/>
      <c r="D455" s="14"/>
      <c r="E455" s="14"/>
      <c r="F455" s="62"/>
      <c r="G455" s="669"/>
      <c r="H455" s="689"/>
    </row>
    <row r="456" spans="1:32" s="164" customFormat="1" ht="11.25" customHeight="1">
      <c r="A456" s="84" t="s">
        <v>15</v>
      </c>
      <c r="B456" s="85" t="s">
        <v>16</v>
      </c>
      <c r="C456" s="86"/>
      <c r="D456" s="87"/>
      <c r="E456" s="87"/>
      <c r="F456" s="557"/>
      <c r="G456" s="674"/>
      <c r="H456" s="689"/>
    </row>
    <row r="457" spans="1:32">
      <c r="A457" s="102" t="str">
        <f>A103</f>
        <v>B.01.</v>
      </c>
      <c r="B457" s="102" t="str">
        <f>B103</f>
        <v>ZAVRŠNO MONTAŽERSKI RADOVI UKUPNO:</v>
      </c>
      <c r="C457" s="102"/>
      <c r="D457" s="102"/>
      <c r="E457" s="102"/>
      <c r="F457" s="558">
        <f>F103</f>
        <v>0</v>
      </c>
      <c r="G457" s="675"/>
    </row>
    <row r="458" spans="1:32">
      <c r="A458" s="102" t="str">
        <f>A172</f>
        <v>B.02.</v>
      </c>
      <c r="B458" s="102" t="str">
        <f>B172</f>
        <v>KERAMIČARSKI RADOVI UKUPNO:</v>
      </c>
      <c r="C458" s="102"/>
      <c r="D458" s="102"/>
      <c r="E458" s="102"/>
      <c r="F458" s="558">
        <f>F172</f>
        <v>0</v>
      </c>
      <c r="G458" s="675"/>
    </row>
    <row r="459" spans="1:32">
      <c r="A459" s="102" t="str">
        <f>A244</f>
        <v>B.03.</v>
      </c>
      <c r="B459" s="102" t="str">
        <f>B244</f>
        <v>PODOPOLAGAČKI RADOVI UKUPNO:</v>
      </c>
      <c r="C459" s="102"/>
      <c r="D459" s="102"/>
      <c r="E459" s="102"/>
      <c r="F459" s="558">
        <f>F244</f>
        <v>0</v>
      </c>
      <c r="G459" s="676"/>
    </row>
    <row r="460" spans="1:32">
      <c r="A460" s="102" t="str">
        <f>A290</f>
        <v>B.04.</v>
      </c>
      <c r="B460" s="102" t="str">
        <f>B290</f>
        <v>SOBOSLIKARSKO LIČILAČKI RADOVI UKUPNO:</v>
      </c>
      <c r="C460" s="102"/>
      <c r="D460" s="102"/>
      <c r="E460" s="102"/>
      <c r="F460" s="558">
        <f>F290</f>
        <v>0</v>
      </c>
      <c r="G460" s="676"/>
    </row>
    <row r="461" spans="1:32">
      <c r="A461" s="102" t="str">
        <f>A329</f>
        <v>B.05.</v>
      </c>
      <c r="B461" s="102" t="str">
        <f>B329</f>
        <v>STOLARSKI RADOVI UKUPNO:</v>
      </c>
      <c r="C461" s="103"/>
      <c r="D461" s="104"/>
      <c r="E461" s="104"/>
      <c r="F461" s="559">
        <f>F329</f>
        <v>0</v>
      </c>
      <c r="G461" s="676"/>
    </row>
    <row r="462" spans="1:32">
      <c r="A462" s="102" t="str">
        <f>A452</f>
        <v>B.06.</v>
      </c>
      <c r="B462" s="102" t="str">
        <f>B452</f>
        <v>BRAVARSKI RADOVI UKUPNO:</v>
      </c>
      <c r="C462" s="103"/>
      <c r="D462" s="104"/>
      <c r="E462" s="104"/>
      <c r="F462" s="559">
        <f>F452</f>
        <v>0</v>
      </c>
      <c r="G462" s="676"/>
    </row>
    <row r="463" spans="1:32">
      <c r="A463" s="105" t="str">
        <f>A456</f>
        <v>B.</v>
      </c>
      <c r="B463" s="106" t="s">
        <v>506</v>
      </c>
      <c r="C463" s="107"/>
      <c r="D463" s="108"/>
      <c r="E463" s="108"/>
      <c r="F463" s="539">
        <f>SUM(F457:F462)</f>
        <v>0</v>
      </c>
      <c r="G463" s="677"/>
    </row>
    <row r="464" spans="1:32">
      <c r="A464" s="102"/>
      <c r="B464" s="224"/>
      <c r="C464" s="32"/>
      <c r="D464" s="33"/>
      <c r="E464" s="33"/>
      <c r="F464" s="526"/>
      <c r="G464" s="649"/>
    </row>
    <row r="465" spans="8:8">
      <c r="H465" s="690"/>
    </row>
    <row r="466" spans="8:8">
      <c r="H466" s="690"/>
    </row>
    <row r="467" spans="8:8">
      <c r="H467" s="690"/>
    </row>
  </sheetData>
  <mergeCells count="7">
    <mergeCell ref="A1:A2"/>
    <mergeCell ref="C1:C2"/>
    <mergeCell ref="B1:B2"/>
    <mergeCell ref="G1:G2"/>
    <mergeCell ref="E1:E2"/>
    <mergeCell ref="D1:D2"/>
    <mergeCell ref="F1:F2"/>
  </mergeCells>
  <printOptions horizontalCentered="1"/>
  <pageMargins left="0.43604166666666672" right="0.64458333333333329" top="0.84399509803921569" bottom="0.74803149606299213" header="0.31496062992125978" footer="0.31496062992125978"/>
  <pageSetup paperSize="9" scale="91" fitToHeight="0" orientation="portrait" r:id="rId1"/>
  <headerFooter>
    <oddHeader>&amp;C&amp;"Arial,Regular"&amp;8 Obrtnički radovi</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G62"/>
  <sheetViews>
    <sheetView tabSelected="1" topLeftCell="A32" workbookViewId="0">
      <selection activeCell="E58" sqref="E58"/>
    </sheetView>
  </sheetViews>
  <sheetFormatPr defaultRowHeight="15"/>
  <cols>
    <col min="2" max="2" width="34.42578125" customWidth="1"/>
    <col min="4" max="4" width="10.5703125" customWidth="1"/>
    <col min="5" max="5" width="11.85546875" customWidth="1"/>
    <col min="6" max="6" width="16.42578125" customWidth="1"/>
  </cols>
  <sheetData>
    <row r="3" spans="1:7">
      <c r="A3" s="806" t="s">
        <v>18</v>
      </c>
      <c r="B3" s="800" t="s">
        <v>19</v>
      </c>
      <c r="C3" s="800" t="s">
        <v>20</v>
      </c>
      <c r="D3" s="804" t="s">
        <v>21</v>
      </c>
      <c r="E3" s="802" t="s">
        <v>22</v>
      </c>
      <c r="F3" s="805" t="s">
        <v>23</v>
      </c>
      <c r="G3" s="800" t="s">
        <v>24</v>
      </c>
    </row>
    <row r="4" spans="1:7">
      <c r="A4" s="801"/>
      <c r="B4" s="801"/>
      <c r="C4" s="801"/>
      <c r="D4" s="801"/>
      <c r="E4" s="803"/>
      <c r="F4" s="801"/>
      <c r="G4" s="801"/>
    </row>
    <row r="5" spans="1:7" ht="31.5" customHeight="1">
      <c r="A5" s="770"/>
      <c r="B5" s="775" t="s">
        <v>507</v>
      </c>
      <c r="C5" s="771"/>
      <c r="D5" s="772"/>
      <c r="E5" s="773"/>
      <c r="F5" s="774"/>
    </row>
    <row r="6" spans="1:7" ht="15.75" customHeight="1">
      <c r="A6" s="776"/>
      <c r="B6" s="777"/>
      <c r="C6" s="778"/>
      <c r="D6" s="779"/>
      <c r="E6" s="780"/>
      <c r="F6" s="781"/>
    </row>
    <row r="7" spans="1:7" ht="15.75" customHeight="1">
      <c r="A7" s="776" t="s">
        <v>508</v>
      </c>
      <c r="B7" s="777" t="s">
        <v>509</v>
      </c>
      <c r="C7" s="778" t="s">
        <v>33</v>
      </c>
      <c r="D7" s="779">
        <v>1</v>
      </c>
      <c r="E7" s="780"/>
      <c r="F7" s="781">
        <f t="shared" ref="F7:F16" si="0">D7*E7</f>
        <v>0</v>
      </c>
    </row>
    <row r="8" spans="1:7" ht="45" customHeight="1">
      <c r="A8" s="776" t="s">
        <v>510</v>
      </c>
      <c r="B8" s="777" t="s">
        <v>511</v>
      </c>
      <c r="C8" s="778" t="s">
        <v>53</v>
      </c>
      <c r="D8" s="779">
        <f>(5.16+1.73+1.77+6-1.53+1.05)*0.3*0.5</f>
        <v>2.13</v>
      </c>
      <c r="E8" s="780"/>
      <c r="F8" s="781">
        <f t="shared" si="0"/>
        <v>0</v>
      </c>
    </row>
    <row r="9" spans="1:7" ht="30" customHeight="1">
      <c r="A9" s="776" t="s">
        <v>512</v>
      </c>
      <c r="B9" s="777" t="s">
        <v>513</v>
      </c>
      <c r="C9" s="778" t="s">
        <v>41</v>
      </c>
      <c r="D9" s="779">
        <f>(5.16+1.73+1.77+6-1.53+1.05)*4</f>
        <v>56.72</v>
      </c>
      <c r="E9" s="780"/>
      <c r="F9" s="781">
        <f t="shared" si="0"/>
        <v>0</v>
      </c>
    </row>
    <row r="10" spans="1:7" ht="30" customHeight="1">
      <c r="A10" s="776" t="s">
        <v>514</v>
      </c>
      <c r="B10" s="777" t="s">
        <v>515</v>
      </c>
      <c r="C10" s="778" t="s">
        <v>53</v>
      </c>
      <c r="D10" s="779">
        <f>(5.16+1.73+1.77+6-1.53+1.05)*4*0.4</f>
        <v>22.69</v>
      </c>
      <c r="E10" s="780"/>
      <c r="F10" s="781">
        <f t="shared" si="0"/>
        <v>0</v>
      </c>
    </row>
    <row r="11" spans="1:7" ht="30" customHeight="1">
      <c r="A11" s="776" t="s">
        <v>516</v>
      </c>
      <c r="B11" s="777" t="s">
        <v>517</v>
      </c>
      <c r="C11" s="778" t="s">
        <v>53</v>
      </c>
      <c r="D11" s="779">
        <f>(4.16+3.14*0.9/2+4+3.14*1.1*0.5+0.8+3.14*0.9*0.5+1.76)*1.3*0.5</f>
        <v>9.93</v>
      </c>
      <c r="E11" s="780"/>
      <c r="F11" s="781">
        <f t="shared" si="0"/>
        <v>0</v>
      </c>
    </row>
    <row r="12" spans="1:7" ht="45" customHeight="1">
      <c r="A12" s="776" t="s">
        <v>518</v>
      </c>
      <c r="B12" s="777" t="s">
        <v>519</v>
      </c>
      <c r="C12" s="778" t="s">
        <v>41</v>
      </c>
      <c r="D12" s="779">
        <f>(4.16+3.14*0.9/2+4+3.14*1.1*0.5+0.8+3.14*0.9*0.5+1.76)*0.5*2</f>
        <v>15.27</v>
      </c>
      <c r="E12" s="780"/>
      <c r="F12" s="781">
        <f t="shared" si="0"/>
        <v>0</v>
      </c>
    </row>
    <row r="13" spans="1:7" ht="30" customHeight="1">
      <c r="A13" s="776" t="s">
        <v>520</v>
      </c>
      <c r="B13" s="777" t="s">
        <v>521</v>
      </c>
      <c r="C13" s="778" t="s">
        <v>53</v>
      </c>
      <c r="D13" s="779">
        <v>4.9000000000000004</v>
      </c>
      <c r="E13" s="780"/>
      <c r="F13" s="781">
        <f t="shared" si="0"/>
        <v>0</v>
      </c>
    </row>
    <row r="14" spans="1:7" ht="30" customHeight="1">
      <c r="A14" s="776" t="s">
        <v>522</v>
      </c>
      <c r="B14" s="777" t="s">
        <v>523</v>
      </c>
      <c r="C14" s="778" t="s">
        <v>41</v>
      </c>
      <c r="D14" s="779">
        <f>(4.16+3.14*0.9/2+4+3.14*1.1*0.5+0.8+3.14*0.9*0.5+1.76)*1.5*2</f>
        <v>45.82</v>
      </c>
      <c r="E14" s="780"/>
      <c r="F14" s="781">
        <f t="shared" si="0"/>
        <v>0</v>
      </c>
    </row>
    <row r="15" spans="1:7" ht="30" customHeight="1">
      <c r="A15" s="776" t="s">
        <v>524</v>
      </c>
      <c r="B15" s="777" t="s">
        <v>525</v>
      </c>
      <c r="C15" s="778" t="s">
        <v>143</v>
      </c>
      <c r="D15" s="779">
        <f>375.66+314.73</f>
        <v>690.39</v>
      </c>
      <c r="E15" s="780"/>
      <c r="F15" s="781">
        <f t="shared" si="0"/>
        <v>0</v>
      </c>
    </row>
    <row r="16" spans="1:7" ht="30" customHeight="1">
      <c r="A16" s="776" t="s">
        <v>526</v>
      </c>
      <c r="B16" s="777" t="s">
        <v>527</v>
      </c>
      <c r="C16" s="778" t="s">
        <v>53</v>
      </c>
      <c r="D16" s="779">
        <f>(4.16+3.14*0.9/2+4+3.14*1.1*0.5+0.8+3.14*0.9*0.5+1.76)*1.5*2</f>
        <v>45.82</v>
      </c>
      <c r="E16" s="780"/>
      <c r="F16" s="781">
        <f t="shared" si="0"/>
        <v>0</v>
      </c>
    </row>
    <row r="18" spans="1:6" ht="60" customHeight="1">
      <c r="B18" s="782" t="s">
        <v>528</v>
      </c>
    </row>
    <row r="20" spans="1:6" ht="15.75" customHeight="1">
      <c r="A20" s="776" t="s">
        <v>508</v>
      </c>
      <c r="B20" s="777" t="s">
        <v>529</v>
      </c>
      <c r="C20" s="778" t="s">
        <v>530</v>
      </c>
      <c r="D20" s="779">
        <v>1</v>
      </c>
      <c r="E20" s="780"/>
      <c r="F20" s="781">
        <f t="shared" ref="F20:F25" si="1">D20*E20</f>
        <v>0</v>
      </c>
    </row>
    <row r="21" spans="1:6" ht="45" customHeight="1">
      <c r="A21" s="776" t="s">
        <v>510</v>
      </c>
      <c r="B21" s="777" t="s">
        <v>531</v>
      </c>
      <c r="C21" s="778" t="s">
        <v>530</v>
      </c>
      <c r="D21" s="779">
        <v>1</v>
      </c>
      <c r="E21" s="780"/>
      <c r="F21" s="781">
        <f t="shared" si="1"/>
        <v>0</v>
      </c>
    </row>
    <row r="22" spans="1:6" ht="30" customHeight="1">
      <c r="A22" s="776" t="s">
        <v>512</v>
      </c>
      <c r="B22" s="777" t="s">
        <v>532</v>
      </c>
      <c r="C22" s="778" t="s">
        <v>530</v>
      </c>
      <c r="D22" s="779">
        <v>1</v>
      </c>
      <c r="E22" s="780"/>
      <c r="F22" s="781">
        <f t="shared" si="1"/>
        <v>0</v>
      </c>
    </row>
    <row r="23" spans="1:6" ht="15.75" customHeight="1">
      <c r="A23" s="776" t="s">
        <v>514</v>
      </c>
      <c r="B23" s="777" t="s">
        <v>533</v>
      </c>
      <c r="C23" s="778" t="s">
        <v>53</v>
      </c>
      <c r="D23" s="779">
        <v>16.8</v>
      </c>
      <c r="E23" s="780"/>
      <c r="F23" s="781">
        <f t="shared" si="1"/>
        <v>0</v>
      </c>
    </row>
    <row r="24" spans="1:6" ht="45" customHeight="1">
      <c r="A24" s="776" t="s">
        <v>516</v>
      </c>
      <c r="B24" s="777" t="s">
        <v>534</v>
      </c>
      <c r="C24" s="778" t="s">
        <v>53</v>
      </c>
      <c r="D24" s="779">
        <v>4.8</v>
      </c>
      <c r="E24" s="780"/>
      <c r="F24" s="781">
        <f t="shared" si="1"/>
        <v>0</v>
      </c>
    </row>
    <row r="25" spans="1:6" ht="30" customHeight="1">
      <c r="A25" s="776" t="s">
        <v>518</v>
      </c>
      <c r="B25" s="777" t="s">
        <v>535</v>
      </c>
      <c r="C25" s="778" t="s">
        <v>41</v>
      </c>
      <c r="D25" s="779">
        <v>24</v>
      </c>
      <c r="E25" s="780"/>
      <c r="F25" s="781">
        <f t="shared" si="1"/>
        <v>0</v>
      </c>
    </row>
    <row r="26" spans="1:6" ht="30" customHeight="1">
      <c r="A26" s="776" t="s">
        <v>520</v>
      </c>
      <c r="B26" s="777" t="s">
        <v>536</v>
      </c>
      <c r="C26" s="778"/>
      <c r="D26" s="779"/>
      <c r="E26" s="780"/>
      <c r="F26" s="781"/>
    </row>
    <row r="27" spans="1:6" ht="15.75" customHeight="1">
      <c r="A27" s="776" t="s">
        <v>522</v>
      </c>
      <c r="B27" s="777" t="s">
        <v>103</v>
      </c>
      <c r="C27" s="778" t="s">
        <v>53</v>
      </c>
      <c r="D27" s="779">
        <v>3.6</v>
      </c>
      <c r="E27" s="780"/>
      <c r="F27" s="781">
        <f>D27*E27</f>
        <v>0</v>
      </c>
    </row>
    <row r="28" spans="1:6" ht="15.75" customHeight="1">
      <c r="A28" s="776" t="s">
        <v>524</v>
      </c>
      <c r="B28" s="777" t="s">
        <v>104</v>
      </c>
      <c r="C28" s="778" t="s">
        <v>41</v>
      </c>
      <c r="D28" s="779">
        <v>14.7</v>
      </c>
      <c r="E28" s="780"/>
      <c r="F28" s="781">
        <f>D28*E28</f>
        <v>0</v>
      </c>
    </row>
    <row r="29" spans="1:6" ht="30" customHeight="1">
      <c r="A29" s="776" t="s">
        <v>526</v>
      </c>
      <c r="B29" s="777" t="s">
        <v>537</v>
      </c>
      <c r="C29" s="778"/>
      <c r="D29" s="779"/>
      <c r="E29" s="780"/>
      <c r="F29" s="781"/>
    </row>
    <row r="30" spans="1:6" ht="15.75" customHeight="1">
      <c r="A30" s="776" t="s">
        <v>538</v>
      </c>
      <c r="B30" s="777" t="s">
        <v>103</v>
      </c>
      <c r="C30" s="778" t="s">
        <v>53</v>
      </c>
      <c r="D30" s="779">
        <v>3.3</v>
      </c>
      <c r="E30" s="780"/>
      <c r="F30" s="781">
        <f>D30*E30</f>
        <v>0</v>
      </c>
    </row>
    <row r="31" spans="1:6" ht="15.75" customHeight="1">
      <c r="A31" s="776" t="s">
        <v>539</v>
      </c>
      <c r="B31" s="777" t="s">
        <v>104</v>
      </c>
      <c r="C31" s="778" t="s">
        <v>41</v>
      </c>
      <c r="D31" s="779">
        <v>33.299999999999997</v>
      </c>
      <c r="E31" s="780"/>
      <c r="F31" s="781">
        <f>D31*E31</f>
        <v>0</v>
      </c>
    </row>
    <row r="32" spans="1:6" ht="15.75" customHeight="1">
      <c r="A32" s="776" t="s">
        <v>540</v>
      </c>
      <c r="B32" s="777" t="s">
        <v>541</v>
      </c>
      <c r="C32" s="778" t="s">
        <v>143</v>
      </c>
      <c r="D32" s="779">
        <v>814.2</v>
      </c>
      <c r="E32" s="780"/>
      <c r="F32" s="781">
        <f>D32*E32</f>
        <v>0</v>
      </c>
    </row>
    <row r="33" spans="1:6" ht="45" customHeight="1">
      <c r="A33" s="776" t="s">
        <v>542</v>
      </c>
      <c r="B33" s="777" t="s">
        <v>543</v>
      </c>
      <c r="C33" s="778" t="s">
        <v>544</v>
      </c>
      <c r="D33" s="779">
        <v>24</v>
      </c>
      <c r="E33" s="780"/>
      <c r="F33" s="781">
        <f>D33*E33</f>
        <v>0</v>
      </c>
    </row>
    <row r="34" spans="1:6" ht="45" customHeight="1">
      <c r="A34" s="776" t="s">
        <v>545</v>
      </c>
      <c r="B34" s="777" t="s">
        <v>546</v>
      </c>
      <c r="C34" s="778" t="s">
        <v>314</v>
      </c>
      <c r="D34" s="779">
        <v>1</v>
      </c>
      <c r="E34" s="780"/>
      <c r="F34" s="781">
        <f>D34*E34</f>
        <v>0</v>
      </c>
    </row>
    <row r="36" spans="1:6">
      <c r="B36" s="783" t="s">
        <v>547</v>
      </c>
    </row>
    <row r="38" spans="1:6" ht="30" customHeight="1">
      <c r="A38" s="776" t="s">
        <v>508</v>
      </c>
      <c r="B38" s="777" t="s">
        <v>532</v>
      </c>
      <c r="C38" s="778" t="s">
        <v>530</v>
      </c>
      <c r="D38" s="779">
        <v>1</v>
      </c>
      <c r="E38" s="780"/>
      <c r="F38" s="781">
        <f>D38*E38</f>
        <v>0</v>
      </c>
    </row>
    <row r="39" spans="1:6" ht="15.75" customHeight="1">
      <c r="A39" s="776" t="s">
        <v>510</v>
      </c>
      <c r="B39" s="777" t="s">
        <v>548</v>
      </c>
      <c r="C39" s="778" t="s">
        <v>53</v>
      </c>
      <c r="D39" s="779">
        <f>(35.54*2+24.67)*1.5*0.5</f>
        <v>71.81</v>
      </c>
      <c r="E39" s="780"/>
      <c r="F39" s="781">
        <f>D39*E39</f>
        <v>0</v>
      </c>
    </row>
    <row r="40" spans="1:6" ht="30" customHeight="1">
      <c r="A40" s="776" t="s">
        <v>512</v>
      </c>
      <c r="B40" s="777" t="s">
        <v>549</v>
      </c>
      <c r="C40" s="778" t="s">
        <v>53</v>
      </c>
      <c r="D40" s="779">
        <f>(35.54*2+24.67)*1.5*1.3</f>
        <v>186.71</v>
      </c>
      <c r="E40" s="780"/>
      <c r="F40" s="781">
        <f>D40*E40</f>
        <v>0</v>
      </c>
    </row>
    <row r="41" spans="1:6" ht="30" customHeight="1">
      <c r="A41" s="776" t="s">
        <v>514</v>
      </c>
      <c r="B41" s="777" t="s">
        <v>535</v>
      </c>
      <c r="C41" s="778" t="s">
        <v>41</v>
      </c>
      <c r="D41" s="779">
        <f>1.5*(2*35.54+24.67)</f>
        <v>143.63</v>
      </c>
      <c r="E41" s="780"/>
      <c r="F41" s="781">
        <f>D41*E41</f>
        <v>0</v>
      </c>
    </row>
    <row r="42" spans="1:6" ht="15.75" customHeight="1">
      <c r="A42" s="776" t="s">
        <v>516</v>
      </c>
      <c r="B42" s="777" t="s">
        <v>550</v>
      </c>
      <c r="C42" s="778"/>
      <c r="D42" s="779"/>
      <c r="E42" s="780"/>
      <c r="F42" s="781"/>
    </row>
    <row r="43" spans="1:6" ht="15.75" customHeight="1">
      <c r="A43" s="776" t="s">
        <v>518</v>
      </c>
      <c r="B43" s="777" t="s">
        <v>103</v>
      </c>
      <c r="C43" s="778" t="s">
        <v>53</v>
      </c>
      <c r="D43" s="779">
        <f>1.2*(2*35.54+24.67)*0.5</f>
        <v>57.45</v>
      </c>
      <c r="E43" s="780"/>
      <c r="F43" s="781">
        <f>D43*E43</f>
        <v>0</v>
      </c>
    </row>
    <row r="44" spans="1:6" ht="15.75" customHeight="1">
      <c r="A44" s="776" t="s">
        <v>520</v>
      </c>
      <c r="B44" s="777" t="s">
        <v>104</v>
      </c>
      <c r="C44" s="778" t="s">
        <v>41</v>
      </c>
      <c r="D44" s="779">
        <f>1*(2*35.54+24.67)</f>
        <v>95.75</v>
      </c>
      <c r="E44" s="780"/>
      <c r="F44" s="781">
        <f>D44*E44</f>
        <v>0</v>
      </c>
    </row>
    <row r="45" spans="1:6" ht="15.75" customHeight="1">
      <c r="A45" s="776" t="s">
        <v>522</v>
      </c>
      <c r="B45" s="777" t="s">
        <v>551</v>
      </c>
      <c r="C45" s="778"/>
      <c r="D45" s="779"/>
      <c r="E45" s="780"/>
      <c r="F45" s="781"/>
    </row>
    <row r="46" spans="1:6" ht="15.75" customHeight="1">
      <c r="A46" s="776" t="s">
        <v>524</v>
      </c>
      <c r="B46" s="777" t="s">
        <v>103</v>
      </c>
      <c r="C46" s="778" t="s">
        <v>53</v>
      </c>
      <c r="D46" s="779">
        <f>1.35*0.2*(2*35.54+24.67)</f>
        <v>25.85</v>
      </c>
      <c r="E46" s="780"/>
      <c r="F46" s="781">
        <f>D46*E46</f>
        <v>0</v>
      </c>
    </row>
    <row r="47" spans="1:6" ht="15.75" customHeight="1">
      <c r="A47" s="776" t="s">
        <v>526</v>
      </c>
      <c r="B47" s="777" t="s">
        <v>104</v>
      </c>
      <c r="C47" s="778" t="s">
        <v>41</v>
      </c>
      <c r="D47" s="779">
        <f>1.35*2*(2*35.54+24.67)</f>
        <v>258.52999999999997</v>
      </c>
      <c r="E47" s="780"/>
      <c r="F47" s="781">
        <f>D47*E47</f>
        <v>0</v>
      </c>
    </row>
    <row r="48" spans="1:6" ht="15.75" customHeight="1">
      <c r="A48" s="776" t="s">
        <v>538</v>
      </c>
      <c r="B48" s="777" t="s">
        <v>541</v>
      </c>
      <c r="C48" s="778" t="s">
        <v>143</v>
      </c>
      <c r="D48" s="779">
        <f>D46+D43*70</f>
        <v>4047.35</v>
      </c>
      <c r="E48" s="780"/>
      <c r="F48" s="781">
        <f>D48*E48</f>
        <v>0</v>
      </c>
    </row>
    <row r="49" spans="1:6" ht="45" customHeight="1">
      <c r="A49" s="776" t="s">
        <v>539</v>
      </c>
      <c r="B49" s="777" t="s">
        <v>543</v>
      </c>
      <c r="C49" s="778" t="s">
        <v>544</v>
      </c>
      <c r="D49" s="779">
        <f>35.54*2+24.67</f>
        <v>95.75</v>
      </c>
      <c r="E49" s="780"/>
      <c r="F49" s="781">
        <f>D49*E49</f>
        <v>0</v>
      </c>
    </row>
    <row r="50" spans="1:6" ht="45" customHeight="1">
      <c r="A50" s="776" t="s">
        <v>540</v>
      </c>
      <c r="B50" s="777" t="s">
        <v>546</v>
      </c>
      <c r="C50" s="778" t="s">
        <v>314</v>
      </c>
      <c r="D50" s="779">
        <v>2</v>
      </c>
      <c r="E50" s="780"/>
      <c r="F50" s="781">
        <f>D50*E50</f>
        <v>0</v>
      </c>
    </row>
    <row r="52" spans="1:6" ht="15.75" customHeight="1">
      <c r="A52" s="784"/>
      <c r="B52" s="785" t="s">
        <v>552</v>
      </c>
      <c r="C52" s="786"/>
      <c r="D52" s="787"/>
      <c r="E52" s="788"/>
      <c r="F52" s="789">
        <f>SUM(F11:F50)</f>
        <v>0</v>
      </c>
    </row>
    <row r="54" spans="1:6" ht="15.75" customHeight="1">
      <c r="A54" s="776" t="s">
        <v>538</v>
      </c>
      <c r="B54" s="777" t="s">
        <v>553</v>
      </c>
      <c r="C54" s="778" t="s">
        <v>554</v>
      </c>
      <c r="D54" s="779">
        <v>10</v>
      </c>
      <c r="E54" s="780"/>
      <c r="F54" s="781">
        <f>D54*E54/100</f>
        <v>0</v>
      </c>
    </row>
    <row r="55" spans="1:6" ht="15.75" customHeight="1">
      <c r="A55" s="790"/>
      <c r="B55" s="777"/>
      <c r="C55" s="778"/>
      <c r="D55" s="779"/>
      <c r="E55" s="780"/>
      <c r="F55" s="781"/>
    </row>
    <row r="56" spans="1:6" ht="15.75" customHeight="1">
      <c r="A56" s="784"/>
      <c r="B56" s="785" t="s">
        <v>552</v>
      </c>
      <c r="C56" s="786"/>
      <c r="D56" s="787"/>
      <c r="E56" s="788"/>
      <c r="F56" s="789">
        <f>F52+F54</f>
        <v>0</v>
      </c>
    </row>
    <row r="57" spans="1:6" ht="15.75" customHeight="1">
      <c r="A57" s="790"/>
      <c r="B57" s="777"/>
      <c r="C57" s="778"/>
      <c r="D57" s="779"/>
      <c r="E57" s="780"/>
      <c r="F57" s="781"/>
    </row>
    <row r="58" spans="1:6" ht="15.75" customHeight="1">
      <c r="A58" s="790"/>
      <c r="B58" s="777" t="s">
        <v>555</v>
      </c>
      <c r="C58" s="811">
        <v>0.25</v>
      </c>
      <c r="D58" s="812"/>
      <c r="E58" s="780"/>
      <c r="F58" s="781">
        <f>F56*C58</f>
        <v>0</v>
      </c>
    </row>
    <row r="59" spans="1:6" ht="15.75" customHeight="1">
      <c r="A59" s="790"/>
      <c r="B59" s="777"/>
      <c r="C59" s="778"/>
      <c r="D59" s="779"/>
      <c r="E59" s="780"/>
      <c r="F59" s="781"/>
    </row>
    <row r="60" spans="1:6" ht="16.5" customHeight="1" thickBot="1">
      <c r="A60" s="791"/>
      <c r="B60" s="792" t="s">
        <v>556</v>
      </c>
      <c r="C60" s="793"/>
      <c r="D60" s="794"/>
      <c r="E60" s="795"/>
      <c r="F60" s="796">
        <f>F56+F58</f>
        <v>0</v>
      </c>
    </row>
    <row r="61" spans="1:6" ht="15.75" customHeight="1" thickTop="1"/>
    <row r="62" spans="1:6">
      <c r="B62" t="s">
        <v>557</v>
      </c>
    </row>
  </sheetData>
  <mergeCells count="8">
    <mergeCell ref="C3:C4"/>
    <mergeCell ref="B3:B4"/>
    <mergeCell ref="A3:A4"/>
    <mergeCell ref="G3:G4"/>
    <mergeCell ref="C58:D58"/>
    <mergeCell ref="E3:E4"/>
    <mergeCell ref="F3:F4"/>
    <mergeCell ref="D3:D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NASLOVNICA</vt:lpstr>
      <vt:lpstr>REKAPITULACIJA</vt:lpstr>
      <vt:lpstr>A.GRAĐEVINSKI RADOVI</vt:lpstr>
      <vt:lpstr>B.OBRTNIČKI RADOVI</vt:lpstr>
      <vt:lpstr>C.POTPORNI ZID I PARAPET</vt:lpstr>
      <vt:lpstr>'B.OBRTNIČKI RADOVI'!Print_Area</vt:lpstr>
      <vt:lpstr>NASLOVNICA!Print_Area</vt:lpstr>
      <vt:lpstr>REKAPITULACIJA!Print_Area</vt:lpstr>
      <vt:lpstr>'B.OBRTNIČKI RADOVI'!Print_Titles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Renato-ZG</dc:creator>
  <cp:lastModifiedBy>Ivan Cakaric</cp:lastModifiedBy>
  <cp:lastPrinted>2021-09-15T13:53:46Z</cp:lastPrinted>
  <dcterms:created xsi:type="dcterms:W3CDTF">2015-06-05T18:19:34Z</dcterms:created>
  <dcterms:modified xsi:type="dcterms:W3CDTF">2026-09-01T15:01:09Z</dcterms:modified>
</cp:coreProperties>
</file>