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66925"/>
  <mc:AlternateContent xmlns:mc="http://schemas.openxmlformats.org/markup-compatibility/2006">
    <mc:Choice Requires="x15">
      <x15ac:absPath xmlns:x15ac="http://schemas.microsoft.com/office/spreadsheetml/2010/11/ac" url="T:\7_PONUDE 2026\Tratinska obnova Kristijan\"/>
    </mc:Choice>
  </mc:AlternateContent>
  <xr:revisionPtr revIDLastSave="0" documentId="13_ncr:1_{7ED50FC2-6A94-4263-A667-74B0CF47C23E}" xr6:coauthVersionLast="47" xr6:coauthVersionMax="47" xr10:uidLastSave="{00000000-0000-0000-0000-000000000000}"/>
  <bookViews>
    <workbookView xWindow="28620" yWindow="1455" windowWidth="33570" windowHeight="19080" tabRatio="898" activeTab="15" xr2:uid="{00000000-000D-0000-FFFF-FFFF00000000}"/>
  </bookViews>
  <sheets>
    <sheet name="N" sheetId="1" r:id="rId1"/>
    <sheet name="R" sheetId="3" r:id="rId2"/>
    <sheet name="A.0." sheetId="4" r:id="rId3"/>
    <sheet name="A.1.PRIPREMNI" sheetId="6" r:id="rId4"/>
    <sheet name="A.2.ZIDARSKI" sheetId="10" r:id="rId5"/>
    <sheet name="A.3.LIČILAČKI" sheetId="33" r:id="rId6"/>
    <sheet name="A.4.FASADERSKI" sheetId="42" r:id="rId7"/>
    <sheet name="A.5.STOLARSKI" sheetId="41" r:id="rId8"/>
    <sheet name="S.0." sheetId="35" r:id="rId9"/>
    <sheet name="S.1.PRIPREMNI" sheetId="31" r:id="rId10"/>
    <sheet name="S.2.ZIDARSKI" sheetId="32" r:id="rId11"/>
    <sheet name="S.3.LIČILAČKI" sheetId="16" r:id="rId12"/>
    <sheet name="S.4.STOLARSKI" sheetId="39" r:id="rId13"/>
    <sheet name="F.0." sheetId="36" r:id="rId14"/>
    <sheet name="F.1.PRIPREMNI" sheetId="38" r:id="rId15"/>
    <sheet name="F.2.FASADERSKI" sheetId="34" r:id="rId16"/>
    <sheet name="F.3.STOLARSKI" sheetId="40" r:id="rId17"/>
  </sheets>
  <definedNames>
    <definedName name="AUTOR">N!$D$15</definedName>
    <definedName name="AUTOR_ADRESA">N!$D$16</definedName>
    <definedName name="AUTOR_GRAD">N!$D$17</definedName>
    <definedName name="AUTOR_NAZIV">N!$D$15</definedName>
    <definedName name="AUTOR_OIB">N!$D$18</definedName>
    <definedName name="AUTOR_PROJEKTANT">N!$D$20</definedName>
    <definedName name="dadad">#REF!</definedName>
    <definedName name="DATUM" localSheetId="5">#REF!</definedName>
    <definedName name="DATUM" localSheetId="6">#REF!</definedName>
    <definedName name="DATUM" localSheetId="7">#REF!</definedName>
    <definedName name="DATUM" localSheetId="11">#REF!</definedName>
    <definedName name="DATUM" localSheetId="12">#REF!</definedName>
    <definedName name="DATUM">N!$C$43</definedName>
    <definedName name="INVESTITOR_ADRESA" localSheetId="5">#REF!</definedName>
    <definedName name="INVESTITOR_ADRESA" localSheetId="6">#REF!</definedName>
    <definedName name="INVESTITOR_ADRESA" localSheetId="7">#REF!</definedName>
    <definedName name="INVESTITOR_ADRESA" localSheetId="11">#REF!</definedName>
    <definedName name="INVESTITOR_ADRESA" localSheetId="12">#REF!</definedName>
    <definedName name="INVESTITOR_ADRESA">N!$D$8</definedName>
    <definedName name="INVESTITOR_NAZIV" localSheetId="5">#REF!</definedName>
    <definedName name="INVESTITOR_NAZIV" localSheetId="6">#REF!</definedName>
    <definedName name="INVESTITOR_NAZIV" localSheetId="7">#REF!</definedName>
    <definedName name="INVESTITOR_NAZIV" localSheetId="11">#REF!</definedName>
    <definedName name="INVESTITOR_NAZIV" localSheetId="12">#REF!</definedName>
    <definedName name="INVESTITOR_NAZIV">N!$D$7</definedName>
    <definedName name="INVESTITOR_OIB" localSheetId="5">#REF!</definedName>
    <definedName name="INVESTITOR_OIB" localSheetId="6">#REF!</definedName>
    <definedName name="INVESTITOR_OIB" localSheetId="7">#REF!</definedName>
    <definedName name="INVESTITOR_OIB" localSheetId="11">#REF!</definedName>
    <definedName name="INVESTITOR_OIB" localSheetId="12">#REF!</definedName>
    <definedName name="INVESTITOR_OIB">N!$D$9</definedName>
    <definedName name="OIB">N!$D$9</definedName>
    <definedName name="_xlnm.Print_Area" localSheetId="2">'A.0.'!$B$2:$D$46</definedName>
    <definedName name="_xlnm.Print_Area" localSheetId="3">'A.1.PRIPREMNI'!$B$2:$G$39</definedName>
    <definedName name="_xlnm.Print_Area" localSheetId="4">'A.2.ZIDARSKI'!$B$2:$G$81</definedName>
    <definedName name="_xlnm.Print_Area" localSheetId="5">'A.3.LIČILAČKI'!$B$2:$G$145</definedName>
    <definedName name="_xlnm.Print_Area" localSheetId="6">'A.4.FASADERSKI'!$B$2:$G$23</definedName>
    <definedName name="_xlnm.Print_Area" localSheetId="7">'A.5.STOLARSKI'!$B$2:$G$44</definedName>
    <definedName name="_xlnm.Print_Area" localSheetId="13">'F.0.'!$B$2:$D$46</definedName>
    <definedName name="_xlnm.Print_Area" localSheetId="14">'F.1.PRIPREMNI'!$B$2:$G$46</definedName>
    <definedName name="_xlnm.Print_Area" localSheetId="15">'F.2.FASADERSKI'!$B$2:$G$46</definedName>
    <definedName name="_xlnm.Print_Area" localSheetId="16">'F.3.STOLARSKI'!$B$2:$G$18</definedName>
    <definedName name="_xlnm.Print_Area" localSheetId="0">N!$B$2:$D$44</definedName>
    <definedName name="_xlnm.Print_Area" localSheetId="1">'R'!$B$2:$D$19</definedName>
    <definedName name="_xlnm.Print_Area" localSheetId="8">'S.0.'!$B$2:$D$46</definedName>
    <definedName name="_xlnm.Print_Area" localSheetId="9">'S.1.PRIPREMNI'!$B$2:$G$64</definedName>
    <definedName name="_xlnm.Print_Area" localSheetId="10">'S.2.ZIDARSKI'!$B$2:$G$71</definedName>
    <definedName name="_xlnm.Print_Area" localSheetId="11">'S.3.LIČILAČKI'!$B$2:$G$151</definedName>
    <definedName name="_xlnm.Print_Area" localSheetId="12">'S.4.STOLARSKI'!$B$2:$G$20</definedName>
    <definedName name="Print_Area_MI" localSheetId="2">#REF!</definedName>
    <definedName name="Print_Area_MI" localSheetId="13">#REF!</definedName>
    <definedName name="Print_Area_MI" localSheetId="1">#REF!</definedName>
    <definedName name="Print_Area_MI" localSheetId="8">#REF!</definedName>
    <definedName name="Print_Area_MI">#REF!</definedName>
    <definedName name="_xlnm.Print_Titles" localSheetId="3">'A.1.PRIPREMNI'!$2:$7</definedName>
    <definedName name="_xlnm.Print_Titles" localSheetId="4">'A.2.ZIDARSKI'!$2:$7</definedName>
    <definedName name="_xlnm.Print_Titles" localSheetId="5">'A.3.LIČILAČKI'!$2:$7</definedName>
    <definedName name="_xlnm.Print_Titles" localSheetId="6">'A.4.FASADERSKI'!$2:$7</definedName>
    <definedName name="_xlnm.Print_Titles" localSheetId="7">'A.5.STOLARSKI'!$2:$7</definedName>
    <definedName name="_xlnm.Print_Titles" localSheetId="14">'F.1.PRIPREMNI'!$2:$7</definedName>
    <definedName name="_xlnm.Print_Titles" localSheetId="15">'F.2.FASADERSKI'!$2:$8</definedName>
    <definedName name="_xlnm.Print_Titles" localSheetId="16">'F.3.STOLARSKI'!$2:$6</definedName>
    <definedName name="_xlnm.Print_Titles" localSheetId="1">'R'!$2:$5</definedName>
    <definedName name="_xlnm.Print_Titles" localSheetId="9">'S.1.PRIPREMNI'!$2:$13</definedName>
    <definedName name="_xlnm.Print_Titles" localSheetId="10">'S.2.ZIDARSKI'!$2:$6</definedName>
    <definedName name="_xlnm.Print_Titles" localSheetId="11">'S.3.LIČILAČKI'!$2:$8</definedName>
    <definedName name="_xlnm.Print_Titles" localSheetId="12">'S.4.STOLARSKI'!$2:$8</definedName>
    <definedName name="PROJEKT_LOKACIJA" localSheetId="5">#REF!</definedName>
    <definedName name="PROJEKT_LOKACIJA" localSheetId="6">#REF!</definedName>
    <definedName name="PROJEKT_LOKACIJA" localSheetId="7">#REF!</definedName>
    <definedName name="PROJEKT_LOKACIJA" localSheetId="11">#REF!</definedName>
    <definedName name="PROJEKT_LOKACIJA" localSheetId="12">#REF!</definedName>
    <definedName name="PROJEKT_LOKACIJA">N!$D$13</definedName>
    <definedName name="PROJEKT_NAZIV" localSheetId="5">#REF!</definedName>
    <definedName name="PROJEKT_NAZIV" localSheetId="6">#REF!</definedName>
    <definedName name="PROJEKT_NAZIV" localSheetId="7">#REF!</definedName>
    <definedName name="PROJEKT_NAZIV" localSheetId="11">#REF!</definedName>
    <definedName name="PROJEKT_NAZIV" localSheetId="12">#REF!</definedName>
    <definedName name="PROJEKT_NAZIV">N!$D$11</definedName>
    <definedName name="PROJEKT_ZOP" localSheetId="5">#REF!</definedName>
    <definedName name="PROJEKT_ZOP" localSheetId="6">#REF!</definedName>
    <definedName name="PROJEKT_ZOP" localSheetId="7">#REF!</definedName>
    <definedName name="PROJEKT_ZOP" localSheetId="11">#REF!</definedName>
    <definedName name="PROJEKT_ZOP" localSheetId="12">#REF!</definedName>
    <definedName name="PROJEKT_ZOP">N!#REF!</definedName>
  </definedNames>
  <calcPr calcId="191029"/>
</workbook>
</file>

<file path=xl/calcChain.xml><?xml version="1.0" encoding="utf-8"?>
<calcChain xmlns="http://schemas.openxmlformats.org/spreadsheetml/2006/main">
  <c r="C4" i="42" l="1"/>
  <c r="B4" i="42"/>
  <c r="C4" i="41" l="1"/>
  <c r="B4" i="41"/>
  <c r="C16" i="3"/>
  <c r="B6" i="40"/>
  <c r="B16" i="3" s="1"/>
  <c r="C18" i="40"/>
  <c r="G16" i="40"/>
  <c r="G18" i="40"/>
  <c r="D16" i="3" s="1"/>
  <c r="C4" i="40"/>
  <c r="B4" i="40"/>
  <c r="C10" i="3"/>
  <c r="G20" i="39"/>
  <c r="D10" i="3" s="1"/>
  <c r="C20" i="39"/>
  <c r="G18" i="39"/>
  <c r="C4" i="39"/>
  <c r="B4" i="39"/>
  <c r="B8" i="39" s="1"/>
  <c r="B10" i="3" s="1"/>
  <c r="G24" i="16"/>
  <c r="B18" i="40" l="1"/>
  <c r="B8" i="40"/>
  <c r="B20" i="39"/>
  <c r="B10" i="39"/>
  <c r="G37" i="31"/>
  <c r="G32" i="31"/>
  <c r="G34" i="31"/>
  <c r="G27" i="34"/>
  <c r="G30" i="34"/>
  <c r="G137" i="16"/>
  <c r="G136" i="16"/>
  <c r="G121" i="16"/>
  <c r="G99" i="16"/>
  <c r="G89" i="16"/>
  <c r="G66" i="16"/>
  <c r="G57" i="16"/>
  <c r="G44" i="16"/>
  <c r="G15" i="16"/>
  <c r="G56" i="32"/>
  <c r="G47" i="32"/>
  <c r="G26" i="32"/>
  <c r="G17" i="32"/>
  <c r="C15" i="3" l="1"/>
  <c r="C14" i="3"/>
  <c r="C4" i="34"/>
  <c r="B4" i="34"/>
  <c r="B8" i="34" s="1"/>
  <c r="B15" i="3" s="1"/>
  <c r="G37" i="38"/>
  <c r="G30" i="38"/>
  <c r="C4" i="38"/>
  <c r="B4" i="38"/>
  <c r="B6" i="38" s="1"/>
  <c r="B14" i="3" s="1"/>
  <c r="C46" i="38"/>
  <c r="G44" i="38"/>
  <c r="G21" i="38"/>
  <c r="G149" i="16"/>
  <c r="G46" i="38" l="1"/>
  <c r="D14" i="3" s="1"/>
  <c r="B46" i="38"/>
  <c r="B14" i="38"/>
  <c r="G33" i="31"/>
  <c r="G38" i="31"/>
  <c r="G35" i="31"/>
  <c r="G36" i="31"/>
  <c r="G31" i="31"/>
  <c r="G47" i="31"/>
  <c r="G62" i="31"/>
  <c r="G55" i="31"/>
  <c r="G21" i="31"/>
  <c r="C13" i="3"/>
  <c r="C17" i="3" s="1"/>
  <c r="B13" i="3"/>
  <c r="B17" i="3" s="1"/>
  <c r="C9" i="3"/>
  <c r="C8" i="3"/>
  <c r="C4" i="16"/>
  <c r="B4" i="16"/>
  <c r="B8" i="16" s="1"/>
  <c r="C4" i="32"/>
  <c r="B4" i="32"/>
  <c r="B6" i="32" s="1"/>
  <c r="C7" i="3"/>
  <c r="C6" i="3"/>
  <c r="C11" i="3" s="1"/>
  <c r="B6" i="3"/>
  <c r="B11" i="3" s="1"/>
  <c r="C4" i="31"/>
  <c r="B4" i="31"/>
  <c r="B12" i="31" s="1"/>
  <c r="B14" i="31" s="1"/>
  <c r="B23" i="31" s="1"/>
  <c r="C44" i="36"/>
  <c r="C34" i="36"/>
  <c r="C29" i="36"/>
  <c r="C28" i="36"/>
  <c r="C27" i="36"/>
  <c r="D15" i="36"/>
  <c r="D13" i="36"/>
  <c r="D9" i="36"/>
  <c r="B5" i="36"/>
  <c r="C2" i="36"/>
  <c r="C44" i="35"/>
  <c r="C34" i="35"/>
  <c r="C29" i="35"/>
  <c r="C28" i="35"/>
  <c r="C27" i="35"/>
  <c r="D15" i="35"/>
  <c r="D13" i="35"/>
  <c r="D9" i="35"/>
  <c r="B5" i="35"/>
  <c r="C2" i="35"/>
  <c r="C46" i="34"/>
  <c r="G16" i="34"/>
  <c r="G46" i="34" s="1"/>
  <c r="C4" i="33"/>
  <c r="B4" i="33"/>
  <c r="C71" i="32"/>
  <c r="C64" i="31"/>
  <c r="G64" i="31" l="1"/>
  <c r="D7" i="3" s="1"/>
  <c r="D15" i="3"/>
  <c r="D17" i="3" s="1"/>
  <c r="B23" i="38"/>
  <c r="B9" i="3"/>
  <c r="B10" i="16"/>
  <c r="G71" i="32"/>
  <c r="D8" i="3" s="1"/>
  <c r="B40" i="31"/>
  <c r="B71" i="32"/>
  <c r="B8" i="3"/>
  <c r="B7" i="3"/>
  <c r="B46" i="34"/>
  <c r="B10" i="34"/>
  <c r="B64" i="31"/>
  <c r="B18" i="34" l="1"/>
  <c r="B38" i="16"/>
  <c r="B53" i="16" l="1"/>
  <c r="B32" i="38" l="1"/>
  <c r="G151" i="16"/>
  <c r="C151" i="16"/>
  <c r="C4" i="10"/>
  <c r="B4" i="10"/>
  <c r="C4" i="6"/>
  <c r="B4" i="6"/>
  <c r="C44" i="4"/>
  <c r="C34" i="4"/>
  <c r="C29" i="4"/>
  <c r="C28" i="4"/>
  <c r="C27" i="4"/>
  <c r="D15" i="4"/>
  <c r="D13" i="4"/>
  <c r="D9" i="4"/>
  <c r="B5" i="4"/>
  <c r="C2" i="4"/>
  <c r="B39" i="38" l="1"/>
  <c r="B80" i="16"/>
  <c r="D9" i="3"/>
  <c r="B151" i="16"/>
  <c r="D11" i="3" l="1"/>
  <c r="D19" i="3" s="1"/>
  <c r="B113" i="16"/>
  <c r="B127" i="16" s="1"/>
  <c r="B139" i="16" s="1"/>
  <c r="B49" i="31" l="1"/>
  <c r="B57" i="31" s="1"/>
  <c r="B10" i="32"/>
  <c r="B40" i="32" s="1"/>
</calcChain>
</file>

<file path=xl/sharedStrings.xml><?xml version="1.0" encoding="utf-8"?>
<sst xmlns="http://schemas.openxmlformats.org/spreadsheetml/2006/main" count="687" uniqueCount="425">
  <si>
    <t>Investitor:</t>
  </si>
  <si>
    <t>Građevina:</t>
  </si>
  <si>
    <t>Lokacija:</t>
  </si>
  <si>
    <t>Autor:</t>
  </si>
  <si>
    <t>NFO d.o.o.</t>
  </si>
  <si>
    <t>Glavni projektant:</t>
  </si>
  <si>
    <t>Nenad Ravnić, dipl.ing.arh.</t>
  </si>
  <si>
    <t>Dokument:</t>
  </si>
  <si>
    <t>RB</t>
  </si>
  <si>
    <t>Opis stavke</t>
  </si>
  <si>
    <t>UKUPNO</t>
  </si>
  <si>
    <t>REKAPITULACIJA</t>
  </si>
  <si>
    <t>A.</t>
  </si>
  <si>
    <t>ARHITEKTURA I KONSTRUKCIJA</t>
  </si>
  <si>
    <t>NASLOVNICA</t>
  </si>
  <si>
    <t>Dio:</t>
  </si>
  <si>
    <t>Izrađivač:</t>
  </si>
  <si>
    <t>Ksaver 152</t>
  </si>
  <si>
    <t>10000 Zagreb</t>
  </si>
  <si>
    <t>Projektant:</t>
  </si>
  <si>
    <t>OPIS STAVKE</t>
  </si>
  <si>
    <t>JEDINIČNA MJERA</t>
  </si>
  <si>
    <t>OBRAČUN KOLIČINA</t>
  </si>
  <si>
    <t>JEDINIČNA CIJENA</t>
  </si>
  <si>
    <t>UKUPNA CIJENA</t>
  </si>
  <si>
    <t>NAPOMENE</t>
  </si>
  <si>
    <t>PRIPREMNI I ZAVRŠNI RADOVI</t>
  </si>
  <si>
    <t>Pripremnim radovima mora se prići s velikim oprezom, sa svim potrebnim osiguranjima i mjerama zaštite okoliša i štetnog utjecaja na susjedne objekte. Sve radove treba izvesti uz obveznu primjenu važećih propisa zaštite na radu za ovu vrstu radova.</t>
  </si>
  <si>
    <t>Prije početka radova potrebno je provjeriti i u slučaju potrebe i isključiti sve instalacije unutar zone obuhvata gdje se radovi obavljaju: plin, vodu, struju, kanalizaciju od strane ovlaštenih službi. Isključenje instalacija evidentira se građevinskim dnevnikom. Eventualni trošak ovih radova treba uključiti u ukupnu ponudu jer se neće zasebno obračunavati.</t>
  </si>
  <si>
    <t>OSIGURANJE GRAĐEVINE I TEHNIČKA ZAŠTITA</t>
  </si>
  <si>
    <t>ČIŠĆENJE TERENA</t>
  </si>
  <si>
    <t>Radove izvoditi uz primjenu higijensko-tehničkih zaštitnih mjera propisanih u važećoj zakonskoj regulativi, bez nanošenja štete susjednim objektima, posjedima uz trasu i imovini uopće.</t>
  </si>
  <si>
    <t>Jedinična cijena pripremnih radova uključuje još i slijedeće radove:</t>
  </si>
  <si>
    <t>m2</t>
  </si>
  <si>
    <t>m1</t>
  </si>
  <si>
    <t>NORMATIVI I PROPISI</t>
  </si>
  <si>
    <t>KVALITETA IZVEDBE RADOVA</t>
  </si>
  <si>
    <t>ZAŠTITA IZVEDENIH RADOVA</t>
  </si>
  <si>
    <t>Tehnički podaci:</t>
  </si>
  <si>
    <t>KONTROLA KVALITETE</t>
  </si>
  <si>
    <t>JEDINIČNA CIJENA I OBRAČUN RADOVA</t>
  </si>
  <si>
    <t>ZIDARSKI RADOVI</t>
  </si>
  <si>
    <t>Žbukanje</t>
  </si>
  <si>
    <t>Pijesak za žbukanje mora biti čist od organskih primjesa, oštar i prosijan, a vapno hidratizirano.</t>
  </si>
  <si>
    <t>Žbukanje zidova, stropova te stupova vršiti u pogodno vrijeme, kad su isti potpuno suhi. Po velikoj zimi i vrućini treba izbjegavati žbukanje, jer tada može doći do smrzavanja odnosno pucanja uslijed prebrzog sušenja.</t>
  </si>
  <si>
    <t>Finu žbuku izraditi tako, da površina bude posve ravna i glatka, a uglove i bridove, te spojeve zida i stropa izvesti oštro, ukoliko u troškovniku nije drugačije označeno. Na svim bridovima koji se žbukaju produžnom žbukom ugrađuju se kutni štitnici od aluminija, na vanjskoj žbuci od nehrđajućeg čelika, koji su uključeni u jediničnu cijenu.</t>
  </si>
  <si>
    <t>Staklene mrežice koje se rabe u graditeljstvu moraju zadovoljavati uvjete propisane Tehničkim propisom o građevnim proizvodima ( prilog II.)</t>
  </si>
  <si>
    <t>Strojno žbukanje gips-vapnenom žbukom:</t>
  </si>
  <si>
    <t>Kod strojnog žbukanja prskanjem nanosi se samo jedan sloj žbuke ukupne debljine cca 1,5 cm. Da bi se postigla ravna površina ožbukanih zidova potrebno je predhodno na zid pričvrstiti vodilice i kutnike za bridove od pocinčanog lima, koji ujedno služe za formiranje ravnih i pravilnih bridova. Vodilice i kutni profili uključeni su u jediničnu cijenu žbukanja zidova.</t>
  </si>
  <si>
    <t>Nepropisno ožbukani zidovi i stropovi moraju se ispraviti bez prava naplate.</t>
  </si>
  <si>
    <t>Betonske plohe moraju prije žbukanja biti obrađene tako da se žbuka dobro prihvati na betonsku površinu.</t>
  </si>
  <si>
    <t>Osim navedenog u jediničnu cijenu treba uračunati i:</t>
  </si>
  <si>
    <t>- vodilice i kutni profili od aluminija na unutarnjoj žbuci, a na vanjskoj žbuci kutnici od nehrđajućeg čelika</t>
  </si>
  <si>
    <t>- mrežice za armiranje</t>
  </si>
  <si>
    <t>- armatura betonskih podloga i estriha</t>
  </si>
  <si>
    <t>- rubne trake kod estriha</t>
  </si>
  <si>
    <t>- sistemski profili kod fasaderskih radova (okapni,kutni,završeci i dr.)</t>
  </si>
  <si>
    <t>Otvori za vrata i prozore odbijaju se zajedno sa nadprozornom, odnosno nadvratnom gredom, s tim što prozorski i vratni zupci ulaze u obračun cijelom debljinom zida.</t>
  </si>
  <si>
    <t>Fasadne površine bez obzira na način obrade obračunavaju se po m2.</t>
  </si>
  <si>
    <t>Svi elementi na fasadi bilo da se rade ručno ili šablonom obračunavaju se u m1 i pretvaraju u m2 prema skali danoj u normativima i standardima rada u građevinarstvu.</t>
  </si>
  <si>
    <t>Gletanje i ličenje iskazani zasebno u ličilačkim radovima.</t>
  </si>
  <si>
    <t>Ispitivanja materijala izvode se prema navedenim normama, a izvođač mora dostaviti važeću dokumentaciju sukladno Tehničkom propisu za građevne proizvode kako bi dokazao ispunjavanje uvjeta uporabivosti i ostalih svojstava.</t>
  </si>
  <si>
    <t>NORMATIVI I PROPISI:</t>
  </si>
  <si>
    <t>ODRŽAVANJE I PREGLEDI RADOVA</t>
  </si>
  <si>
    <t>LIČILAČKI RADOVI</t>
  </si>
  <si>
    <t>Ličenje žbukanih/gletanih/GK podloga</t>
  </si>
  <si>
    <t>Ukoliko na zidovima i ostalim površinama koje se boje ima nekih značajnih pogrešaka, koje bi kvarile kvalitetu nakon izvršenog soboslikarskog rada,  soboslikar je dužan upozoriti na pogreške voditelja građevinskih radova, da se  odstrane prije bojenja.</t>
  </si>
  <si>
    <t>Kod napada gljivica potrebno je izvršiti specijalno temeljito čišćenje te naknadnu obradu odgovarajućim sredstvom. Odstraniti postojeće slojeve boja ili obloga, nepričvršćene i trusne dijelove te nenosive slojeve i očistiti površinu strojno ili odgovarajućim sredstvima.</t>
  </si>
  <si>
    <t>Prilikom primjene i sušenja temperatura podloge i zraka ne smije biti niža od +5°C ni viša od +30°C.</t>
  </si>
  <si>
    <t>Osnovni premazi moraju se tako odabrati da su podesni za slijedeće premaze koji se predviđaju.</t>
  </si>
  <si>
    <t>Probni premazi moraju se po želji investitora izvesti za sve vrste premaza.</t>
  </si>
  <si>
    <t>Zidove i stropove treba bojati, kad su potpuno suhi, a prije bojanja treba zakrpati sve eventualne rupe, pukotine ili krhotine, a podlogu pripremiti prema tehnologiji proizvođača boja i lakova.</t>
  </si>
  <si>
    <t>Pull-off čvrstoća prianjanja treba biti u skladu sa zahtjevima proizvođača.</t>
  </si>
  <si>
    <t>Ličenje u svemu izvesti prema uputama proizvođača boje što obično uključuje pripremu podloge, impregnaciju, međusloj i završni sloj bojom u propisanom broju nanosa.</t>
  </si>
  <si>
    <t>Pojedinu zidnu plohu ličiti bez prekida od jednog do drugog krajnjeg ruba u istom smjeru. Za standardno dugodlaki ličilački valjak ili pištolj za špricanje nedostupne površine (kutovi, uglovi, žljebovi, uske špalete i sl.) koristiti primjeren kist ili manji ličilački valjak, te ih uvijek obraditi prve kako bi se izbjegle kasnije mrlje na obojanoj površini.</t>
  </si>
  <si>
    <t>Materijal za bojanje svih prostora objekta u istom RAL-u mora biti iz iste serije miješanja boje kako ne bi došlo do razlike tonova uslijed različitih receptura.</t>
  </si>
  <si>
    <t>Spojevi sa drugim elementima ili spojevi dviju različitih boja boraju biti izvedeni vrlo uredno. Bojom izrađena crta mora biti jednake širine po cijeloj dužini, osim ako projektom nije određeno drugačije. Svi završeci obojenih površina moraju biti ravni i pravilni.</t>
  </si>
  <si>
    <t>Ukoliko projektant, investitor ili nadzorni inženjer utvrde da izvedeni soboslikarski radovi ne zadovoljavaju kvalitetom ili izgledom, izvođač je dužan sve korekcije napraviti o vlastitom trošku.</t>
  </si>
  <si>
    <t>Dok radovi traju, izvođač je dužan zaštititi od oštećenja ili prljanja sve ostale građevinske dijelove i opremu (podove, stakla, vrata, prozori  i sl.).</t>
  </si>
  <si>
    <t>O ispravnosti izvedenih površina mjerodavna je izjava nadzornog inženjera.</t>
  </si>
  <si>
    <t>Pregledi i održavanje soboslikarskih i ličilačkih radova izvode se sukladno Tehničkom propisu za građevinske konstrukcije i Pravilnikom o održavanju građevina ili u razmacima i na način određen projektom građevine i pisanom izjavom izvođača o izvedenim radovima i o uvjetima održavanja građevine.</t>
  </si>
  <si>
    <t>BOJA ZA MANJE OPTEREĆENE POVRŠINE - TIP A</t>
  </si>
  <si>
    <t>Upotrijebiti boju niskog sadržaja lako hlapivih organskih tvari, koja ne sadrži omekšivače ni teške metale. Film boje mora biti dobro paropropustan te otporan na suho trljanje.</t>
  </si>
  <si>
    <t>Sadžaj HOS (VOC): &lt; 1 (zahtjev kategorija A/a &lt;30)</t>
  </si>
  <si>
    <t>Veličina zrna: fina (&lt; 100 μm)</t>
  </si>
  <si>
    <t>Izgled: mat</t>
  </si>
  <si>
    <t>BOJA ZA JAČE OPTEREĆENE  PROSTORE - TIP B</t>
  </si>
  <si>
    <t>GLETANJE UNUTARNJIH PROSTORA</t>
  </si>
  <si>
    <t>U cijenu stavke uključena priprema podloge, impregnacija za bolju prionljivost te zagleđena izvedba glet mase kao podloge za ličenje.</t>
  </si>
  <si>
    <t>Gletanje izvesti prema uputama proizvođača boje koja se nanosi na plohu.</t>
  </si>
  <si>
    <t>ŽBUKANJE UNUTARNJIH PLOHA ZIDOVA i STROPOVA</t>
  </si>
  <si>
    <t>OIB:19590727564</t>
  </si>
  <si>
    <t>Generalno početno i završno čišćenje iskazani su u zasebnim stavkama. Svo ostalo čišćenje gradilišta (građevine i ostalog prostora zahvata) tijekom izvođenja radova uključeno je u cijene stavaka i neće se posebno obračunavati.</t>
  </si>
  <si>
    <t>Čišćenje tijekom izvođenja radova izvoditi sukladno uputama proizvođača za određenu vrstu radova, osobito važno zbog zaštite osjetljivijih materijala (npr. podne obloge, boje i slično), te treba posvetiti posebnu pažnju zaštiti i očuvanju istih. Svako oštećenje nastalo prilikom čišćenja gradilišta izvođač je dužan sanirati o svom trošku.</t>
  </si>
  <si>
    <t>Dobava, doprema i montaža gradilišnih kontejnera sa svom pripadajućom opremom, montažnih WC-ova za radnike i ostalih potrebnih pomoćnih privremenih objekata (spremišta materijala i mehanizacije i slično), uključivo potrebni priključci instalacija, te po završetku radova demontaža i odvoz istih također uključena u cijenu.</t>
  </si>
  <si>
    <t>Prije početka izvođenja radova izvođač je dužan osigurati objekt, odnosno zonu zahvata, dok će investitor prijaviti početak građenja  te o tome dati izvođaču pismeni dokaz. Tijekom građenja izvođač je dužan održavati sigurnost gradilišta od provale i krađe.</t>
  </si>
  <si>
    <t>Obračun radova vršit će se prema opisu troškovničke stavke, uvažavajući sve odredbe iz gore navedenih uvjeta za predmetnu grupu radova.</t>
  </si>
  <si>
    <t>ORGANIZACIJA GRADILIŠTA</t>
  </si>
  <si>
    <t>Organizacija uključuje izvedbu te po potrebi popravke svih transportnih puteva za prijevoze i prijenose po obuhvatu i na pristupu gradilištu, kao i njihovo konačno uklanjanje te zbrinjavanje terena, odnosno dovođenje pristupa gradilištu u prvobitno stanje.</t>
  </si>
  <si>
    <t xml:space="preserve">Obveza izvođača je čuvanje i održavanje gradilišta. </t>
  </si>
  <si>
    <t>Organizacija uključuje raspremanje, održavanje i zaštitu, te konačno uklanjanje svih objekata u obuhvatu i na pristupu gradilištu, poput kontejnera, privremenih priključaka, pomoćnih građevina i slično, uključivo svo potrebno zbrinjavanje po uklanjanju.</t>
  </si>
  <si>
    <t>Svaku štetu nastalu na transportnim putevima, odnosno objektima unutar obuhvata, izvođač je dužan sanirati u cijelosti o svom trošku te za isto nema pravo na dodatnu kompenzaciju.</t>
  </si>
  <si>
    <t>Ukoliko nije drugačije iskazano stavkom, sve obračunske količine odnose se na netto veličine ugrađenog materijala, odnosno proizvoda (m3, m2, m1, ...). Sva povećanja količine rada, odnosno materijala zbog izvedbe otvora i prodora i slično izvođač je dužan uvrstiti u jediničnu cijenu stavke.</t>
  </si>
  <si>
    <t>- dodaci za brzo sušenje estriha</t>
  </si>
  <si>
    <t>Kod obračuna količina zidanja građevnih dijelova svi otvori se odbijaju po zidarskim i fasaderskim mjerama.</t>
  </si>
  <si>
    <t>Napomena: izvođač je dužan osigurati izvođenje na način da ugrađeni materijal bude trajan i otporan te po svemu u skladu s normama i tehničkim propisima. Svi potrebni kutni profili u žbuci za zaštitu od otkrhavanja i lomova, odnosno ojačanje bridova žbukanih ploha, uključeni su u cijenu stavaka žbukanja.</t>
  </si>
  <si>
    <t>Prilikom izvedbe zidarsko-fasaderskih radova i za korištenje materijala opisanih u troškovniku izvođač radova mora se pridržavati uvjeta i opisa iz projektne dokumentacije kao i važećih propisa i normi na koje tehnički propisi upućuju te vezanih normi:</t>
  </si>
  <si>
    <t>Prije žbukanja treba plohe dobro očistiti, a naročito spojnice koje moraju biti udubljene cca 2 cm od plohe zida. Prije početka žbukanja plohe dobro navlažiti, a naročito kad se žbuka sa cementnim mortom. Betonske i armirano betonske dijelove prije žbukanja treba poprskati sa rijetkim cementnim mortom. Isto vrijedi za fasadne plohe koje se žbukaju.</t>
  </si>
  <si>
    <t>- svu zidarsku pripomoć obrtnicima, instalaterima, nošenje teških predmeta, pripomoć kod raznih ugradbi</t>
  </si>
  <si>
    <t>U zidarskim radovima obračunavaju se nosivi zidovi od blok opeke, obložni zidovi od opeke / blokova, montažni nadvoji, zidovi od kamenih blokova / mješoviti zidovi: kamen i beton.</t>
  </si>
  <si>
    <t>Odbitak otvora i obračun špaleta: količine se NE računaju prema normi već su mjerodavne NETTO ugrađene mjere:</t>
  </si>
  <si>
    <t>- za fasadu se kao mjerodavna količina računa netto površina obrađenog pročelja, svi otvori su odbijeni, špalete su iskazane zasebno</t>
  </si>
  <si>
    <t>- za špalete se kao mjerodavna količina računa netto duljina obrađene špalete, razdvojeno po širini, odnosno po razredima širine (od - do cm)</t>
  </si>
  <si>
    <t>U cijenu stavke uključena obrada kao podloga za gletanje - svo filcanje te dodatna potrebna poravnanja i zaglađivanja.</t>
  </si>
  <si>
    <t>Stavka uključuje i pripremu podloge za žbukanje i rabic mrežicu na spojevima sa konstrukcijom druge vrste.</t>
  </si>
  <si>
    <t>U cijeni je uključena potrebna pokretna radna skela, čišćenje radnog mjesta nakon završetka radova, te sav potreban rad i materijal prema uputama proizvođača do pune gotovosti.</t>
  </si>
  <si>
    <t>Zidovi moraju biti očiščeni i otprašeni a svi šlicevi i druga udubljenja moraju se popuniti mortom. Sukladno uputama proizvođača, zidne površine je prethodno potrebno premazati sredstvima za impregnaciju, što je uključeno u cijenu stavke, uključivo sva potrebna priprema za žbukanje.</t>
  </si>
  <si>
    <t>Površinu špalete očistiti, otprašiti, premazati sredstvom za impregnaciju. Oštećene dijelove zida ukloniti i izravnati sa žbukom. Na sve otvore i rubove postavljaju se kutni PVC profili s mrežicom.</t>
  </si>
  <si>
    <t>Naneseni sloj ravna se aluminijskom letvom, te se završno obrađuje zavisno od brzine upijanja podloge i vanjske temperature.</t>
  </si>
  <si>
    <t>- dodaci za ugradnju estriha na niskim temperaturama</t>
  </si>
  <si>
    <t>- za plohu se kao mjerodavna količina računa netto površina elementa (zid, strop), svi otvori su odbijeni, špalete su iskazane zasebno</t>
  </si>
  <si>
    <t>Podloga mora biti čvrsta i čista (bez masnih mrlja i druge prljavštine, bez slabo vezanih dijelova, praha te drugih nečistoća) nosiva, suha, nesmrznuta, te prije prvog bojanja impregnirana impregnacijom. Prije dodavanja vode boju treba dobro promiješati. Po prekidu rada ambalažu s bojom dobro zatvoriti, a nakon ličenja pribor oprati vodom.</t>
  </si>
  <si>
    <t>Starost podložnih žbuka najmanje 3-4 tjedna. Starost masa za izravnavanje najmanje 14 dana. Gipskartonske, nove i nejednoliko upojne podloge obavezno impregnirati.</t>
  </si>
  <si>
    <t>Bilo kakvo "popravljanje" boje usred bojanja (dodavanje sredstva za nijansiranje, rijeđenje, i sl.) nije dozvoljeno. Količine boje, koja je potrebna za bojanje pojedinih ploha, izračunati ili ocijeniti iz površine tih ploha i podataka o prosječnoj potrošnji.</t>
  </si>
  <si>
    <t>Sve podloge prije nanošenja mase moraju biti čiste, čvrste, suhe, nesmrznute, bez masnih i drugih nečistoća, pukotina i drugih oštećenja, temeljito otprašene. Ukoliko podloga ne zadovoljava svojstvima, izvođač je obavezan obavijestiti o nedostacima u najkraćem roku. Izvođenje ličilačkih radova nije dopušteno dok se podloga ne dovede u ispravno stanje.</t>
  </si>
  <si>
    <t>Dobava materijala i ličenje unutarnjom bojom na osnovi vodene disperzije specijalnih polimernih veziva.</t>
  </si>
  <si>
    <t>Upotrijebiti boju niskog sadržaja lako hlapivih organskih tvari, koja ne sadrži omekšivače ni teške metale. Film boje mora biti dobro paropropustan i otporan na mokro trljanje tako da je moguće ne pretjerano prihvaćeno zaprljanje prebojanih površina obrisati krpom namočenom u otopinu univerzalnih sredstava za čišćenje.</t>
  </si>
  <si>
    <t>Gletanje GK zidova i stropova uključeno je u stavke suhomontažnih radova, kako je raspisano tim stavkama.</t>
  </si>
  <si>
    <t>LIČENJE UNUTARNJIH PROSTORA</t>
  </si>
  <si>
    <t>Pripremu boje, svo potrebno nijansiranje te ličenje izvesti u potpunosti prema uputama proizvođača.</t>
  </si>
  <si>
    <t>Stavka uključuje sav potreban rad, materijal i pomoćna sredstva za izvedbu do pune gotovosti.</t>
  </si>
  <si>
    <t>U cijenu uključena izrada probnih uzoraka. Ugradnja nije dopuštena prije odobrenja uzoraka od strane projektanta i investitora.</t>
  </si>
  <si>
    <t>Sve podloge prije nanošenja mase moraju biti čiste, čvrste, suhe, nesmrznute, bez masnih i drugih nečistoća, pukotina i drugih oštećenja, temeljito otprašene. U stavci uključena priprema podloge.</t>
  </si>
  <si>
    <t>Radna skela uključena u cijenu. U cijenu uračunati rad na visini te postavu svih privremenih konstrukcija, uključivo statički proračun, transport, montažu i demontažu istih, kao i sve obaveze koje proizlaze iz ZNR, a sve u svrhu izvedbe potrebnog gletanja i ličenja na siguran način do pune gotovosti</t>
  </si>
  <si>
    <t>Prije prvog bojanja obvezna je izvedba temeljnog premaza. Izvesti premaz u potpunosti sukladno uputama proizvođača, što je uključeno u cijenu.</t>
  </si>
  <si>
    <t>Obračun po m1 špalete koja se gleta.</t>
  </si>
  <si>
    <t>Obračun po m2 plohe zida koja se liči.</t>
  </si>
  <si>
    <t>Radna skela uključena u cijenu. U cijenu uračunati rad na visini te postavu svih privremenih konstrukcija, uključivo statički proračun, transport, montažu i demontažu istih, kao i sve obaveze koje proizlaze iz ZNR, a sve u svrhu izvedbe potrebnog gletanja i ličenja na siguran način do pune gotovosti.</t>
  </si>
  <si>
    <t>U cijenu uračunati rad na visini te postavu svih privremenih konstrukcija, uključivo statički proračun, transport, montažu i demontažu istih, kao i sve obaveze koje proizlaze iz ZNR, a sve u svrhu izvedbe potrebnog žbukanja na siguran način do pune gotovosti.</t>
  </si>
  <si>
    <t>EN 12087 ili jednakovrijedno: ____</t>
  </si>
  <si>
    <t>ili jednakovrijedno:</t>
  </si>
  <si>
    <t>EN 12572 ili jednakovrijedno: ____</t>
  </si>
  <si>
    <t>EN 1062-6 ili jednakovrijedno: ____</t>
  </si>
  <si>
    <t>HRN EN 13813:2003</t>
  </si>
  <si>
    <t>Prilikom izvedbe soboslikarsko - ličilačkih  radova te za korištenje i ispitivanje materijala opisanih u troškovniku izvođač radova mora se pridržavati uvjeta i opisa iz projektne dokumentacije kao i važećih propisa i normama na koje tehnički propisi i norme upućuju.</t>
  </si>
  <si>
    <t>Za projektiranje zidanih konstrukcija primjenjuje se:</t>
  </si>
  <si>
    <t>HRN EN 1990</t>
  </si>
  <si>
    <t xml:space="preserve"> s pripadajućim nacionalnim dodacima te norme na koje ove norme upućuju.</t>
  </si>
  <si>
    <t>HRN EN 1996</t>
  </si>
  <si>
    <t xml:space="preserve">Građevno vapno: </t>
  </si>
  <si>
    <t xml:space="preserve">Žbuke: </t>
  </si>
  <si>
    <t>Pomoćni dijelovi ziđa:</t>
  </si>
  <si>
    <t>HRN EN 459-1:2015</t>
  </si>
  <si>
    <t>HRN EN 998-1: 2016</t>
  </si>
  <si>
    <t>HRN EN 845-2:2016</t>
  </si>
  <si>
    <t>HRN EN 845-3:2016</t>
  </si>
  <si>
    <t xml:space="preserve">Dodaci mortu za zidanje: </t>
  </si>
  <si>
    <t>HRN EN 934-3:2012</t>
  </si>
  <si>
    <t>Estrih:</t>
  </si>
  <si>
    <t>HRN EN 845-1:2016</t>
  </si>
  <si>
    <t>- instalacija ureda sa radnim stolovima i sjedalicama i svim potrebnim instalacijskim priključcima (grijanje, struja, internet) za rad projektanta i nadzornog inženjera i održavanje redovnih koordinacija na gradilištu.</t>
  </si>
  <si>
    <t>- svi troškovi pripreme i raspremanja gradilišta</t>
  </si>
  <si>
    <t>- pomoćni objekti</t>
  </si>
  <si>
    <t>- znakovi upozorenja</t>
  </si>
  <si>
    <t>- ploča gradilišta</t>
  </si>
  <si>
    <t>- svi troškovi uređenja i održavanja gradilišta za vrijeme izvođenja radova</t>
  </si>
  <si>
    <t>- trošak pranja kamiona i održavanja rampe na izlazu</t>
  </si>
  <si>
    <t>DIN EN 13300 ili jednakovrijedno: ____</t>
  </si>
  <si>
    <t>Otpornost na mokro čišćenje: razred 2 (mat, otporno na ribanje)</t>
  </si>
  <si>
    <t>Gustoća [kg/dm3]: cca 1.45 - 1.50</t>
  </si>
  <si>
    <t>LIČENJE INSTALACIJA</t>
  </si>
  <si>
    <t>Stavke uključuju ličenje vidljivih instalacija bojom prema opisu u stavci, obračun prema vrsti instalacije. U cijenu uključeno ličenje kompletnog razvoda određene instalacije, uključivo spojna i priključna sredstva, u svrhu postizanja uniformiranog izgleda podgleda stropa.</t>
  </si>
  <si>
    <t>UNIVERZALNA BOJA ZA LIČENJE PLASTIČNIH I METALNIH PLOHA</t>
  </si>
  <si>
    <t>Dobava materijala i ličenje univerzalnom fasadnom i unutarnjom bojom s minimalnom emisijom štetnih tvari i bez otapala koja dobro veže na gotovo svim podlogama. Boja mora dobro prianjati na pocinčane površine, tvdi PVC i druge podloge nestabilnih dimenzija.</t>
  </si>
  <si>
    <t>Materijal na osnovi 100% čistog akrilata - disperzija umjetne smole s promotorom mokre adhezije radi postizanja optimalne čvrstoće vezanja. Primjenjuje se vodoodbojna boja velike snage vezanja za različite podloge, postojana na sredstva za dezinfekciju.</t>
  </si>
  <si>
    <t>Stupanj sjaja: svilenkaso mat, G2</t>
  </si>
  <si>
    <t>Gustoća [kg/dm3]: cca 1.4</t>
  </si>
  <si>
    <t>Debljina suhog filma [μm]: 50-100, E2</t>
  </si>
  <si>
    <t>Difuzno ekvivalentna debljina zračnog sloja (SdCO2) [m]: &gt; 50, C1</t>
  </si>
  <si>
    <t>Vodoupojnost [kg/m2h0.5]: &lt; 0.1, W3 (niska vodoupojnost)</t>
  </si>
  <si>
    <t>Otpornost difuziji vodene pare (Sd) [m]: 0.14-1.40, V2 (srednja)</t>
  </si>
  <si>
    <t>Sadžaj HOS (VOC): &lt; 1 (zahtjev kategorija A/c &lt;40)</t>
  </si>
  <si>
    <t>Postojanost nijanse: klasa A, grupa 1-3</t>
  </si>
  <si>
    <t>BFS Uputa 26 ili jednakovrijedno: ____</t>
  </si>
  <si>
    <t>Podloga mora biti čvrsta, suha i čista – bez slabo vezanih dijelova, prašine, ostataka oplatnih ulja, masti i druge prljavštine. U stavci uključena priprema podloge. Prije prvog bojanja obvezna je izvedba temeljnog premaza. Izvesti premaz u potpunosti sukladno uputama proizvođača, što je uključeno u stavku. Radna skela uključena u cijenu.</t>
  </si>
  <si>
    <t>Nijansiranje se vrši s dodacima i na način u potpunosti sukladno uputi proizvođača, sukladno vrsti materijala koji se boja. Pripremu boje, svo potrebno nijansiranje te ličenje izvesti u potpunosti prema uputama proizvođača. Stavka uključuje sav potreban rad, materijal i pomoćna sredstva za izvedbu do pune gotovosti.</t>
  </si>
  <si>
    <t xml:space="preserve">Prionljivost boje na površinu potrebno je kontrolirati u skladu sa: </t>
  </si>
  <si>
    <t>HRN EN ISO 4624:2016</t>
  </si>
  <si>
    <t>ZIDOVI I STUPOVI: Dobava, doprema materijala i gletanje AB, opečnih i porobetonskih te žbukanih zidova i stupova.</t>
  </si>
  <si>
    <t>U stavke je uključena sva potrebna obrada isturenih bridova kako bi se postigao ravan i čvrst rub, uključivo mrežice, kutne šine i ostali pomoćni i spojni materijal.</t>
  </si>
  <si>
    <t>Dodatna naknada zbog izvedbe u više boja uključena u cijenu.</t>
  </si>
  <si>
    <t>Pretpostavlja se izvedba više različitih boja u istoj prostoriji, osim ukoliko je eksplicitno drugačije iskazano u stavci.</t>
  </si>
  <si>
    <t>BOJA ZA TEHNIČKE PROSTORE - TIP C</t>
  </si>
  <si>
    <t>Izgled: svilenkasti sjaj</t>
  </si>
  <si>
    <t>Dobava materijala i ličenje unutarnjom bojom na osnovi vodene disperzije polimernih veziva. Upotrijebiti boju niskog sadržaja lako hlapivih organskih tvari, koja ne sadrži omekšivače ni teške metale.</t>
  </si>
  <si>
    <t>Potrebno je koristiti premaz otporan na jako trošenje i otiranje uz zadržavanje strukture, prikladan za površine izložene jačim opterećenjima.</t>
  </si>
  <si>
    <t>Film boje mora biti dobro otporan na habanje, bez sjaja i periv, i dobro otporan na mokro trljanje, da je moguće zaprljanje prebojanih površina obrisati krpom namočenom u otopinu univerzalnih sredstava za čišćenje.</t>
  </si>
  <si>
    <t>Otpornost na mokro čišćenje: razred 1 (mutno mat, otporno na ribanje)</t>
  </si>
  <si>
    <t>Dobava materijala i ličenje unutarnjom bojom na osnovi disperzije umjetnih smola za prostore gdje nije zahtijevana upotreba perivih boja povećane otpornosti.</t>
  </si>
  <si>
    <t>U cijenu uključeno ličenje pripadajućeg ovjesa i fazonskih komada te priključnog materijala - ovjesne šine, šipke, obujmice i slično</t>
  </si>
  <si>
    <t>Pokrivnost: razred 2 pri izdašnosti 6-7 m2/L</t>
  </si>
  <si>
    <t>Gustoća [kg/dm3]: cca 1.30-1.40</t>
  </si>
  <si>
    <t>Pokrivnost: razred 1 pri izdašnosti 7-8 m2/L</t>
  </si>
  <si>
    <t>Veličina zrna: fina (&lt; 90-100 μm)</t>
  </si>
  <si>
    <t>Vrijednost Sd: &lt;0.08-0.1 (razred I, visoka paropropusnost)</t>
  </si>
  <si>
    <t>Vrijednost Sd: &lt;0.20-0.30 (razred I, visoka paropropusnost)</t>
  </si>
  <si>
    <t>Gustoća [kg/dm3]: cca 1.40 - 1.50</t>
  </si>
  <si>
    <t>Pokrivnost: razred 2 pri izdašnosti 7-8 m2/L</t>
  </si>
  <si>
    <t>Obračun po m2 površine koja se boja i m1 špalete koja se boja, prema RAL-u. Ličenje sukladno shemi obloga u grafičkom dijelu projekta.</t>
  </si>
  <si>
    <t>2) špalete</t>
  </si>
  <si>
    <t>STROPOVI I GREDE: Dobava, doprema materijala i gletanje podgleda AB ravnih i kosih stropnih ploča te žbukanih podgleda.</t>
  </si>
  <si>
    <t>U cijenu uključena zaštita rubnih elemenata koji se ne liče (zidovi, stolarija, namještaj i oprema i slično.</t>
  </si>
  <si>
    <t>U cijenu uključena zaštita elemenata koji se ne smiju ličiti - vatrodojavni kabeli, javljači požara i paralelni indikatori, cijevi sprinklera, mlaznice, ručice ventila, cijevi plina, PPZ i slično</t>
  </si>
  <si>
    <t>TROŠKOVNIK</t>
  </si>
  <si>
    <t>Tratinska 13, 10000 Zagreb</t>
  </si>
  <si>
    <t>Stambena zgrada - obnova fasade i stubišnog prostora</t>
  </si>
  <si>
    <t>Suvlasnici stambene zgrade</t>
  </si>
  <si>
    <t>OPĆI TEHNIČKI UVJETI</t>
  </si>
  <si>
    <t>STUBIŠTE</t>
  </si>
  <si>
    <t>S.</t>
  </si>
  <si>
    <t>F.</t>
  </si>
  <si>
    <t>FASADA</t>
  </si>
  <si>
    <t>Zaštita postojećih građevinskih elemenata</t>
  </si>
  <si>
    <t>Za svaki element primjeniti adekvatnu zaštitu sukladno radovima koji se izvode: valoviti karton, folija, platno, ... ili slično.</t>
  </si>
  <si>
    <t>Obračun za komplet</t>
  </si>
  <si>
    <t>komplet</t>
  </si>
  <si>
    <t>Za elemente uz koje se neposredno izvode radovi - vrata, instalacije, ... - zaštitu izvesti tako da omogući izvedbu, npr. rabiciranje prijelaza i slično.</t>
  </si>
  <si>
    <t>U stavku uključeno održavanje zaštite te uklanjanje zaštite nakon izvedenih radova, kao i odvoz i eventualno deponiranje zaštitnih elemenata.</t>
  </si>
  <si>
    <t>Ispitivanje podloge kao priprema za žbukanje</t>
  </si>
  <si>
    <t>Ispitivanje podloge zidova i stropova radi otkrivanja loše žbuke.</t>
  </si>
  <si>
    <t>U stavku uključena zaštita svih okolnih elemenata od oštećenja ukoliko nisu već adekvatno zaštićeni izvođenjem prethodne stavke.</t>
  </si>
  <si>
    <t>kom</t>
  </si>
  <si>
    <t>Sa svih površina potrebno je ukloniti šutu i građevinski otpad, smeće, ... te prostor držati urednim kako bi ga korisnici zgrade mogli uporabljivati.</t>
  </si>
  <si>
    <t>U stavku uključeno redovito čišćenje stuba, ulaza u stanove, uličnog i dvorišnog ulaza u zgradu, ... kako bi predmetne zone ostale pristupačne.</t>
  </si>
  <si>
    <t>Čišćenje obuhvaća otklanjanje zaprljanja sa svih ploha u prostorima iskazanim u stavci - s podova, zidova, stropova, sa namještaja, s bravarskih i stolarskih stavaka. Prostor za primopredaju mora biti u cijelosti čist.</t>
  </si>
  <si>
    <t>Obračun po m2 poda stubišnog prostora.</t>
  </si>
  <si>
    <t>Završno čišćenje obuhvata za primopredaju i odvoz</t>
  </si>
  <si>
    <t>Stavka uključuje završno fino čišćenje kao pripremu za primopredaju, uključivo sva gruba i fina čišćenja prostora stubišta, skupljanje te završni odvoz uklonjenog materijala i deponiranje, uključivo takse deponije.</t>
  </si>
  <si>
    <t>ŽBUKANJE - AB I ZIDANI ZIDOVI I STROPOVI</t>
  </si>
  <si>
    <t>1) žbukanje plohe</t>
  </si>
  <si>
    <t>1.1) unutarnji zidovi</t>
  </si>
  <si>
    <t>1.2) unutarnji stropovi i grede</t>
  </si>
  <si>
    <t>2) špalete i bridovi</t>
  </si>
  <si>
    <t>Obrada špaleta gletanjem i ličenjem iskazana zasebno.</t>
  </si>
  <si>
    <t>1.3) kosi podgled stubišta</t>
  </si>
  <si>
    <t>Uključivo naknada za otežan rad (postavljanje pokretne skele na stube, rad na visini u zoni otvorenog ruba stubišta, postavljanje skele uz ogradu, ...).</t>
  </si>
  <si>
    <t>Stavka se odnosi pretežno na špalete otvora, isturene bridove greda i rubove ploča, otvoreni rub stubišta i slične istake.</t>
  </si>
  <si>
    <t>U stavku uključene kutne šine i ostala obrada potrebna da se dobije čvrst i uredan spoj na uglu, odnosno na rubu prema drugom elementu.</t>
  </si>
  <si>
    <t>U stavku uključeno sondiranje elemenata kako bi se utvrdila vrsta ugrađene žbuke te konačna količina žbuke koju je potrebno ukloniti u svrhu postizanja kvalitetne, čvrste i trajne plohe zida, odnosno stropa.</t>
  </si>
  <si>
    <t>Alternativno, ovisno o rezultatima sondiranja žbukanih zidova, dopušta se žbukanje GV žbukom ukoliko će se upotrebom iste ostvariti kvalitetniji spoj s postojećim elementima.</t>
  </si>
  <si>
    <t>U stavku uključen odgovarajući predšpric prema uputi proizvođača žbuke.</t>
  </si>
  <si>
    <t>OTUCANJE STARE I TROŠNE ŽBUKE</t>
  </si>
  <si>
    <t>Uklanjanje stare i trošne žbuke sa zidova i stropova do nosive konstrukcije.</t>
  </si>
  <si>
    <t>U stavku uključeni svi potrebni radovi skidanja, otucanja i šlicanja kako bi se ploha dovela u stanje pripravno za izvođenje nove žbuke.</t>
  </si>
  <si>
    <t>Uskladiti radove s izvođenjem zaštite elemenata koji se zadržavaju!</t>
  </si>
  <si>
    <t>Skupljanje, odvoz i deponiranje šute, smeća i drugog otpada nastalog ovim radovima iskazan u pripremnim radovima.</t>
  </si>
  <si>
    <t>1) otucanje s plohe</t>
  </si>
  <si>
    <t>Obračun po m2 površine ožbukanog elementa.</t>
  </si>
  <si>
    <t>Obračun po m1 duljine ožbukanog elementa.</t>
  </si>
  <si>
    <t>2.1) špaleta prozora</t>
  </si>
  <si>
    <t>Zaštita svih horizontalnih i vertikalnih površina te elemenata unutar stubišta od oštećenja: stube, podesti, ograda, rukohvat, vrata, prozor, instalacije, ...</t>
  </si>
  <si>
    <t>OPCIJA: Demontaža elemenata u stubištu</t>
  </si>
  <si>
    <t>1) poštanski ormarići (18 kom)</t>
  </si>
  <si>
    <t>OPCIJA: Podžbukna ugradnja instalacije slabe struje</t>
  </si>
  <si>
    <t>Potrebno je primjeniti povećanu pažnju prilikom uklanjanja i zaštite instalacija kako se ne bi tijekom izvedbe narušila funkcija.</t>
  </si>
  <si>
    <t>Budući da se instalacija ne odspaja, postojeći kabeli se polažu u podžbukne kanalice, odnosno cijevi s prorezom koje štite instalaciju</t>
  </si>
  <si>
    <t>U stavku uključeno šlicanje nosive konstrukcije u potrebnoj dimenziji za izvedbu instalacije te svo potrebno krpanje nakon ugradnje instalacije.</t>
  </si>
  <si>
    <t>NAPOMENA: SAMO ukoliko se demontiraju kanalice i nadgradni ormari slabe struje u stubišnom prostoru. Uskladiti radove s otucanjem žbuke!</t>
  </si>
  <si>
    <t>Obračun po m1 duljine instalacije koja se ugrađuje podžbukno.</t>
  </si>
  <si>
    <t>2.2) rub prema vratima</t>
  </si>
  <si>
    <t>2.3) rub prema kamenoj oblozi zida</t>
  </si>
  <si>
    <t>2.4) otvoreni rub ploče podesta</t>
  </si>
  <si>
    <t>2.5) otvoreni rub stubišta</t>
  </si>
  <si>
    <t>2.6) rub stropne grede</t>
  </si>
  <si>
    <t>Obračun po m2 površine elementa koji se obrađuje.</t>
  </si>
  <si>
    <t>Obračun po m1 duljine elementa koji se obrađuje.</t>
  </si>
  <si>
    <t>1) gletanje plohe</t>
  </si>
  <si>
    <t>U stavku uključena primjena povećane pažnje kako se okolni dijelovi ne bi oštetili prilikom izvođenja radova.</t>
  </si>
  <si>
    <t>Tipovi boja iskazani u općem dijelu:</t>
  </si>
  <si>
    <t>TIP B: BOJA ZA JAČE OPTEREĆENE  PROSTORE</t>
  </si>
  <si>
    <t>TIP C: BOJA ZA TEHNIČKE PROSTORE</t>
  </si>
  <si>
    <t>TIP A: BOJA ZA MANJE OPTEREĆENE POVRŠINE</t>
  </si>
  <si>
    <t>U stavku uključena primjena povećane pažnje kako bi se izveo uredan spoj između elemenata.</t>
  </si>
  <si>
    <t>STRUGANJE STARE I TROŠNE BOJE</t>
  </si>
  <si>
    <t>Skidanje boje sa zidova i stropova na pozicijama na kojima se zadržava postojeća žbuka. Uskladiti radove s ispitivanjem žbuke i sa radovima uklanjanja te žbukanja.</t>
  </si>
  <si>
    <t>Obračun po m2 površine plohe koja se gleta.</t>
  </si>
  <si>
    <t>U stavku uključeno svo potrebno brušenje i ravnanje kako bi se ploha dovela do razine pripravne za gletanje.</t>
  </si>
  <si>
    <t>Obračun po m2 plohe koja se obrađuje.</t>
  </si>
  <si>
    <t>PREMAZIVANJE MRLJA NA ZIDOVIMA I STROPOVIMA</t>
  </si>
  <si>
    <t>U stavku uključena dobava, materijala, premazivanje i ostali potrebni radovi za izvedbu impregnacije.</t>
  </si>
  <si>
    <t>U stavku uključeno pravovremeno informiranje korisnika prostora o izvedbi rada budući da premazi sadrže tvari potencijalno opasne za zdravlje te je potrebno adekvatno provjetravanje prostora tijekom sušenja.</t>
  </si>
  <si>
    <t>Dobava materijala i žbukanje ploha AB i zidanih zidova i stropova VC podložnom i finom žbukom.</t>
  </si>
  <si>
    <t>Žbuka se nanosi na zidove i stropove u sloju debljine ukupno cca 20 mm te se obrađuju bridovi i rubovi.</t>
  </si>
  <si>
    <t>Dobava materijala i gletanje unutarnjih zidova i stropova.</t>
  </si>
  <si>
    <t>Impregnacija oštećenih zona (masne mrlje, mrlje od procurijevanja vode i slično) na pozicijama na kojima se zadržava postojeća žbuka. Mrlje se premazuju premazom za zaštitu od gljivica koji odstranjuje postojeće naslage i sprječava nastanak novih.</t>
  </si>
  <si>
    <t>LIČENJE SOKLA</t>
  </si>
  <si>
    <t>Boja otporna na habanje i mehanička oštećenja, otporna na mokro trljanje, za upotrebu u opterećenim prostorima.</t>
  </si>
  <si>
    <t>Obračun po m1 duljine sokla</t>
  </si>
  <si>
    <t>Rub sokla izvesti ravno i uredno. Gornji brid sokla podesta i stubišta u kontinuitetu, s urednim prijelazom.</t>
  </si>
  <si>
    <t>U stavku uključena sva potrebna zaštita zida, stubišta i drugih kontaktnih elemenata, npr. špalete vrata i slično.</t>
  </si>
  <si>
    <t>Sokl se ne ugrađuje u ulazni prostor u zonu gdje je u donjem dijelu zida izvedena kamena obloga.</t>
  </si>
  <si>
    <t>1) sokl podesta</t>
  </si>
  <si>
    <t>2) sokl stubišta, donja strana prati stube, gornja zakošena.</t>
  </si>
  <si>
    <t>BRUŠENJE I LAKIRANJE RUKOHVATA</t>
  </si>
  <si>
    <t>Skidanje postojećeg laka, brušenje i lakiranje rukohvata.</t>
  </si>
  <si>
    <t>Brušenje izvesti uredno, uz odstranjivanje kompletnog laka. U stavku su uključeni svi potrebni radovi za pripremu rukohvata za lakiranje.</t>
  </si>
  <si>
    <t>Lakiranje izvesti bezbojnim (transparentnim) lakom za drvo, otpornim na habanje, adekvatnim za drvene elemente u opterećenim prostorima.</t>
  </si>
  <si>
    <t>Lakirati minimalno 2x, odnosno u broju potrebnom za postizanje ravnomjerne ujednačenosti plohe u debljini sukladno uputi proizvođača.</t>
  </si>
  <si>
    <t>Obračun po m1 obrađenog rukohvata.</t>
  </si>
  <si>
    <t>Obračun po m1 duljine poličene trase instalacije.</t>
  </si>
  <si>
    <t>BRUŠENJE I LIČENJE INSTALACIJA</t>
  </si>
  <si>
    <t>Skidanje postojeće boje, brušenje i ličenje plinske cijevi.</t>
  </si>
  <si>
    <t>U stavku uključeni svi potrebni pretpremazi - impregnacija i zaštita protiv insekata - sukladno uputi proizvođača laka.</t>
  </si>
  <si>
    <t>Brušenje izvesti uredno, uz odstranjivanje kompletne boje i hrđe. U stavku su uključeni svi potrebni radovi za pripremu cijevi za ličenje.</t>
  </si>
  <si>
    <t>U slučaju da se primjeti propadanje dijela cjevovoda hitno obavijestiti korisnike zgrade, sudionike u gradnji i nadležne službe!</t>
  </si>
  <si>
    <t>Prije brušenja potrebno je očistiti i odmastiti površinu</t>
  </si>
  <si>
    <t>U stavku uključen 2x pretpremaz, odnosno temeljni premaz, za čelične cijevi sukladno uputi proizvođača odabrane boje.</t>
  </si>
  <si>
    <t>Ličenje instalacije izvesti 2x bojom za ličenje metalnih masa koja mora biti otporna na koroziju i kemijska oštećenja.</t>
  </si>
  <si>
    <t>Cijev obojati sukladno standardu boja za vidljive instalacije u zajedničkim prostorima žutom signalnom alkidnom bojom.</t>
  </si>
  <si>
    <t>Zaštita svih horizontalnih i vertikalnih površina te elemenata uz zonu obuhvata na pročelju od oštećenja: nogostup, kontaktna zona sa susjednim zgradama, dio pročelja koji se ne obrađuje, prozori, ulazna vrata, ...</t>
  </si>
  <si>
    <t>Za svaki element primjeniti adekvatnu zaštitu prikladnu za vanjske prostore sukladno radovima koji se izvode: OSB i slične ploče, folije, platno, ...</t>
  </si>
  <si>
    <t>Za elemente uz koje se neposredno izvode radovi - vrata, prozori, ... - zaštitu izvesti tako da omogući izvedbu, npr. ličenje i slično.</t>
  </si>
  <si>
    <t>Zaštitna ograda</t>
  </si>
  <si>
    <t>U stavku uključeno definiranje perimetra na nogostupu te postavljanje zaštitne ograde kako bi se radovi mogli odvijati na siguran način.</t>
  </si>
  <si>
    <t>Na nogostupu je potrebno osigurati dostatan prostor za prolaz pješaka.</t>
  </si>
  <si>
    <t>Postavlja se zaštitna ograda na mobilnim temeljima s ispunom prikladna za vanjski prostor, s adekvatnim ulazima za korisnike zgrade i radnike.</t>
  </si>
  <si>
    <t>Obračun po m2 razvijene površine zaštitne ograde</t>
  </si>
  <si>
    <t>Sa svih površina potrebno je ukloniti šutu i građevinski otpad, smeće, ... te prostor držati urednim kako bi se prostor mogao uporabljivati te kako se ne bi nakupljao otpad u javnom prostoru.</t>
  </si>
  <si>
    <t>U stavku uključeno redovito čišćenje nogostupa, ulaza u zgradu, ulaza u prostor u prizemlju, ... kako bi predmetne zone ostale pristupačne.</t>
  </si>
  <si>
    <t>Stavka uključuje završno fino čišćenje kao pripremu za primopredaju, uključivo sva gruba i fina čišćenja pročelja i nogostupa, skupljanje te završni odvoz uklonjenog materijala i deponiranje, uključivo takse deponije.</t>
  </si>
  <si>
    <t>Čišćenje obuhvaća otklanjanje zaprljanja sa svih ploha u prostorima iskazanim u stavci - s pročelja, nogostupa i eventualno drugih zaprljanih dijelova. Prostor za primopredaju mora biti u cijelosti čist.</t>
  </si>
  <si>
    <t>Čišćenje pročelja prije početka radova</t>
  </si>
  <si>
    <t>U stavku uključeno otprašivanje, čišćenje i pranje visokotlačnim peračem cijele površine predmetnog dijela fasade.</t>
  </si>
  <si>
    <t>U stavku uključena sva potrebna zaštita susjednih zgrada te nogostupa od prskanja te kanaliziranje onečišćene vode prema odvodu.</t>
  </si>
  <si>
    <t>Obračun po m2 razvijene površine zone obuhvata pročelja.</t>
  </si>
  <si>
    <t>FASADERSKI RADOVI</t>
  </si>
  <si>
    <t>Prekrivanje grafita prije bojanja fasade</t>
  </si>
  <si>
    <t>Bojanje fasade</t>
  </si>
  <si>
    <t>Obračun po m2 prekrivenih grafita</t>
  </si>
  <si>
    <t>Dobava materijala i ličenje dijela pročelja prekrivenog grafitima.</t>
  </si>
  <si>
    <t>Predmetna zona prekriva se gustom fasadnom bojom kako bi se spriječilo prodiranje grafita kroz završnu boju.</t>
  </si>
  <si>
    <t>Prekrivna boja istog tona kao postojeća boja pročelja.</t>
  </si>
  <si>
    <t>Dobava materijala i bojanje fasade završnom pročeljnom bojom.</t>
  </si>
  <si>
    <t>U stavku uključen pretpremaz za bolju prionjivost te svi potrebni radovi za izvedbu uredne plohe pročelja.</t>
  </si>
  <si>
    <t>1) bojanje plohe</t>
  </si>
  <si>
    <t>Obračun po m2 površine koja se liči.</t>
  </si>
  <si>
    <t>Obračun po m1 špalete i brida koji se liči.</t>
  </si>
  <si>
    <t>Obračun po m2 površine plohe koja se boja.</t>
  </si>
  <si>
    <t>Obračun po m1 špalete i brida koji se boja.</t>
  </si>
  <si>
    <t>2.4) ukrasni okvir glavnog ulaza</t>
  </si>
  <si>
    <t>2.2) špaleta glavnog ulaza</t>
  </si>
  <si>
    <t>2.3) špaleta nadsvjetla glavnog ulaza</t>
  </si>
  <si>
    <t>Obrada ulaznih vrata i nadsvjetla</t>
  </si>
  <si>
    <t>U stavku uključeno skidanje boje, sanacija oštećenja (kitanje), brušenje, ličenje ploha bojom za drvo, ličenje čeličnih elemenata bojom za metal.</t>
  </si>
  <si>
    <t>U cijenu uključeni svi potrebni pretpremazi, odnosno premazi i impregnacije sukladno uputama proizvođača.</t>
  </si>
  <si>
    <t>Obračun za komplet obnovljena ulazna vrata</t>
  </si>
  <si>
    <t>U stavku je uključeno npr:</t>
  </si>
  <si>
    <t>Ukoliko se stavka izvodi nužno je prethodno ishoditi potvrdu od pružatelja usluge (vlasnika infrastukture) koja se vrši putem predmetne instalacije.</t>
  </si>
  <si>
    <t>NAPOMENA: skela uključena u cijene pripadajućih radova za koje se koristi.</t>
  </si>
  <si>
    <t>NAPOMENA: u sve cijene troškovničkih stavaka uključeno grubo čišćenje tijekom trajanja radova</t>
  </si>
  <si>
    <t>1) struganje</t>
  </si>
  <si>
    <t>1) premazivanje mrlja</t>
  </si>
  <si>
    <t>1) ličenje plohe, TIP B, svijetla oker boja</t>
  </si>
  <si>
    <t>Napomena: boja je dana aproksimativno, točna boja će se utvrditi prema ton karti odabranog proizvođača boje.</t>
  </si>
  <si>
    <t>Dobava materijala i ličenje sokla visine 25 cm uljenom perivom bojom.</t>
  </si>
  <si>
    <t>1) rukohvat na zidu</t>
  </si>
  <si>
    <t>2) rukohvat na ogradi</t>
  </si>
  <si>
    <t>U stavku uključeno završno premazivanje bojom otpornom na grafite.</t>
  </si>
  <si>
    <t>Pročeljna boja mora biti postojana na čišćenje pod visokim pritiskom.</t>
  </si>
  <si>
    <t>2) vratašca zidnog ormarića cca 40x40</t>
  </si>
  <si>
    <t>3) stropna rasvjetna tijela</t>
  </si>
  <si>
    <t>4) zidna elektrooprema (pretežno sklopke)</t>
  </si>
  <si>
    <t>5) razvodne kutije</t>
  </si>
  <si>
    <t>6) kanalice slabe struje</t>
  </si>
  <si>
    <t>7) nadgradni ormari slabe struje</t>
  </si>
  <si>
    <t>8) ugradbeni ormari jake struje</t>
  </si>
  <si>
    <t>Izvlačenje elemenata u svrhu izvedbe kontinuirane plohe.</t>
  </si>
  <si>
    <t>U stavku uključeno privremeno skladištenje na lokaciji elemenata koji se demontiraju, zaštita instalacije i elemenata koji se samo izvlače za vrijeme trajanja radova, te ponovna montaža nakon izvedbe radova.</t>
  </si>
  <si>
    <t>2.6) bridovi stropnih greda</t>
  </si>
  <si>
    <t>Obračun za komplet obnovljena vrata vjetrobrana</t>
  </si>
  <si>
    <t>STOLARSKI RADOVI</t>
  </si>
  <si>
    <t>Obrada vrata vjetrobrana i nadsvjetla</t>
  </si>
  <si>
    <t>Prilikom izvedbe stolarskih radova te za korištenje i ispitivanje materijala opisanih u troškovniku izvođač radova mora se pridržavati  uvjeta i opisa iz projektne dokumentacije kao i važećih propisa i normama na koje tehnički propisi upućuju.</t>
  </si>
  <si>
    <t>Izvođač je dužan provjeriti sve dimenzije na licu mjesta, bilo kakva pogreška, propust ili neslaganja između nacrta arhitekture i eventualnih dodatnih nacrta i projektnih detalja moraju se prijaviti voditelju projekta, nadzornom inženjeru i projektantu.</t>
  </si>
  <si>
    <t>U slučaju neslaganja između nacrta, mjerodavan je detaljniji nacrt.</t>
  </si>
  <si>
    <t>RADIONIČKA DOKUMENTACIJA</t>
  </si>
  <si>
    <t>Prije početka izvedbe stolarskih elemenata sve potrebne radioničke nacrte izrađuje izvođač stolarskih radova te s predloženim okovom dostavlja ih na usuglašavanje projektantu-investitoru.</t>
  </si>
  <si>
    <t>Svi pripremni radionički nacrti izvođača moraju se predati projektantu na odobrenje prije izrade stavke.</t>
  </si>
  <si>
    <t>Za svaki element je potrebno izraditi uzorak u detaljnom mjerilu, kojega odobrava projektant prije narudžbe materijala.</t>
  </si>
  <si>
    <t>Na zahtjev projektanta ili odgovorne osobe izvođač je dužan testirati određene detalje sa prototipovima, a prije same izvedbe.</t>
  </si>
  <si>
    <t>Sva oprema kod dostave i prilikom ugradnje mora biti zaštićena, kako tijekom i nakon ugradbe ne bi došlo do njenog oštećenja.</t>
  </si>
  <si>
    <t>ODRŽAVANJE I PREGLEDI  STOLARSKIH RADOVA</t>
  </si>
  <si>
    <t>Pregledi i održavanje stolarskih radova izvode se sukladno Tehničkom propisu za građevinske konstrukcije i Pravilnikom o održavanju građevina, ili u razmacima i na način određen projektom građevine i pisanom izjavom izvođača o izvedenim radovima i o uvjetima održavanja građevine.</t>
  </si>
  <si>
    <t>ZAVRŠNO ČIŠĆENJE STOLARIJE</t>
  </si>
  <si>
    <t>U stavke stolarskih radova uključeno je završno čišćenje nakon izvedbe radova te se isto neće iskazivati zasebno. Unutarnja i vanjska stolarija, osobito staklene stijene, prozori i vrata, za primopredaju moraju biti u cijelosti čisti, bez ostataka građevinskih materijala i drugih zaprljanja.</t>
  </si>
  <si>
    <t>Čišćenje se mora izvršavati sukladno uputama proizvođača stolarije, odnosno stakla. Ukoliko čišćenjem nije moguće otkloniti nedostatke, izvođač je iste dužan otkloniti o svom trošku.</t>
  </si>
  <si>
    <t>Obračun se vrši po komadu osim ako u troškovničkoj stavci nije drugačije specificirano.</t>
  </si>
  <si>
    <t>Osim navedenog jedinična cijena sadrži i</t>
  </si>
  <si>
    <t>- kompletnu zaštitu sa završnom obradom ličenjem ili prema opisu stavke</t>
  </si>
  <si>
    <t>- ostakljenje ili druge ispune prema shemama</t>
  </si>
  <si>
    <t>- sav potreban okov do potpune funkcionalnosti prema zahtjevima projekta</t>
  </si>
  <si>
    <t>- sve brave, ručke, kvake i izradu ključeva</t>
  </si>
  <si>
    <t>Svi detalji potrebni za radionički nacrt dogovaraju se s glavnim projektantom, a ugradnja slijedi nakon što projektant odobri radioničke nacrte, a izvođač točno provjeri sve dimenzije na licu mjesta.</t>
  </si>
  <si>
    <t>Obračun radova vršit će se prema opisu troškovničke stavke.</t>
  </si>
  <si>
    <t>Dimenzije vrata: 140x220</t>
  </si>
  <si>
    <t>Dimenzije nadsvjetla: 140x50</t>
  </si>
  <si>
    <t>Dimenzije nadsvjetla: 140x80</t>
  </si>
  <si>
    <t>Visina ograde sukladno potrebama radova, ne manje od 2.5 m1.</t>
  </si>
  <si>
    <t>Dimenzije vrata: 140x270</t>
  </si>
  <si>
    <t>2.8) rub prema malom stubištu</t>
  </si>
  <si>
    <t>2.7) rub prema susjednoj zgradi</t>
  </si>
  <si>
    <t>2.6) rub prema gornjem dijelu pročelja</t>
  </si>
  <si>
    <t>2.5) profilirana linija u razini klupčica</t>
  </si>
  <si>
    <t>Zagreb, studeni 2025.</t>
  </si>
  <si>
    <t>Prethodno radu na instalacijama izvršiti nadzor nad stanjem istih kako bi se utvrdili mogućnosti i načini izvlačenja te, po potrebi nadzor nadležnih službi i isporučitelja usluge u čijem su instalacije vlasništvu (HEP, HT, ...).</t>
  </si>
  <si>
    <t>Prethodno izvođenju stavke izvlačenja ormara provjeriti je li isto moguće zbog duljine pripadajućih kabela. Ako nije, anulirati odgovarajuću stavku.</t>
  </si>
  <si>
    <t>Kod izrade bilo kojeg sustava fasade potrebno je koristiti sistemske komponente i sistemska rješenja prema uputama proizvođača. Fasada se u skladu sa propisima izvodi u sistemu jednog proizvođača fasadnog sustava  što se dokazuje pripadajućom izjavom o svojstvima za odabrani fasadni sustav. Nije dozvoljeno miješanje komponenti sustava različitih proizvođača izvan odabranog sustava. Izvođač je dužan u jediničnu cijenu uključiti sve potrebne profile za kvalitetno izvođenje radova na fasadi (okapni i kutni profil, završetak podnožja fasade i sl.). Sve komponente moraju ispunjavati projektne zahtjeve u vidu koeficijenta toplinske provodlijivosti. Uz pravilno korištenje i ugradbu materijala izvođač je dužan pridržavati se svih važećih propisa za izvođenje fasadnih sustava i smjernica za izvedbu istih.</t>
  </si>
  <si>
    <t>Izvođač je dužan ostvariti zadovoljavajući estetski izgled fasade, u protivnom je isto dužan sanirati o svom trošku. Naknadno izravnavanje izvedenog fasadnog sustava nije dozvoljeno.</t>
  </si>
  <si>
    <t>Čišćenje se mora izvršavati sukladno uputama proizvođača za odabrane fasadne sustave. Ukoliko čišćenjem nije moguće otkloniti nedostatke, izvođač je iste dužan otkloniti o svom trošku.</t>
  </si>
  <si>
    <t>- za plohu se kao mjerodavna količina računa netto obrađena površina, svi otvori su odbijeni, špalete su iskazane zasebno</t>
  </si>
  <si>
    <t>Prije početka radova na izvedbi fasade klupčice, metalne dijelove, drvo i staklo Izvođač je dužan zaštititi, što je iskazano stavkom.</t>
  </si>
  <si>
    <t>Fasada za primopredaju mora biti u cijelosti čista, bez ostataka građevinskih materijala i drugih zaprljanja.</t>
  </si>
  <si>
    <t>Fasadna skela potrebne visine ulazi u jedinične cijene stavaka i ne naplaćuje se posebno. Skela mora biti na vrijeme postavljena.</t>
  </si>
  <si>
    <t>Visina dijela fasade koji se obrađuje: cca 4 m od poda nogostupa.</t>
  </si>
  <si>
    <t>Skela nije u cijeni, ne zna se što je obuhvat radova na fasadi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</si>
</sst>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4" formatCode="_-* #,##0.00\ &quot;kn&quot;_-;\-* #,##0.00\ &quot;kn&quot;_-;_-* &quot;-&quot;??\ &quot;kn&quot;_-;_-@_-"/>
    <numFmt numFmtId="43" formatCode="_-* #,##0.00_-;\-* #,##0.00_-;_-* &quot;-&quot;??_-;_-@_-"/>
    <numFmt numFmtId="164" formatCode="_-* #,##0.00\ _k_n_-;\-* #,##0.00\ _k_n_-;_-* &quot;-&quot;??\ _k_n_-;_-@_-"/>
    <numFmt numFmtId="165" formatCode="_(* #,##0.00_);_(* \(#,##0.00\);_(* &quot;-&quot;??_);_(@_)"/>
    <numFmt numFmtId="166" formatCode="#00_ ;"/>
    <numFmt numFmtId="167" formatCode="[$-809]dd\ mmmm\ yyyy;@"/>
    <numFmt numFmtId="168" formatCode="_-* #,##0.00\ _k_n_-;\-* #,##0.00\ _k_n_-;_-* \-??\ _k_n_-;_-@_-"/>
    <numFmt numFmtId="169" formatCode="#,##0.00&quot;      &quot;;\-#,##0.00&quot;      &quot;;&quot; -&quot;#&quot;      &quot;;@\ "/>
    <numFmt numFmtId="170" formatCode="_(&quot;kn&quot;\ * #,##0.00_);_(&quot;kn&quot;\ * \(#,##0.00\);_(&quot;kn&quot;\ * &quot;-&quot;??_);_(@_)"/>
    <numFmt numFmtId="171" formatCode="[$-41A]General"/>
    <numFmt numFmtId="172" formatCode="_-[$€]\ * #,##0.00_-;\-[$€]\ * #,##0.00_-;_-[$€]\ * &quot;-&quot;??_-;_-@_-"/>
    <numFmt numFmtId="173" formatCode="&quot;- &quot;@"/>
    <numFmt numFmtId="174" formatCode="General_)"/>
    <numFmt numFmtId="175" formatCode="_-* #,##0.00\ [$€-1]_-;\-* #,##0.00\ [$€-1]_-;_-* &quot;-&quot;??\ [$€-1]_-;_-@_-"/>
    <numFmt numFmtId="176" formatCode="#,##0.00\ [$kn-41A]"/>
    <numFmt numFmtId="177" formatCode="#&quot;.&quot;"/>
    <numFmt numFmtId="178" formatCode="_-* #,##0.00_-;\-* #,##0.00_-;_-* \-??_-;_-@_-"/>
    <numFmt numFmtId="179" formatCode="_-* #,##0.00\ [$kn-41A]_-;\-* #,##0.00\ [$kn-41A]_-;_-* &quot;-&quot;??\ [$kn-41A]_-;_-@_-"/>
    <numFmt numFmtId="180" formatCode="* #,##0.00\ ;\-* #,##0.00\ ;* \-#\ ;@\ "/>
    <numFmt numFmtId="181" formatCode="&quot;$&quot;#,##0_);\(&quot;$&quot;#,##0\)"/>
    <numFmt numFmtId="182" formatCode="#,##0;\-#,##0;&quot;-&quot;"/>
    <numFmt numFmtId="183" formatCode="#,##0.00;\-#,##0.00;&quot;-&quot;"/>
    <numFmt numFmtId="184" formatCode="#,##0%;\-#,##0%;&quot;- &quot;"/>
    <numFmt numFmtId="185" formatCode="#,##0.0%;\-#,##0.0%;&quot;- &quot;"/>
    <numFmt numFmtId="186" formatCode="#,##0.00%;\-#,##0.00%;&quot;- &quot;"/>
    <numFmt numFmtId="187" formatCode="#,##0.0;\-#,##0.0;&quot;-&quot;"/>
    <numFmt numFmtId="188" formatCode="[Blue]#,##0;[Blue]\(#,##0\)"/>
    <numFmt numFmtId="189" formatCode="#,##0;\(#,##0\)"/>
    <numFmt numFmtId="190" formatCode="&quot;$&quot;#,##0;[Red]\-&quot;$&quot;#,##0"/>
    <numFmt numFmtId="191" formatCode="&quot;$&quot;#,##0.00;[Red]\-&quot;$&quot;#,##0.00"/>
    <numFmt numFmtId="192" formatCode="[Red]0%;[Red]\(0%\)"/>
    <numFmt numFmtId="193" formatCode="0%;\(0%\)"/>
    <numFmt numFmtId="194" formatCode="\ \ @"/>
    <numFmt numFmtId="195" formatCode="\ \ \ \ @"/>
    <numFmt numFmtId="196" formatCode="_-&quot;$&quot;* #,##0_-;\-&quot;$&quot;* #,##0_-;_-&quot;$&quot;* &quot;-&quot;_-;_-@_-"/>
    <numFmt numFmtId="197" formatCode="_-&quot;$&quot;* #,##0.00_-;\-&quot;$&quot;* #,##0.00_-;_-&quot;$&quot;* &quot;-&quot;??_-;_-@_-"/>
    <numFmt numFmtId="198" formatCode="_(* #,##0.00_);_(* \(#,##0.00\);_(* \-??_);_(@_)"/>
    <numFmt numFmtId="199" formatCode="_-* #,##0\ _k_n_-;\-* #,##0\ _k_n_-;_-* &quot;- &quot;_k_n_-;_-@_-"/>
    <numFmt numFmtId="200" formatCode="_-* #,##0_-;\-* #,##0_-;_-* \-_-;_-@_-"/>
  </numFmts>
  <fonts count="161">
    <font>
      <sz val="11"/>
      <color theme="1"/>
      <name val="Calibri"/>
      <family val="2"/>
      <charset val="238"/>
      <scheme val="minor"/>
    </font>
    <font>
      <sz val="11"/>
      <color theme="1"/>
      <name val="Calibri"/>
      <family val="2"/>
      <scheme val="minor"/>
    </font>
    <font>
      <sz val="10"/>
      <name val="Arial"/>
      <family val="2"/>
    </font>
    <font>
      <sz val="11"/>
      <name val="Arial Narrow"/>
      <family val="2"/>
      <charset val="238"/>
    </font>
    <font>
      <sz val="11"/>
      <name val="Arial"/>
      <family val="2"/>
      <charset val="238"/>
    </font>
    <font>
      <sz val="10"/>
      <name val="Arial"/>
      <family val="2"/>
      <charset val="238"/>
    </font>
    <font>
      <sz val="14"/>
      <name val="Arial Narrow"/>
      <family val="2"/>
      <charset val="238"/>
    </font>
    <font>
      <b/>
      <sz val="14"/>
      <name val="Arial Narrow"/>
      <family val="2"/>
      <charset val="238"/>
    </font>
    <font>
      <b/>
      <sz val="14"/>
      <name val="Arial Narrow"/>
      <family val="2"/>
    </font>
    <font>
      <sz val="14"/>
      <name val="Arial"/>
      <family val="2"/>
      <charset val="238"/>
    </font>
    <font>
      <sz val="11"/>
      <name val="Arial Narrow"/>
      <family val="2"/>
    </font>
    <font>
      <sz val="14"/>
      <name val="Arial Narrow"/>
      <family val="2"/>
    </font>
    <font>
      <sz val="14"/>
      <name val="Arial"/>
      <family val="2"/>
    </font>
    <font>
      <sz val="12"/>
      <name val="Arial"/>
      <family val="2"/>
      <charset val="238"/>
    </font>
    <font>
      <sz val="11"/>
      <color theme="1"/>
      <name val="Calibri"/>
      <family val="2"/>
      <charset val="238"/>
      <scheme val="minor"/>
    </font>
    <font>
      <sz val="11"/>
      <color theme="1"/>
      <name val="Arial Narrow"/>
      <family val="2"/>
      <charset val="238"/>
    </font>
    <font>
      <sz val="11"/>
      <color rgb="FFFF0000"/>
      <name val="Arial Narrow"/>
      <family val="2"/>
      <charset val="238"/>
    </font>
    <font>
      <b/>
      <sz val="11"/>
      <name val="Arial Narrow"/>
      <family val="2"/>
      <charset val="238"/>
    </font>
    <font>
      <sz val="10"/>
      <name val="Arial Narrow"/>
      <family val="2"/>
      <charset val="238"/>
    </font>
    <font>
      <sz val="11"/>
      <color indexed="8"/>
      <name val="Arial Narrow"/>
      <family val="2"/>
    </font>
    <font>
      <sz val="10"/>
      <color rgb="FFFF0000"/>
      <name val="Arial"/>
      <family val="2"/>
    </font>
    <font>
      <sz val="11"/>
      <color theme="1"/>
      <name val="Arial Narrow"/>
      <family val="2"/>
    </font>
    <font>
      <b/>
      <sz val="11"/>
      <color theme="1"/>
      <name val="Arial Narrow"/>
      <family val="2"/>
    </font>
    <font>
      <sz val="10"/>
      <name val="Arial CE"/>
      <charset val="238"/>
    </font>
    <font>
      <b/>
      <sz val="11"/>
      <name val="Arial Narrow"/>
      <family val="2"/>
    </font>
    <font>
      <sz val="12"/>
      <color rgb="FFFF0000"/>
      <name val="Arial"/>
      <family val="2"/>
    </font>
    <font>
      <sz val="11"/>
      <color rgb="FF000000"/>
      <name val="Arial Narrow"/>
      <family val="2"/>
    </font>
    <font>
      <b/>
      <sz val="11"/>
      <color rgb="FF000000"/>
      <name val="Arial Narrow"/>
      <family val="2"/>
    </font>
    <font>
      <b/>
      <sz val="11"/>
      <color indexed="8"/>
      <name val="Arial Narrow"/>
      <family val="2"/>
    </font>
    <font>
      <sz val="11"/>
      <color rgb="FFFFC000"/>
      <name val="Arial Narrow"/>
      <family val="2"/>
      <charset val="238"/>
    </font>
    <font>
      <i/>
      <sz val="11"/>
      <name val="Arial Narrow"/>
      <family val="2"/>
    </font>
    <font>
      <sz val="11"/>
      <name val="Calibri"/>
      <family val="2"/>
      <charset val="238"/>
      <scheme val="minor"/>
    </font>
    <font>
      <sz val="9"/>
      <name val="Arial"/>
      <family val="2"/>
    </font>
    <font>
      <sz val="11"/>
      <name val="Arial"/>
      <family val="2"/>
    </font>
    <font>
      <sz val="10"/>
      <name val="Helv"/>
      <charset val="204"/>
    </font>
    <font>
      <sz val="10"/>
      <name val="Helv"/>
    </font>
    <font>
      <sz val="11"/>
      <color indexed="8"/>
      <name val="Calibri"/>
      <family val="2"/>
      <charset val="238"/>
    </font>
    <font>
      <sz val="11"/>
      <color indexed="8"/>
      <name val="Calibri"/>
      <family val="2"/>
    </font>
    <font>
      <sz val="11"/>
      <color indexed="9"/>
      <name val="Calibri"/>
      <family val="2"/>
      <charset val="238"/>
    </font>
    <font>
      <sz val="11"/>
      <color indexed="9"/>
      <name val="Calibri"/>
      <family val="2"/>
    </font>
    <font>
      <b/>
      <sz val="11"/>
      <color indexed="63"/>
      <name val="Calibri"/>
      <family val="2"/>
    </font>
    <font>
      <sz val="11"/>
      <color indexed="20"/>
      <name val="Calibri"/>
      <family val="2"/>
      <charset val="238"/>
    </font>
    <font>
      <b/>
      <sz val="11"/>
      <color indexed="52"/>
      <name val="Calibri"/>
      <family val="2"/>
    </font>
    <font>
      <sz val="12"/>
      <name val="Arial CE"/>
      <family val="2"/>
      <charset val="238"/>
    </font>
    <font>
      <sz val="12"/>
      <name val="HRHelvetica"/>
    </font>
    <font>
      <sz val="10"/>
      <name val="Futura Bk L2"/>
      <charset val="238"/>
    </font>
    <font>
      <b/>
      <sz val="11"/>
      <color indexed="60"/>
      <name val="Calibri"/>
      <family val="2"/>
      <charset val="238"/>
    </font>
    <font>
      <b/>
      <sz val="11"/>
      <color indexed="52"/>
      <name val="Calibri"/>
      <family val="2"/>
      <charset val="238"/>
    </font>
    <font>
      <b/>
      <sz val="11"/>
      <color indexed="9"/>
      <name val="Calibri"/>
      <family val="2"/>
      <charset val="238"/>
    </font>
    <font>
      <sz val="11"/>
      <name val="Arial CE"/>
      <charset val="238"/>
    </font>
    <font>
      <sz val="10"/>
      <name val="MS Sans Serif"/>
      <family val="2"/>
      <charset val="238"/>
    </font>
    <font>
      <sz val="9"/>
      <color theme="1"/>
      <name val="Tahoma"/>
      <family val="2"/>
      <charset val="238"/>
    </font>
    <font>
      <sz val="11"/>
      <color indexed="17"/>
      <name val="Calibri"/>
      <family val="2"/>
      <charset val="238"/>
    </font>
    <font>
      <sz val="11"/>
      <color indexed="17"/>
      <name val="Calibri"/>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238"/>
    </font>
    <font>
      <b/>
      <i/>
      <sz val="16"/>
      <color theme="1"/>
      <name val="Arial"/>
      <family val="2"/>
      <charset val="238"/>
    </font>
    <font>
      <b/>
      <sz val="15"/>
      <color indexed="48"/>
      <name val="Calibri"/>
      <family val="2"/>
      <charset val="238"/>
    </font>
    <font>
      <b/>
      <sz val="15"/>
      <color indexed="56"/>
      <name val="Calibri"/>
      <family val="2"/>
      <charset val="238"/>
    </font>
    <font>
      <b/>
      <sz val="13"/>
      <color indexed="48"/>
      <name val="Calibri"/>
      <family val="2"/>
      <charset val="238"/>
    </font>
    <font>
      <b/>
      <sz val="13"/>
      <color indexed="56"/>
      <name val="Calibri"/>
      <family val="2"/>
      <charset val="238"/>
    </font>
    <font>
      <b/>
      <sz val="11"/>
      <color indexed="48"/>
      <name val="Calibri"/>
      <family val="2"/>
      <charset val="238"/>
    </font>
    <font>
      <b/>
      <sz val="11"/>
      <color indexed="56"/>
      <name val="Calibri"/>
      <family val="2"/>
      <charset val="238"/>
    </font>
    <font>
      <u/>
      <sz val="10"/>
      <color indexed="12"/>
      <name val="Arial"/>
      <family val="2"/>
      <charset val="238"/>
    </font>
    <font>
      <sz val="11"/>
      <color indexed="62"/>
      <name val="Calibri"/>
      <family val="2"/>
      <charset val="238"/>
    </font>
    <font>
      <b/>
      <sz val="11"/>
      <color indexed="63"/>
      <name val="Calibri"/>
      <family val="2"/>
      <charset val="238"/>
    </font>
    <font>
      <sz val="10"/>
      <name val="Futura Md L2"/>
      <family val="2"/>
      <charset val="238"/>
    </font>
    <font>
      <sz val="10"/>
      <name val="Times New Roman CE"/>
      <family val="1"/>
      <charset val="238"/>
    </font>
    <font>
      <sz val="12"/>
      <name val="Times New Roman CE"/>
      <family val="1"/>
      <charset val="238"/>
    </font>
    <font>
      <sz val="10"/>
      <color indexed="8"/>
      <name val="Century Gothic"/>
      <family val="2"/>
      <charset val="238"/>
    </font>
    <font>
      <sz val="10"/>
      <name val="Futura Bk L2"/>
      <family val="2"/>
      <charset val="238"/>
    </font>
    <font>
      <sz val="11"/>
      <color indexed="60"/>
      <name val="Calibri"/>
      <family val="2"/>
      <charset val="238"/>
    </font>
    <font>
      <sz val="11"/>
      <color indexed="52"/>
      <name val="Calibri"/>
      <family val="2"/>
      <charset val="238"/>
    </font>
    <font>
      <sz val="11"/>
      <color indexed="20"/>
      <name val="Calibri"/>
      <family val="2"/>
    </font>
    <font>
      <sz val="6.8"/>
      <color indexed="8"/>
      <name val="Arial Unicode MS"/>
      <family val="2"/>
      <charset val="238"/>
    </font>
    <font>
      <b/>
      <sz val="18"/>
      <color indexed="56"/>
      <name val="Cambria"/>
      <family val="2"/>
      <charset val="238"/>
    </font>
    <font>
      <b/>
      <sz val="15"/>
      <color indexed="56"/>
      <name val="Calibri"/>
      <family val="2"/>
    </font>
    <font>
      <b/>
      <sz val="13"/>
      <color indexed="56"/>
      <name val="Calibri"/>
      <family val="2"/>
    </font>
    <font>
      <b/>
      <sz val="11"/>
      <color indexed="56"/>
      <name val="Calibri"/>
      <family val="2"/>
    </font>
    <font>
      <b/>
      <sz val="18"/>
      <color indexed="56"/>
      <name val="Cambria"/>
      <family val="2"/>
    </font>
    <font>
      <b/>
      <sz val="18"/>
      <color indexed="62"/>
      <name val="Cambria"/>
      <family val="2"/>
      <charset val="238"/>
    </font>
    <font>
      <sz val="11"/>
      <color indexed="59"/>
      <name val="Calibri"/>
      <family val="2"/>
      <charset val="238"/>
    </font>
    <font>
      <sz val="11"/>
      <color indexed="60"/>
      <name val="Calibri"/>
      <family val="2"/>
    </font>
    <font>
      <sz val="12"/>
      <name val="Arial"/>
      <family val="2"/>
    </font>
    <font>
      <sz val="10"/>
      <name val="Arial CE"/>
      <family val="2"/>
      <charset val="238"/>
    </font>
    <font>
      <sz val="9"/>
      <name val="Arial"/>
      <family val="2"/>
      <charset val="238"/>
    </font>
    <font>
      <sz val="11"/>
      <name val="CRO_Swiss-Normal"/>
      <charset val="238"/>
    </font>
    <font>
      <sz val="12"/>
      <name val="Helv"/>
      <family val="2"/>
    </font>
    <font>
      <sz val="11"/>
      <color theme="1"/>
      <name val="Arial"/>
      <family val="2"/>
      <charset val="238"/>
    </font>
    <font>
      <sz val="12"/>
      <name val="Times"/>
      <family val="1"/>
      <charset val="238"/>
    </font>
    <font>
      <sz val="10"/>
      <name val="CRO_Swiss-Normal"/>
    </font>
    <font>
      <sz val="9"/>
      <name val="Arial CE"/>
      <family val="2"/>
      <charset val="238"/>
    </font>
    <font>
      <sz val="11"/>
      <color indexed="8"/>
      <name val="Arial"/>
      <family val="2"/>
    </font>
    <font>
      <sz val="10"/>
      <color indexed="8"/>
      <name val="MS Sans Serif"/>
      <family val="2"/>
      <charset val="238"/>
    </font>
    <font>
      <sz val="10"/>
      <name val="Arial CE"/>
      <family val="2"/>
    </font>
    <font>
      <sz val="11"/>
      <name val="Times New Roman"/>
      <family val="1"/>
      <charset val="238"/>
    </font>
    <font>
      <sz val="10"/>
      <name val="Helv"/>
      <family val="2"/>
    </font>
    <font>
      <sz val="10"/>
      <name val="Times New Roman"/>
      <family val="1"/>
      <charset val="238"/>
    </font>
    <font>
      <sz val="11"/>
      <color indexed="52"/>
      <name val="Calibri"/>
      <family val="2"/>
    </font>
    <font>
      <b/>
      <sz val="11"/>
      <color indexed="9"/>
      <name val="Calibri"/>
      <family val="2"/>
    </font>
    <font>
      <b/>
      <i/>
      <u/>
      <sz val="11"/>
      <color theme="1"/>
      <name val="Arial"/>
      <family val="2"/>
      <charset val="238"/>
    </font>
    <font>
      <b/>
      <sz val="11"/>
      <name val="Arial CE"/>
      <family val="2"/>
      <charset val="238"/>
    </font>
    <font>
      <b/>
      <sz val="12"/>
      <name val="Futura Bk L2"/>
      <family val="2"/>
      <charset val="238"/>
    </font>
    <font>
      <sz val="10"/>
      <color indexed="8"/>
      <name val="Arial CE"/>
      <charset val="238"/>
    </font>
    <font>
      <sz val="10"/>
      <color indexed="8"/>
      <name val="Arial CE"/>
      <family val="2"/>
      <charset val="238"/>
    </font>
    <font>
      <sz val="11"/>
      <name val="Calibri"/>
      <family val="2"/>
      <charset val="238"/>
    </font>
    <font>
      <sz val="11"/>
      <color indexed="10"/>
      <name val="Calibri"/>
      <family val="2"/>
      <charset val="238"/>
    </font>
    <font>
      <sz val="11"/>
      <color indexed="10"/>
      <name val="Calibri"/>
      <family val="2"/>
    </font>
    <font>
      <b/>
      <sz val="18"/>
      <color indexed="48"/>
      <name val="Cambria"/>
      <family val="2"/>
      <charset val="238"/>
    </font>
    <font>
      <b/>
      <sz val="11"/>
      <color indexed="8"/>
      <name val="Calibri"/>
      <family val="2"/>
      <charset val="238"/>
    </font>
    <font>
      <sz val="10"/>
      <name val="Tms Rmn"/>
      <charset val="238"/>
    </font>
    <font>
      <b/>
      <sz val="10"/>
      <name val="Arial"/>
      <family val="2"/>
      <charset val="238"/>
    </font>
    <font>
      <sz val="9"/>
      <name val="Geneva"/>
      <charset val="238"/>
    </font>
    <font>
      <sz val="12"/>
      <color indexed="8"/>
      <name val="Arial"/>
      <family val="2"/>
    </font>
    <font>
      <sz val="10"/>
      <color rgb="FF000000"/>
      <name val="Arial"/>
      <family val="2"/>
      <charset val="238"/>
    </font>
    <font>
      <sz val="11"/>
      <color theme="1"/>
      <name val="Calibri"/>
      <family val="2"/>
      <charset val="238"/>
    </font>
    <font>
      <sz val="10"/>
      <name val="Myriad Pro"/>
      <family val="2"/>
    </font>
    <font>
      <sz val="10"/>
      <name val="ElegaGarmnd BT"/>
      <family val="1"/>
    </font>
    <font>
      <b/>
      <sz val="11"/>
      <color indexed="10"/>
      <name val="Calibri"/>
      <family val="2"/>
      <charset val="238"/>
    </font>
    <font>
      <b/>
      <sz val="15"/>
      <color indexed="62"/>
      <name val="Calibri"/>
      <family val="2"/>
      <charset val="238"/>
    </font>
    <font>
      <b/>
      <sz val="13"/>
      <color indexed="62"/>
      <name val="Calibri"/>
      <family val="2"/>
      <charset val="238"/>
    </font>
    <font>
      <b/>
      <sz val="11"/>
      <color indexed="62"/>
      <name val="Calibri"/>
      <family val="2"/>
      <charset val="238"/>
    </font>
    <font>
      <sz val="11"/>
      <color indexed="19"/>
      <name val="Calibri"/>
      <family val="2"/>
      <charset val="238"/>
    </font>
    <font>
      <sz val="11"/>
      <color rgb="FF000000"/>
      <name val="Calibri"/>
      <family val="2"/>
      <charset val="238"/>
    </font>
    <font>
      <sz val="11"/>
      <name val="7_Futura"/>
      <charset val="238"/>
    </font>
    <font>
      <sz val="10"/>
      <color rgb="FF000000"/>
      <name val="Helv"/>
      <charset val="238"/>
    </font>
    <font>
      <sz val="12"/>
      <name val="Times New Roman"/>
      <family val="1"/>
      <charset val="238"/>
    </font>
    <font>
      <sz val="10"/>
      <color indexed="10"/>
      <name val="Arial"/>
      <family val="2"/>
    </font>
    <font>
      <sz val="8"/>
      <name val="Arial"/>
      <family val="2"/>
    </font>
    <font>
      <b/>
      <sz val="12"/>
      <name val="Arial"/>
      <family val="2"/>
    </font>
    <font>
      <b/>
      <sz val="10"/>
      <name val="MS Sans Serif"/>
      <family val="2"/>
      <charset val="238"/>
    </font>
    <font>
      <sz val="10"/>
      <color indexed="8"/>
      <name val="Arial"/>
      <family val="2"/>
      <charset val="238"/>
    </font>
    <font>
      <sz val="10"/>
      <color indexed="0"/>
      <name val="MS Sans Serif"/>
      <family val="2"/>
      <charset val="238"/>
    </font>
    <font>
      <sz val="10"/>
      <color indexed="12"/>
      <name val="Arial"/>
      <family val="2"/>
    </font>
    <font>
      <sz val="10"/>
      <color indexed="14"/>
      <name val="Arial"/>
      <family val="2"/>
    </font>
    <font>
      <sz val="8"/>
      <name val="Arial Narrow"/>
      <family val="2"/>
      <charset val="238"/>
    </font>
    <font>
      <sz val="11"/>
      <name val="7_Futura"/>
    </font>
    <font>
      <sz val="10"/>
      <color indexed="8"/>
      <name val="Tahoma"/>
      <family val="2"/>
      <charset val="238"/>
    </font>
    <font>
      <sz val="10"/>
      <color indexed="9"/>
      <name val="Tahoma"/>
      <family val="2"/>
      <charset val="238"/>
    </font>
    <font>
      <sz val="10"/>
      <color indexed="20"/>
      <name val="Tahoma"/>
      <family val="2"/>
      <charset val="238"/>
    </font>
    <font>
      <b/>
      <sz val="10"/>
      <color indexed="52"/>
      <name val="Tahoma"/>
      <family val="2"/>
      <charset val="238"/>
    </font>
    <font>
      <b/>
      <sz val="10"/>
      <color indexed="9"/>
      <name val="Tahoma"/>
      <family val="2"/>
      <charset val="238"/>
    </font>
    <font>
      <sz val="10"/>
      <name val="ISOCPEUR"/>
      <family val="2"/>
      <charset val="238"/>
    </font>
    <font>
      <i/>
      <sz val="10"/>
      <color indexed="23"/>
      <name val="Tahoma"/>
      <family val="2"/>
      <charset val="238"/>
    </font>
    <font>
      <b/>
      <sz val="15"/>
      <color indexed="62"/>
      <name val="Tahoma"/>
      <family val="2"/>
      <charset val="238"/>
    </font>
    <font>
      <b/>
      <sz val="13"/>
      <color indexed="62"/>
      <name val="Tahoma"/>
      <family val="2"/>
      <charset val="238"/>
    </font>
    <font>
      <b/>
      <sz val="11"/>
      <color indexed="62"/>
      <name val="Tahoma"/>
      <family val="2"/>
      <charset val="238"/>
    </font>
    <font>
      <sz val="10"/>
      <color indexed="62"/>
      <name val="Tahoma"/>
      <family val="2"/>
      <charset val="238"/>
    </font>
    <font>
      <sz val="10"/>
      <color indexed="52"/>
      <name val="Tahoma"/>
      <family val="2"/>
      <charset val="238"/>
    </font>
    <font>
      <sz val="10"/>
      <color indexed="60"/>
      <name val="Tahoma"/>
      <family val="2"/>
      <charset val="238"/>
    </font>
    <font>
      <b/>
      <sz val="10"/>
      <color indexed="8"/>
      <name val="Tahoma"/>
      <family val="2"/>
      <charset val="238"/>
    </font>
    <font>
      <b/>
      <sz val="10"/>
      <color indexed="8"/>
      <name val="Arial"/>
      <family val="2"/>
      <charset val="238"/>
    </font>
    <font>
      <sz val="10"/>
      <color indexed="9"/>
      <name val="Arial"/>
      <family val="2"/>
      <charset val="238"/>
    </font>
    <font>
      <b/>
      <sz val="10"/>
      <color indexed="9"/>
      <name val="Arial"/>
      <family val="2"/>
      <charset val="238"/>
    </font>
    <font>
      <i/>
      <sz val="10"/>
      <color indexed="23"/>
      <name val="Arial"/>
      <family val="2"/>
      <charset val="238"/>
    </font>
    <font>
      <b/>
      <sz val="24"/>
      <color indexed="8"/>
      <name val="Arial"/>
      <family val="2"/>
      <charset val="238"/>
    </font>
    <font>
      <sz val="10"/>
      <color indexed="16"/>
      <name val="Arial"/>
      <family val="2"/>
      <charset val="238"/>
    </font>
    <font>
      <sz val="10"/>
      <name val="Arial Narrow"/>
      <family val="2"/>
    </font>
    <font>
      <sz val="11"/>
      <color rgb="FFFF0000"/>
      <name val="Arial Narrow"/>
      <family val="2"/>
    </font>
  </fonts>
  <fills count="123">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2"/>
        <bgColor indexed="64"/>
      </patternFill>
    </fill>
    <fill>
      <patternFill patternType="solid">
        <fgColor rgb="FFFFFF00"/>
        <bgColor indexed="64"/>
      </patternFill>
    </fill>
    <fill>
      <patternFill patternType="solid">
        <fgColor rgb="FF92D050"/>
        <bgColor indexed="64"/>
      </patternFill>
    </fill>
    <fill>
      <patternFill patternType="solid">
        <fgColor theme="5" tint="0.39994506668294322"/>
        <bgColor indexed="64"/>
      </patternFill>
    </fill>
    <fill>
      <patternFill patternType="solid">
        <fgColor indexed="31"/>
        <bgColor indexed="44"/>
      </patternFill>
    </fill>
    <fill>
      <patternFill patternType="solid">
        <fgColor indexed="31"/>
      </patternFill>
    </fill>
    <fill>
      <patternFill patternType="solid">
        <fgColor indexed="45"/>
        <bgColor indexed="46"/>
      </patternFill>
    </fill>
    <fill>
      <patternFill patternType="solid">
        <fgColor indexed="45"/>
      </patternFill>
    </fill>
    <fill>
      <patternFill patternType="solid">
        <fgColor indexed="42"/>
        <bgColor indexed="26"/>
      </patternFill>
    </fill>
    <fill>
      <patternFill patternType="solid">
        <fgColor indexed="42"/>
      </patternFill>
    </fill>
    <fill>
      <patternFill patternType="solid">
        <fgColor indexed="46"/>
        <bgColor indexed="45"/>
      </patternFill>
    </fill>
    <fill>
      <patternFill patternType="solid">
        <fgColor indexed="46"/>
      </patternFill>
    </fill>
    <fill>
      <patternFill patternType="solid">
        <fgColor indexed="41"/>
        <bgColor indexed="27"/>
      </patternFill>
    </fill>
    <fill>
      <patternFill patternType="solid">
        <fgColor indexed="27"/>
      </patternFill>
    </fill>
    <fill>
      <patternFill patternType="solid">
        <fgColor indexed="27"/>
        <bgColor indexed="44"/>
      </patternFill>
    </fill>
    <fill>
      <patternFill patternType="solid">
        <fgColor indexed="47"/>
      </patternFill>
    </fill>
    <fill>
      <patternFill patternType="solid">
        <fgColor indexed="47"/>
        <bgColor indexed="22"/>
      </patternFill>
    </fill>
    <fill>
      <patternFill patternType="solid">
        <fgColor indexed="50"/>
        <bgColor indexed="64"/>
      </patternFill>
    </fill>
    <fill>
      <patternFill patternType="solid">
        <fgColor theme="9" tint="-0.24994659260841701"/>
        <bgColor indexed="64"/>
      </patternFill>
    </fill>
    <fill>
      <patternFill patternType="solid">
        <fgColor indexed="44"/>
        <bgColor indexed="31"/>
      </patternFill>
    </fill>
    <fill>
      <patternFill patternType="solid">
        <fgColor indexed="44"/>
      </patternFill>
    </fill>
    <fill>
      <patternFill patternType="solid">
        <fgColor indexed="29"/>
        <bgColor indexed="45"/>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19"/>
        <bgColor indexed="23"/>
      </patternFill>
    </fill>
    <fill>
      <patternFill patternType="solid">
        <fgColor indexed="51"/>
      </patternFill>
    </fill>
    <fill>
      <patternFill patternType="solid">
        <fgColor indexed="51"/>
        <bgColor indexed="13"/>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49"/>
        <bgColor indexed="40"/>
      </patternFill>
    </fill>
    <fill>
      <patternFill patternType="solid">
        <fgColor indexed="49"/>
      </patternFill>
    </fill>
    <fill>
      <patternFill patternType="solid">
        <fgColor indexed="60"/>
        <bgColor indexed="59"/>
      </patternFill>
    </fill>
    <fill>
      <patternFill patternType="solid">
        <fgColor indexed="52"/>
      </patternFill>
    </fill>
    <fill>
      <patternFill patternType="solid">
        <fgColor indexed="52"/>
        <bgColor indexed="51"/>
      </patternFill>
    </fill>
    <fill>
      <patternFill patternType="solid">
        <fgColor indexed="62"/>
        <bgColor indexed="63"/>
      </patternFill>
    </fill>
    <fill>
      <patternFill patternType="solid">
        <fgColor indexed="62"/>
      </patternFill>
    </fill>
    <fill>
      <patternFill patternType="solid">
        <fgColor indexed="10"/>
        <bgColor indexed="16"/>
      </patternFill>
    </fill>
    <fill>
      <patternFill patternType="solid">
        <fgColor indexed="10"/>
      </patternFill>
    </fill>
    <fill>
      <patternFill patternType="solid">
        <fgColor indexed="54"/>
        <bgColor indexed="23"/>
      </patternFill>
    </fill>
    <fill>
      <patternFill patternType="solid">
        <fgColor indexed="57"/>
      </patternFill>
    </fill>
    <fill>
      <patternFill patternType="solid">
        <fgColor indexed="25"/>
        <bgColor indexed="61"/>
      </patternFill>
    </fill>
    <fill>
      <patternFill patternType="solid">
        <fgColor indexed="53"/>
      </patternFill>
    </fill>
    <fill>
      <patternFill patternType="solid">
        <fgColor indexed="22"/>
      </patternFill>
    </fill>
    <fill>
      <patternFill patternType="solid">
        <fgColor indexed="26"/>
      </patternFill>
    </fill>
    <fill>
      <patternFill patternType="solid">
        <fgColor indexed="26"/>
        <bgColor indexed="43"/>
      </patternFill>
    </fill>
    <fill>
      <patternFill patternType="solid">
        <fgColor indexed="26"/>
        <bgColor indexed="9"/>
      </patternFill>
    </fill>
    <fill>
      <patternFill patternType="solid">
        <fgColor indexed="22"/>
        <bgColor indexed="31"/>
      </patternFill>
    </fill>
    <fill>
      <patternFill patternType="solid">
        <fgColor indexed="55"/>
        <bgColor indexed="23"/>
      </patternFill>
    </fill>
    <fill>
      <patternFill patternType="solid">
        <fgColor indexed="55"/>
      </patternFill>
    </fill>
    <fill>
      <patternFill patternType="solid">
        <fgColor indexed="42"/>
        <bgColor indexed="27"/>
      </patternFill>
    </fill>
    <fill>
      <patternFill patternType="solid">
        <fgColor indexed="42"/>
        <bgColor indexed="44"/>
      </patternFill>
    </fill>
    <fill>
      <patternFill patternType="solid">
        <fgColor indexed="45"/>
        <bgColor indexed="29"/>
      </patternFill>
    </fill>
    <fill>
      <patternFill patternType="solid">
        <fgColor indexed="57"/>
        <bgColor indexed="21"/>
      </patternFill>
    </fill>
    <fill>
      <patternFill patternType="solid">
        <fgColor indexed="53"/>
        <bgColor indexed="52"/>
      </patternFill>
    </fill>
    <fill>
      <patternFill patternType="solid">
        <fgColor indexed="9"/>
        <bgColor indexed="26"/>
      </patternFill>
    </fill>
    <fill>
      <patternFill patternType="solid">
        <fgColor indexed="43"/>
        <bgColor indexed="26"/>
      </patternFill>
    </fill>
    <fill>
      <patternFill patternType="solid">
        <fgColor indexed="43"/>
      </patternFill>
    </fill>
    <fill>
      <patternFill patternType="solid">
        <fgColor indexed="47"/>
        <bgColor indexed="64"/>
      </patternFill>
    </fill>
    <fill>
      <patternFill patternType="solid">
        <fgColor indexed="27"/>
        <bgColor indexed="41"/>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22"/>
        <bgColor indexed="64"/>
      </patternFill>
    </fill>
    <fill>
      <patternFill patternType="solid">
        <fgColor indexed="55"/>
        <bgColor indexed="64"/>
      </patternFill>
    </fill>
    <fill>
      <patternFill patternType="solid">
        <fgColor indexed="31"/>
        <bgColor indexed="22"/>
      </patternFill>
    </fill>
    <fill>
      <patternFill patternType="solid">
        <fgColor indexed="46"/>
        <bgColor indexed="24"/>
      </patternFill>
    </fill>
    <fill>
      <patternFill patternType="solid">
        <fgColor indexed="62"/>
        <bgColor indexed="56"/>
      </patternFill>
    </fill>
    <fill>
      <patternFill patternType="solid">
        <fgColor indexed="56"/>
      </patternFill>
    </fill>
    <fill>
      <patternFill patternType="solid">
        <fgColor indexed="10"/>
        <bgColor indexed="60"/>
      </patternFill>
    </fill>
    <fill>
      <patternFill patternType="solid">
        <fgColor indexed="54"/>
      </patternFill>
    </fill>
    <fill>
      <patternFill patternType="solid">
        <fgColor indexed="9"/>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51"/>
        <bgColor indexed="64"/>
      </patternFill>
    </fill>
    <fill>
      <patternFill patternType="solid">
        <fgColor indexed="31"/>
        <bgColor indexed="31"/>
      </patternFill>
    </fill>
    <fill>
      <patternFill patternType="solid">
        <fgColor indexed="44"/>
        <bgColor indexed="44"/>
      </patternFill>
    </fill>
    <fill>
      <patternFill patternType="solid">
        <fgColor indexed="30"/>
        <bgColor indexed="30"/>
      </patternFill>
    </fill>
    <fill>
      <patternFill patternType="solid">
        <fgColor indexed="56"/>
        <bgColor indexed="64"/>
      </patternFill>
    </fill>
    <fill>
      <patternFill patternType="solid">
        <fgColor indexed="45"/>
        <bgColor indexed="45"/>
      </patternFill>
    </fill>
    <fill>
      <patternFill patternType="solid">
        <fgColor indexed="29"/>
        <bgColor indexed="29"/>
      </patternFill>
    </fill>
    <fill>
      <patternFill patternType="solid">
        <fgColor indexed="42"/>
        <bgColor indexed="42"/>
      </patternFill>
    </fill>
    <fill>
      <patternFill patternType="solid">
        <fgColor indexed="11"/>
        <bgColor indexed="11"/>
      </patternFill>
    </fill>
    <fill>
      <patternFill patternType="solid">
        <fgColor indexed="46"/>
        <bgColor indexed="46"/>
      </patternFill>
    </fill>
    <fill>
      <patternFill patternType="solid">
        <fgColor indexed="36"/>
        <bgColor indexed="36"/>
      </patternFill>
    </fill>
    <fill>
      <patternFill patternType="solid">
        <fgColor indexed="54"/>
        <bgColor indexed="64"/>
      </patternFill>
    </fill>
    <fill>
      <patternFill patternType="solid">
        <fgColor indexed="27"/>
        <bgColor indexed="27"/>
      </patternFill>
    </fill>
    <fill>
      <patternFill patternType="solid">
        <fgColor indexed="49"/>
        <bgColor indexed="49"/>
      </patternFill>
    </fill>
    <fill>
      <patternFill patternType="solid">
        <fgColor indexed="49"/>
        <bgColor indexed="64"/>
      </patternFill>
    </fill>
    <fill>
      <patternFill patternType="solid">
        <fgColor indexed="47"/>
        <bgColor indexed="47"/>
      </patternFill>
    </fill>
    <fill>
      <patternFill patternType="solid">
        <fgColor indexed="51"/>
        <bgColor indexed="51"/>
      </patternFill>
    </fill>
    <fill>
      <patternFill patternType="solid">
        <fgColor indexed="52"/>
        <bgColor indexed="52"/>
      </patternFill>
    </fill>
    <fill>
      <patternFill patternType="solid">
        <fgColor indexed="10"/>
        <bgColor indexed="64"/>
      </patternFill>
    </fill>
    <fill>
      <patternFill patternType="solid">
        <fgColor indexed="46"/>
        <bgColor indexed="64"/>
      </patternFill>
    </fill>
    <fill>
      <patternFill patternType="solid">
        <fgColor indexed="9"/>
        <bgColor indexed="64"/>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8"/>
        <bgColor indexed="58"/>
      </patternFill>
    </fill>
    <fill>
      <patternFill patternType="solid">
        <fgColor indexed="23"/>
        <bgColor indexed="55"/>
      </patternFill>
    </fill>
    <fill>
      <patternFill patternType="solid">
        <fgColor indexed="41"/>
        <bgColor indexed="31"/>
      </patternFill>
    </fill>
    <fill>
      <patternFill patternType="solid">
        <fgColor indexed="16"/>
        <bgColor indexed="10"/>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60"/>
      </bottom>
      <diagonal/>
    </border>
    <border>
      <left/>
      <right/>
      <top/>
      <bottom style="double">
        <color indexed="52"/>
      </bottom>
      <diagonal/>
    </border>
    <border>
      <left/>
      <right/>
      <top style="hair">
        <color indexed="8"/>
      </top>
      <bottom style="hair">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
      <left/>
      <right/>
      <top style="medium">
        <color indexed="64"/>
      </top>
      <bottom style="medium">
        <color indexed="6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5362">
    <xf numFmtId="0" fontId="0" fillId="0" borderId="0"/>
    <xf numFmtId="0" fontId="2" fillId="0" borderId="0"/>
    <xf numFmtId="4" fontId="4" fillId="0" borderId="0">
      <alignment horizontal="justify" vertical="justify"/>
    </xf>
    <xf numFmtId="0" fontId="2" fillId="0" borderId="0"/>
    <xf numFmtId="0" fontId="23" fillId="0" borderId="0"/>
    <xf numFmtId="0" fontId="5" fillId="0" borderId="0"/>
    <xf numFmtId="0" fontId="2" fillId="0" borderId="0"/>
    <xf numFmtId="0" fontId="14" fillId="0" borderId="0"/>
    <xf numFmtId="0" fontId="33" fillId="0" borderId="0">
      <alignment horizontal="left" vertical="top" wrapText="1"/>
    </xf>
    <xf numFmtId="0" fontId="4" fillId="0" borderId="0">
      <alignment horizontal="left" vertical="top" wrapText="1"/>
    </xf>
    <xf numFmtId="0" fontId="34" fillId="0" borderId="0"/>
    <xf numFmtId="0" fontId="35" fillId="0" borderId="0"/>
    <xf numFmtId="0" fontId="5" fillId="0" borderId="0"/>
    <xf numFmtId="166" fontId="32" fillId="0" borderId="0" applyFill="0" applyBorder="0" applyProtection="0">
      <alignment horizontal="left" vertical="top"/>
    </xf>
    <xf numFmtId="0" fontId="33" fillId="7" borderId="0" applyNumberFormat="0" applyFont="0" applyBorder="0" applyAlignment="0" applyProtection="0">
      <alignment vertical="center"/>
    </xf>
    <xf numFmtId="0" fontId="32" fillId="0" borderId="0" applyFill="0" applyBorder="0" applyProtection="0">
      <alignment horizontal="justify" vertical="top" wrapText="1"/>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9" borderId="0" applyNumberFormat="0" applyBorder="0" applyAlignment="0" applyProtection="0"/>
    <xf numFmtId="0" fontId="36" fillId="8" borderId="0" applyNumberFormat="0" applyBorder="0" applyAlignment="0" applyProtection="0"/>
    <xf numFmtId="0" fontId="36" fillId="9"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1" borderId="0" applyNumberFormat="0" applyBorder="0" applyAlignment="0" applyProtection="0"/>
    <xf numFmtId="0" fontId="36" fillId="10" borderId="0" applyNumberFormat="0" applyBorder="0" applyAlignment="0" applyProtection="0"/>
    <xf numFmtId="0" fontId="36" fillId="11"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2" borderId="0" applyNumberFormat="0" applyBorder="0" applyAlignment="0" applyProtection="0"/>
    <xf numFmtId="0" fontId="36" fillId="13" borderId="0" applyNumberFormat="0" applyBorder="0" applyAlignment="0" applyProtection="0"/>
    <xf numFmtId="0" fontId="36" fillId="12"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6"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8" borderId="0" applyNumberFormat="0" applyBorder="0" applyAlignment="0" applyProtection="0"/>
    <xf numFmtId="0" fontId="36" fillId="19" borderId="0" applyNumberFormat="0" applyBorder="0" applyAlignment="0" applyProtection="0"/>
    <xf numFmtId="0" fontId="36" fillId="18" borderId="0" applyNumberFormat="0" applyBorder="0" applyAlignment="0" applyProtection="0"/>
    <xf numFmtId="0" fontId="36" fillId="19"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13" borderId="0" applyNumberFormat="0" applyBorder="0" applyAlignment="0" applyProtection="0"/>
    <xf numFmtId="0" fontId="37" fillId="15" borderId="0" applyNumberFormat="0" applyBorder="0" applyAlignment="0" applyProtection="0"/>
    <xf numFmtId="0" fontId="37" fillId="17" borderId="0" applyNumberFormat="0" applyBorder="0" applyAlignment="0" applyProtection="0"/>
    <xf numFmtId="0" fontId="37" fillId="19" borderId="0" applyNumberFormat="0" applyBorder="0" applyAlignment="0" applyProtection="0"/>
    <xf numFmtId="0" fontId="36" fillId="8" borderId="0" applyNumberFormat="0" applyBorder="0" applyAlignment="0" applyProtection="0"/>
    <xf numFmtId="0" fontId="37" fillId="9" borderId="0" applyNumberFormat="0" applyBorder="0" applyAlignment="0" applyProtection="0"/>
    <xf numFmtId="0" fontId="36" fillId="9" borderId="0" applyNumberFormat="0" applyBorder="0" applyAlignment="0" applyProtection="0"/>
    <xf numFmtId="0" fontId="36" fillId="10" borderId="0" applyNumberFormat="0" applyBorder="0" applyAlignment="0" applyProtection="0"/>
    <xf numFmtId="0" fontId="37" fillId="11" borderId="0" applyNumberFormat="0" applyBorder="0" applyAlignment="0" applyProtection="0"/>
    <xf numFmtId="0" fontId="36" fillId="11" borderId="0" applyNumberFormat="0" applyBorder="0" applyAlignment="0" applyProtection="0"/>
    <xf numFmtId="0" fontId="36" fillId="12" borderId="0" applyNumberFormat="0" applyBorder="0" applyAlignment="0" applyProtection="0"/>
    <xf numFmtId="0" fontId="37" fillId="13" borderId="0" applyNumberFormat="0" applyBorder="0" applyAlignment="0" applyProtection="0"/>
    <xf numFmtId="0" fontId="36" fillId="13" borderId="0" applyNumberFormat="0" applyBorder="0" applyAlignment="0" applyProtection="0"/>
    <xf numFmtId="0" fontId="36" fillId="14" borderId="0" applyNumberFormat="0" applyBorder="0" applyAlignment="0" applyProtection="0"/>
    <xf numFmtId="0" fontId="37" fillId="15" borderId="0" applyNumberFormat="0" applyBorder="0" applyAlignment="0" applyProtection="0"/>
    <xf numFmtId="0" fontId="36" fillId="15" borderId="0" applyNumberFormat="0" applyBorder="0" applyAlignment="0" applyProtection="0"/>
    <xf numFmtId="0" fontId="36" fillId="18" borderId="0" applyNumberFormat="0" applyBorder="0" applyAlignment="0" applyProtection="0"/>
    <xf numFmtId="0" fontId="37" fillId="17" borderId="0" applyNumberFormat="0" applyBorder="0" applyAlignment="0" applyProtection="0"/>
    <xf numFmtId="0" fontId="36" fillId="17" borderId="0" applyNumberFormat="0" applyBorder="0" applyAlignment="0" applyProtection="0"/>
    <xf numFmtId="0" fontId="36" fillId="20" borderId="0" applyNumberFormat="0" applyBorder="0" applyAlignment="0" applyProtection="0"/>
    <xf numFmtId="0" fontId="37" fillId="19" borderId="0" applyNumberFormat="0" applyBorder="0" applyAlignment="0" applyProtection="0"/>
    <xf numFmtId="0" fontId="36" fillId="19" borderId="0" applyNumberFormat="0" applyBorder="0" applyAlignment="0" applyProtection="0"/>
    <xf numFmtId="0" fontId="2" fillId="21" borderId="0" applyNumberFormat="0" applyFont="0" applyBorder="0" applyAlignment="0" applyProtection="0">
      <alignment vertical="center"/>
    </xf>
    <xf numFmtId="0" fontId="32" fillId="0" borderId="0" applyFill="0" applyBorder="0" applyProtection="0">
      <alignment horizontal="center"/>
    </xf>
    <xf numFmtId="0" fontId="33" fillId="22" borderId="0" applyNumberFormat="0" applyFont="0" applyBorder="0" applyAlignment="0" applyProtection="0">
      <alignment vertical="center"/>
    </xf>
    <xf numFmtId="43" fontId="32" fillId="0" borderId="0" applyFill="0" applyBorder="0" applyProtection="0">
      <alignment horizontal="right"/>
    </xf>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6" fillId="27" borderId="0" applyNumberFormat="0" applyBorder="0" applyAlignment="0" applyProtection="0"/>
    <xf numFmtId="0" fontId="36" fillId="27"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36" fillId="27" borderId="0" applyNumberFormat="0" applyBorder="0" applyAlignment="0" applyProtection="0"/>
    <xf numFmtId="0" fontId="36" fillId="28"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14" borderId="0" applyNumberFormat="0" applyBorder="0" applyAlignment="0" applyProtection="0"/>
    <xf numFmtId="0" fontId="36" fillId="15"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9" borderId="0" applyNumberFormat="0" applyBorder="0" applyAlignment="0" applyProtection="0"/>
    <xf numFmtId="0" fontId="36" fillId="29"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6" fillId="29" borderId="0" applyNumberFormat="0" applyBorder="0" applyAlignment="0" applyProtection="0"/>
    <xf numFmtId="0" fontId="36" fillId="30" borderId="0" applyNumberFormat="0" applyBorder="0" applyAlignment="0" applyProtection="0"/>
    <xf numFmtId="0" fontId="37" fillId="24" borderId="0" applyNumberFormat="0" applyBorder="0" applyAlignment="0" applyProtection="0"/>
    <xf numFmtId="0" fontId="37" fillId="26" borderId="0" applyNumberFormat="0" applyBorder="0" applyAlignment="0" applyProtection="0"/>
    <xf numFmtId="0" fontId="37" fillId="28" borderId="0" applyNumberFormat="0" applyBorder="0" applyAlignment="0" applyProtection="0"/>
    <xf numFmtId="0" fontId="37" fillId="15" borderId="0" applyNumberFormat="0" applyBorder="0" applyAlignment="0" applyProtection="0"/>
    <xf numFmtId="0" fontId="37" fillId="24" borderId="0" applyNumberFormat="0" applyBorder="0" applyAlignment="0" applyProtection="0"/>
    <xf numFmtId="0" fontId="37" fillId="30" borderId="0" applyNumberFormat="0" applyBorder="0" applyAlignment="0" applyProtection="0"/>
    <xf numFmtId="0" fontId="36" fillId="24"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7" fillId="26" borderId="0" applyNumberFormat="0" applyBorder="0" applyAlignment="0" applyProtection="0"/>
    <xf numFmtId="0" fontId="36" fillId="26" borderId="0" applyNumberFormat="0" applyBorder="0" applyAlignment="0" applyProtection="0"/>
    <xf numFmtId="0" fontId="36" fillId="27" borderId="0" applyNumberFormat="0" applyBorder="0" applyAlignment="0" applyProtection="0"/>
    <xf numFmtId="0" fontId="37" fillId="28" borderId="0" applyNumberFormat="0" applyBorder="0" applyAlignment="0" applyProtection="0"/>
    <xf numFmtId="0" fontId="36" fillId="28" borderId="0" applyNumberFormat="0" applyBorder="0" applyAlignment="0" applyProtection="0"/>
    <xf numFmtId="0" fontId="36" fillId="14" borderId="0" applyNumberFormat="0" applyBorder="0" applyAlignment="0" applyProtection="0"/>
    <xf numFmtId="0" fontId="37" fillId="15" borderId="0" applyNumberFormat="0" applyBorder="0" applyAlignment="0" applyProtection="0"/>
    <xf numFmtId="0" fontId="36" fillId="15" borderId="0" applyNumberFormat="0" applyBorder="0" applyAlignment="0" applyProtection="0"/>
    <xf numFmtId="0" fontId="36" fillId="23" borderId="0" applyNumberFormat="0" applyBorder="0" applyAlignment="0" applyProtection="0"/>
    <xf numFmtId="0" fontId="37" fillId="24" borderId="0" applyNumberFormat="0" applyBorder="0" applyAlignment="0" applyProtection="0"/>
    <xf numFmtId="0" fontId="36" fillId="24" borderId="0" applyNumberFormat="0" applyBorder="0" applyAlignment="0" applyProtection="0"/>
    <xf numFmtId="0" fontId="36" fillId="31" borderId="0" applyNumberFormat="0" applyBorder="0" applyAlignment="0" applyProtection="0"/>
    <xf numFmtId="0" fontId="37" fillId="30" borderId="0" applyNumberFormat="0" applyBorder="0" applyAlignment="0" applyProtection="0"/>
    <xf numFmtId="0" fontId="36" fillId="30" borderId="0" applyNumberFormat="0" applyBorder="0" applyAlignment="0" applyProtection="0"/>
    <xf numFmtId="0" fontId="36" fillId="24" borderId="0" applyNumberFormat="0" applyBorder="0" applyAlignment="0" applyProtection="0"/>
    <xf numFmtId="0" fontId="36" fillId="23" borderId="0" applyNumberFormat="0" applyBorder="0" applyAlignment="0" applyProtection="0"/>
    <xf numFmtId="0" fontId="36" fillId="24" borderId="0" applyNumberFormat="0" applyBorder="0" applyAlignment="0" applyProtection="0"/>
    <xf numFmtId="0" fontId="36" fillId="23" borderId="0" applyNumberFormat="0" applyBorder="0" applyAlignment="0" applyProtection="0"/>
    <xf numFmtId="0" fontId="38" fillId="32" borderId="0" applyNumberFormat="0" applyBorder="0" applyAlignment="0" applyProtection="0"/>
    <xf numFmtId="0" fontId="38" fillId="32" borderId="0" applyNumberFormat="0" applyBorder="0" applyAlignment="0" applyProtection="0"/>
    <xf numFmtId="0" fontId="38" fillId="33" borderId="0" applyNumberFormat="0" applyBorder="0" applyAlignment="0" applyProtection="0"/>
    <xf numFmtId="0" fontId="38" fillId="32" borderId="0" applyNumberFormat="0" applyBorder="0" applyAlignment="0" applyProtection="0"/>
    <xf numFmtId="0" fontId="38" fillId="25"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8" fillId="25"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8"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36"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36" borderId="0" applyNumberFormat="0" applyBorder="0" applyAlignment="0" applyProtection="0"/>
    <xf numFmtId="167" fontId="38" fillId="37" borderId="0" applyNumberFormat="0" applyBorder="0" applyAlignment="0" applyProtection="0"/>
    <xf numFmtId="0" fontId="38" fillId="38"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38" borderId="0" applyNumberFormat="0" applyBorder="0" applyAlignment="0" applyProtection="0"/>
    <xf numFmtId="0" fontId="39" fillId="33" borderId="0" applyNumberFormat="0" applyBorder="0" applyAlignment="0" applyProtection="0"/>
    <xf numFmtId="0" fontId="39" fillId="26" borderId="0" applyNumberFormat="0" applyBorder="0" applyAlignment="0" applyProtection="0"/>
    <xf numFmtId="0" fontId="39" fillId="28" borderId="0" applyNumberFormat="0" applyBorder="0" applyAlignment="0" applyProtection="0"/>
    <xf numFmtId="0" fontId="39" fillId="35" borderId="0" applyNumberFormat="0" applyBorder="0" applyAlignment="0" applyProtection="0"/>
    <xf numFmtId="0" fontId="39" fillId="37" borderId="0" applyNumberFormat="0" applyBorder="0" applyAlignment="0" applyProtection="0"/>
    <xf numFmtId="0" fontId="39" fillId="39" borderId="0" applyNumberFormat="0" applyBorder="0" applyAlignment="0" applyProtection="0"/>
    <xf numFmtId="0" fontId="38" fillId="32" borderId="0" applyNumberFormat="0" applyBorder="0" applyAlignment="0" applyProtection="0"/>
    <xf numFmtId="0" fontId="39" fillId="33" borderId="0" applyNumberFormat="0" applyBorder="0" applyAlignment="0" applyProtection="0"/>
    <xf numFmtId="0" fontId="38" fillId="25" borderId="0" applyNumberFormat="0" applyBorder="0" applyAlignment="0" applyProtection="0"/>
    <xf numFmtId="0" fontId="39" fillId="26" borderId="0" applyNumberFormat="0" applyBorder="0" applyAlignment="0" applyProtection="0"/>
    <xf numFmtId="0" fontId="38" fillId="27" borderId="0" applyNumberFormat="0" applyBorder="0" applyAlignment="0" applyProtection="0"/>
    <xf numFmtId="0" fontId="39" fillId="28" borderId="0" applyNumberFormat="0" applyBorder="0" applyAlignment="0" applyProtection="0"/>
    <xf numFmtId="0" fontId="38" fillId="34" borderId="0" applyNumberFormat="0" applyBorder="0" applyAlignment="0" applyProtection="0"/>
    <xf numFmtId="0" fontId="39" fillId="35" borderId="0" applyNumberFormat="0" applyBorder="0" applyAlignment="0" applyProtection="0"/>
    <xf numFmtId="0" fontId="38" fillId="36" borderId="0" applyNumberFormat="0" applyBorder="0" applyAlignment="0" applyProtection="0"/>
    <xf numFmtId="0" fontId="39" fillId="37" borderId="0" applyNumberFormat="0" applyBorder="0" applyAlignment="0" applyProtection="0"/>
    <xf numFmtId="0" fontId="38" fillId="40" borderId="0" applyNumberFormat="0" applyBorder="0" applyAlignment="0" applyProtection="0"/>
    <xf numFmtId="0" fontId="39" fillId="39" borderId="0" applyNumberFormat="0" applyBorder="0" applyAlignment="0" applyProtection="0"/>
    <xf numFmtId="0" fontId="5" fillId="0" borderId="0"/>
    <xf numFmtId="0" fontId="38" fillId="41"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1" borderId="0" applyNumberFormat="0" applyBorder="0" applyAlignment="0" applyProtection="0"/>
    <xf numFmtId="0" fontId="38" fillId="43" borderId="0" applyNumberFormat="0" applyBorder="0" applyAlignment="0" applyProtection="0"/>
    <xf numFmtId="0" fontId="38" fillId="43" borderId="0" applyNumberFormat="0" applyBorder="0" applyAlignment="0" applyProtection="0"/>
    <xf numFmtId="0" fontId="38" fillId="44" borderId="0" applyNumberFormat="0" applyBorder="0" applyAlignment="0" applyProtection="0"/>
    <xf numFmtId="0" fontId="38" fillId="43" borderId="0" applyNumberFormat="0" applyBorder="0" applyAlignment="0" applyProtection="0"/>
    <xf numFmtId="0" fontId="38" fillId="45"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0" fontId="38" fillId="45"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36"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36" borderId="0" applyNumberFormat="0" applyBorder="0" applyAlignment="0" applyProtection="0"/>
    <xf numFmtId="0" fontId="38" fillId="47" borderId="0" applyNumberFormat="0" applyBorder="0" applyAlignment="0" applyProtection="0"/>
    <xf numFmtId="0" fontId="38" fillId="47" borderId="0" applyNumberFormat="0" applyBorder="0" applyAlignment="0" applyProtection="0"/>
    <xf numFmtId="0" fontId="38" fillId="48" borderId="0" applyNumberFormat="0" applyBorder="0" applyAlignment="0" applyProtection="0"/>
    <xf numFmtId="0" fontId="38" fillId="47" borderId="0" applyNumberFormat="0" applyBorder="0" applyAlignment="0" applyProtection="0"/>
    <xf numFmtId="0" fontId="39" fillId="42" borderId="0" applyNumberFormat="0" applyBorder="0" applyAlignment="0" applyProtection="0"/>
    <xf numFmtId="0" fontId="39" fillId="44" borderId="0" applyNumberFormat="0" applyBorder="0" applyAlignment="0" applyProtection="0"/>
    <xf numFmtId="0" fontId="39" fillId="46" borderId="0" applyNumberFormat="0" applyBorder="0" applyAlignment="0" applyProtection="0"/>
    <xf numFmtId="0" fontId="39" fillId="35" borderId="0" applyNumberFormat="0" applyBorder="0" applyAlignment="0" applyProtection="0"/>
    <xf numFmtId="0" fontId="39" fillId="37" borderId="0" applyNumberFormat="0" applyBorder="0" applyAlignment="0" applyProtection="0"/>
    <xf numFmtId="0" fontId="39" fillId="48" borderId="0" applyNumberFormat="0" applyBorder="0" applyAlignment="0" applyProtection="0"/>
    <xf numFmtId="0" fontId="40" fillId="49" borderId="14" applyNumberFormat="0" applyAlignment="0" applyProtection="0"/>
    <xf numFmtId="0" fontId="41" fillId="10"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10" borderId="0" applyNumberFormat="0" applyBorder="0" applyAlignment="0" applyProtection="0"/>
    <xf numFmtId="0" fontId="41" fillId="15" borderId="0" applyNumberFormat="0" applyBorder="0" applyAlignment="0" applyProtection="0"/>
    <xf numFmtId="0" fontId="42" fillId="49" borderId="15" applyNumberFormat="0" applyAlignment="0" applyProtection="0"/>
    <xf numFmtId="0" fontId="42" fillId="49" borderId="15" applyNumberFormat="0" applyAlignment="0" applyProtection="0"/>
    <xf numFmtId="0" fontId="5" fillId="50" borderId="16" applyNumberFormat="0" applyFont="0" applyAlignment="0" applyProtection="0"/>
    <xf numFmtId="0" fontId="43" fillId="51" borderId="16" applyNumberFormat="0" applyAlignment="0" applyProtection="0"/>
    <xf numFmtId="0" fontId="43" fillId="51" borderId="16" applyNumberFormat="0" applyAlignment="0" applyProtection="0"/>
    <xf numFmtId="0" fontId="2" fillId="50" borderId="16" applyNumberFormat="0" applyFont="0" applyAlignment="0" applyProtection="0"/>
    <xf numFmtId="0" fontId="5" fillId="50" borderId="16" applyNumberFormat="0" applyFont="0" applyAlignment="0" applyProtection="0"/>
    <xf numFmtId="0" fontId="5" fillId="52" borderId="16" applyNumberFormat="0" applyAlignment="0" applyProtection="0"/>
    <xf numFmtId="0" fontId="5" fillId="52" borderId="16" applyNumberFormat="0" applyAlignment="0" applyProtection="0"/>
    <xf numFmtId="0" fontId="5" fillId="52" borderId="16" applyNumberFormat="0" applyAlignment="0" applyProtection="0"/>
    <xf numFmtId="0" fontId="5" fillId="52" borderId="16" applyNumberForma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2" fillId="50" borderId="16" applyNumberFormat="0" applyFont="0" applyAlignment="0" applyProtection="0"/>
    <xf numFmtId="0" fontId="2" fillId="50" borderId="16" applyNumberFormat="0" applyFont="0" applyAlignment="0" applyProtection="0"/>
    <xf numFmtId="0" fontId="5" fillId="52" borderId="16" applyNumberFormat="0" applyAlignment="0" applyProtection="0"/>
    <xf numFmtId="0" fontId="5" fillId="52" borderId="16" applyNumberFormat="0" applyAlignment="0" applyProtection="0"/>
    <xf numFmtId="0" fontId="2" fillId="50" borderId="16" applyNumberFormat="0" applyFont="0" applyAlignment="0" applyProtection="0"/>
    <xf numFmtId="0" fontId="5" fillId="50" borderId="16" applyNumberFormat="0" applyFont="0" applyAlignment="0" applyProtection="0"/>
    <xf numFmtId="0" fontId="44" fillId="51" borderId="16" applyNumberFormat="0" applyAlignment="0" applyProtection="0"/>
    <xf numFmtId="0" fontId="44" fillId="51" borderId="16" applyNumberForma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4" fontId="45" fillId="0" borderId="0">
      <alignment horizontal="right" vertical="top"/>
    </xf>
    <xf numFmtId="0" fontId="46" fillId="53" borderId="15" applyNumberFormat="0" applyAlignment="0" applyProtection="0"/>
    <xf numFmtId="0" fontId="46" fillId="53" borderId="15" applyNumberFormat="0" applyAlignment="0" applyProtection="0"/>
    <xf numFmtId="0" fontId="46" fillId="53" borderId="15" applyNumberFormat="0" applyAlignment="0" applyProtection="0"/>
    <xf numFmtId="0" fontId="46" fillId="53" borderId="15" applyNumberFormat="0" applyAlignment="0" applyProtection="0"/>
    <xf numFmtId="0" fontId="47" fillId="49" borderId="15" applyNumberFormat="0" applyAlignment="0" applyProtection="0"/>
    <xf numFmtId="0" fontId="46" fillId="53" borderId="15" applyNumberFormat="0" applyAlignment="0" applyProtection="0"/>
    <xf numFmtId="0" fontId="46" fillId="53" borderId="15" applyNumberFormat="0" applyAlignment="0" applyProtection="0"/>
    <xf numFmtId="0" fontId="47" fillId="49" borderId="15" applyNumberFormat="0" applyAlignment="0" applyProtection="0"/>
    <xf numFmtId="0" fontId="48" fillId="54" borderId="17" applyNumberFormat="0" applyAlignment="0" applyProtection="0"/>
    <xf numFmtId="0" fontId="48" fillId="54" borderId="17" applyNumberFormat="0" applyAlignment="0" applyProtection="0"/>
    <xf numFmtId="0" fontId="48" fillId="55" borderId="17" applyNumberFormat="0" applyAlignment="0" applyProtection="0"/>
    <xf numFmtId="0" fontId="48" fillId="54" borderId="17" applyNumberFormat="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43" fontId="1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8" fontId="5"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2" fillId="0" borderId="0" applyFont="0" applyFill="0" applyBorder="0" applyAlignment="0" applyProtection="0"/>
    <xf numFmtId="168" fontId="5" fillId="0" borderId="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49" fillId="0" borderId="0" applyFont="0" applyFill="0" applyBorder="0" applyAlignment="0" applyProtection="0"/>
    <xf numFmtId="164" fontId="5" fillId="0" borderId="0" applyFont="0" applyFill="0" applyBorder="0" applyAlignment="0" applyProtection="0"/>
    <xf numFmtId="40" fontId="50" fillId="0" borderId="0" applyFont="0" applyFill="0" applyBorder="0" applyAlignment="0" applyProtection="0"/>
    <xf numFmtId="164" fontId="5" fillId="0" borderId="0" applyFont="0" applyFill="0" applyBorder="0" applyAlignment="0" applyProtection="0"/>
    <xf numFmtId="168" fontId="5" fillId="0" borderId="0" applyFill="0" applyBorder="0" applyAlignment="0" applyProtection="0"/>
    <xf numFmtId="164" fontId="5" fillId="0" borderId="0" applyFont="0" applyFill="0" applyBorder="0" applyAlignment="0" applyProtection="0"/>
    <xf numFmtId="40" fontId="50" fillId="0" borderId="0" applyFont="0" applyFill="0" applyBorder="0" applyAlignment="0" applyProtection="0"/>
    <xf numFmtId="40" fontId="50" fillId="0" borderId="0" applyFont="0" applyFill="0" applyBorder="0" applyAlignment="0" applyProtection="0"/>
    <xf numFmtId="168" fontId="2" fillId="0" borderId="0" applyFont="0" applyFill="0" applyBorder="0" applyAlignment="0" applyProtection="0"/>
    <xf numFmtId="40" fontId="50"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168" fontId="5"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8" fontId="5"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169"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169" fontId="5" fillId="0" borderId="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1" fontId="51" fillId="0" borderId="0">
      <alignment horizontal="left" wrapText="1" indent="1"/>
    </xf>
    <xf numFmtId="0" fontId="52" fillId="13"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56" borderId="0" applyNumberFormat="0" applyBorder="0" applyAlignment="0" applyProtection="0"/>
    <xf numFmtId="0" fontId="53" fillId="13" borderId="0" applyNumberFormat="0" applyBorder="0" applyAlignment="0" applyProtection="0"/>
    <xf numFmtId="0" fontId="52" fillId="56" borderId="0" applyNumberFormat="0" applyBorder="0" applyAlignment="0" applyProtection="0"/>
    <xf numFmtId="0" fontId="52" fillId="57" borderId="0" applyNumberFormat="0" applyBorder="0" applyAlignment="0" applyProtection="0"/>
    <xf numFmtId="0" fontId="54" fillId="19" borderId="15" applyNumberFormat="0" applyAlignment="0" applyProtection="0"/>
    <xf numFmtId="0" fontId="54" fillId="19" borderId="15" applyNumberFormat="0" applyAlignment="0" applyProtection="0"/>
    <xf numFmtId="0" fontId="55" fillId="0" borderId="18" applyNumberFormat="0" applyFill="0" applyAlignment="0" applyProtection="0"/>
    <xf numFmtId="0" fontId="55" fillId="0" borderId="18" applyNumberFormat="0" applyFill="0" applyAlignment="0" applyProtection="0"/>
    <xf numFmtId="0" fontId="56" fillId="0" borderId="0" applyNumberFormat="0" applyFill="0" applyBorder="0" applyAlignment="0" applyProtection="0"/>
    <xf numFmtId="172" fontId="5" fillId="0" borderId="0" applyFont="0" applyFill="0" applyBorder="0" applyAlignment="0" applyProtection="0"/>
    <xf numFmtId="0" fontId="36" fillId="0" borderId="0"/>
    <xf numFmtId="0" fontId="36" fillId="0" borderId="0"/>
    <xf numFmtId="0" fontId="36" fillId="0" borderId="0"/>
    <xf numFmtId="0" fontId="36" fillId="0" borderId="0"/>
    <xf numFmtId="0" fontId="36" fillId="58" borderId="0" applyNumberFormat="0" applyBorder="0" applyProtection="0">
      <alignment horizontal="justify" vertical="top" wrapText="1"/>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2" fillId="12" borderId="0" applyNumberFormat="0" applyBorder="0" applyAlignment="0" applyProtection="0"/>
    <xf numFmtId="0" fontId="52" fillId="12" borderId="0" applyNumberFormat="0" applyBorder="0" applyAlignment="0" applyProtection="0"/>
    <xf numFmtId="0" fontId="52" fillId="13" borderId="0" applyNumberFormat="0" applyBorder="0" applyAlignment="0" applyProtection="0"/>
    <xf numFmtId="0" fontId="52" fillId="56" borderId="0" applyNumberFormat="0" applyBorder="0" applyAlignment="0" applyProtection="0"/>
    <xf numFmtId="0" fontId="53" fillId="13" borderId="0" applyNumberFormat="0" applyBorder="0" applyAlignment="0" applyProtection="0"/>
    <xf numFmtId="0" fontId="58" fillId="0" borderId="0">
      <alignment horizontal="center"/>
    </xf>
    <xf numFmtId="0" fontId="59" fillId="0" borderId="19" applyNumberFormat="0" applyFill="0" applyAlignment="0" applyProtection="0"/>
    <xf numFmtId="0" fontId="59" fillId="0" borderId="19" applyNumberFormat="0" applyFill="0" applyAlignment="0" applyProtection="0"/>
    <xf numFmtId="0" fontId="60" fillId="0" borderId="19" applyNumberFormat="0" applyFill="0" applyAlignment="0" applyProtection="0"/>
    <xf numFmtId="0" fontId="59" fillId="0" borderId="19"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2" fillId="0" borderId="20" applyNumberFormat="0" applyFill="0" applyAlignment="0" applyProtection="0"/>
    <xf numFmtId="0" fontId="61" fillId="0" borderId="20"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4" fillId="0" borderId="21" applyNumberFormat="0" applyFill="0" applyAlignment="0" applyProtection="0"/>
    <xf numFmtId="0" fontId="63" fillId="0" borderId="21"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58" fillId="0" borderId="0">
      <alignment horizontal="center" textRotation="9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18" borderId="15" applyNumberFormat="0" applyAlignment="0" applyProtection="0"/>
    <xf numFmtId="0" fontId="66" fillId="18" borderId="15" applyNumberFormat="0" applyAlignment="0" applyProtection="0"/>
    <xf numFmtId="0" fontId="66" fillId="18" borderId="15" applyNumberFormat="0" applyAlignment="0" applyProtection="0"/>
    <xf numFmtId="0" fontId="66" fillId="18" borderId="15" applyNumberFormat="0" applyAlignment="0" applyProtection="0"/>
    <xf numFmtId="0" fontId="66" fillId="19" borderId="15" applyNumberFormat="0" applyAlignment="0" applyProtection="0"/>
    <xf numFmtId="0" fontId="66" fillId="18" borderId="15" applyNumberFormat="0" applyAlignment="0" applyProtection="0"/>
    <xf numFmtId="0" fontId="66" fillId="18" borderId="15" applyNumberFormat="0" applyAlignment="0" applyProtection="0"/>
    <xf numFmtId="0" fontId="66" fillId="19" borderId="15" applyNumberFormat="0" applyAlignment="0" applyProtection="0"/>
    <xf numFmtId="0" fontId="38" fillId="41" borderId="0" applyNumberFormat="0" applyBorder="0" applyAlignment="0" applyProtection="0"/>
    <xf numFmtId="0" fontId="39" fillId="42" borderId="0" applyNumberFormat="0" applyBorder="0" applyAlignment="0" applyProtection="0"/>
    <xf numFmtId="0" fontId="38" fillId="43" borderId="0" applyNumberFormat="0" applyBorder="0" applyAlignment="0" applyProtection="0"/>
    <xf numFmtId="0" fontId="39" fillId="44" borderId="0" applyNumberFormat="0" applyBorder="0" applyAlignment="0" applyProtection="0"/>
    <xf numFmtId="0" fontId="38" fillId="59" borderId="0" applyNumberFormat="0" applyBorder="0" applyAlignment="0" applyProtection="0"/>
    <xf numFmtId="0" fontId="39" fillId="46" borderId="0" applyNumberFormat="0" applyBorder="0" applyAlignment="0" applyProtection="0"/>
    <xf numFmtId="0" fontId="38" fillId="34" borderId="0" applyNumberFormat="0" applyBorder="0" applyAlignment="0" applyProtection="0"/>
    <xf numFmtId="0" fontId="39" fillId="35" borderId="0" applyNumberFormat="0" applyBorder="0" applyAlignment="0" applyProtection="0"/>
    <xf numFmtId="0" fontId="38" fillId="36" borderId="0" applyNumberFormat="0" applyBorder="0" applyAlignment="0" applyProtection="0"/>
    <xf numFmtId="0" fontId="39" fillId="37" borderId="0" applyNumberFormat="0" applyBorder="0" applyAlignment="0" applyProtection="0"/>
    <xf numFmtId="0" fontId="38" fillId="60" borderId="0" applyNumberFormat="0" applyBorder="0" applyAlignment="0" applyProtection="0"/>
    <xf numFmtId="0" fontId="39" fillId="48" borderId="0" applyNumberFormat="0" applyBorder="0" applyAlignment="0" applyProtection="0"/>
    <xf numFmtId="0" fontId="67" fillId="49" borderId="14" applyNumberFormat="0" applyAlignment="0" applyProtection="0"/>
    <xf numFmtId="0" fontId="67" fillId="53" borderId="14" applyNumberFormat="0" applyAlignment="0" applyProtection="0"/>
    <xf numFmtId="0" fontId="67" fillId="49" borderId="14" applyNumberFormat="0" applyAlignment="0" applyProtection="0"/>
    <xf numFmtId="0" fontId="67" fillId="53" borderId="14" applyNumberFormat="0" applyAlignment="0" applyProtection="0"/>
    <xf numFmtId="0" fontId="40" fillId="49" borderId="14" applyNumberFormat="0" applyAlignment="0" applyProtection="0"/>
    <xf numFmtId="0" fontId="67" fillId="53" borderId="14" applyNumberFormat="0" applyAlignment="0" applyProtection="0"/>
    <xf numFmtId="0" fontId="67" fillId="61" borderId="14" applyNumberFormat="0" applyAlignment="0" applyProtection="0"/>
    <xf numFmtId="0" fontId="47" fillId="53" borderId="15" applyNumberFormat="0" applyAlignment="0" applyProtection="0"/>
    <xf numFmtId="0" fontId="47" fillId="53" borderId="15" applyNumberFormat="0" applyAlignment="0" applyProtection="0"/>
    <xf numFmtId="0" fontId="42" fillId="49" borderId="15" applyNumberFormat="0" applyAlignment="0" applyProtection="0"/>
    <xf numFmtId="0" fontId="42" fillId="49" borderId="15" applyNumberFormat="0" applyAlignment="0" applyProtection="0"/>
    <xf numFmtId="4" fontId="68" fillId="0" borderId="0" applyFill="0" applyBorder="0" applyAlignment="0" applyProtection="0">
      <alignment horizontal="right"/>
    </xf>
    <xf numFmtId="0" fontId="69" fillId="0" borderId="0">
      <alignment horizontal="right" vertical="top"/>
    </xf>
    <xf numFmtId="0" fontId="70" fillId="0" borderId="0">
      <alignment horizontal="justify" vertical="top" wrapText="1"/>
    </xf>
    <xf numFmtId="0" fontId="69" fillId="0" borderId="0">
      <alignment horizontal="left"/>
    </xf>
    <xf numFmtId="4" fontId="70" fillId="0" borderId="0">
      <alignment horizontal="right"/>
    </xf>
    <xf numFmtId="0" fontId="70" fillId="0" borderId="0">
      <alignment horizontal="right"/>
    </xf>
    <xf numFmtId="4" fontId="70" fillId="0" borderId="0">
      <alignment horizontal="right" wrapText="1"/>
    </xf>
    <xf numFmtId="0" fontId="70" fillId="0" borderId="0">
      <alignment horizontal="right"/>
    </xf>
    <xf numFmtId="4" fontId="70" fillId="0" borderId="0">
      <alignment horizontal="right"/>
    </xf>
    <xf numFmtId="0" fontId="71" fillId="0" borderId="0" applyBorder="0" applyProtection="0">
      <alignment horizontal="right" vertical="top" wrapText="1"/>
    </xf>
    <xf numFmtId="49" fontId="72" fillId="0" borderId="13" applyFill="0" applyProtection="0">
      <alignment horizontal="center" vertical="center"/>
      <protection locked="0"/>
    </xf>
    <xf numFmtId="49" fontId="72" fillId="0" borderId="13" applyFill="0" applyProtection="0">
      <alignment horizontal="center" vertical="center"/>
      <protection locked="0"/>
    </xf>
    <xf numFmtId="0" fontId="73" fillId="0" borderId="22" applyNumberFormat="0" applyFill="0" applyAlignment="0" applyProtection="0"/>
    <xf numFmtId="0" fontId="73" fillId="0" borderId="22" applyNumberFormat="0" applyFill="0" applyAlignment="0" applyProtection="0"/>
    <xf numFmtId="0" fontId="74" fillId="0" borderId="23" applyNumberFormat="0" applyFill="0" applyAlignment="0" applyProtection="0"/>
    <xf numFmtId="0" fontId="73" fillId="0" borderId="22" applyNumberFormat="0" applyFill="0" applyAlignment="0" applyProtection="0"/>
    <xf numFmtId="0" fontId="41" fillId="10" borderId="0" applyNumberFormat="0" applyBorder="0" applyAlignment="0" applyProtection="0"/>
    <xf numFmtId="0" fontId="75" fillId="11" borderId="0" applyNumberFormat="0" applyBorder="0" applyAlignment="0" applyProtection="0"/>
    <xf numFmtId="0" fontId="5" fillId="0" borderId="0">
      <alignment horizontal="justify" vertical="top" wrapText="1"/>
    </xf>
    <xf numFmtId="0" fontId="71" fillId="0" borderId="0" applyBorder="0">
      <alignment horizontal="justify" vertical="top" wrapText="1"/>
      <protection locked="0"/>
    </xf>
    <xf numFmtId="173" fontId="76" fillId="0" borderId="0" applyFill="0" applyBorder="0" applyProtection="0">
      <alignment horizontal="justify" vertical="top" wrapText="1"/>
    </xf>
    <xf numFmtId="0" fontId="76" fillId="0" borderId="0" applyNumberFormat="0" applyBorder="0">
      <alignment vertical="top" wrapText="1"/>
      <protection locked="0"/>
    </xf>
    <xf numFmtId="0" fontId="77" fillId="0" borderId="0" applyNumberFormat="0" applyFill="0" applyBorder="0" applyAlignment="0" applyProtection="0"/>
    <xf numFmtId="0" fontId="60" fillId="0" borderId="19" applyNumberFormat="0" applyFill="0" applyAlignment="0" applyProtection="0"/>
    <xf numFmtId="0" fontId="78" fillId="0" borderId="19" applyNumberFormat="0" applyFill="0" applyAlignment="0" applyProtection="0"/>
    <xf numFmtId="0" fontId="62" fillId="0" borderId="20" applyNumberFormat="0" applyFill="0" applyAlignment="0" applyProtection="0"/>
    <xf numFmtId="0" fontId="79" fillId="0" borderId="20" applyNumberFormat="0" applyFill="0" applyAlignment="0" applyProtection="0"/>
    <xf numFmtId="0" fontId="64" fillId="0" borderId="21" applyNumberFormat="0" applyFill="0" applyAlignment="0" applyProtection="0"/>
    <xf numFmtId="0" fontId="80" fillId="0" borderId="21" applyNumberFormat="0" applyFill="0" applyAlignment="0" applyProtection="0"/>
    <xf numFmtId="0" fontId="64" fillId="0" borderId="0" applyNumberFormat="0" applyFill="0" applyBorder="0" applyAlignment="0" applyProtection="0"/>
    <xf numFmtId="0" fontId="80" fillId="0" borderId="0" applyNumberFormat="0" applyFill="0" applyBorder="0" applyAlignment="0" applyProtection="0"/>
    <xf numFmtId="0" fontId="77" fillId="0" borderId="0" applyNumberFormat="0" applyFill="0" applyBorder="0" applyAlignment="0" applyProtection="0"/>
    <xf numFmtId="0" fontId="81" fillId="0" borderId="0" applyNumberFormat="0" applyFill="0" applyBorder="0" applyAlignment="0" applyProtection="0"/>
    <xf numFmtId="0" fontId="82" fillId="0" borderId="0" applyNumberFormat="0" applyFill="0" applyBorder="0" applyAlignment="0" applyProtection="0"/>
    <xf numFmtId="0" fontId="5" fillId="0" borderId="0"/>
    <xf numFmtId="0" fontId="83" fillId="62" borderId="0" applyNumberFormat="0" applyBorder="0" applyAlignment="0" applyProtection="0"/>
    <xf numFmtId="0" fontId="83" fillId="62" borderId="0" applyNumberFormat="0" applyBorder="0" applyAlignment="0" applyProtection="0"/>
    <xf numFmtId="0" fontId="73" fillId="63" borderId="0" applyNumberFormat="0" applyBorder="0" applyAlignment="0" applyProtection="0"/>
    <xf numFmtId="0" fontId="73" fillId="63" borderId="0" applyNumberFormat="0" applyFont="0" applyBorder="0" applyAlignment="0" applyProtection="0"/>
    <xf numFmtId="0" fontId="73" fillId="62" borderId="0" applyNumberFormat="0" applyBorder="0" applyAlignment="0" applyProtection="0"/>
    <xf numFmtId="0" fontId="84" fillId="63" borderId="0" applyNumberFormat="0" applyBorder="0" applyAlignment="0" applyProtection="0"/>
    <xf numFmtId="0" fontId="13" fillId="0" borderId="0"/>
    <xf numFmtId="0" fontId="5" fillId="0" borderId="0"/>
    <xf numFmtId="0" fontId="5" fillId="0" borderId="0"/>
    <xf numFmtId="0" fontId="5" fillId="0" borderId="0"/>
    <xf numFmtId="0" fontId="5" fillId="0" borderId="0"/>
    <xf numFmtId="0" fontId="5" fillId="0" borderId="0"/>
    <xf numFmtId="0" fontId="85" fillId="0" borderId="0"/>
    <xf numFmtId="0" fontId="13" fillId="0" borderId="0"/>
    <xf numFmtId="0" fontId="5" fillId="0" borderId="0"/>
    <xf numFmtId="0" fontId="5" fillId="0" borderId="0"/>
    <xf numFmtId="0" fontId="5" fillId="0" borderId="0"/>
    <xf numFmtId="0" fontId="36" fillId="0" borderId="0"/>
    <xf numFmtId="0" fontId="23" fillId="0" borderId="0"/>
    <xf numFmtId="0" fontId="86" fillId="0" borderId="0"/>
    <xf numFmtId="0" fontId="36" fillId="0" borderId="0"/>
    <xf numFmtId="0" fontId="36" fillId="0" borderId="0"/>
    <xf numFmtId="0" fontId="36" fillId="0" borderId="0"/>
    <xf numFmtId="0" fontId="14" fillId="0" borderId="0"/>
    <xf numFmtId="0" fontId="14" fillId="0" borderId="0"/>
    <xf numFmtId="0" fontId="2" fillId="0" borderId="0"/>
    <xf numFmtId="0" fontId="1" fillId="0" borderId="0"/>
    <xf numFmtId="0" fontId="5" fillId="0" borderId="0"/>
    <xf numFmtId="0" fontId="5" fillId="0" borderId="0"/>
    <xf numFmtId="0" fontId="36" fillId="0" borderId="0"/>
    <xf numFmtId="0" fontId="5" fillId="0" borderId="0"/>
    <xf numFmtId="0" fontId="5" fillId="0" borderId="0"/>
    <xf numFmtId="0" fontId="87" fillId="0" borderId="0">
      <alignment horizontal="justify" wrapText="1"/>
    </xf>
    <xf numFmtId="0" fontId="5" fillId="0" borderId="0"/>
    <xf numFmtId="0" fontId="33" fillId="0" borderId="0">
      <alignment horizontal="left" vertical="top" wrapText="1"/>
    </xf>
    <xf numFmtId="0" fontId="5" fillId="0" borderId="0"/>
    <xf numFmtId="0" fontId="5" fillId="0" borderId="0"/>
    <xf numFmtId="0" fontId="5" fillId="0" borderId="0"/>
    <xf numFmtId="0" fontId="87" fillId="0" borderId="0">
      <alignment horizontal="justify" wrapText="1"/>
    </xf>
    <xf numFmtId="174" fontId="88" fillId="0" borderId="0"/>
    <xf numFmtId="0" fontId="5" fillId="0" borderId="0"/>
    <xf numFmtId="0" fontId="14" fillId="0" borderId="0"/>
    <xf numFmtId="2" fontId="50" fillId="0" borderId="0"/>
    <xf numFmtId="0" fontId="5" fillId="0" borderId="0"/>
    <xf numFmtId="2" fontId="50" fillId="0" borderId="0"/>
    <xf numFmtId="175"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1" fillId="0" borderId="0"/>
    <xf numFmtId="0" fontId="2" fillId="0" borderId="0"/>
    <xf numFmtId="0" fontId="5" fillId="0" borderId="0"/>
    <xf numFmtId="0" fontId="5" fillId="0" borderId="0"/>
    <xf numFmtId="0" fontId="5" fillId="0" borderId="0"/>
    <xf numFmtId="0" fontId="5" fillId="0" borderId="0"/>
    <xf numFmtId="0" fontId="14"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2" fontId="50" fillId="0" borderId="0"/>
    <xf numFmtId="2" fontId="50" fillId="0" borderId="0"/>
    <xf numFmtId="0" fontId="5" fillId="0" borderId="0"/>
    <xf numFmtId="0" fontId="14" fillId="0" borderId="0"/>
    <xf numFmtId="0" fontId="5" fillId="0" borderId="0"/>
    <xf numFmtId="0" fontId="50" fillId="0" borderId="0"/>
    <xf numFmtId="0" fontId="23" fillId="0" borderId="0"/>
    <xf numFmtId="0" fontId="86" fillId="0" borderId="0"/>
    <xf numFmtId="0" fontId="50" fillId="0" borderId="0"/>
    <xf numFmtId="0" fontId="50" fillId="0" borderId="0"/>
    <xf numFmtId="0" fontId="50" fillId="0" borderId="0"/>
    <xf numFmtId="0" fontId="50" fillId="0" borderId="0"/>
    <xf numFmtId="174" fontId="89" fillId="0" borderId="0"/>
    <xf numFmtId="0" fontId="5" fillId="0" borderId="0"/>
    <xf numFmtId="0" fontId="86" fillId="0" borderId="0"/>
    <xf numFmtId="0" fontId="23" fillId="0" borderId="0"/>
    <xf numFmtId="0" fontId="5" fillId="0" borderId="0"/>
    <xf numFmtId="0" fontId="2" fillId="0" borderId="0"/>
    <xf numFmtId="0" fontId="44" fillId="0" borderId="0"/>
    <xf numFmtId="0" fontId="5" fillId="0" borderId="0"/>
    <xf numFmtId="0" fontId="50" fillId="0" borderId="0"/>
    <xf numFmtId="0" fontId="50" fillId="0" borderId="0"/>
    <xf numFmtId="0" fontId="90" fillId="0" borderId="0"/>
    <xf numFmtId="0" fontId="5" fillId="0" borderId="0"/>
    <xf numFmtId="0" fontId="91" fillId="0" borderId="0"/>
    <xf numFmtId="0" fontId="4" fillId="0" borderId="0"/>
    <xf numFmtId="49" fontId="49" fillId="0" borderId="0">
      <alignment horizontal="justify" vertical="justify" wrapText="1"/>
      <protection locked="0"/>
    </xf>
    <xf numFmtId="0" fontId="5" fillId="0" borderId="0"/>
    <xf numFmtId="49" fontId="49" fillId="0" borderId="0">
      <alignment horizontal="justify" vertical="justify" wrapText="1"/>
      <protection locked="0"/>
    </xf>
    <xf numFmtId="0" fontId="2" fillId="0" borderId="0"/>
    <xf numFmtId="49" fontId="49" fillId="0" borderId="0">
      <alignment horizontal="justify" vertical="justify" wrapText="1"/>
      <protection locked="0"/>
    </xf>
    <xf numFmtId="0" fontId="5" fillId="0" borderId="0"/>
    <xf numFmtId="0" fontId="5" fillId="0" borderId="0"/>
    <xf numFmtId="0" fontId="14" fillId="0" borderId="0"/>
    <xf numFmtId="176" fontId="5" fillId="0" borderId="0"/>
    <xf numFmtId="0" fontId="4" fillId="0" borderId="0"/>
    <xf numFmtId="0" fontId="5" fillId="0" borderId="0"/>
    <xf numFmtId="0" fontId="14" fillId="0" borderId="0"/>
    <xf numFmtId="0" fontId="92" fillId="0" borderId="0"/>
    <xf numFmtId="0" fontId="1" fillId="0" borderId="0"/>
    <xf numFmtId="0" fontId="36" fillId="0" borderId="0"/>
    <xf numFmtId="0" fontId="5" fillId="0" borderId="0"/>
    <xf numFmtId="0" fontId="5" fillId="0" borderId="0"/>
    <xf numFmtId="0" fontId="36" fillId="0" borderId="0"/>
    <xf numFmtId="0" fontId="1" fillId="0" borderId="0"/>
    <xf numFmtId="0" fontId="5" fillId="0" borderId="0"/>
    <xf numFmtId="0" fontId="5" fillId="0" borderId="0"/>
    <xf numFmtId="0" fontId="5" fillId="0" borderId="0"/>
    <xf numFmtId="0" fontId="93" fillId="0" borderId="0">
      <alignment horizontal="left" vertical="top"/>
    </xf>
    <xf numFmtId="0" fontId="5" fillId="0" borderId="0"/>
    <xf numFmtId="0" fontId="5" fillId="0" borderId="0"/>
    <xf numFmtId="0" fontId="14" fillId="0" borderId="0"/>
    <xf numFmtId="0" fontId="5" fillId="0" borderId="0">
      <alignment vertical="top"/>
    </xf>
    <xf numFmtId="0" fontId="5" fillId="0" borderId="0"/>
    <xf numFmtId="0" fontId="5" fillId="0" borderId="0">
      <alignment vertical="top"/>
    </xf>
    <xf numFmtId="0" fontId="14" fillId="0" borderId="0"/>
    <xf numFmtId="0" fontId="14" fillId="0" borderId="0"/>
    <xf numFmtId="0" fontId="14" fillId="0" borderId="0"/>
    <xf numFmtId="3" fontId="94" fillId="0" borderId="0">
      <alignment horizontal="justify" vertical="justify"/>
    </xf>
    <xf numFmtId="4" fontId="5" fillId="0" borderId="0">
      <alignment horizontal="justify" vertical="top"/>
    </xf>
    <xf numFmtId="0" fontId="4" fillId="0" borderId="0">
      <alignment horizontal="justify"/>
    </xf>
    <xf numFmtId="4" fontId="33" fillId="0" borderId="0">
      <alignment horizontal="justify"/>
    </xf>
    <xf numFmtId="0" fontId="95" fillId="0" borderId="0"/>
    <xf numFmtId="0" fontId="14" fillId="0" borderId="0"/>
    <xf numFmtId="0" fontId="5" fillId="0" borderId="0"/>
    <xf numFmtId="0" fontId="96" fillId="0" borderId="0"/>
    <xf numFmtId="0" fontId="5" fillId="0" borderId="0"/>
    <xf numFmtId="0" fontId="14" fillId="0" borderId="0"/>
    <xf numFmtId="0" fontId="2" fillId="51" borderId="16" applyNumberFormat="0" applyAlignment="0" applyProtection="0"/>
    <xf numFmtId="0" fontId="2" fillId="51" borderId="16" applyNumberFormat="0" applyAlignment="0" applyProtection="0"/>
    <xf numFmtId="0" fontId="2" fillId="51" borderId="16" applyNumberFormat="0" applyAlignment="0" applyProtection="0"/>
    <xf numFmtId="0" fontId="2" fillId="51" borderId="16" applyNumberFormat="0" applyAlignment="0" applyProtection="0"/>
    <xf numFmtId="0" fontId="36"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2" borderId="16" applyNumberFormat="0" applyAlignment="0" applyProtection="0"/>
    <xf numFmtId="0" fontId="5" fillId="52" borderId="16" applyNumberFormat="0" applyAlignment="0" applyProtection="0"/>
    <xf numFmtId="0" fontId="36" fillId="50" borderId="16" applyNumberFormat="0" applyFont="0" applyAlignment="0" applyProtection="0"/>
    <xf numFmtId="0" fontId="36" fillId="50" borderId="16" applyNumberFormat="0" applyFont="0" applyAlignment="0" applyProtection="0"/>
    <xf numFmtId="0" fontId="36" fillId="50" borderId="16" applyNumberFormat="0" applyFont="0" applyAlignment="0" applyProtection="0"/>
    <xf numFmtId="0" fontId="36" fillId="50" borderId="16" applyNumberFormat="0" applyFont="0" applyAlignment="0" applyProtection="0"/>
    <xf numFmtId="0" fontId="36" fillId="50" borderId="16" applyNumberFormat="0" applyFont="0" applyAlignment="0" applyProtection="0"/>
    <xf numFmtId="0" fontId="36" fillId="50" borderId="16" applyNumberFormat="0" applyFont="0" applyAlignment="0" applyProtection="0"/>
    <xf numFmtId="0" fontId="36"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97" fillId="0" borderId="0"/>
    <xf numFmtId="0" fontId="5" fillId="0" borderId="0"/>
    <xf numFmtId="0" fontId="97" fillId="0" borderId="0"/>
    <xf numFmtId="0" fontId="5" fillId="0" borderId="0"/>
    <xf numFmtId="0" fontId="97" fillId="0" borderId="0"/>
    <xf numFmtId="0" fontId="5" fillId="0" borderId="0"/>
    <xf numFmtId="0" fontId="97" fillId="0" borderId="0">
      <alignment horizontal="left"/>
    </xf>
    <xf numFmtId="0" fontId="5" fillId="0" borderId="0"/>
    <xf numFmtId="0" fontId="5" fillId="0" borderId="0"/>
    <xf numFmtId="0" fontId="97" fillId="0" borderId="0">
      <alignment horizontal="left"/>
    </xf>
    <xf numFmtId="0" fontId="5" fillId="0" borderId="0"/>
    <xf numFmtId="0" fontId="5" fillId="0" borderId="0"/>
    <xf numFmtId="0" fontId="97" fillId="0" borderId="0">
      <alignment horizontal="left"/>
    </xf>
    <xf numFmtId="0" fontId="5" fillId="0" borderId="0"/>
    <xf numFmtId="0" fontId="5" fillId="0" borderId="0"/>
    <xf numFmtId="0" fontId="97" fillId="0" borderId="0">
      <alignment horizontal="left"/>
    </xf>
    <xf numFmtId="0" fontId="5" fillId="0" borderId="0"/>
    <xf numFmtId="0" fontId="5" fillId="0" borderId="0"/>
    <xf numFmtId="0" fontId="97" fillId="0" borderId="0">
      <alignment horizontal="left"/>
    </xf>
    <xf numFmtId="0" fontId="97" fillId="0" borderId="0">
      <alignment horizontal="left"/>
    </xf>
    <xf numFmtId="0" fontId="97" fillId="0" borderId="0"/>
    <xf numFmtId="0" fontId="97" fillId="0" borderId="0"/>
    <xf numFmtId="0" fontId="97" fillId="0" borderId="0">
      <alignment horizontal="left"/>
    </xf>
    <xf numFmtId="0" fontId="5" fillId="0" borderId="0"/>
    <xf numFmtId="0" fontId="5" fillId="0" borderId="0"/>
    <xf numFmtId="0" fontId="98"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5"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7" fillId="0" borderId="0"/>
    <xf numFmtId="0" fontId="97" fillId="0" borderId="0"/>
    <xf numFmtId="0" fontId="99"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9"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9" fillId="0" borderId="0"/>
    <xf numFmtId="0" fontId="99" fillId="0" borderId="0"/>
    <xf numFmtId="0" fontId="99" fillId="0" borderId="0"/>
    <xf numFmtId="0" fontId="99" fillId="0" borderId="0"/>
    <xf numFmtId="0" fontId="99" fillId="0" borderId="0"/>
    <xf numFmtId="0" fontId="99" fillId="0" borderId="0"/>
    <xf numFmtId="0" fontId="97" fillId="0" borderId="0"/>
    <xf numFmtId="0" fontId="97" fillId="0" borderId="0"/>
    <xf numFmtId="0" fontId="97" fillId="0" borderId="0"/>
    <xf numFmtId="0" fontId="99" fillId="0" borderId="0"/>
    <xf numFmtId="0" fontId="5" fillId="0" borderId="0"/>
    <xf numFmtId="0" fontId="99"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9" fillId="0" borderId="0"/>
    <xf numFmtId="0" fontId="97" fillId="0" borderId="0"/>
    <xf numFmtId="0" fontId="97" fillId="0" borderId="0"/>
    <xf numFmtId="0" fontId="97" fillId="0" borderId="0"/>
    <xf numFmtId="0" fontId="97" fillId="0" borderId="0"/>
    <xf numFmtId="0" fontId="97" fillId="0" borderId="0"/>
    <xf numFmtId="0" fontId="97" fillId="0" borderId="0"/>
    <xf numFmtId="0" fontId="99" fillId="0" borderId="0"/>
    <xf numFmtId="0" fontId="97" fillId="0" borderId="0">
      <alignment horizontal="left"/>
    </xf>
    <xf numFmtId="0" fontId="97" fillId="0" borderId="0">
      <alignment horizontal="left"/>
    </xf>
    <xf numFmtId="0" fontId="97" fillId="0" borderId="0">
      <alignment horizontal="left"/>
    </xf>
    <xf numFmtId="0" fontId="5" fillId="0" borderId="0"/>
    <xf numFmtId="0" fontId="99" fillId="0" borderId="0"/>
    <xf numFmtId="0" fontId="5" fillId="0" borderId="0"/>
    <xf numFmtId="0" fontId="99" fillId="0" borderId="0"/>
    <xf numFmtId="0" fontId="99" fillId="0" borderId="0"/>
    <xf numFmtId="0" fontId="99" fillId="0" borderId="0"/>
    <xf numFmtId="0" fontId="97" fillId="0" borderId="0"/>
    <xf numFmtId="0" fontId="97" fillId="0" borderId="0"/>
    <xf numFmtId="0" fontId="97" fillId="0" borderId="0"/>
    <xf numFmtId="0" fontId="99" fillId="0" borderId="0"/>
    <xf numFmtId="0" fontId="99" fillId="0" borderId="0"/>
    <xf numFmtId="0" fontId="5" fillId="0" borderId="0"/>
    <xf numFmtId="0" fontId="5" fillId="0" borderId="0"/>
    <xf numFmtId="0" fontId="5" fillId="0" borderId="0"/>
    <xf numFmtId="0" fontId="97" fillId="0" borderId="0"/>
    <xf numFmtId="0" fontId="97" fillId="0" borderId="0"/>
    <xf numFmtId="0" fontId="36" fillId="0" borderId="0"/>
    <xf numFmtId="0" fontId="97" fillId="0" borderId="0"/>
    <xf numFmtId="0" fontId="97" fillId="0" borderId="0"/>
    <xf numFmtId="0" fontId="36"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97" fillId="0" borderId="0"/>
    <xf numFmtId="0" fontId="97" fillId="0" borderId="0"/>
    <xf numFmtId="0" fontId="97" fillId="0" borderId="0"/>
    <xf numFmtId="0" fontId="5" fillId="0" borderId="0"/>
    <xf numFmtId="0" fontId="97" fillId="0" borderId="0"/>
    <xf numFmtId="0" fontId="97" fillId="0" borderId="0"/>
    <xf numFmtId="0" fontId="5" fillId="0" borderId="0"/>
    <xf numFmtId="0" fontId="97" fillId="0" borderId="0"/>
    <xf numFmtId="0" fontId="97" fillId="0" borderId="0"/>
    <xf numFmtId="0" fontId="97" fillId="0" borderId="0"/>
    <xf numFmtId="0" fontId="5" fillId="0" borderId="0"/>
    <xf numFmtId="0" fontId="97" fillId="0" borderId="0"/>
    <xf numFmtId="0" fontId="97" fillId="0" borderId="0"/>
    <xf numFmtId="0" fontId="97" fillId="0" borderId="0">
      <alignment horizontal="left"/>
    </xf>
    <xf numFmtId="0" fontId="5" fillId="0" borderId="0"/>
    <xf numFmtId="0" fontId="97" fillId="0" borderId="0"/>
    <xf numFmtId="0" fontId="97" fillId="0" borderId="0"/>
    <xf numFmtId="0" fontId="5" fillId="0" borderId="0"/>
    <xf numFmtId="0" fontId="97" fillId="0" borderId="0"/>
    <xf numFmtId="0" fontId="97" fillId="0" borderId="0"/>
    <xf numFmtId="0" fontId="97" fillId="0" borderId="0"/>
    <xf numFmtId="0" fontId="97" fillId="0" borderId="0"/>
    <xf numFmtId="0" fontId="97" fillId="0" borderId="0">
      <alignment horizontal="left"/>
    </xf>
    <xf numFmtId="0" fontId="97" fillId="0" borderId="0">
      <alignment horizontal="left"/>
    </xf>
    <xf numFmtId="0" fontId="5" fillId="0" borderId="0"/>
    <xf numFmtId="0" fontId="67" fillId="53" borderId="14" applyNumberFormat="0" applyAlignment="0" applyProtection="0"/>
    <xf numFmtId="0" fontId="67" fillId="53" borderId="14" applyNumberFormat="0" applyAlignment="0" applyProtection="0"/>
    <xf numFmtId="0" fontId="67" fillId="49" borderId="14" applyNumberFormat="0" applyAlignment="0" applyProtection="0"/>
    <xf numFmtId="0" fontId="67" fillId="53" borderId="14" applyNumberFormat="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6" fillId="0" borderId="0"/>
    <xf numFmtId="9" fontId="36" fillId="0" borderId="0"/>
    <xf numFmtId="9" fontId="5" fillId="0" borderId="0" applyFont="0" applyFill="0" applyBorder="0" applyAlignment="0" applyProtection="0"/>
    <xf numFmtId="9" fontId="5" fillId="0" borderId="0" applyFont="0" applyFill="0" applyBorder="0" applyAlignment="0" applyProtection="0"/>
    <xf numFmtId="9" fontId="5" fillId="0" borderId="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74" fillId="0" borderId="23" applyNumberFormat="0" applyFill="0" applyAlignment="0" applyProtection="0"/>
    <xf numFmtId="0" fontId="100" fillId="0" borderId="23" applyNumberFormat="0" applyFill="0" applyAlignment="0" applyProtection="0"/>
    <xf numFmtId="0" fontId="48" fillId="54" borderId="17" applyNumberFormat="0" applyAlignment="0" applyProtection="0"/>
    <xf numFmtId="0" fontId="101" fillId="55" borderId="17" applyNumberFormat="0" applyAlignment="0" applyProtection="0"/>
    <xf numFmtId="1" fontId="71" fillId="0" borderId="0" applyFill="0" applyBorder="0" applyProtection="0">
      <alignment horizontal="center" vertical="top" wrapText="1"/>
    </xf>
    <xf numFmtId="0" fontId="102" fillId="0" borderId="0"/>
    <xf numFmtId="0" fontId="102" fillId="0" borderId="0"/>
    <xf numFmtId="177" fontId="103" fillId="64" borderId="7" applyNumberFormat="0" applyFont="0" applyAlignment="0" applyProtection="0">
      <alignment horizontal="center" vertical="top"/>
    </xf>
    <xf numFmtId="49" fontId="104" fillId="0" borderId="0">
      <alignment vertical="center"/>
      <protection locked="0"/>
    </xf>
    <xf numFmtId="0" fontId="75" fillId="11" borderId="0" applyNumberFormat="0" applyBorder="0" applyAlignment="0" applyProtection="0"/>
    <xf numFmtId="0" fontId="105" fillId="0" borderId="0"/>
    <xf numFmtId="0" fontId="106" fillId="0" borderId="0"/>
    <xf numFmtId="0" fontId="107" fillId="0" borderId="0" applyFill="0" applyProtection="0">
      <alignment horizontal="justify" vertical="center" wrapText="1"/>
    </xf>
    <xf numFmtId="0" fontId="35" fillId="0" borderId="0" applyBorder="0"/>
    <xf numFmtId="0" fontId="35" fillId="0" borderId="0"/>
    <xf numFmtId="0" fontId="35" fillId="0" borderId="0"/>
    <xf numFmtId="0" fontId="5" fillId="0" borderId="0"/>
    <xf numFmtId="0" fontId="35" fillId="0" borderId="0"/>
    <xf numFmtId="0" fontId="98" fillId="0" borderId="0"/>
    <xf numFmtId="0" fontId="5" fillId="0" borderId="0"/>
    <xf numFmtId="0" fontId="45" fillId="0" borderId="0">
      <alignment vertical="top" wrapText="1"/>
    </xf>
    <xf numFmtId="0" fontId="57" fillId="0" borderId="0" applyNumberFormat="0" applyFill="0" applyBorder="0" applyAlignment="0" applyProtection="0"/>
    <xf numFmtId="0" fontId="5" fillId="0" borderId="0"/>
    <xf numFmtId="0" fontId="56"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77" fillId="0" borderId="0" applyNumberFormat="0" applyFill="0" applyBorder="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2" fillId="0" borderId="0"/>
    <xf numFmtId="4" fontId="72" fillId="0" borderId="0"/>
    <xf numFmtId="4" fontId="68" fillId="0" borderId="0"/>
    <xf numFmtId="0" fontId="81" fillId="0" borderId="0" applyNumberFormat="0" applyFill="0" applyBorder="0" applyAlignment="0" applyProtection="0"/>
    <xf numFmtId="0" fontId="78" fillId="0" borderId="19" applyNumberFormat="0" applyFill="0" applyAlignment="0" applyProtection="0"/>
    <xf numFmtId="0" fontId="79" fillId="0" borderId="20" applyNumberFormat="0" applyFill="0" applyAlignment="0" applyProtection="0"/>
    <xf numFmtId="0" fontId="80" fillId="0" borderId="21" applyNumberFormat="0" applyFill="0" applyAlignment="0" applyProtection="0"/>
    <xf numFmtId="0" fontId="80" fillId="0" borderId="0" applyNumberFormat="0" applyFill="0" applyBorder="0" applyAlignment="0" applyProtection="0"/>
    <xf numFmtId="0" fontId="111" fillId="0" borderId="18" applyNumberFormat="0" applyFill="0" applyAlignment="0" applyProtection="0"/>
    <xf numFmtId="0" fontId="111" fillId="0" borderId="18" applyNumberFormat="0" applyFill="0" applyAlignment="0" applyProtection="0"/>
    <xf numFmtId="0" fontId="55" fillId="0" borderId="18" applyNumberFormat="0" applyFill="0" applyAlignment="0" applyProtection="0"/>
    <xf numFmtId="0" fontId="55" fillId="0" borderId="18" applyNumberFormat="0" applyFill="0" applyAlignment="0" applyProtection="0"/>
    <xf numFmtId="178" fontId="113" fillId="65" borderId="24">
      <alignment vertical="center"/>
    </xf>
    <xf numFmtId="4" fontId="114" fillId="0" borderId="0"/>
    <xf numFmtId="0" fontId="66" fillId="20" borderId="15" applyNumberFormat="0" applyAlignment="0" applyProtection="0"/>
    <xf numFmtId="0" fontId="66" fillId="20" borderId="15" applyNumberFormat="0" applyAlignment="0" applyProtection="0"/>
    <xf numFmtId="0" fontId="54" fillId="19" borderId="15" applyNumberFormat="0" applyAlignment="0" applyProtection="0"/>
    <xf numFmtId="0" fontId="54" fillId="19" borderId="15" applyNumberFormat="0" applyAlignment="0" applyProtection="0"/>
    <xf numFmtId="44" fontId="3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9" fontId="5" fillId="0" borderId="0" applyFont="0" applyFill="0" applyBorder="0" applyAlignment="0" applyProtection="0"/>
    <xf numFmtId="0" fontId="100" fillId="0" borderId="23" applyNumberFormat="0" applyFill="0" applyAlignment="0" applyProtection="0"/>
    <xf numFmtId="0" fontId="109"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4" fontId="115" fillId="0" borderId="7" applyBorder="0">
      <alignment horizontal="right" wrapText="1"/>
    </xf>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8" fontId="5" fillId="0" borderId="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165"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36" fillId="0" borderId="0" applyFont="0" applyFill="0" applyBorder="0" applyAlignment="0" applyProtection="0"/>
    <xf numFmtId="164" fontId="97" fillId="0" borderId="0" applyFont="0" applyFill="0" applyBorder="0" applyAlignment="0" applyProtection="0"/>
    <xf numFmtId="164" fontId="97" fillId="0" borderId="0" applyFont="0" applyFill="0" applyBorder="0" applyAlignment="0" applyProtection="0"/>
    <xf numFmtId="0" fontId="101" fillId="55" borderId="17" applyNumberFormat="0" applyAlignment="0" applyProtection="0"/>
    <xf numFmtId="0" fontId="116" fillId="0" borderId="0" applyNumberFormat="0" applyBorder="0" applyProtection="0"/>
    <xf numFmtId="43" fontId="32" fillId="0" borderId="0" applyFill="0" applyBorder="0" applyProtection="0">
      <alignment horizontal="right"/>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4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6"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ill="0" applyBorder="0" applyProtection="0">
      <alignment horizontal="right"/>
    </xf>
    <xf numFmtId="43" fontId="14" fillId="0" borderId="0" applyFont="0" applyFill="0" applyBorder="0" applyAlignment="0" applyProtection="0"/>
    <xf numFmtId="43" fontId="4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ill="0" applyBorder="0" applyProtection="0">
      <alignment horizontal="right"/>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4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0" fontId="2" fillId="0" borderId="0"/>
    <xf numFmtId="0" fontId="14" fillId="0" borderId="0"/>
    <xf numFmtId="0" fontId="36" fillId="81" borderId="0" applyNumberFormat="0" applyBorder="0" applyAlignment="0" applyProtection="0"/>
    <xf numFmtId="0" fontId="36" fillId="24" borderId="0" applyNumberFormat="0" applyBorder="0" applyAlignment="0" applyProtection="0"/>
    <xf numFmtId="0" fontId="36" fillId="9" borderId="0" applyNumberFormat="0" applyBorder="0" applyAlignment="0" applyProtection="0"/>
    <xf numFmtId="0" fontId="36" fillId="58" borderId="0" applyNumberFormat="0" applyBorder="0" applyAlignment="0" applyProtection="0"/>
    <xf numFmtId="0" fontId="36" fillId="26" borderId="0" applyNumberFormat="0" applyBorder="0" applyAlignment="0" applyProtection="0"/>
    <xf numFmtId="0" fontId="36" fillId="11" borderId="0" applyNumberFormat="0" applyBorder="0" applyAlignment="0" applyProtection="0"/>
    <xf numFmtId="0" fontId="36" fillId="56" borderId="0" applyNumberFormat="0" applyBorder="0" applyAlignment="0" applyProtection="0"/>
    <xf numFmtId="0" fontId="36" fillId="50" borderId="0" applyNumberFormat="0" applyBorder="0" applyAlignment="0" applyProtection="0"/>
    <xf numFmtId="0" fontId="36" fillId="13" borderId="0" applyNumberFormat="0" applyBorder="0" applyAlignment="0" applyProtection="0"/>
    <xf numFmtId="0" fontId="36" fillId="82" borderId="0" applyNumberFormat="0" applyBorder="0" applyAlignment="0" applyProtection="0"/>
    <xf numFmtId="0" fontId="36" fillId="19" borderId="0" applyNumberFormat="0" applyBorder="0" applyAlignment="0" applyProtection="0"/>
    <xf numFmtId="0" fontId="36" fillId="15" borderId="0" applyNumberFormat="0" applyBorder="0" applyAlignment="0" applyProtection="0"/>
    <xf numFmtId="0" fontId="36" fillId="65" borderId="0" applyNumberFormat="0" applyBorder="0" applyAlignment="0" applyProtection="0"/>
    <xf numFmtId="0" fontId="36" fillId="17" borderId="0" applyNumberFormat="0" applyBorder="0" applyAlignment="0" applyProtection="0"/>
    <xf numFmtId="0" fontId="36" fillId="20" borderId="0" applyNumberFormat="0" applyBorder="0" applyAlignment="0" applyProtection="0"/>
    <xf numFmtId="0" fontId="36" fillId="50" borderId="0" applyNumberFormat="0" applyBorder="0" applyAlignment="0" applyProtection="0"/>
    <xf numFmtId="0" fontId="36" fillId="19" borderId="0" applyNumberFormat="0" applyBorder="0" applyAlignment="0" applyProtection="0"/>
    <xf numFmtId="0" fontId="36" fillId="53" borderId="0" applyNumberFormat="0" applyBorder="0" applyAlignment="0" applyProtection="0"/>
    <xf numFmtId="0" fontId="36" fillId="17" borderId="0" applyNumberFormat="0" applyBorder="0" applyAlignment="0" applyProtection="0"/>
    <xf numFmtId="0" fontId="36" fillId="25" borderId="0" applyNumberFormat="0" applyBorder="0" applyAlignment="0" applyProtection="0"/>
    <xf numFmtId="0" fontId="36" fillId="26" borderId="0" applyNumberFormat="0" applyBorder="0" applyAlignment="0" applyProtection="0"/>
    <xf numFmtId="0" fontId="36" fillId="27" borderId="0" applyNumberFormat="0" applyBorder="0" applyAlignment="0" applyProtection="0"/>
    <xf numFmtId="0" fontId="36" fillId="63" borderId="0" applyNumberFormat="0" applyBorder="0" applyAlignment="0" applyProtection="0"/>
    <xf numFmtId="0" fontId="36" fillId="28" borderId="0" applyNumberFormat="0" applyBorder="0" applyAlignment="0" applyProtection="0"/>
    <xf numFmtId="0" fontId="36" fillId="82" borderId="0" applyNumberFormat="0" applyBorder="0" applyAlignment="0" applyProtection="0"/>
    <xf numFmtId="0" fontId="36" fillId="11" borderId="0" applyNumberFormat="0" applyBorder="0" applyAlignment="0" applyProtection="0"/>
    <xf numFmtId="0" fontId="36" fillId="15" borderId="0" applyNumberFormat="0" applyBorder="0" applyAlignment="0" applyProtection="0"/>
    <xf numFmtId="0" fontId="36" fillId="23" borderId="0" applyNumberFormat="0" applyBorder="0" applyAlignment="0" applyProtection="0"/>
    <xf numFmtId="0" fontId="36" fillId="17" borderId="0" applyNumberFormat="0" applyBorder="0" applyAlignment="0" applyProtection="0"/>
    <xf numFmtId="0" fontId="36" fillId="24" borderId="0" applyNumberFormat="0" applyBorder="0" applyAlignment="0" applyProtection="0"/>
    <xf numFmtId="0" fontId="36" fillId="31" borderId="0" applyNumberFormat="0" applyBorder="0" applyAlignment="0" applyProtection="0"/>
    <xf numFmtId="0" fontId="36" fillId="50" borderId="0" applyNumberFormat="0" applyBorder="0" applyAlignment="0" applyProtection="0"/>
    <xf numFmtId="0" fontId="36" fillId="30" borderId="0" applyNumberFormat="0" applyBorder="0" applyAlignment="0" applyProtection="0"/>
    <xf numFmtId="0" fontId="38" fillId="32" borderId="0" applyNumberFormat="0" applyBorder="0" applyAlignment="0" applyProtection="0"/>
    <xf numFmtId="0" fontId="38" fillId="17" borderId="0" applyNumberFormat="0" applyBorder="0" applyAlignment="0" applyProtection="0"/>
    <xf numFmtId="0" fontId="38" fillId="33" borderId="0" applyNumberFormat="0" applyBorder="0" applyAlignment="0" applyProtection="0"/>
    <xf numFmtId="0" fontId="38" fillId="25" borderId="0" applyNumberFormat="0" applyBorder="0" applyAlignment="0" applyProtection="0"/>
    <xf numFmtId="0" fontId="38" fillId="4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28" borderId="0" applyNumberFormat="0" applyBorder="0" applyAlignment="0" applyProtection="0"/>
    <xf numFmtId="0" fontId="38" fillId="34" borderId="0" applyNumberFormat="0" applyBorder="0" applyAlignment="0" applyProtection="0"/>
    <xf numFmtId="0" fontId="38" fillId="11"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17" borderId="0" applyNumberFormat="0" applyBorder="0" applyAlignment="0" applyProtection="0"/>
    <xf numFmtId="0" fontId="38" fillId="37" borderId="0" applyNumberFormat="0" applyBorder="0" applyAlignment="0" applyProtection="0"/>
    <xf numFmtId="0" fontId="38" fillId="40" borderId="0" applyNumberFormat="0" applyBorder="0" applyAlignment="0" applyProtection="0"/>
    <xf numFmtId="0" fontId="38" fillId="26" borderId="0" applyNumberFormat="0" applyBorder="0" applyAlignment="0" applyProtection="0"/>
    <xf numFmtId="0" fontId="38" fillId="39" borderId="0" applyNumberFormat="0" applyBorder="0" applyAlignment="0" applyProtection="0"/>
    <xf numFmtId="0" fontId="5" fillId="52" borderId="16" applyNumberFormat="0" applyAlignment="0" applyProtection="0"/>
    <xf numFmtId="0" fontId="119" fillId="50" borderId="16" applyNumberFormat="0" applyFont="0" applyAlignment="0" applyProtection="0"/>
    <xf numFmtId="169" fontId="5" fillId="0" borderId="0" applyFill="0" applyBorder="0" applyAlignment="0" applyProtection="0"/>
    <xf numFmtId="169" fontId="5" fillId="0" borderId="0" applyFill="0" applyBorder="0" applyAlignment="0" applyProtection="0"/>
    <xf numFmtId="169" fontId="5" fillId="0" borderId="0" applyFill="0" applyBorder="0" applyAlignment="0" applyProtection="0"/>
    <xf numFmtId="169" fontId="5" fillId="0" borderId="0" applyFill="0" applyBorder="0" applyAlignment="0" applyProtection="0"/>
    <xf numFmtId="0" fontId="52" fillId="17" borderId="0" applyNumberFormat="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38" fillId="83" borderId="0" applyNumberFormat="0" applyBorder="0" applyAlignment="0" applyProtection="0"/>
    <xf numFmtId="0" fontId="38" fillId="84" borderId="0" applyNumberFormat="0" applyBorder="0" applyAlignment="0" applyProtection="0"/>
    <xf numFmtId="0" fontId="38" fillId="42" borderId="0" applyNumberFormat="0" applyBorder="0" applyAlignment="0" applyProtection="0"/>
    <xf numFmtId="0" fontId="38" fillId="85" borderId="0" applyNumberFormat="0" applyBorder="0" applyAlignment="0" applyProtection="0"/>
    <xf numFmtId="0" fontId="38" fillId="48" borderId="0" applyNumberFormat="0" applyBorder="0" applyAlignment="0" applyProtection="0"/>
    <xf numFmtId="0" fontId="38" fillId="44" borderId="0" applyNumberFormat="0" applyBorder="0" applyAlignment="0" applyProtection="0"/>
    <xf numFmtId="0" fontId="38" fillId="48" borderId="0" applyNumberFormat="0" applyBorder="0" applyAlignment="0" applyProtection="0"/>
    <xf numFmtId="0" fontId="38" fillId="59" borderId="0" applyNumberFormat="0" applyBorder="0" applyAlignment="0" applyProtection="0"/>
    <xf numFmtId="0" fontId="38" fillId="30" borderId="0" applyNumberFormat="0" applyBorder="0" applyAlignment="0" applyProtection="0"/>
    <xf numFmtId="0" fontId="38" fillId="46" borderId="0" applyNumberFormat="0" applyBorder="0" applyAlignment="0" applyProtection="0"/>
    <xf numFmtId="0" fontId="38" fillId="34" borderId="0" applyNumberFormat="0" applyBorder="0" applyAlignment="0" applyProtection="0"/>
    <xf numFmtId="0" fontId="38" fillId="86"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60" borderId="0" applyNumberFormat="0" applyBorder="0" applyAlignment="0" applyProtection="0"/>
    <xf numFmtId="0" fontId="38" fillId="44" borderId="0" applyNumberFormat="0" applyBorder="0" applyAlignment="0" applyProtection="0"/>
    <xf numFmtId="0" fontId="38" fillId="48" borderId="0" applyNumberFormat="0" applyBorder="0" applyAlignment="0" applyProtection="0"/>
    <xf numFmtId="0" fontId="67" fillId="87" borderId="14" applyNumberFormat="0" applyAlignment="0" applyProtection="0"/>
    <xf numFmtId="0" fontId="47" fillId="53" borderId="15" applyNumberFormat="0" applyAlignment="0" applyProtection="0"/>
    <xf numFmtId="0" fontId="120" fillId="87" borderId="15" applyNumberFormat="0" applyAlignment="0" applyProtection="0"/>
    <xf numFmtId="0" fontId="47" fillId="49" borderId="15" applyNumberFormat="0" applyAlignment="0" applyProtection="0"/>
    <xf numFmtId="0" fontId="41" fillId="58" borderId="0" applyNumberFormat="0" applyBorder="0" applyAlignment="0" applyProtection="0"/>
    <xf numFmtId="0" fontId="41" fillId="15" borderId="0" applyNumberFormat="0" applyBorder="0" applyAlignment="0" applyProtection="0"/>
    <xf numFmtId="0" fontId="41" fillId="11" borderId="0" applyNumberFormat="0" applyBorder="0" applyAlignment="0" applyProtection="0"/>
    <xf numFmtId="0" fontId="60" fillId="0" borderId="19" applyNumberFormat="0" applyFill="0" applyAlignment="0" applyProtection="0"/>
    <xf numFmtId="0" fontId="121" fillId="0" borderId="28" applyNumberFormat="0" applyFill="0" applyAlignment="0" applyProtection="0"/>
    <xf numFmtId="0" fontId="60" fillId="0" borderId="19" applyNumberFormat="0" applyFill="0" applyAlignment="0" applyProtection="0"/>
    <xf numFmtId="0" fontId="62" fillId="0" borderId="20" applyNumberFormat="0" applyFill="0" applyAlignment="0" applyProtection="0"/>
    <xf numFmtId="0" fontId="122" fillId="0" borderId="29" applyNumberFormat="0" applyFill="0" applyAlignment="0" applyProtection="0"/>
    <xf numFmtId="0" fontId="62" fillId="0" borderId="20" applyNumberFormat="0" applyFill="0" applyAlignment="0" applyProtection="0"/>
    <xf numFmtId="0" fontId="64" fillId="0" borderId="21" applyNumberFormat="0" applyFill="0" applyAlignment="0" applyProtection="0"/>
    <xf numFmtId="0" fontId="123" fillId="0" borderId="30" applyNumberFormat="0" applyFill="0" applyAlignment="0" applyProtection="0"/>
    <xf numFmtId="0" fontId="64" fillId="0" borderId="21" applyNumberFormat="0" applyFill="0" applyAlignment="0" applyProtection="0"/>
    <xf numFmtId="0" fontId="64" fillId="0" borderId="0" applyNumberFormat="0" applyFill="0" applyBorder="0" applyAlignment="0" applyProtection="0"/>
    <xf numFmtId="0" fontId="123" fillId="0" borderId="0" applyNumberFormat="0" applyFill="0" applyBorder="0" applyAlignment="0" applyProtection="0"/>
    <xf numFmtId="0" fontId="64" fillId="0" borderId="0" applyNumberFormat="0" applyFill="0" applyBorder="0" applyAlignment="0" applyProtection="0"/>
    <xf numFmtId="0" fontId="82" fillId="0" borderId="0" applyNumberFormat="0" applyFill="0" applyBorder="0" applyAlignment="0" applyProtection="0"/>
    <xf numFmtId="0" fontId="73" fillId="62" borderId="0" applyNumberFormat="0" applyBorder="0" applyAlignment="0" applyProtection="0"/>
    <xf numFmtId="0" fontId="124" fillId="63" borderId="0" applyNumberFormat="0" applyBorder="0" applyAlignment="0" applyProtection="0"/>
    <xf numFmtId="0" fontId="73" fillId="63" borderId="0" applyNumberFormat="0" applyBorder="0" applyAlignment="0" applyProtection="0"/>
    <xf numFmtId="0" fontId="5" fillId="0" borderId="0"/>
    <xf numFmtId="0" fontId="36" fillId="0" borderId="0"/>
    <xf numFmtId="0" fontId="125" fillId="0" borderId="0"/>
    <xf numFmtId="0" fontId="50" fillId="0" borderId="0"/>
    <xf numFmtId="0" fontId="5" fillId="0" borderId="0"/>
    <xf numFmtId="0" fontId="118" fillId="0" borderId="0"/>
    <xf numFmtId="0" fontId="5" fillId="0" borderId="0"/>
    <xf numFmtId="0" fontId="36" fillId="0" borderId="0"/>
    <xf numFmtId="0" fontId="119" fillId="0" borderId="0"/>
    <xf numFmtId="0" fontId="5" fillId="0" borderId="0"/>
    <xf numFmtId="0" fontId="5" fillId="0" borderId="0"/>
    <xf numFmtId="0" fontId="5" fillId="0" borderId="0"/>
    <xf numFmtId="0" fontId="5" fillId="0" borderId="0"/>
    <xf numFmtId="0" fontId="14" fillId="0" borderId="0"/>
    <xf numFmtId="0" fontId="119" fillId="0" borderId="0"/>
    <xf numFmtId="0" fontId="5" fillId="0" borderId="0"/>
    <xf numFmtId="0" fontId="5" fillId="0" borderId="0"/>
    <xf numFmtId="0" fontId="5" fillId="0" borderId="0"/>
    <xf numFmtId="0" fontId="125" fillId="0" borderId="0"/>
    <xf numFmtId="0" fontId="13" fillId="0" borderId="0"/>
    <xf numFmtId="0" fontId="5" fillId="0" borderId="0"/>
    <xf numFmtId="0" fontId="5" fillId="0" borderId="0"/>
    <xf numFmtId="0" fontId="5" fillId="0" borderId="0"/>
    <xf numFmtId="0" fontId="5" fillId="0" borderId="0"/>
    <xf numFmtId="43" fontId="119" fillId="0" borderId="0" applyFill="0" applyBorder="0" applyAlignment="0" applyProtection="0"/>
    <xf numFmtId="0" fontId="5" fillId="0" borderId="0"/>
    <xf numFmtId="0" fontId="5" fillId="0" borderId="0"/>
    <xf numFmtId="0" fontId="5" fillId="0" borderId="0"/>
    <xf numFmtId="0" fontId="119" fillId="0" borderId="0"/>
    <xf numFmtId="0" fontId="5" fillId="0" borderId="0"/>
    <xf numFmtId="0" fontId="36" fillId="0" borderId="0"/>
    <xf numFmtId="43" fontId="119" fillId="0" borderId="0" applyFill="0" applyBorder="0" applyAlignment="0" applyProtection="0"/>
    <xf numFmtId="43" fontId="119" fillId="0" borderId="0" applyFill="0" applyBorder="0" applyAlignment="0" applyProtection="0"/>
    <xf numFmtId="0" fontId="13" fillId="0" borderId="0"/>
    <xf numFmtId="0" fontId="5" fillId="0" borderId="0"/>
    <xf numFmtId="0" fontId="13" fillId="0" borderId="0"/>
    <xf numFmtId="0" fontId="119" fillId="0" borderId="0"/>
    <xf numFmtId="0" fontId="119" fillId="0" borderId="0"/>
    <xf numFmtId="0" fontId="1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5" fillId="0" borderId="0"/>
    <xf numFmtId="0" fontId="117" fillId="0" borderId="0"/>
    <xf numFmtId="0" fontId="126" fillId="0" borderId="0"/>
    <xf numFmtId="0" fontId="5" fillId="0" borderId="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26" fillId="0" borderId="0"/>
    <xf numFmtId="0" fontId="5" fillId="0" borderId="0"/>
    <xf numFmtId="0" fontId="126" fillId="0" borderId="0"/>
    <xf numFmtId="0" fontId="119" fillId="0" borderId="0"/>
    <xf numFmtId="0" fontId="119" fillId="0" borderId="0"/>
    <xf numFmtId="0" fontId="126"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74" fillId="0" borderId="23" applyNumberFormat="0" applyFill="0" applyAlignment="0" applyProtection="0"/>
    <xf numFmtId="0" fontId="108" fillId="0" borderId="31" applyNumberFormat="0" applyFill="0" applyAlignment="0" applyProtection="0"/>
    <xf numFmtId="0" fontId="74" fillId="0" borderId="23" applyNumberFormat="0" applyFill="0" applyAlignment="0" applyProtection="0"/>
    <xf numFmtId="0" fontId="48" fillId="54" borderId="17" applyNumberFormat="0" applyAlignment="0" applyProtection="0"/>
    <xf numFmtId="0" fontId="48" fillId="55" borderId="17" applyNumberFormat="0" applyAlignment="0" applyProtection="0"/>
    <xf numFmtId="0" fontId="127" fillId="0" borderId="0" applyNumberFormat="0" applyBorder="0" applyProtection="0"/>
    <xf numFmtId="0" fontId="57" fillId="0" borderId="0" applyNumberFormat="0" applyFill="0" applyBorder="0" applyAlignment="0" applyProtection="0"/>
    <xf numFmtId="0" fontId="57" fillId="0" borderId="0" applyNumberFormat="0" applyFill="0" applyBorder="0" applyAlignment="0" applyProtection="0"/>
    <xf numFmtId="0" fontId="108" fillId="0" borderId="0" applyNumberFormat="0" applyFill="0" applyBorder="0" applyAlignment="0" applyProtection="0"/>
    <xf numFmtId="0" fontId="111" fillId="0" borderId="18" applyNumberFormat="0" applyFill="0" applyAlignment="0" applyProtection="0"/>
    <xf numFmtId="0" fontId="111" fillId="0" borderId="32" applyNumberFormat="0" applyFill="0" applyAlignment="0" applyProtection="0"/>
    <xf numFmtId="0" fontId="111" fillId="0" borderId="18" applyNumberFormat="0" applyFill="0" applyAlignment="0" applyProtection="0"/>
    <xf numFmtId="0" fontId="66" fillId="20" borderId="15" applyNumberFormat="0" applyAlignment="0" applyProtection="0"/>
    <xf numFmtId="0" fontId="66" fillId="63" borderId="15" applyNumberFormat="0" applyAlignment="0" applyProtection="0"/>
    <xf numFmtId="0" fontId="66" fillId="19" borderId="15" applyNumberFormat="0" applyAlignment="0" applyProtection="0"/>
    <xf numFmtId="44" fontId="5" fillId="0" borderId="0" applyFont="0" applyFill="0" applyBorder="0" applyAlignment="0" applyProtection="0"/>
    <xf numFmtId="164" fontId="36" fillId="0" borderId="0" applyFont="0" applyFill="0" applyBorder="0" applyAlignment="0" applyProtection="0"/>
    <xf numFmtId="0" fontId="5" fillId="0" borderId="0"/>
    <xf numFmtId="0" fontId="5" fillId="0" borderId="0" applyProtection="0"/>
    <xf numFmtId="0" fontId="128" fillId="0" borderId="0"/>
    <xf numFmtId="180" fontId="36" fillId="0" borderId="0" applyFill="0" applyBorder="0" applyAlignment="0" applyProtection="0"/>
    <xf numFmtId="0" fontId="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14" fillId="0" borderId="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88"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88" borderId="0" applyNumberFormat="0" applyBorder="0" applyAlignment="0" applyProtection="0"/>
    <xf numFmtId="0" fontId="36" fillId="8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7"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19"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89" borderId="0" applyNumberFormat="0" applyBorder="0" applyAlignment="0" applyProtection="0"/>
    <xf numFmtId="0" fontId="36" fillId="89"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6"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92"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92" borderId="0" applyNumberFormat="0" applyBorder="0" applyAlignment="0" applyProtection="0"/>
    <xf numFmtId="0" fontId="36" fillId="92"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28"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93"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93" borderId="0" applyNumberFormat="0" applyBorder="0" applyAlignment="0" applyProtection="0"/>
    <xf numFmtId="0" fontId="36" fillId="93"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15"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91" borderId="0" applyNumberFormat="0" applyBorder="0" applyAlignment="0" applyProtection="0"/>
    <xf numFmtId="0" fontId="36" fillId="91"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24"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90" borderId="0" applyNumberFormat="0" applyBorder="0" applyAlignment="0" applyProtection="0"/>
    <xf numFmtId="0" fontId="36" fillId="9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6" fillId="30" borderId="0" applyNumberFormat="0" applyBorder="0" applyAlignment="0" applyProtection="0"/>
    <xf numFmtId="0" fontId="38" fillId="91"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33" borderId="0" applyNumberFormat="0" applyBorder="0" applyAlignment="0" applyProtection="0"/>
    <xf numFmtId="0" fontId="38" fillId="94"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95"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93"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91"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8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36" fillId="96" borderId="0" applyNumberFormat="0" applyBorder="0" applyAlignment="0" applyProtection="0"/>
    <xf numFmtId="0" fontId="36" fillId="97" borderId="0" applyNumberFormat="0" applyBorder="0" applyAlignment="0" applyProtection="0"/>
    <xf numFmtId="0" fontId="38" fillId="98" borderId="0" applyNumberFormat="0" applyBorder="0" applyAlignment="0" applyProtection="0"/>
    <xf numFmtId="0" fontId="38" fillId="99"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6" fillId="100" borderId="0" applyNumberFormat="0" applyBorder="0" applyAlignment="0" applyProtection="0"/>
    <xf numFmtId="0" fontId="36" fillId="101" borderId="0" applyNumberFormat="0" applyBorder="0" applyAlignment="0" applyProtection="0"/>
    <xf numFmtId="0" fontId="38" fillId="101" borderId="0" applyNumberFormat="0" applyBorder="0" applyAlignment="0" applyProtection="0"/>
    <xf numFmtId="0" fontId="38" fillId="9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36" fillId="102" borderId="0" applyNumberFormat="0" applyBorder="0" applyAlignment="0" applyProtection="0"/>
    <xf numFmtId="0" fontId="36" fillId="103" borderId="0" applyNumberFormat="0" applyBorder="0" applyAlignment="0" applyProtection="0"/>
    <xf numFmtId="0" fontId="38" fillId="103" borderId="0" applyNumberFormat="0" applyBorder="0" applyAlignment="0" applyProtection="0"/>
    <xf numFmtId="0" fontId="38" fillId="95"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8" fillId="46" borderId="0" applyNumberFormat="0" applyBorder="0" applyAlignment="0" applyProtection="0"/>
    <xf numFmtId="0" fontId="36" fillId="104" borderId="0" applyNumberFormat="0" applyBorder="0" applyAlignment="0" applyProtection="0"/>
    <xf numFmtId="0" fontId="36" fillId="104" borderId="0" applyNumberFormat="0" applyBorder="0" applyAlignment="0" applyProtection="0"/>
    <xf numFmtId="0" fontId="38" fillId="105" borderId="0" applyNumberFormat="0" applyBorder="0" applyAlignment="0" applyProtection="0"/>
    <xf numFmtId="0" fontId="38" fillId="106"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6" fillId="107" borderId="0" applyNumberFormat="0" applyBorder="0" applyAlignment="0" applyProtection="0"/>
    <xf numFmtId="0" fontId="36" fillId="97" borderId="0" applyNumberFormat="0" applyBorder="0" applyAlignment="0" applyProtection="0"/>
    <xf numFmtId="0" fontId="38" fillId="108" borderId="0" applyNumberFormat="0" applyBorder="0" applyAlignment="0" applyProtection="0"/>
    <xf numFmtId="0" fontId="38" fillId="109"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6" fillId="110" borderId="0" applyNumberFormat="0" applyBorder="0" applyAlignment="0" applyProtection="0"/>
    <xf numFmtId="0" fontId="36" fillId="111" borderId="0" applyNumberFormat="0" applyBorder="0" applyAlignment="0" applyProtection="0"/>
    <xf numFmtId="0" fontId="38" fillId="112" borderId="0" applyNumberFormat="0" applyBorder="0" applyAlignment="0" applyProtection="0"/>
    <xf numFmtId="0" fontId="38" fillId="113"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38" fillId="48" borderId="0" applyNumberFormat="0" applyBorder="0" applyAlignment="0" applyProtection="0"/>
    <xf numFmtId="0" fontId="41" fillId="114"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0" fontId="41" fillId="11" borderId="0" applyNumberFormat="0" applyBorder="0" applyAlignment="0" applyProtection="0"/>
    <xf numFmtId="181" fontId="132" fillId="0" borderId="2" applyAlignment="0" applyProtection="0"/>
    <xf numFmtId="182" fontId="133" fillId="0" borderId="0" applyFill="0" applyBorder="0" applyAlignment="0"/>
    <xf numFmtId="183" fontId="133" fillId="0" borderId="0" applyFill="0" applyBorder="0" applyAlignment="0"/>
    <xf numFmtId="184" fontId="133" fillId="0" borderId="0" applyFill="0" applyBorder="0" applyAlignment="0"/>
    <xf numFmtId="185" fontId="133" fillId="0" borderId="0" applyFill="0" applyBorder="0" applyAlignment="0"/>
    <xf numFmtId="186" fontId="133" fillId="0" borderId="0" applyFill="0" applyBorder="0" applyAlignment="0"/>
    <xf numFmtId="182" fontId="133" fillId="0" borderId="0" applyFill="0" applyBorder="0" applyAlignment="0"/>
    <xf numFmtId="187" fontId="133" fillId="0" borderId="0" applyFill="0" applyBorder="0" applyAlignment="0"/>
    <xf numFmtId="183" fontId="133" fillId="0" borderId="0" applyFill="0" applyBorder="0" applyAlignment="0"/>
    <xf numFmtId="0" fontId="120" fillId="115"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7" fillId="49" borderId="15" applyNumberFormat="0" applyAlignment="0" applyProtection="0"/>
    <xf numFmtId="0" fontId="48" fillId="80"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0" fontId="48" fillId="55" borderId="17" applyNumberFormat="0" applyAlignment="0" applyProtection="0"/>
    <xf numFmtId="182"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164" fontId="5" fillId="0" borderId="0" applyFont="0" applyFill="0" applyBorder="0" applyAlignment="0" applyProtection="0"/>
    <xf numFmtId="0" fontId="134" fillId="0" borderId="0" applyNumberFormat="0" applyFill="0" applyBorder="0" applyAlignment="0" applyProtection="0"/>
    <xf numFmtId="18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34" fillId="0" borderId="0" applyNumberFormat="0" applyFill="0" applyBorder="0" applyAlignment="0" applyProtection="0"/>
    <xf numFmtId="14" fontId="133" fillId="0" borderId="0" applyFill="0" applyBorder="0" applyAlignment="0"/>
    <xf numFmtId="188" fontId="97" fillId="0" borderId="0" applyFont="0" applyFill="0" applyBorder="0" applyAlignment="0" applyProtection="0"/>
    <xf numFmtId="189" fontId="97" fillId="0" borderId="0" applyFont="0" applyFill="0" applyBorder="0" applyAlignment="0" applyProtection="0"/>
    <xf numFmtId="0" fontId="111" fillId="116" borderId="0" applyNumberFormat="0" applyBorder="0" applyAlignment="0" applyProtection="0"/>
    <xf numFmtId="0" fontId="111" fillId="117" borderId="0" applyNumberFormat="0" applyBorder="0" applyAlignment="0" applyProtection="0"/>
    <xf numFmtId="0" fontId="111" fillId="118" borderId="0" applyNumberFormat="0" applyBorder="0" applyAlignment="0" applyProtection="0"/>
    <xf numFmtId="182" fontId="135" fillId="0" borderId="0" applyFill="0" applyBorder="0" applyAlignment="0"/>
    <xf numFmtId="183" fontId="135" fillId="0" borderId="0" applyFill="0" applyBorder="0" applyAlignment="0"/>
    <xf numFmtId="182" fontId="135" fillId="0" borderId="0" applyFill="0" applyBorder="0" applyAlignment="0"/>
    <xf numFmtId="187" fontId="135" fillId="0" borderId="0" applyFill="0" applyBorder="0" applyAlignment="0"/>
    <xf numFmtId="183" fontId="135" fillId="0" borderId="0" applyFill="0" applyBorder="0" applyAlignment="0"/>
    <xf numFmtId="171" fontId="36" fillId="0" borderId="0" applyBorder="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2" fillId="91"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0" fontId="52" fillId="13" borderId="0" applyNumberFormat="0" applyBorder="0" applyAlignment="0" applyProtection="0"/>
    <xf numFmtId="38" fontId="130" fillId="79" borderId="0" applyNumberFormat="0" applyBorder="0" applyAlignment="0" applyProtection="0"/>
    <xf numFmtId="0" fontId="131" fillId="0" borderId="33" applyNumberFormat="0" applyAlignment="0" applyProtection="0">
      <alignment horizontal="left" vertical="center"/>
    </xf>
    <xf numFmtId="0" fontId="131" fillId="0" borderId="26">
      <alignment horizontal="left" vertical="center"/>
    </xf>
    <xf numFmtId="0" fontId="121" fillId="0" borderId="28"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60" fillId="0" borderId="19" applyNumberFormat="0" applyFill="0" applyAlignment="0" applyProtection="0"/>
    <xf numFmtId="0" fontId="122" fillId="0" borderId="29"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62" fillId="0" borderId="20" applyNumberFormat="0" applyFill="0" applyAlignment="0" applyProtection="0"/>
    <xf numFmtId="0" fontId="123" fillId="0" borderId="30"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64" fillId="0" borderId="21" applyNumberFormat="0" applyFill="0" applyAlignment="0" applyProtection="0"/>
    <xf numFmtId="0" fontId="12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10" fontId="130" fillId="90" borderId="13" applyNumberFormat="0" applyBorder="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19" borderId="15" applyNumberFormat="0" applyAlignment="0" applyProtection="0"/>
    <xf numFmtId="0" fontId="66" fillId="19"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0" fontId="66" fillId="92" borderId="15" applyNumberFormat="0" applyAlignment="0" applyProtection="0"/>
    <xf numFmtId="182" fontId="136" fillId="0" borderId="0" applyFill="0" applyBorder="0" applyAlignment="0"/>
    <xf numFmtId="183" fontId="136" fillId="0" borderId="0" applyFill="0" applyBorder="0" applyAlignment="0"/>
    <xf numFmtId="182" fontId="136" fillId="0" borderId="0" applyFill="0" applyBorder="0" applyAlignment="0"/>
    <xf numFmtId="187" fontId="136" fillId="0" borderId="0" applyFill="0" applyBorder="0" applyAlignment="0"/>
    <xf numFmtId="183" fontId="136" fillId="0" borderId="0" applyFill="0" applyBorder="0" applyAlignment="0"/>
    <xf numFmtId="0" fontId="108" fillId="0" borderId="31"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190" fontId="97" fillId="0" borderId="0" applyFont="0" applyFill="0" applyBorder="0" applyAlignment="0" applyProtection="0"/>
    <xf numFmtId="191" fontId="97" fillId="0" borderId="0" applyFont="0" applyFill="0" applyBorder="0" applyAlignment="0" applyProtection="0"/>
    <xf numFmtId="176" fontId="5" fillId="0" borderId="0">
      <alignment vertical="top"/>
    </xf>
    <xf numFmtId="0" fontId="124" fillId="92"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0" fontId="73" fillId="63" borderId="0" applyNumberFormat="0" applyBorder="0" applyAlignment="0" applyProtection="0"/>
    <xf numFmtId="192" fontId="1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6" fillId="0" borderId="0"/>
    <xf numFmtId="0" fontId="5" fillId="0" borderId="0"/>
    <xf numFmtId="0" fontId="5" fillId="0" borderId="0"/>
    <xf numFmtId="0" fontId="86" fillId="0" borderId="0"/>
    <xf numFmtId="0" fontId="5" fillId="0" borderId="0"/>
    <xf numFmtId="0" fontId="5" fillId="0" borderId="0"/>
    <xf numFmtId="0" fontId="5" fillId="0" borderId="0"/>
    <xf numFmtId="0" fontId="5" fillId="0" borderId="0"/>
    <xf numFmtId="0" fontId="86" fillId="0" borderId="0"/>
    <xf numFmtId="0" fontId="5" fillId="0" borderId="0"/>
    <xf numFmtId="0" fontId="5" fillId="0" borderId="0"/>
    <xf numFmtId="0" fontId="86" fillId="0" borderId="0"/>
    <xf numFmtId="0" fontId="86" fillId="0" borderId="0"/>
    <xf numFmtId="0" fontId="86" fillId="0" borderId="0"/>
    <xf numFmtId="0" fontId="86" fillId="0" borderId="0"/>
    <xf numFmtId="0" fontId="86" fillId="0" borderId="0"/>
    <xf numFmtId="0" fontId="86" fillId="0" borderId="0"/>
    <xf numFmtId="0" fontId="5" fillId="0" borderId="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43" fontId="119" fillId="0" borderId="0" applyFill="0" applyBorder="0" applyAlignment="0" applyProtection="0"/>
    <xf numFmtId="0" fontId="36" fillId="0" borderId="0"/>
    <xf numFmtId="0" fontId="118" fillId="0" borderId="0"/>
    <xf numFmtId="0" fontId="86" fillId="0" borderId="0"/>
    <xf numFmtId="0" fontId="118" fillId="0" borderId="0"/>
    <xf numFmtId="0" fontId="86" fillId="0" borderId="0"/>
    <xf numFmtId="0" fontId="118" fillId="0" borderId="0"/>
    <xf numFmtId="0" fontId="118" fillId="0" borderId="0"/>
    <xf numFmtId="0" fontId="86" fillId="0" borderId="0"/>
    <xf numFmtId="0" fontId="118" fillId="0" borderId="0"/>
    <xf numFmtId="0" fontId="118" fillId="0" borderId="0"/>
    <xf numFmtId="0" fontId="118" fillId="0" borderId="0"/>
    <xf numFmtId="0" fontId="118" fillId="0" borderId="0"/>
    <xf numFmtId="0" fontId="86" fillId="0" borderId="0"/>
    <xf numFmtId="0" fontId="118" fillId="0" borderId="0"/>
    <xf numFmtId="0" fontId="118" fillId="0" borderId="0"/>
    <xf numFmtId="0" fontId="86" fillId="0" borderId="0"/>
    <xf numFmtId="0" fontId="86" fillId="0" borderId="0"/>
    <xf numFmtId="0" fontId="86" fillId="0" borderId="0"/>
    <xf numFmtId="0" fontId="86" fillId="0" borderId="0"/>
    <xf numFmtId="0" fontId="86" fillId="0" borderId="0"/>
    <xf numFmtId="0" fontId="8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6" fillId="9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0" fontId="5" fillId="50" borderId="16" applyNumberFormat="0" applyFont="0" applyAlignment="0" applyProtection="0"/>
    <xf numFmtId="2" fontId="138" fillId="0" borderId="0"/>
    <xf numFmtId="0" fontId="67" fillId="115"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0" fontId="67" fillId="49" borderId="14" applyNumberFormat="0" applyAlignment="0" applyProtection="0"/>
    <xf numFmtId="186" fontId="5" fillId="0" borderId="0" applyFont="0" applyFill="0" applyBorder="0" applyAlignment="0" applyProtection="0"/>
    <xf numFmtId="193" fontId="5" fillId="0" borderId="0" applyFont="0" applyFill="0" applyBorder="0" applyAlignment="0" applyProtection="0"/>
    <xf numFmtId="10" fontId="5" fillId="0" borderId="0" applyFont="0" applyFill="0" applyBorder="0" applyAlignment="0" applyProtection="0"/>
    <xf numFmtId="182" fontId="129" fillId="0" borderId="0" applyFill="0" applyBorder="0" applyAlignment="0"/>
    <xf numFmtId="183" fontId="129" fillId="0" borderId="0" applyFill="0" applyBorder="0" applyAlignment="0"/>
    <xf numFmtId="182" fontId="129" fillId="0" borderId="0" applyFill="0" applyBorder="0" applyAlignment="0"/>
    <xf numFmtId="187" fontId="129" fillId="0" borderId="0" applyFill="0" applyBorder="0" applyAlignment="0"/>
    <xf numFmtId="183" fontId="129" fillId="0" borderId="0" applyFill="0" applyBorder="0" applyAlignment="0"/>
    <xf numFmtId="0" fontId="77" fillId="0" borderId="0" applyNumberFormat="0" applyFill="0" applyBorder="0" applyAlignment="0" applyProtection="0"/>
    <xf numFmtId="49" fontId="133" fillId="0" borderId="0" applyFill="0" applyBorder="0" applyAlignment="0"/>
    <xf numFmtId="194" fontId="133" fillId="0" borderId="0" applyFill="0" applyBorder="0" applyAlignment="0"/>
    <xf numFmtId="195" fontId="133" fillId="0" borderId="0" applyFill="0" applyBorder="0" applyAlignment="0"/>
    <xf numFmtId="0" fontId="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111" fillId="0" borderId="32"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0" fontId="111" fillId="0" borderId="18" applyNumberFormat="0" applyFill="0" applyAlignment="0" applyProtection="0"/>
    <xf numFmtId="196" fontId="5" fillId="0" borderId="0" applyFont="0" applyFill="0" applyBorder="0" applyAlignment="0" applyProtection="0"/>
    <xf numFmtId="197" fontId="5" fillId="0" borderId="0" applyFon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198" fontId="5" fillId="0" borderId="0" applyFill="0" applyBorder="0" applyAlignment="0" applyProtection="0"/>
    <xf numFmtId="175" fontId="5" fillId="0" borderId="0" applyProtection="0"/>
    <xf numFmtId="164" fontId="5" fillId="0" borderId="0" applyFont="0" applyFill="0" applyBorder="0" applyAlignment="0" applyProtection="0"/>
    <xf numFmtId="0" fontId="2" fillId="0" borderId="0"/>
    <xf numFmtId="164" fontId="2" fillId="0" borderId="0" applyFont="0" applyFill="0" applyBorder="0" applyAlignment="0" applyProtection="0"/>
    <xf numFmtId="0" fontId="139" fillId="61" borderId="0" applyNumberFormat="0" applyBorder="0" applyAlignment="0" applyProtection="0"/>
    <xf numFmtId="0" fontId="14" fillId="67"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20" borderId="0" applyNumberFormat="0" applyBorder="0" applyAlignment="0" applyProtection="0"/>
    <xf numFmtId="0" fontId="14" fillId="69"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52" borderId="0" applyNumberFormat="0" applyBorder="0" applyAlignment="0" applyProtection="0"/>
    <xf numFmtId="0" fontId="14" fillId="71" borderId="0" applyNumberFormat="0" applyBorder="0" applyAlignment="0" applyProtection="0"/>
    <xf numFmtId="0" fontId="139" fillId="52" borderId="0" applyNumberFormat="0" applyBorder="0" applyAlignment="0" applyProtection="0"/>
    <xf numFmtId="0" fontId="139" fillId="52" borderId="0" applyNumberFormat="0" applyBorder="0" applyAlignment="0" applyProtection="0"/>
    <xf numFmtId="0" fontId="139" fillId="52" borderId="0" applyNumberFormat="0" applyBorder="0" applyAlignment="0" applyProtection="0"/>
    <xf numFmtId="0" fontId="139" fillId="52" borderId="0" applyNumberFormat="0" applyBorder="0" applyAlignment="0" applyProtection="0"/>
    <xf numFmtId="0" fontId="139" fillId="52" borderId="0" applyNumberFormat="0" applyBorder="0" applyAlignment="0" applyProtection="0"/>
    <xf numFmtId="0" fontId="139" fillId="61" borderId="0" applyNumberFormat="0" applyBorder="0" applyAlignment="0" applyProtection="0"/>
    <xf numFmtId="0" fontId="14" fillId="73"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1" borderId="0" applyNumberFormat="0" applyBorder="0" applyAlignment="0" applyProtection="0"/>
    <xf numFmtId="0" fontId="139" fillId="65" borderId="0" applyNumberFormat="0" applyBorder="0" applyAlignment="0" applyProtection="0"/>
    <xf numFmtId="0" fontId="14" fillId="75" borderId="0" applyNumberFormat="0" applyBorder="0" applyAlignment="0" applyProtection="0"/>
    <xf numFmtId="0" fontId="139" fillId="65" borderId="0" applyNumberFormat="0" applyBorder="0" applyAlignment="0" applyProtection="0"/>
    <xf numFmtId="0" fontId="139" fillId="65" borderId="0" applyNumberFormat="0" applyBorder="0" applyAlignment="0" applyProtection="0"/>
    <xf numFmtId="0" fontId="139" fillId="65" borderId="0" applyNumberFormat="0" applyBorder="0" applyAlignment="0" applyProtection="0"/>
    <xf numFmtId="0" fontId="139" fillId="65" borderId="0" applyNumberFormat="0" applyBorder="0" applyAlignment="0" applyProtection="0"/>
    <xf numFmtId="0" fontId="139" fillId="65" borderId="0" applyNumberFormat="0" applyBorder="0" applyAlignment="0" applyProtection="0"/>
    <xf numFmtId="0" fontId="139" fillId="20" borderId="0" applyNumberFormat="0" applyBorder="0" applyAlignment="0" applyProtection="0"/>
    <xf numFmtId="0" fontId="14" fillId="77"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39" fillId="53" borderId="0" applyNumberFormat="0" applyBorder="0" applyAlignment="0" applyProtection="0"/>
    <xf numFmtId="0" fontId="14" fillId="68"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25" borderId="0" applyNumberFormat="0" applyBorder="0" applyAlignment="0" applyProtection="0"/>
    <xf numFmtId="0" fontId="14" fillId="70" borderId="0" applyNumberFormat="0" applyBorder="0" applyAlignment="0" applyProtection="0"/>
    <xf numFmtId="0" fontId="139" fillId="25" borderId="0" applyNumberFormat="0" applyBorder="0" applyAlignment="0" applyProtection="0"/>
    <xf numFmtId="0" fontId="139" fillId="25" borderId="0" applyNumberFormat="0" applyBorder="0" applyAlignment="0" applyProtection="0"/>
    <xf numFmtId="0" fontId="139" fillId="25" borderId="0" applyNumberFormat="0" applyBorder="0" applyAlignment="0" applyProtection="0"/>
    <xf numFmtId="0" fontId="139" fillId="25" borderId="0" applyNumberFormat="0" applyBorder="0" applyAlignment="0" applyProtection="0"/>
    <xf numFmtId="0" fontId="139" fillId="25" borderId="0" applyNumberFormat="0" applyBorder="0" applyAlignment="0" applyProtection="0"/>
    <xf numFmtId="0" fontId="139" fillId="62" borderId="0" applyNumberFormat="0" applyBorder="0" applyAlignment="0" applyProtection="0"/>
    <xf numFmtId="0" fontId="14" fillId="72" borderId="0" applyNumberFormat="0" applyBorder="0" applyAlignment="0" applyProtection="0"/>
    <xf numFmtId="0" fontId="139" fillId="62" borderId="0" applyNumberFormat="0" applyBorder="0" applyAlignment="0" applyProtection="0"/>
    <xf numFmtId="0" fontId="139" fillId="62" borderId="0" applyNumberFormat="0" applyBorder="0" applyAlignment="0" applyProtection="0"/>
    <xf numFmtId="0" fontId="139" fillId="62" borderId="0" applyNumberFormat="0" applyBorder="0" applyAlignment="0" applyProtection="0"/>
    <xf numFmtId="0" fontId="139" fillId="62" borderId="0" applyNumberFormat="0" applyBorder="0" applyAlignment="0" applyProtection="0"/>
    <xf numFmtId="0" fontId="139" fillId="62" borderId="0" applyNumberFormat="0" applyBorder="0" applyAlignment="0" applyProtection="0"/>
    <xf numFmtId="0" fontId="139" fillId="53" borderId="0" applyNumberFormat="0" applyBorder="0" applyAlignment="0" applyProtection="0"/>
    <xf numFmtId="0" fontId="14" fillId="74"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53" borderId="0" applyNumberFormat="0" applyBorder="0" applyAlignment="0" applyProtection="0"/>
    <xf numFmtId="0" fontId="139" fillId="23" borderId="0" applyNumberFormat="0" applyBorder="0" applyAlignment="0" applyProtection="0"/>
    <xf numFmtId="0" fontId="14" fillId="76" borderId="0" applyNumberFormat="0" applyBorder="0" applyAlignment="0" applyProtection="0"/>
    <xf numFmtId="0" fontId="139" fillId="23" borderId="0" applyNumberFormat="0" applyBorder="0" applyAlignment="0" applyProtection="0"/>
    <xf numFmtId="0" fontId="139" fillId="23" borderId="0" applyNumberFormat="0" applyBorder="0" applyAlignment="0" applyProtection="0"/>
    <xf numFmtId="0" fontId="139" fillId="23" borderId="0" applyNumberFormat="0" applyBorder="0" applyAlignment="0" applyProtection="0"/>
    <xf numFmtId="0" fontId="139" fillId="23" borderId="0" applyNumberFormat="0" applyBorder="0" applyAlignment="0" applyProtection="0"/>
    <xf numFmtId="0" fontId="139" fillId="23" borderId="0" applyNumberFormat="0" applyBorder="0" applyAlignment="0" applyProtection="0"/>
    <xf numFmtId="0" fontId="139" fillId="20" borderId="0" applyNumberFormat="0" applyBorder="0" applyAlignment="0" applyProtection="0"/>
    <xf numFmtId="0" fontId="14" fillId="78"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39" fillId="2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25"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62"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53"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20"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85"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59"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45"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36"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0" fillId="47"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141" fillId="58" borderId="0" applyNumberFormat="0" applyBorder="0" applyAlignment="0" applyProtection="0"/>
    <xf numFmtId="0" fontId="36" fillId="66" borderId="27" applyNumberFormat="0" applyFont="0" applyAlignment="0" applyProtection="0"/>
    <xf numFmtId="0" fontId="14" fillId="66" borderId="27" applyNumberFormat="0" applyFont="0" applyAlignment="0" applyProtection="0"/>
    <xf numFmtId="0" fontId="14" fillId="66" borderId="27" applyNumberFormat="0" applyFont="0" applyAlignment="0" applyProtection="0"/>
    <xf numFmtId="0" fontId="36" fillId="66" borderId="27" applyNumberFormat="0" applyFont="0" applyAlignment="0" applyProtection="0"/>
    <xf numFmtId="0" fontId="14" fillId="66" borderId="27" applyNumberFormat="0" applyFont="0" applyAlignment="0" applyProtection="0"/>
    <xf numFmtId="0" fontId="14" fillId="66" borderId="27" applyNumberFormat="0" applyFont="0" applyAlignment="0" applyProtection="0"/>
    <xf numFmtId="0" fontId="142" fillId="61" borderId="15" applyNumberFormat="0" applyAlignment="0" applyProtection="0"/>
    <xf numFmtId="0" fontId="142" fillId="61" borderId="15" applyNumberFormat="0" applyAlignment="0" applyProtection="0"/>
    <xf numFmtId="0" fontId="142" fillId="61" borderId="15" applyNumberFormat="0" applyAlignment="0" applyProtection="0"/>
    <xf numFmtId="0" fontId="142" fillId="61" borderId="15" applyNumberFormat="0" applyAlignment="0" applyProtection="0"/>
    <xf numFmtId="0" fontId="142" fillId="61" borderId="15" applyNumberFormat="0" applyAlignment="0" applyProtection="0"/>
    <xf numFmtId="0" fontId="142" fillId="61" borderId="15" applyNumberFormat="0" applyAlignment="0" applyProtection="0"/>
    <xf numFmtId="0" fontId="142" fillId="61" borderId="15" applyNumberFormat="0" applyAlignment="0" applyProtection="0"/>
    <xf numFmtId="0" fontId="143" fillId="54" borderId="17" applyNumberFormat="0" applyAlignment="0" applyProtection="0"/>
    <xf numFmtId="0" fontId="143" fillId="54" borderId="17" applyNumberFormat="0" applyAlignment="0" applyProtection="0"/>
    <xf numFmtId="0" fontId="143" fillId="54" borderId="17" applyNumberFormat="0" applyAlignment="0" applyProtection="0"/>
    <xf numFmtId="0" fontId="143" fillId="54" borderId="17" applyNumberFormat="0" applyAlignment="0" applyProtection="0"/>
    <xf numFmtId="0" fontId="143" fillId="54" borderId="17" applyNumberFormat="0" applyAlignment="0" applyProtection="0"/>
    <xf numFmtId="0" fontId="143" fillId="54" borderId="17" applyNumberFormat="0" applyAlignment="0" applyProtection="0"/>
    <xf numFmtId="0" fontId="143" fillId="54" borderId="17" applyNumberFormat="0" applyAlignment="0" applyProtection="0"/>
    <xf numFmtId="199" fontId="144" fillId="0" borderId="0" applyFill="0" applyBorder="0" applyAlignment="0" applyProtection="0"/>
    <xf numFmtId="200" fontId="5" fillId="0" borderId="0" applyFill="0" applyBorder="0" applyAlignment="0" applyProtection="0"/>
    <xf numFmtId="0" fontId="145" fillId="0" borderId="0" applyNumberFormat="0" applyFill="0" applyBorder="0" applyAlignment="0" applyProtection="0"/>
    <xf numFmtId="0" fontId="57"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6" fillId="0" borderId="34" applyNumberFormat="0" applyFill="0" applyAlignment="0" applyProtection="0"/>
    <xf numFmtId="0" fontId="146" fillId="0" borderId="34" applyNumberFormat="0" applyFill="0" applyAlignment="0" applyProtection="0"/>
    <xf numFmtId="0" fontId="146" fillId="0" borderId="34" applyNumberFormat="0" applyFill="0" applyAlignment="0" applyProtection="0"/>
    <xf numFmtId="0" fontId="146" fillId="0" borderId="34" applyNumberFormat="0" applyFill="0" applyAlignment="0" applyProtection="0"/>
    <xf numFmtId="0" fontId="146" fillId="0" borderId="34" applyNumberFormat="0" applyFill="0" applyAlignment="0" applyProtection="0"/>
    <xf numFmtId="0" fontId="146" fillId="0" borderId="34" applyNumberFormat="0" applyFill="0" applyAlignment="0" applyProtection="0"/>
    <xf numFmtId="0" fontId="146" fillId="0" borderId="34"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7" fillId="0" borderId="20"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35" applyNumberFormat="0" applyFill="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8" fillId="0" borderId="0" applyNumberFormat="0" applyFill="0" applyBorder="0" applyAlignment="0" applyProtection="0"/>
    <xf numFmtId="0" fontId="149" fillId="20" borderId="15" applyNumberFormat="0" applyAlignment="0" applyProtection="0"/>
    <xf numFmtId="0" fontId="150" fillId="0" borderId="23" applyNumberFormat="0" applyFill="0" applyAlignment="0" applyProtection="0"/>
    <xf numFmtId="0" fontId="150" fillId="0" borderId="23" applyNumberFormat="0" applyFill="0" applyAlignment="0" applyProtection="0"/>
    <xf numFmtId="0" fontId="150" fillId="0" borderId="23" applyNumberFormat="0" applyFill="0" applyAlignment="0" applyProtection="0"/>
    <xf numFmtId="0" fontId="150" fillId="0" borderId="23" applyNumberFormat="0" applyFill="0" applyAlignment="0" applyProtection="0"/>
    <xf numFmtId="0" fontId="150" fillId="0" borderId="23" applyNumberFormat="0" applyFill="0" applyAlignment="0" applyProtection="0"/>
    <xf numFmtId="0" fontId="150" fillId="0" borderId="23" applyNumberFormat="0" applyFill="0" applyAlignment="0" applyProtection="0"/>
    <xf numFmtId="0" fontId="150" fillId="0" borderId="23" applyNumberFormat="0" applyFill="0" applyAlignment="0" applyProtection="0"/>
    <xf numFmtId="0" fontId="151" fillId="62" borderId="0" applyNumberFormat="0" applyBorder="0" applyAlignment="0" applyProtection="0"/>
    <xf numFmtId="0" fontId="151" fillId="62" borderId="0" applyNumberFormat="0" applyBorder="0" applyAlignment="0" applyProtection="0"/>
    <xf numFmtId="0" fontId="151" fillId="62" borderId="0" applyNumberFormat="0" applyBorder="0" applyAlignment="0" applyProtection="0"/>
    <xf numFmtId="0" fontId="151" fillId="62" borderId="0" applyNumberFormat="0" applyBorder="0" applyAlignment="0" applyProtection="0"/>
    <xf numFmtId="0" fontId="151" fillId="62" borderId="0" applyNumberFormat="0" applyBorder="0" applyAlignment="0" applyProtection="0"/>
    <xf numFmtId="0" fontId="151" fillId="62" borderId="0" applyNumberFormat="0" applyBorder="0" applyAlignment="0" applyProtection="0"/>
    <xf numFmtId="0" fontId="151" fillId="62" borderId="0" applyNumberFormat="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5" fillId="0" borderId="0"/>
    <xf numFmtId="0" fontId="144" fillId="0" borderId="0"/>
    <xf numFmtId="0" fontId="5" fillId="0" borderId="0"/>
    <xf numFmtId="0" fontId="5"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5"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4" fontId="4" fillId="0" borderId="0">
      <alignment horizontal="justify" wrapText="1"/>
    </xf>
    <xf numFmtId="4" fontId="4" fillId="0" borderId="0">
      <alignment horizontal="justify"/>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4" fillId="0" borderId="0" applyFill="0" applyBorder="0" applyAlignment="0" applyProtection="0"/>
    <xf numFmtId="0" fontId="152" fillId="0" borderId="36" applyNumberFormat="0" applyFill="0" applyAlignment="0" applyProtection="0"/>
    <xf numFmtId="0" fontId="152" fillId="0" borderId="36" applyNumberFormat="0" applyFill="0" applyAlignment="0" applyProtection="0"/>
    <xf numFmtId="0" fontId="152" fillId="0" borderId="36" applyNumberFormat="0" applyFill="0" applyAlignment="0" applyProtection="0"/>
    <xf numFmtId="0" fontId="152" fillId="0" borderId="36" applyNumberFormat="0" applyFill="0" applyAlignment="0" applyProtection="0"/>
    <xf numFmtId="0" fontId="152" fillId="0" borderId="36" applyNumberFormat="0" applyFill="0" applyAlignment="0" applyProtection="0"/>
    <xf numFmtId="0" fontId="152" fillId="0" borderId="36" applyNumberFormat="0" applyFill="0" applyAlignment="0" applyProtection="0"/>
    <xf numFmtId="0" fontId="152" fillId="0" borderId="36" applyNumberFormat="0" applyFill="0" applyAlignment="0" applyProtection="0"/>
    <xf numFmtId="0" fontId="14" fillId="0" borderId="0"/>
    <xf numFmtId="0" fontId="5" fillId="0" borderId="0"/>
    <xf numFmtId="0" fontId="14" fillId="0" borderId="0"/>
    <xf numFmtId="164" fontId="5"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5" fillId="0" borderId="0" applyFont="0" applyFill="0" applyBorder="0" applyAlignment="0" applyProtection="0"/>
    <xf numFmtId="164" fontId="5" fillId="0" borderId="0" applyFont="0" applyFill="0" applyBorder="0" applyAlignment="0" applyProtection="0"/>
    <xf numFmtId="164" fontId="3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 fillId="0" borderId="0"/>
    <xf numFmtId="0" fontId="14" fillId="0" borderId="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164" fontId="5" fillId="0" borderId="0" applyFont="0" applyFill="0" applyBorder="0" applyAlignment="0" applyProtection="0"/>
    <xf numFmtId="164" fontId="2" fillId="0" borderId="0" applyFont="0" applyFill="0" applyBorder="0" applyAlignment="0" applyProtection="0"/>
    <xf numFmtId="0" fontId="14" fillId="67" borderId="0" applyNumberFormat="0" applyBorder="0" applyAlignment="0" applyProtection="0"/>
    <xf numFmtId="0" fontId="14" fillId="69" borderId="0" applyNumberFormat="0" applyBorder="0" applyAlignment="0" applyProtection="0"/>
    <xf numFmtId="0" fontId="14" fillId="71" borderId="0" applyNumberFormat="0" applyBorder="0" applyAlignment="0" applyProtection="0"/>
    <xf numFmtId="0" fontId="14" fillId="73" borderId="0" applyNumberFormat="0" applyBorder="0" applyAlignment="0" applyProtection="0"/>
    <xf numFmtId="0" fontId="14" fillId="75" borderId="0" applyNumberFormat="0" applyBorder="0" applyAlignment="0" applyProtection="0"/>
    <xf numFmtId="0" fontId="14" fillId="7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7"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69"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1"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3"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5"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4" fillId="77" borderId="0" applyNumberFormat="0" applyBorder="0" applyAlignment="0" applyProtection="0"/>
    <xf numFmtId="0" fontId="14" fillId="68" borderId="0" applyNumberFormat="0" applyBorder="0" applyAlignment="0" applyProtection="0"/>
    <xf numFmtId="0" fontId="14" fillId="70" borderId="0" applyNumberFormat="0" applyBorder="0" applyAlignment="0" applyProtection="0"/>
    <xf numFmtId="0" fontId="14" fillId="72" borderId="0" applyNumberFormat="0" applyBorder="0" applyAlignment="0" applyProtection="0"/>
    <xf numFmtId="0" fontId="14" fillId="74" borderId="0" applyNumberFormat="0" applyBorder="0" applyAlignment="0" applyProtection="0"/>
    <xf numFmtId="0" fontId="14" fillId="76" borderId="0" applyNumberFormat="0" applyBorder="0" applyAlignment="0" applyProtection="0"/>
    <xf numFmtId="0" fontId="14" fillId="78"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0"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2"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4"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6"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7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8" borderId="0" applyNumberFormat="0" applyBorder="0" applyAlignment="0" applyProtection="0"/>
    <xf numFmtId="0" fontId="14" fillId="66" borderId="27" applyNumberFormat="0" applyFont="0" applyAlignment="0" applyProtection="0"/>
    <xf numFmtId="0" fontId="14" fillId="66" borderId="27" applyNumberFormat="0" applyFont="0" applyAlignment="0" applyProtection="0"/>
    <xf numFmtId="0" fontId="14" fillId="66" borderId="27" applyNumberFormat="0" applyFont="0" applyAlignment="0" applyProtection="0"/>
    <xf numFmtId="0" fontId="14" fillId="66" borderId="27" applyNumberFormat="0" applyFont="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3" fillId="0" borderId="0" applyNumberFormat="0" applyFill="0" applyBorder="0" applyAlignment="0" applyProtection="0"/>
    <xf numFmtId="0" fontId="154" fillId="119" borderId="0" applyNumberFormat="0" applyBorder="0" applyAlignment="0" applyProtection="0"/>
    <xf numFmtId="0" fontId="154" fillId="120" borderId="0" applyNumberFormat="0" applyBorder="0" applyAlignment="0" applyProtection="0"/>
    <xf numFmtId="0" fontId="153" fillId="121" borderId="0" applyNumberFormat="0" applyBorder="0" applyAlignment="0" applyProtection="0"/>
    <xf numFmtId="0" fontId="155" fillId="122" borderId="0" applyNumberFormat="0" applyBorder="0" applyAlignment="0" applyProtection="0"/>
    <xf numFmtId="0" fontId="156" fillId="0" borderId="0" applyNumberFormat="0" applyFill="0" applyBorder="0" applyAlignment="0" applyProtection="0"/>
    <xf numFmtId="0" fontId="157"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58" fillId="0" borderId="0" applyNumberFormat="0" applyFill="0" applyBorder="0" applyAlignment="0" applyProtection="0"/>
  </cellStyleXfs>
  <cellXfs count="271">
    <xf numFmtId="0" fontId="0" fillId="0" borderId="0" xfId="0"/>
    <xf numFmtId="0" fontId="3" fillId="0" borderId="1" xfId="1" applyFont="1" applyBorder="1"/>
    <xf numFmtId="4" fontId="3" fillId="0" borderId="2" xfId="2" applyFont="1" applyBorder="1">
      <alignment horizontal="justify" vertical="justify"/>
    </xf>
    <xf numFmtId="49" fontId="3" fillId="0" borderId="3" xfId="1" applyNumberFormat="1" applyFont="1" applyBorder="1" applyAlignment="1">
      <alignment horizontal="center" vertical="top"/>
    </xf>
    <xf numFmtId="0" fontId="2" fillId="0" borderId="0" xfId="1" applyAlignment="1">
      <alignment horizontal="center" vertical="top"/>
    </xf>
    <xf numFmtId="4" fontId="2" fillId="0" borderId="0" xfId="1" applyNumberFormat="1" applyAlignment="1">
      <alignment vertical="top"/>
    </xf>
    <xf numFmtId="0" fontId="2" fillId="0" borderId="0" xfId="1" applyAlignment="1">
      <alignment vertical="top"/>
    </xf>
    <xf numFmtId="0" fontId="2" fillId="0" borderId="0" xfId="1"/>
    <xf numFmtId="0" fontId="3" fillId="0" borderId="4" xfId="1" applyFont="1" applyBorder="1"/>
    <xf numFmtId="4" fontId="3" fillId="0" borderId="0" xfId="2" applyFont="1">
      <alignment horizontal="justify" vertical="justify"/>
    </xf>
    <xf numFmtId="49" fontId="3" fillId="0" borderId="5" xfId="1" applyNumberFormat="1" applyFont="1" applyBorder="1" applyAlignment="1">
      <alignment horizontal="center" vertical="top"/>
    </xf>
    <xf numFmtId="49" fontId="3" fillId="0" borderId="4" xfId="1" applyNumberFormat="1" applyFont="1" applyBorder="1" applyAlignment="1">
      <alignment vertical="top"/>
    </xf>
    <xf numFmtId="49" fontId="5" fillId="0" borderId="0" xfId="1" applyNumberFormat="1" applyFont="1" applyAlignment="1">
      <alignment horizontal="left" vertical="top"/>
    </xf>
    <xf numFmtId="49" fontId="5" fillId="0" borderId="5" xfId="1" applyNumberFormat="1" applyFont="1" applyBorder="1" applyAlignment="1">
      <alignment horizontal="center" vertical="top"/>
    </xf>
    <xf numFmtId="0" fontId="6" fillId="0" borderId="0" xfId="1" applyFont="1"/>
    <xf numFmtId="0" fontId="7" fillId="0" borderId="5" xfId="1" applyFont="1" applyBorder="1"/>
    <xf numFmtId="0" fontId="7" fillId="0" borderId="0" xfId="1" applyFont="1"/>
    <xf numFmtId="49" fontId="7" fillId="0" borderId="5" xfId="1" applyNumberFormat="1" applyFont="1" applyBorder="1" applyAlignment="1">
      <alignment horizontal="left" vertical="top"/>
    </xf>
    <xf numFmtId="49" fontId="6" fillId="0" borderId="5" xfId="1" applyNumberFormat="1" applyFont="1" applyBorder="1"/>
    <xf numFmtId="0" fontId="6" fillId="0" borderId="0" xfId="1" applyFont="1" applyAlignment="1">
      <alignment vertical="top"/>
    </xf>
    <xf numFmtId="0" fontId="7" fillId="0" borderId="5" xfId="1" applyFont="1" applyBorder="1" applyAlignment="1">
      <alignment wrapText="1"/>
    </xf>
    <xf numFmtId="0" fontId="5" fillId="0" borderId="0" xfId="1" applyFont="1"/>
    <xf numFmtId="0" fontId="7" fillId="0" borderId="5" xfId="1" applyFont="1" applyBorder="1" applyAlignment="1">
      <alignment horizontal="left" vertical="top"/>
    </xf>
    <xf numFmtId="49" fontId="7" fillId="0" borderId="5" xfId="1" applyNumberFormat="1" applyFont="1" applyBorder="1" applyAlignment="1">
      <alignment horizontal="center" vertical="top"/>
    </xf>
    <xf numFmtId="49" fontId="9" fillId="0" borderId="0" xfId="1" applyNumberFormat="1" applyFont="1" applyAlignment="1">
      <alignment horizontal="left" vertical="top"/>
    </xf>
    <xf numFmtId="49" fontId="9" fillId="0" borderId="5" xfId="1" applyNumberFormat="1" applyFont="1" applyBorder="1" applyAlignment="1">
      <alignment horizontal="center" vertical="top"/>
    </xf>
    <xf numFmtId="0" fontId="7" fillId="0" borderId="5" xfId="1" applyFont="1" applyBorder="1" applyAlignment="1">
      <alignment vertical="center"/>
    </xf>
    <xf numFmtId="0" fontId="7" fillId="0" borderId="0" xfId="1" applyFont="1" applyAlignment="1">
      <alignment vertical="center"/>
    </xf>
    <xf numFmtId="49" fontId="10" fillId="0" borderId="4" xfId="1" applyNumberFormat="1" applyFont="1" applyBorder="1" applyAlignment="1">
      <alignment vertical="top"/>
    </xf>
    <xf numFmtId="0" fontId="8" fillId="0" borderId="0" xfId="1" applyFont="1"/>
    <xf numFmtId="49" fontId="11" fillId="0" borderId="5" xfId="1" applyNumberFormat="1" applyFont="1" applyBorder="1" applyAlignment="1">
      <alignment horizontal="center" vertical="top"/>
    </xf>
    <xf numFmtId="49" fontId="12" fillId="0" borderId="5" xfId="1" applyNumberFormat="1" applyFont="1" applyBorder="1" applyAlignment="1">
      <alignment horizontal="center" vertical="top"/>
    </xf>
    <xf numFmtId="49" fontId="12" fillId="0" borderId="0" xfId="1" applyNumberFormat="1" applyFont="1" applyAlignment="1">
      <alignment horizontal="left" vertical="top"/>
    </xf>
    <xf numFmtId="0" fontId="10" fillId="0" borderId="4" xfId="1" applyFont="1" applyBorder="1"/>
    <xf numFmtId="0" fontId="11" fillId="0" borderId="0" xfId="1" applyFont="1"/>
    <xf numFmtId="49" fontId="11" fillId="0" borderId="5" xfId="1" applyNumberFormat="1" applyFont="1" applyBorder="1" applyAlignment="1">
      <alignment horizontal="left" vertical="top"/>
    </xf>
    <xf numFmtId="49" fontId="8" fillId="0" borderId="5" xfId="1" applyNumberFormat="1" applyFont="1" applyBorder="1" applyAlignment="1">
      <alignment horizontal="left" vertical="top"/>
    </xf>
    <xf numFmtId="0" fontId="11" fillId="0" borderId="0" xfId="1" applyFont="1" applyAlignment="1">
      <alignment horizontal="left" vertical="top"/>
    </xf>
    <xf numFmtId="49" fontId="8" fillId="0" borderId="5" xfId="1" applyNumberFormat="1" applyFont="1" applyBorder="1" applyAlignment="1">
      <alignment horizontal="center" vertical="top"/>
    </xf>
    <xf numFmtId="0" fontId="13" fillId="0" borderId="0" xfId="1" applyFont="1" applyAlignment="1">
      <alignment horizontal="center" vertical="top"/>
    </xf>
    <xf numFmtId="49" fontId="11" fillId="0" borderId="5" xfId="1" applyNumberFormat="1" applyFont="1" applyBorder="1"/>
    <xf numFmtId="49" fontId="11" fillId="0" borderId="0" xfId="1" applyNumberFormat="1" applyFont="1" applyAlignment="1">
      <alignment horizontal="left" vertical="top"/>
    </xf>
    <xf numFmtId="49" fontId="10" fillId="0" borderId="6" xfId="1" applyNumberFormat="1" applyFont="1" applyBorder="1" applyAlignment="1">
      <alignment vertical="top"/>
    </xf>
    <xf numFmtId="49" fontId="10" fillId="0" borderId="7" xfId="1" applyNumberFormat="1" applyFont="1" applyBorder="1" applyAlignment="1">
      <alignment horizontal="left" vertical="top"/>
    </xf>
    <xf numFmtId="49" fontId="10" fillId="0" borderId="8" xfId="1" applyNumberFormat="1" applyFont="1" applyBorder="1" applyAlignment="1">
      <alignment horizontal="center" vertical="top"/>
    </xf>
    <xf numFmtId="49" fontId="10" fillId="0" borderId="0" xfId="1" applyNumberFormat="1" applyFont="1" applyAlignment="1">
      <alignment vertical="top"/>
    </xf>
    <xf numFmtId="49" fontId="10" fillId="0" borderId="0" xfId="1" applyNumberFormat="1" applyFont="1" applyAlignment="1">
      <alignment horizontal="left" vertical="top"/>
    </xf>
    <xf numFmtId="49" fontId="10" fillId="0" borderId="0" xfId="1" applyNumberFormat="1" applyFont="1" applyAlignment="1">
      <alignment horizontal="center" vertical="top"/>
    </xf>
    <xf numFmtId="49" fontId="2" fillId="0" borderId="0" xfId="1" applyNumberFormat="1" applyAlignment="1">
      <alignment vertical="top"/>
    </xf>
    <xf numFmtId="49" fontId="2" fillId="0" borderId="0" xfId="1" applyNumberFormat="1" applyAlignment="1">
      <alignment horizontal="left" vertical="top"/>
    </xf>
    <xf numFmtId="49" fontId="2" fillId="0" borderId="0" xfId="1" applyNumberFormat="1" applyAlignment="1">
      <alignment horizontal="center" vertical="top"/>
    </xf>
    <xf numFmtId="0" fontId="15" fillId="0" borderId="0" xfId="0" applyFont="1" applyAlignment="1">
      <alignment vertical="center"/>
    </xf>
    <xf numFmtId="0" fontId="16" fillId="0" borderId="0" xfId="0" applyFont="1" applyAlignment="1">
      <alignment vertical="top"/>
    </xf>
    <xf numFmtId="0" fontId="15" fillId="0" borderId="0" xfId="0" applyFont="1"/>
    <xf numFmtId="4" fontId="3" fillId="0" borderId="5" xfId="0" applyNumberFormat="1" applyFont="1" applyBorder="1" applyAlignment="1">
      <alignment horizontal="center"/>
    </xf>
    <xf numFmtId="0" fontId="3" fillId="0" borderId="0" xfId="0" applyFont="1"/>
    <xf numFmtId="0" fontId="20" fillId="0" borderId="0" xfId="1" applyFont="1" applyAlignment="1">
      <alignment horizontal="left" vertical="top"/>
    </xf>
    <xf numFmtId="0" fontId="21" fillId="3" borderId="4" xfId="0" applyFont="1" applyFill="1" applyBorder="1"/>
    <xf numFmtId="49" fontId="21" fillId="3" borderId="5" xfId="0" applyNumberFormat="1" applyFont="1" applyFill="1" applyBorder="1" applyAlignment="1">
      <alignment horizontal="center"/>
    </xf>
    <xf numFmtId="0" fontId="20" fillId="0" borderId="0" xfId="1" applyFont="1" applyAlignment="1">
      <alignment horizontal="left"/>
    </xf>
    <xf numFmtId="4" fontId="10" fillId="4" borderId="5" xfId="0" applyNumberFormat="1" applyFont="1" applyFill="1" applyBorder="1" applyAlignment="1">
      <alignment horizontal="center" vertical="center" wrapText="1"/>
    </xf>
    <xf numFmtId="4" fontId="3" fillId="4" borderId="4" xfId="4" applyNumberFormat="1" applyFont="1" applyFill="1" applyBorder="1" applyAlignment="1">
      <alignment horizontal="left" vertical="center" wrapText="1"/>
    </xf>
    <xf numFmtId="4" fontId="3" fillId="4" borderId="0" xfId="4" applyNumberFormat="1" applyFont="1" applyFill="1" applyAlignment="1">
      <alignment horizontal="left" vertical="center" wrapText="1"/>
    </xf>
    <xf numFmtId="4" fontId="10" fillId="4" borderId="4" xfId="4" applyNumberFormat="1" applyFont="1" applyFill="1" applyBorder="1" applyAlignment="1">
      <alignment horizontal="left" vertical="center" wrapText="1"/>
    </xf>
    <xf numFmtId="4" fontId="10" fillId="4" borderId="0" xfId="4" applyNumberFormat="1" applyFont="1" applyFill="1" applyAlignment="1">
      <alignment horizontal="left" vertical="center" wrapText="1"/>
    </xf>
    <xf numFmtId="4" fontId="10" fillId="4" borderId="5" xfId="4" applyNumberFormat="1" applyFont="1" applyFill="1" applyBorder="1" applyAlignment="1">
      <alignment horizontal="center" vertical="center" wrapText="1"/>
    </xf>
    <xf numFmtId="0" fontId="10" fillId="0" borderId="0" xfId="1" applyFont="1"/>
    <xf numFmtId="0" fontId="24" fillId="0" borderId="0" xfId="1" applyFont="1"/>
    <xf numFmtId="0" fontId="10" fillId="0" borderId="0" xfId="1" applyFont="1" applyAlignment="1">
      <alignment horizontal="left" vertical="top"/>
    </xf>
    <xf numFmtId="0" fontId="25" fillId="0" borderId="0" xfId="1" applyFont="1" applyAlignment="1">
      <alignment horizontal="left" vertical="top"/>
    </xf>
    <xf numFmtId="0" fontId="10" fillId="2" borderId="1" xfId="1" applyFont="1" applyFill="1" applyBorder="1"/>
    <xf numFmtId="49" fontId="10" fillId="0" borderId="5" xfId="1" applyNumberFormat="1" applyFont="1" applyBorder="1" applyAlignment="1">
      <alignment horizontal="center" vertical="top"/>
    </xf>
    <xf numFmtId="49" fontId="21" fillId="3" borderId="0" xfId="0" applyNumberFormat="1" applyFont="1" applyFill="1"/>
    <xf numFmtId="49" fontId="2" fillId="0" borderId="5" xfId="1" applyNumberFormat="1" applyBorder="1" applyAlignment="1">
      <alignment horizontal="center" vertical="top"/>
    </xf>
    <xf numFmtId="0" fontId="10" fillId="2" borderId="4" xfId="1" applyFont="1" applyFill="1" applyBorder="1"/>
    <xf numFmtId="49" fontId="2" fillId="2" borderId="0" xfId="1" applyNumberFormat="1" applyFill="1" applyAlignment="1">
      <alignment horizontal="left" vertical="top"/>
    </xf>
    <xf numFmtId="49" fontId="2" fillId="2" borderId="5" xfId="1" applyNumberFormat="1" applyFill="1" applyBorder="1" applyAlignment="1">
      <alignment horizontal="center" vertical="top"/>
    </xf>
    <xf numFmtId="49" fontId="10" fillId="0" borderId="5" xfId="1" applyNumberFormat="1" applyFont="1" applyBorder="1"/>
    <xf numFmtId="0" fontId="26" fillId="0" borderId="0" xfId="1" applyFont="1"/>
    <xf numFmtId="0" fontId="24" fillId="0" borderId="5" xfId="1" applyFont="1" applyBorder="1"/>
    <xf numFmtId="0" fontId="24" fillId="0" borderId="5" xfId="1" applyFont="1" applyBorder="1" applyAlignment="1">
      <alignment vertical="top"/>
    </xf>
    <xf numFmtId="0" fontId="10" fillId="0" borderId="0" xfId="1" applyFont="1" applyAlignment="1">
      <alignment vertical="center"/>
    </xf>
    <xf numFmtId="0" fontId="24" fillId="0" borderId="5" xfId="1" applyFont="1" applyBorder="1" applyAlignment="1">
      <alignment wrapText="1"/>
    </xf>
    <xf numFmtId="49" fontId="27" fillId="0" borderId="5" xfId="1" applyNumberFormat="1" applyFont="1" applyBorder="1"/>
    <xf numFmtId="49" fontId="24" fillId="0" borderId="5" xfId="1" applyNumberFormat="1" applyFont="1" applyBorder="1" applyAlignment="1">
      <alignment horizontal="center" vertical="top"/>
    </xf>
    <xf numFmtId="49" fontId="28" fillId="0" borderId="5" xfId="1" applyNumberFormat="1" applyFont="1" applyBorder="1"/>
    <xf numFmtId="49" fontId="24" fillId="0" borderId="5" xfId="1" applyNumberFormat="1" applyFont="1" applyBorder="1" applyAlignment="1">
      <alignment horizontal="left" vertical="top"/>
    </xf>
    <xf numFmtId="49" fontId="10" fillId="0" borderId="5" xfId="1" applyNumberFormat="1" applyFont="1" applyBorder="1" applyAlignment="1">
      <alignment horizontal="left" vertical="top"/>
    </xf>
    <xf numFmtId="49" fontId="10" fillId="2" borderId="6" xfId="1" applyNumberFormat="1" applyFont="1" applyFill="1" applyBorder="1" applyAlignment="1">
      <alignment vertical="top"/>
    </xf>
    <xf numFmtId="49" fontId="10" fillId="2" borderId="7" xfId="1" applyNumberFormat="1" applyFont="1" applyFill="1" applyBorder="1" applyAlignment="1">
      <alignment horizontal="left" vertical="top"/>
    </xf>
    <xf numFmtId="49" fontId="10" fillId="2" borderId="8" xfId="1" applyNumberFormat="1" applyFont="1" applyFill="1" applyBorder="1" applyAlignment="1">
      <alignment horizontal="center" vertical="top"/>
    </xf>
    <xf numFmtId="0" fontId="3" fillId="2" borderId="9" xfId="0" applyFont="1" applyFill="1" applyBorder="1" applyAlignment="1">
      <alignment horizontal="left" vertical="center" wrapText="1"/>
    </xf>
    <xf numFmtId="0" fontId="3" fillId="0" borderId="4" xfId="0" applyFont="1" applyBorder="1" applyProtection="1">
      <protection hidden="1"/>
    </xf>
    <xf numFmtId="0" fontId="3" fillId="0" borderId="0" xfId="0" applyFont="1" applyProtection="1">
      <protection hidden="1"/>
    </xf>
    <xf numFmtId="0" fontId="3" fillId="0" borderId="0" xfId="0" applyFont="1" applyAlignment="1" applyProtection="1">
      <alignment horizontal="center"/>
      <protection hidden="1"/>
    </xf>
    <xf numFmtId="0" fontId="3" fillId="0" borderId="0" xfId="0" applyFont="1" applyAlignment="1" applyProtection="1">
      <alignment horizontal="center"/>
      <protection locked="0"/>
    </xf>
    <xf numFmtId="0" fontId="18" fillId="0" borderId="5" xfId="0" applyFont="1" applyBorder="1" applyAlignment="1" applyProtection="1">
      <alignment horizontal="center"/>
      <protection hidden="1"/>
    </xf>
    <xf numFmtId="49" fontId="3" fillId="0" borderId="0" xfId="0" applyNumberFormat="1" applyFont="1" applyAlignment="1" applyProtection="1">
      <alignment horizontal="center"/>
      <protection hidden="1"/>
    </xf>
    <xf numFmtId="4" fontId="3" fillId="0" borderId="0" xfId="0" applyNumberFormat="1" applyFont="1" applyAlignment="1" applyProtection="1">
      <alignment horizontal="center"/>
      <protection hidden="1"/>
    </xf>
    <xf numFmtId="4" fontId="3" fillId="0" borderId="0" xfId="0" applyNumberFormat="1" applyFont="1" applyAlignment="1" applyProtection="1">
      <alignment horizontal="center"/>
      <protection locked="0"/>
    </xf>
    <xf numFmtId="4" fontId="18" fillId="0" borderId="5" xfId="0" applyNumberFormat="1" applyFont="1" applyBorder="1" applyAlignment="1" applyProtection="1">
      <alignment horizontal="center"/>
      <protection hidden="1"/>
    </xf>
    <xf numFmtId="0" fontId="3" fillId="0" borderId="0" xfId="0" applyFont="1" applyAlignment="1" applyProtection="1">
      <alignment wrapText="1"/>
      <protection hidden="1"/>
    </xf>
    <xf numFmtId="0" fontId="17" fillId="0" borderId="4" xfId="0" applyFont="1" applyBorder="1" applyAlignment="1" applyProtection="1">
      <alignment vertical="top"/>
      <protection hidden="1"/>
    </xf>
    <xf numFmtId="0" fontId="17" fillId="0" borderId="0" xfId="0" applyFont="1" applyAlignment="1" applyProtection="1">
      <alignment wrapText="1"/>
      <protection hidden="1"/>
    </xf>
    <xf numFmtId="0" fontId="3" fillId="0" borderId="0" xfId="5" applyFont="1" applyAlignment="1" applyProtection="1">
      <alignment wrapText="1"/>
      <protection hidden="1"/>
    </xf>
    <xf numFmtId="4" fontId="3" fillId="5" borderId="0" xfId="0" applyNumberFormat="1" applyFont="1" applyFill="1" applyAlignment="1" applyProtection="1">
      <alignment horizontal="center"/>
      <protection locked="0"/>
    </xf>
    <xf numFmtId="0" fontId="3" fillId="0" borderId="4" xfId="0" applyFont="1" applyBorder="1" applyAlignment="1" applyProtection="1">
      <alignment vertical="top"/>
      <protection hidden="1"/>
    </xf>
    <xf numFmtId="0" fontId="3" fillId="0" borderId="0" xfId="0" applyFont="1" applyAlignment="1" applyProtection="1">
      <alignment vertical="top" wrapText="1"/>
      <protection hidden="1"/>
    </xf>
    <xf numFmtId="0" fontId="18" fillId="0" borderId="0" xfId="0" applyFont="1" applyAlignment="1" applyProtection="1">
      <alignment horizontal="center"/>
      <protection hidden="1"/>
    </xf>
    <xf numFmtId="0" fontId="10" fillId="0" borderId="0" xfId="0" applyFont="1" applyAlignment="1" applyProtection="1">
      <alignment vertical="top"/>
      <protection hidden="1"/>
    </xf>
    <xf numFmtId="0" fontId="10" fillId="0" borderId="4" xfId="0" applyFont="1" applyBorder="1" applyProtection="1">
      <protection hidden="1"/>
    </xf>
    <xf numFmtId="0" fontId="10" fillId="0" borderId="0" xfId="0" applyFont="1" applyProtection="1">
      <protection hidden="1"/>
    </xf>
    <xf numFmtId="49" fontId="10" fillId="0" borderId="0" xfId="0" applyNumberFormat="1" applyFont="1" applyAlignment="1" applyProtection="1">
      <alignment horizontal="center"/>
      <protection hidden="1"/>
    </xf>
    <xf numFmtId="4" fontId="10" fillId="0" borderId="0" xfId="0" applyNumberFormat="1" applyFont="1" applyAlignment="1" applyProtection="1">
      <alignment horizontal="center"/>
      <protection locked="0"/>
    </xf>
    <xf numFmtId="0" fontId="24" fillId="0" borderId="0" xfId="0" applyFont="1" applyAlignment="1" applyProtection="1">
      <alignment wrapText="1"/>
      <protection hidden="1"/>
    </xf>
    <xf numFmtId="0" fontId="10" fillId="0" borderId="0" xfId="0" applyFont="1" applyAlignment="1" applyProtection="1">
      <alignment wrapText="1"/>
      <protection hidden="1"/>
    </xf>
    <xf numFmtId="0" fontId="24" fillId="0" borderId="0" xfId="0" applyFont="1" applyProtection="1">
      <protection hidden="1"/>
    </xf>
    <xf numFmtId="4" fontId="10" fillId="5" borderId="0" xfId="0" applyNumberFormat="1" applyFont="1" applyFill="1" applyAlignment="1" applyProtection="1">
      <alignment horizontal="center"/>
      <protection locked="0"/>
    </xf>
    <xf numFmtId="0" fontId="10" fillId="0" borderId="0" xfId="0" applyFont="1" applyAlignment="1" applyProtection="1">
      <alignment horizontal="center"/>
      <protection hidden="1"/>
    </xf>
    <xf numFmtId="0" fontId="24" fillId="0" borderId="0" xfId="4" applyFont="1" applyAlignment="1" applyProtection="1">
      <alignment vertical="top" wrapText="1"/>
      <protection hidden="1"/>
    </xf>
    <xf numFmtId="0" fontId="16" fillId="0" borderId="0" xfId="0" applyFont="1" applyAlignment="1">
      <alignment horizontal="center" vertical="top" wrapText="1"/>
    </xf>
    <xf numFmtId="4" fontId="16" fillId="2" borderId="11" xfId="0" applyNumberFormat="1" applyFont="1" applyFill="1" applyBorder="1" applyAlignment="1">
      <alignment horizontal="center" vertical="top"/>
    </xf>
    <xf numFmtId="0" fontId="16" fillId="0" borderId="10" xfId="0" applyFont="1" applyBorder="1" applyAlignment="1">
      <alignment vertical="top"/>
    </xf>
    <xf numFmtId="0" fontId="31" fillId="0" borderId="0" xfId="0" applyFont="1" applyProtection="1">
      <protection hidden="1"/>
    </xf>
    <xf numFmtId="0" fontId="16" fillId="0" borderId="10" xfId="0" applyFont="1" applyBorder="1" applyAlignment="1">
      <alignment horizontal="left" vertical="top"/>
    </xf>
    <xf numFmtId="0" fontId="10" fillId="0" borderId="0" xfId="6" applyFont="1" applyAlignment="1" applyProtection="1">
      <alignment horizontal="left" vertical="top" wrapText="1"/>
      <protection hidden="1"/>
    </xf>
    <xf numFmtId="0" fontId="3" fillId="0" borderId="0" xfId="4" applyFont="1" applyAlignment="1" applyProtection="1">
      <alignment vertical="top" wrapText="1"/>
      <protection hidden="1"/>
    </xf>
    <xf numFmtId="0" fontId="10" fillId="0" borderId="0" xfId="0" applyFont="1" applyAlignment="1" applyProtection="1">
      <alignment horizontal="center"/>
      <protection locked="0"/>
    </xf>
    <xf numFmtId="0" fontId="24" fillId="0" borderId="0" xfId="4" applyFont="1" applyAlignment="1" applyProtection="1">
      <alignment horizontal="left" vertical="top" wrapText="1"/>
      <protection hidden="1"/>
    </xf>
    <xf numFmtId="0" fontId="10" fillId="0" borderId="0" xfId="4" applyFont="1" applyAlignment="1" applyProtection="1">
      <alignment horizontal="left" vertical="top" wrapText="1"/>
      <protection hidden="1"/>
    </xf>
    <xf numFmtId="0" fontId="30" fillId="0" borderId="0" xfId="0" applyFont="1" applyAlignment="1" applyProtection="1">
      <alignment wrapText="1"/>
      <protection hidden="1"/>
    </xf>
    <xf numFmtId="0" fontId="10" fillId="0" borderId="0" xfId="0" applyFont="1" applyAlignment="1" applyProtection="1">
      <alignment horizontal="left" vertical="center" wrapText="1"/>
      <protection hidden="1"/>
    </xf>
    <xf numFmtId="0" fontId="3" fillId="2" borderId="13" xfId="0" applyFont="1" applyFill="1" applyBorder="1" applyAlignment="1">
      <alignment horizontal="left" vertical="center" wrapText="1"/>
    </xf>
    <xf numFmtId="0" fontId="3" fillId="0" borderId="0" xfId="4" quotePrefix="1" applyFont="1" applyAlignment="1" applyProtection="1">
      <alignment vertical="top" wrapText="1"/>
      <protection hidden="1"/>
    </xf>
    <xf numFmtId="0" fontId="24" fillId="0" borderId="0" xfId="6" applyFont="1" applyAlignment="1" applyProtection="1">
      <alignment horizontal="left" vertical="top" wrapText="1"/>
      <protection hidden="1"/>
    </xf>
    <xf numFmtId="0" fontId="31" fillId="0" borderId="0" xfId="0" applyFont="1" applyAlignment="1" applyProtection="1">
      <alignment vertical="top" wrapText="1"/>
      <protection hidden="1"/>
    </xf>
    <xf numFmtId="4" fontId="2" fillId="0" borderId="0" xfId="1" applyNumberFormat="1" applyAlignment="1">
      <alignment vertical="top" wrapText="1"/>
    </xf>
    <xf numFmtId="49" fontId="8" fillId="0" borderId="5" xfId="1" applyNumberFormat="1" applyFont="1" applyBorder="1"/>
    <xf numFmtId="0" fontId="17" fillId="6" borderId="4" xfId="0" applyFont="1" applyFill="1" applyBorder="1" applyAlignment="1" applyProtection="1">
      <alignment vertical="top"/>
      <protection hidden="1"/>
    </xf>
    <xf numFmtId="0" fontId="17" fillId="6" borderId="0" xfId="0" applyFont="1" applyFill="1" applyAlignment="1" applyProtection="1">
      <alignment wrapText="1"/>
      <protection hidden="1"/>
    </xf>
    <xf numFmtId="49" fontId="3" fillId="6" borderId="0" xfId="0" applyNumberFormat="1" applyFont="1" applyFill="1" applyAlignment="1" applyProtection="1">
      <alignment horizontal="center"/>
      <protection hidden="1"/>
    </xf>
    <xf numFmtId="4" fontId="3" fillId="6" borderId="0" xfId="0" applyNumberFormat="1" applyFont="1" applyFill="1" applyAlignment="1" applyProtection="1">
      <alignment horizontal="center"/>
      <protection hidden="1"/>
    </xf>
    <xf numFmtId="4" fontId="3" fillId="6" borderId="0" xfId="0" applyNumberFormat="1" applyFont="1" applyFill="1" applyAlignment="1" applyProtection="1">
      <alignment horizontal="center"/>
      <protection locked="0"/>
    </xf>
    <xf numFmtId="4" fontId="18" fillId="6" borderId="5" xfId="0" applyNumberFormat="1" applyFont="1" applyFill="1" applyBorder="1" applyAlignment="1" applyProtection="1">
      <alignment horizontal="center"/>
      <protection hidden="1"/>
    </xf>
    <xf numFmtId="49" fontId="10" fillId="6" borderId="0" xfId="0" applyNumberFormat="1" applyFont="1" applyFill="1" applyAlignment="1" applyProtection="1">
      <alignment horizontal="center"/>
      <protection hidden="1"/>
    </xf>
    <xf numFmtId="4" fontId="10" fillId="6" borderId="0" xfId="0" applyNumberFormat="1" applyFont="1" applyFill="1" applyAlignment="1" applyProtection="1">
      <alignment horizontal="center"/>
      <protection hidden="1"/>
    </xf>
    <xf numFmtId="4" fontId="10" fillId="6" borderId="0" xfId="0" applyNumberFormat="1" applyFont="1" applyFill="1" applyAlignment="1" applyProtection="1">
      <alignment horizontal="center"/>
      <protection locked="0"/>
    </xf>
    <xf numFmtId="0" fontId="3" fillId="6" borderId="4" xfId="0" applyFont="1" applyFill="1" applyBorder="1" applyProtection="1">
      <protection hidden="1"/>
    </xf>
    <xf numFmtId="0" fontId="17" fillId="6" borderId="0" xfId="0" applyFont="1" applyFill="1" applyProtection="1">
      <protection hidden="1"/>
    </xf>
    <xf numFmtId="0" fontId="24" fillId="6" borderId="0" xfId="0" applyFont="1" applyFill="1" applyProtection="1">
      <protection hidden="1"/>
    </xf>
    <xf numFmtId="0" fontId="7" fillId="0" borderId="5" xfId="1" applyFont="1" applyBorder="1" applyAlignment="1">
      <alignment vertical="top" wrapText="1"/>
    </xf>
    <xf numFmtId="0" fontId="8" fillId="0" borderId="5" xfId="1" applyFont="1" applyBorder="1" applyAlignment="1">
      <alignment vertical="top" wrapText="1"/>
    </xf>
    <xf numFmtId="4" fontId="18" fillId="0" borderId="5" xfId="0" applyNumberFormat="1" applyFont="1" applyBorder="1" applyAlignment="1">
      <alignment horizontal="center"/>
    </xf>
    <xf numFmtId="0" fontId="21" fillId="3" borderId="25" xfId="0" applyFont="1" applyFill="1" applyBorder="1"/>
    <xf numFmtId="4" fontId="10" fillId="2" borderId="25" xfId="3" applyNumberFormat="1" applyFont="1" applyFill="1" applyBorder="1" applyAlignment="1">
      <alignment horizontal="left" vertical="center" wrapText="1"/>
    </xf>
    <xf numFmtId="4" fontId="19" fillId="2" borderId="26" xfId="3" applyNumberFormat="1" applyFont="1" applyFill="1" applyBorder="1" applyAlignment="1">
      <alignment vertical="center" wrapText="1"/>
    </xf>
    <xf numFmtId="4" fontId="10" fillId="2" borderId="9" xfId="3" applyNumberFormat="1" applyFont="1" applyFill="1" applyBorder="1" applyAlignment="1">
      <alignment horizontal="center" vertical="center" wrapText="1"/>
    </xf>
    <xf numFmtId="4" fontId="10" fillId="0" borderId="25" xfId="3" applyNumberFormat="1" applyFont="1" applyBorder="1" applyAlignment="1">
      <alignment horizontal="left" vertical="center" wrapText="1"/>
    </xf>
    <xf numFmtId="4" fontId="19" fillId="0" borderId="26" xfId="3" applyNumberFormat="1" applyFont="1" applyBorder="1" applyAlignment="1">
      <alignment vertical="center" wrapText="1"/>
    </xf>
    <xf numFmtId="4" fontId="10" fillId="0" borderId="9" xfId="3" applyNumberFormat="1" applyFont="1" applyBorder="1" applyAlignment="1">
      <alignment horizontal="center" vertical="center" wrapText="1"/>
    </xf>
    <xf numFmtId="49" fontId="22" fillId="3" borderId="26" xfId="0" applyNumberFormat="1" applyFont="1" applyFill="1" applyBorder="1"/>
    <xf numFmtId="49" fontId="21" fillId="3" borderId="9" xfId="0" applyNumberFormat="1" applyFont="1" applyFill="1" applyBorder="1" applyAlignment="1">
      <alignment horizontal="center"/>
    </xf>
    <xf numFmtId="4" fontId="10" fillId="0" borderId="26" xfId="4" applyNumberFormat="1" applyFont="1" applyBorder="1" applyAlignment="1">
      <alignment horizontal="left" vertical="center" wrapText="1"/>
    </xf>
    <xf numFmtId="0" fontId="10" fillId="0" borderId="25" xfId="1" applyFont="1" applyBorder="1"/>
    <xf numFmtId="4" fontId="10" fillId="0" borderId="26" xfId="2" applyFont="1" applyBorder="1">
      <alignment horizontal="justify" vertical="justify"/>
    </xf>
    <xf numFmtId="49" fontId="10" fillId="0" borderId="9" xfId="1" applyNumberFormat="1" applyFont="1" applyBorder="1" applyAlignment="1">
      <alignment horizontal="center" vertical="top"/>
    </xf>
    <xf numFmtId="49" fontId="2" fillId="0" borderId="26" xfId="1" applyNumberFormat="1" applyBorder="1" applyAlignment="1">
      <alignment horizontal="left" vertical="top"/>
    </xf>
    <xf numFmtId="49" fontId="2" fillId="0" borderId="9" xfId="1" applyNumberFormat="1" applyBorder="1" applyAlignment="1">
      <alignment horizontal="center" vertical="top"/>
    </xf>
    <xf numFmtId="49" fontId="21" fillId="0" borderId="0" xfId="0" applyNumberFormat="1" applyFont="1" applyAlignment="1">
      <alignment wrapText="1"/>
    </xf>
    <xf numFmtId="0" fontId="3" fillId="0" borderId="25" xfId="0" applyFont="1" applyBorder="1" applyProtection="1">
      <protection hidden="1"/>
    </xf>
    <xf numFmtId="0" fontId="3" fillId="0" borderId="26" xfId="0" applyFont="1" applyBorder="1" applyProtection="1">
      <protection hidden="1"/>
    </xf>
    <xf numFmtId="0" fontId="3" fillId="0" borderId="26" xfId="0" applyFont="1" applyBorder="1" applyAlignment="1" applyProtection="1">
      <alignment horizontal="center"/>
      <protection hidden="1"/>
    </xf>
    <xf numFmtId="0" fontId="3" fillId="0" borderId="26" xfId="0" applyFont="1" applyBorder="1" applyAlignment="1" applyProtection="1">
      <alignment horizontal="center"/>
      <protection locked="0"/>
    </xf>
    <xf numFmtId="0" fontId="18" fillId="0" borderId="9" xfId="0" applyFont="1" applyBorder="1" applyAlignment="1" applyProtection="1">
      <alignment horizontal="center"/>
      <protection hidden="1"/>
    </xf>
    <xf numFmtId="0" fontId="3" fillId="2" borderId="1" xfId="0" applyFont="1" applyFill="1" applyBorder="1" applyAlignment="1" applyProtection="1">
      <alignment vertical="center"/>
      <protection hidden="1"/>
    </xf>
    <xf numFmtId="0" fontId="3" fillId="2" borderId="2" xfId="0" applyFont="1" applyFill="1" applyBorder="1" applyAlignment="1" applyProtection="1">
      <alignment horizontal="center" vertical="center" wrapText="1"/>
      <protection hidden="1"/>
    </xf>
    <xf numFmtId="0" fontId="3" fillId="2" borderId="2" xfId="0" applyFont="1" applyFill="1" applyBorder="1" applyAlignment="1" applyProtection="1">
      <alignment horizontal="center" vertical="center" wrapText="1"/>
      <protection locked="0"/>
    </xf>
    <xf numFmtId="0" fontId="3" fillId="3" borderId="25" xfId="0" applyFont="1" applyFill="1" applyBorder="1" applyProtection="1">
      <protection hidden="1"/>
    </xf>
    <xf numFmtId="0" fontId="3" fillId="3" borderId="26" xfId="0" applyFont="1" applyFill="1" applyBorder="1" applyProtection="1">
      <protection hidden="1"/>
    </xf>
    <xf numFmtId="49" fontId="3" fillId="3" borderId="26" xfId="0" applyNumberFormat="1" applyFont="1" applyFill="1" applyBorder="1" applyAlignment="1" applyProtection="1">
      <alignment horizontal="center"/>
      <protection hidden="1"/>
    </xf>
    <xf numFmtId="4" fontId="3" fillId="3" borderId="26" xfId="0" applyNumberFormat="1" applyFont="1" applyFill="1" applyBorder="1" applyAlignment="1" applyProtection="1">
      <alignment horizontal="center"/>
      <protection hidden="1"/>
    </xf>
    <xf numFmtId="4" fontId="3" fillId="3" borderId="26" xfId="0" applyNumberFormat="1" applyFont="1" applyFill="1" applyBorder="1" applyAlignment="1" applyProtection="1">
      <alignment horizontal="center"/>
      <protection locked="0"/>
    </xf>
    <xf numFmtId="4" fontId="18" fillId="3" borderId="9" xfId="0" applyNumberFormat="1" applyFont="1" applyFill="1" applyBorder="1" applyAlignment="1" applyProtection="1">
      <alignment horizontal="center"/>
      <protection hidden="1"/>
    </xf>
    <xf numFmtId="0" fontId="3" fillId="2" borderId="6" xfId="0" applyFont="1" applyFill="1" applyBorder="1" applyProtection="1">
      <protection hidden="1"/>
    </xf>
    <xf numFmtId="0" fontId="3" fillId="2" borderId="7" xfId="0" applyFont="1" applyFill="1" applyBorder="1" applyProtection="1">
      <protection hidden="1"/>
    </xf>
    <xf numFmtId="49" fontId="3" fillId="2" borderId="7" xfId="0" applyNumberFormat="1" applyFont="1" applyFill="1" applyBorder="1" applyAlignment="1" applyProtection="1">
      <alignment horizontal="center"/>
      <protection hidden="1"/>
    </xf>
    <xf numFmtId="4" fontId="3" fillId="2" borderId="7" xfId="0" applyNumberFormat="1" applyFont="1" applyFill="1" applyBorder="1" applyAlignment="1" applyProtection="1">
      <alignment horizontal="center"/>
      <protection hidden="1"/>
    </xf>
    <xf numFmtId="4" fontId="3" fillId="2" borderId="7" xfId="0" applyNumberFormat="1" applyFont="1" applyFill="1" applyBorder="1" applyAlignment="1" applyProtection="1">
      <alignment horizontal="center"/>
      <protection locked="0"/>
    </xf>
    <xf numFmtId="4" fontId="18" fillId="2" borderId="8" xfId="0" applyNumberFormat="1" applyFont="1" applyFill="1" applyBorder="1" applyAlignment="1" applyProtection="1">
      <alignment horizontal="center"/>
      <protection hidden="1"/>
    </xf>
    <xf numFmtId="0" fontId="3" fillId="2" borderId="2" xfId="0" applyFont="1" applyFill="1" applyBorder="1" applyAlignment="1" applyProtection="1">
      <alignment vertical="center"/>
      <protection hidden="1"/>
    </xf>
    <xf numFmtId="0" fontId="3" fillId="2" borderId="3" xfId="0" applyFont="1" applyFill="1" applyBorder="1" applyAlignment="1" applyProtection="1">
      <alignment horizontal="center" vertical="center" wrapText="1"/>
      <protection hidden="1"/>
    </xf>
    <xf numFmtId="0" fontId="3" fillId="2" borderId="1" xfId="0" applyFont="1" applyFill="1" applyBorder="1" applyProtection="1">
      <protection hidden="1"/>
    </xf>
    <xf numFmtId="49" fontId="10" fillId="2" borderId="2" xfId="0" applyNumberFormat="1" applyFont="1" applyFill="1" applyBorder="1" applyAlignment="1" applyProtection="1">
      <alignment horizontal="center"/>
      <protection hidden="1"/>
    </xf>
    <xf numFmtId="4" fontId="10" fillId="2" borderId="2" xfId="0" applyNumberFormat="1" applyFont="1" applyFill="1" applyBorder="1" applyAlignment="1" applyProtection="1">
      <alignment horizontal="center"/>
      <protection hidden="1"/>
    </xf>
    <xf numFmtId="4" fontId="3" fillId="2" borderId="2" xfId="0" applyNumberFormat="1" applyFont="1" applyFill="1" applyBorder="1" applyAlignment="1" applyProtection="1">
      <alignment horizontal="center"/>
      <protection locked="0"/>
    </xf>
    <xf numFmtId="4" fontId="3" fillId="2" borderId="3" xfId="0" applyNumberFormat="1" applyFont="1" applyFill="1" applyBorder="1" applyAlignment="1" applyProtection="1">
      <alignment horizontal="center"/>
      <protection hidden="1"/>
    </xf>
    <xf numFmtId="49" fontId="10" fillId="2" borderId="7" xfId="0" applyNumberFormat="1" applyFont="1" applyFill="1" applyBorder="1" applyAlignment="1" applyProtection="1">
      <alignment horizontal="center"/>
      <protection hidden="1"/>
    </xf>
    <xf numFmtId="4" fontId="10" fillId="2" borderId="7" xfId="0" applyNumberFormat="1" applyFont="1" applyFill="1" applyBorder="1" applyAlignment="1" applyProtection="1">
      <alignment horizontal="center"/>
      <protection hidden="1"/>
    </xf>
    <xf numFmtId="0" fontId="10" fillId="2" borderId="1" xfId="0" applyFont="1" applyFill="1" applyBorder="1" applyProtection="1">
      <protection hidden="1"/>
    </xf>
    <xf numFmtId="0" fontId="10" fillId="2" borderId="2" xfId="0" applyFont="1" applyFill="1" applyBorder="1" applyAlignment="1" applyProtection="1">
      <alignment vertical="top"/>
      <protection hidden="1"/>
    </xf>
    <xf numFmtId="4" fontId="18" fillId="2" borderId="3" xfId="0" applyNumberFormat="1" applyFont="1" applyFill="1" applyBorder="1" applyAlignment="1" applyProtection="1">
      <alignment horizontal="center"/>
      <protection hidden="1"/>
    </xf>
    <xf numFmtId="49" fontId="15" fillId="0" borderId="0" xfId="0" applyNumberFormat="1" applyFont="1" applyAlignment="1">
      <alignment horizontal="center"/>
    </xf>
    <xf numFmtId="0" fontId="10" fillId="2" borderId="6" xfId="0" applyFont="1" applyFill="1" applyBorder="1" applyProtection="1">
      <protection hidden="1"/>
    </xf>
    <xf numFmtId="4" fontId="24" fillId="4" borderId="6" xfId="4" applyNumberFormat="1" applyFont="1" applyFill="1" applyBorder="1" applyAlignment="1">
      <alignment horizontal="left" vertical="center" wrapText="1"/>
    </xf>
    <xf numFmtId="4" fontId="24" fillId="4" borderId="7" xfId="4" applyNumberFormat="1" applyFont="1" applyFill="1" applyBorder="1" applyAlignment="1">
      <alignment horizontal="left" vertical="center" wrapText="1"/>
    </xf>
    <xf numFmtId="4" fontId="24" fillId="4" borderId="8" xfId="0" applyNumberFormat="1" applyFont="1" applyFill="1" applyBorder="1" applyAlignment="1">
      <alignment horizontal="center" vertical="center" wrapText="1"/>
    </xf>
    <xf numFmtId="0" fontId="3" fillId="0" borderId="0" xfId="0" quotePrefix="1" applyFont="1" applyAlignment="1" applyProtection="1">
      <alignment wrapText="1"/>
      <protection hidden="1"/>
    </xf>
    <xf numFmtId="49" fontId="3" fillId="2" borderId="2" xfId="0" applyNumberFormat="1" applyFont="1" applyFill="1" applyBorder="1" applyAlignment="1" applyProtection="1">
      <alignment horizontal="center"/>
      <protection hidden="1"/>
    </xf>
    <xf numFmtId="4" fontId="3" fillId="2" borderId="2" xfId="0" applyNumberFormat="1" applyFont="1" applyFill="1" applyBorder="1" applyAlignment="1" applyProtection="1">
      <alignment horizontal="center"/>
      <protection hidden="1"/>
    </xf>
    <xf numFmtId="0" fontId="3" fillId="2" borderId="2" xfId="0" applyFont="1" applyFill="1" applyBorder="1" applyProtection="1">
      <protection hidden="1"/>
    </xf>
    <xf numFmtId="0" fontId="10" fillId="2" borderId="2" xfId="0" applyFont="1" applyFill="1" applyBorder="1" applyProtection="1">
      <protection hidden="1"/>
    </xf>
    <xf numFmtId="4" fontId="10" fillId="2" borderId="2" xfId="0" applyNumberFormat="1" applyFont="1" applyFill="1" applyBorder="1" applyAlignment="1" applyProtection="1">
      <alignment horizontal="center"/>
      <protection locked="0"/>
    </xf>
    <xf numFmtId="0" fontId="10" fillId="2" borderId="7" xfId="0" applyFont="1" applyFill="1" applyBorder="1" applyProtection="1">
      <protection hidden="1"/>
    </xf>
    <xf numFmtId="4" fontId="10" fillId="2" borderId="7" xfId="0" applyNumberFormat="1" applyFont="1" applyFill="1" applyBorder="1" applyAlignment="1" applyProtection="1">
      <alignment horizontal="center"/>
      <protection locked="0"/>
    </xf>
    <xf numFmtId="4" fontId="29" fillId="2" borderId="12" xfId="0" applyNumberFormat="1" applyFont="1" applyFill="1" applyBorder="1" applyAlignment="1">
      <alignment horizontal="left" vertical="top"/>
    </xf>
    <xf numFmtId="0" fontId="10" fillId="0" borderId="0" xfId="0" quotePrefix="1" applyFont="1" applyProtection="1">
      <protection hidden="1"/>
    </xf>
    <xf numFmtId="0" fontId="15" fillId="5" borderId="0" xfId="0" applyFont="1" applyFill="1" applyAlignment="1">
      <alignment vertical="top"/>
    </xf>
    <xf numFmtId="4" fontId="10" fillId="0" borderId="0" xfId="0" applyNumberFormat="1" applyFont="1" applyAlignment="1" applyProtection="1">
      <alignment horizontal="center"/>
      <protection hidden="1"/>
    </xf>
    <xf numFmtId="49" fontId="10" fillId="0" borderId="0" xfId="0" applyNumberFormat="1" applyFont="1" applyAlignment="1" applyProtection="1">
      <alignment horizontal="right"/>
      <protection hidden="1"/>
    </xf>
    <xf numFmtId="0" fontId="18" fillId="0" borderId="26" xfId="0" applyFont="1" applyBorder="1" applyAlignment="1" applyProtection="1">
      <alignment horizontal="center"/>
      <protection hidden="1"/>
    </xf>
    <xf numFmtId="4" fontId="15" fillId="0" borderId="0" xfId="0" applyNumberFormat="1" applyFont="1" applyAlignment="1">
      <alignment horizontal="center"/>
    </xf>
    <xf numFmtId="0" fontId="10" fillId="0" borderId="0" xfId="4" applyFont="1" applyAlignment="1">
      <alignment horizontal="left" vertical="top" wrapText="1"/>
    </xf>
    <xf numFmtId="0" fontId="21" fillId="0" borderId="0" xfId="0" applyFont="1"/>
    <xf numFmtId="0" fontId="3" fillId="0" borderId="10" xfId="0" applyFont="1" applyBorder="1"/>
    <xf numFmtId="4" fontId="19" fillId="0" borderId="26" xfId="0" applyNumberFormat="1" applyFont="1" applyBorder="1" applyAlignment="1">
      <alignment horizontal="left" vertical="center" wrapText="1"/>
    </xf>
    <xf numFmtId="4" fontId="19" fillId="0" borderId="26" xfId="0" applyNumberFormat="1" applyFont="1" applyBorder="1" applyAlignment="1">
      <alignment horizontal="center" vertical="center" wrapText="1"/>
    </xf>
    <xf numFmtId="4" fontId="3" fillId="2" borderId="3" xfId="0" applyNumberFormat="1" applyFont="1" applyFill="1" applyBorder="1" applyAlignment="1">
      <alignment horizontal="center"/>
    </xf>
    <xf numFmtId="0" fontId="3" fillId="0" borderId="5" xfId="0" applyFont="1" applyBorder="1"/>
    <xf numFmtId="4" fontId="3" fillId="2" borderId="8" xfId="0" applyNumberFormat="1" applyFont="1" applyFill="1" applyBorder="1" applyAlignment="1">
      <alignment horizontal="center"/>
    </xf>
    <xf numFmtId="0" fontId="3" fillId="0" borderId="0" xfId="0" applyFont="1" applyAlignment="1">
      <alignment horizontal="center" vertical="center" wrapText="1"/>
    </xf>
    <xf numFmtId="4" fontId="3" fillId="2" borderId="11" xfId="0" applyNumberFormat="1" applyFont="1" applyFill="1" applyBorder="1" applyAlignment="1">
      <alignment horizontal="center"/>
    </xf>
    <xf numFmtId="0" fontId="3" fillId="0" borderId="10" xfId="0" applyFont="1" applyBorder="1" applyAlignment="1">
      <alignment vertical="top"/>
    </xf>
    <xf numFmtId="4" fontId="3" fillId="2" borderId="12" xfId="0" applyNumberFormat="1" applyFont="1" applyFill="1" applyBorder="1" applyAlignment="1">
      <alignment horizontal="left"/>
    </xf>
    <xf numFmtId="0" fontId="10" fillId="0" borderId="5" xfId="1" applyFont="1" applyBorder="1"/>
    <xf numFmtId="49" fontId="3" fillId="3" borderId="26" xfId="0" applyNumberFormat="1" applyFont="1" applyFill="1" applyBorder="1" applyProtection="1">
      <protection hidden="1"/>
    </xf>
    <xf numFmtId="4" fontId="24" fillId="4" borderId="1" xfId="4" applyNumberFormat="1" applyFont="1" applyFill="1" applyBorder="1" applyAlignment="1">
      <alignment horizontal="left" vertical="center" wrapText="1"/>
    </xf>
    <xf numFmtId="4" fontId="24" fillId="4" borderId="2" xfId="4" applyNumberFormat="1" applyFont="1" applyFill="1" applyBorder="1" applyAlignment="1">
      <alignment horizontal="left" vertical="center" wrapText="1"/>
    </xf>
    <xf numFmtId="4" fontId="10" fillId="4" borderId="3" xfId="0" applyNumberFormat="1" applyFont="1" applyFill="1" applyBorder="1" applyAlignment="1">
      <alignment horizontal="center" vertical="center" wrapText="1"/>
    </xf>
    <xf numFmtId="0" fontId="3" fillId="0" borderId="0" xfId="0" applyFont="1" applyAlignment="1" applyProtection="1">
      <alignment horizontal="left" wrapText="1"/>
      <protection hidden="1"/>
    </xf>
    <xf numFmtId="0" fontId="10" fillId="0" borderId="0" xfId="0" quotePrefix="1" applyFont="1" applyAlignment="1" applyProtection="1">
      <alignment wrapText="1"/>
      <protection hidden="1"/>
    </xf>
    <xf numFmtId="0" fontId="3" fillId="0" borderId="2" xfId="0" applyFont="1" applyBorder="1" applyProtection="1">
      <protection hidden="1"/>
    </xf>
    <xf numFmtId="0" fontId="3" fillId="0" borderId="2" xfId="0" applyFont="1" applyBorder="1" applyAlignment="1" applyProtection="1">
      <alignment horizontal="center"/>
      <protection hidden="1"/>
    </xf>
    <xf numFmtId="0" fontId="3" fillId="0" borderId="2" xfId="0" applyFont="1" applyBorder="1" applyAlignment="1" applyProtection="1">
      <alignment horizontal="center"/>
      <protection locked="0"/>
    </xf>
    <xf numFmtId="0" fontId="18" fillId="0" borderId="2" xfId="0" applyFont="1" applyBorder="1" applyAlignment="1" applyProtection="1">
      <alignment horizontal="center"/>
      <protection hidden="1"/>
    </xf>
    <xf numFmtId="0" fontId="10" fillId="0" borderId="0" xfId="5" applyFont="1" applyAlignment="1" applyProtection="1">
      <alignment wrapText="1"/>
      <protection hidden="1"/>
    </xf>
    <xf numFmtId="0" fontId="3" fillId="0" borderId="4" xfId="0" applyFont="1" applyBorder="1"/>
    <xf numFmtId="4" fontId="159" fillId="0" borderId="5" xfId="0" applyNumberFormat="1" applyFont="1" applyBorder="1" applyAlignment="1" applyProtection="1">
      <alignment horizontal="center"/>
      <protection hidden="1"/>
    </xf>
    <xf numFmtId="0" fontId="160" fillId="0" borderId="10" xfId="0" applyFont="1" applyBorder="1" applyAlignment="1">
      <alignment vertical="top"/>
    </xf>
    <xf numFmtId="0" fontId="24" fillId="0" borderId="0" xfId="0" applyFont="1" applyAlignment="1">
      <alignment vertical="top" wrapText="1"/>
    </xf>
    <xf numFmtId="0" fontId="10" fillId="0" borderId="0" xfId="0" applyFont="1" applyAlignment="1">
      <alignment vertical="top" wrapText="1"/>
    </xf>
    <xf numFmtId="0" fontId="10" fillId="0" borderId="0" xfId="0" applyFont="1" applyAlignment="1">
      <alignment vertical="top"/>
    </xf>
    <xf numFmtId="0" fontId="10" fillId="0" borderId="0" xfId="4" applyFont="1" applyAlignment="1">
      <alignment vertical="top" wrapText="1"/>
    </xf>
    <xf numFmtId="0" fontId="10" fillId="0" borderId="0" xfId="0" quotePrefix="1" applyFont="1" applyAlignment="1">
      <alignment vertical="top" wrapText="1"/>
    </xf>
    <xf numFmtId="49" fontId="3" fillId="0" borderId="0" xfId="0" applyNumberFormat="1" applyFont="1" applyAlignment="1">
      <alignment horizontal="center"/>
    </xf>
    <xf numFmtId="4" fontId="3" fillId="0" borderId="0" xfId="0" applyNumberFormat="1" applyFont="1" applyAlignment="1">
      <alignment horizontal="center"/>
    </xf>
    <xf numFmtId="0" fontId="24" fillId="0" borderId="0" xfId="4" applyFont="1" applyAlignment="1">
      <alignment vertical="top" wrapText="1"/>
    </xf>
    <xf numFmtId="0" fontId="24" fillId="0" borderId="0" xfId="0" applyFont="1" applyAlignment="1">
      <alignment wrapText="1"/>
    </xf>
    <xf numFmtId="0" fontId="3" fillId="0" borderId="0" xfId="4" quotePrefix="1" applyFont="1" applyAlignment="1">
      <alignment vertical="top" wrapText="1"/>
    </xf>
    <xf numFmtId="0" fontId="3" fillId="0" borderId="0" xfId="0" quotePrefix="1" applyFont="1" applyAlignment="1">
      <alignment wrapText="1"/>
    </xf>
    <xf numFmtId="0" fontId="3" fillId="0" borderId="7" xfId="0" applyFont="1" applyBorder="1" applyProtection="1">
      <protection hidden="1"/>
    </xf>
    <xf numFmtId="0" fontId="3" fillId="0" borderId="7" xfId="0" applyFont="1" applyBorder="1" applyAlignment="1" applyProtection="1">
      <alignment horizontal="center"/>
      <protection hidden="1"/>
    </xf>
    <xf numFmtId="0" fontId="3" fillId="0" borderId="7" xfId="0" applyFont="1" applyBorder="1" applyAlignment="1" applyProtection="1">
      <alignment horizontal="center"/>
      <protection locked="0"/>
    </xf>
    <xf numFmtId="0" fontId="18" fillId="0" borderId="7" xfId="0" applyFont="1" applyBorder="1" applyAlignment="1" applyProtection="1">
      <alignment horizontal="center"/>
      <protection hidden="1"/>
    </xf>
    <xf numFmtId="4" fontId="10" fillId="2" borderId="2" xfId="2" applyFont="1" applyFill="1" applyBorder="1" applyAlignment="1">
      <alignment horizontal="left" vertical="justify"/>
    </xf>
    <xf numFmtId="4" fontId="10" fillId="2" borderId="3" xfId="2" applyFont="1" applyFill="1" applyBorder="1" applyAlignment="1">
      <alignment horizontal="left" vertical="justify"/>
    </xf>
    <xf numFmtId="0" fontId="15" fillId="0" borderId="0" xfId="0" applyFont="1" applyAlignment="1">
      <alignment horizontal="left" vertical="top"/>
    </xf>
    <xf numFmtId="49" fontId="10" fillId="0" borderId="0" xfId="0" applyNumberFormat="1" applyFont="1" applyAlignment="1">
      <alignment horizontal="right"/>
    </xf>
    <xf numFmtId="49" fontId="10" fillId="0" borderId="0" xfId="0" applyNumberFormat="1" applyFont="1" applyAlignment="1" applyProtection="1">
      <alignment horizontal="right"/>
      <protection hidden="1"/>
    </xf>
    <xf numFmtId="49" fontId="10" fillId="0" borderId="0" xfId="0" applyNumberFormat="1" applyFont="1" applyAlignment="1">
      <alignment horizontal="right" vertical="center"/>
    </xf>
    <xf numFmtId="0" fontId="21" fillId="0" borderId="0" xfId="0" applyFont="1" applyAlignment="1">
      <alignment horizontal="left" vertical="top"/>
    </xf>
    <xf numFmtId="0" fontId="16" fillId="0" borderId="0" xfId="0" applyFont="1" applyAlignment="1" applyProtection="1">
      <alignment wrapText="1"/>
      <protection hidden="1"/>
    </xf>
  </cellXfs>
  <cellStyles count="5362">
    <cellStyle name="_HOTEL LONE" xfId="8" xr:uid="{00000000-0005-0000-0000-000000000000}"/>
    <cellStyle name="_HOTEL LONE 2" xfId="9" xr:uid="{00000000-0005-0000-0000-000001000000}"/>
    <cellStyle name="_STAMBENI DIO" xfId="10" xr:uid="{00000000-0005-0000-0000-000002000000}"/>
    <cellStyle name="_troškovnik" xfId="11" xr:uid="{00000000-0005-0000-0000-000003000000}"/>
    <cellStyle name="0,0_x000d__x000a_NA_x000d__x000a_" xfId="12" xr:uid="{00000000-0005-0000-0000-000004000000}"/>
    <cellStyle name="1. br.stavke" xfId="13" xr:uid="{00000000-0005-0000-0000-000005000000}"/>
    <cellStyle name="1-dodano" xfId="14" xr:uid="{00000000-0005-0000-0000-000006000000}"/>
    <cellStyle name="2. Tekst stavke" xfId="15" xr:uid="{00000000-0005-0000-0000-000007000000}"/>
    <cellStyle name="20% - Accent1 1" xfId="16" xr:uid="{00000000-0005-0000-0000-000008000000}"/>
    <cellStyle name="20% - Accent1 1 1" xfId="17" xr:uid="{00000000-0005-0000-0000-000009000000}"/>
    <cellStyle name="20% - Accent1 1_HRVATSKE_SUME_71_5.Privremena" xfId="18" xr:uid="{00000000-0005-0000-0000-00000A000000}"/>
    <cellStyle name="20% - Accent1 10" xfId="4792" xr:uid="{00000000-0005-0000-0000-00000B000000}"/>
    <cellStyle name="20% - Accent1 11" xfId="4793" xr:uid="{00000000-0005-0000-0000-00000C000000}"/>
    <cellStyle name="20% - Accent1 11 2" xfId="5277" xr:uid="{00000000-0005-0000-0000-00000D000000}"/>
    <cellStyle name="20% - Accent1 2" xfId="19" xr:uid="{00000000-0005-0000-0000-00000E000000}"/>
    <cellStyle name="20% - Accent1 2 10" xfId="1402" xr:uid="{00000000-0005-0000-0000-00000F000000}"/>
    <cellStyle name="20% - Accent1 2 11" xfId="1403" xr:uid="{00000000-0005-0000-0000-000010000000}"/>
    <cellStyle name="20% - Accent1 2 12" xfId="1404" xr:uid="{00000000-0005-0000-0000-000011000000}"/>
    <cellStyle name="20% - Accent1 2 13" xfId="1405" xr:uid="{00000000-0005-0000-0000-000012000000}"/>
    <cellStyle name="20% - Accent1 2 14" xfId="1406" xr:uid="{00000000-0005-0000-0000-000013000000}"/>
    <cellStyle name="20% - Accent1 2 15" xfId="1407" xr:uid="{00000000-0005-0000-0000-000014000000}"/>
    <cellStyle name="20% - Accent1 2 15 2" xfId="1408" xr:uid="{00000000-0005-0000-0000-000015000000}"/>
    <cellStyle name="20% - Accent1 2 15 2 2" xfId="1409" xr:uid="{00000000-0005-0000-0000-000016000000}"/>
    <cellStyle name="20% - Accent1 2 15 2 2 2" xfId="1410" xr:uid="{00000000-0005-0000-0000-000017000000}"/>
    <cellStyle name="20% - Accent1 2 15 2 2 2 2" xfId="1411" xr:uid="{00000000-0005-0000-0000-000018000000}"/>
    <cellStyle name="20% - Accent1 2 15 2 2 2 2 2" xfId="1412" xr:uid="{00000000-0005-0000-0000-000019000000}"/>
    <cellStyle name="20% - Accent1 2 15 2 2 2 2 3" xfId="1413" xr:uid="{00000000-0005-0000-0000-00001A000000}"/>
    <cellStyle name="20% - Accent1 2 15 2 2 2 3" xfId="1414" xr:uid="{00000000-0005-0000-0000-00001B000000}"/>
    <cellStyle name="20% - Accent1 2 15 2 2 3" xfId="1415" xr:uid="{00000000-0005-0000-0000-00001C000000}"/>
    <cellStyle name="20% - Accent1 2 15 2 2 4" xfId="1416" xr:uid="{00000000-0005-0000-0000-00001D000000}"/>
    <cellStyle name="20% - Accent1 2 15 2 3" xfId="1417" xr:uid="{00000000-0005-0000-0000-00001E000000}"/>
    <cellStyle name="20% - Accent1 2 15 2 4" xfId="1418" xr:uid="{00000000-0005-0000-0000-00001F000000}"/>
    <cellStyle name="20% - Accent1 2 15 2 5" xfId="1419" xr:uid="{00000000-0005-0000-0000-000020000000}"/>
    <cellStyle name="20% - Accent1 2 15 2 5 2" xfId="1420" xr:uid="{00000000-0005-0000-0000-000021000000}"/>
    <cellStyle name="20% - Accent1 2 15 2 5 3" xfId="1421" xr:uid="{00000000-0005-0000-0000-000022000000}"/>
    <cellStyle name="20% - Accent1 2 15 2 6" xfId="1422" xr:uid="{00000000-0005-0000-0000-000023000000}"/>
    <cellStyle name="20% - Accent1 2 15 3" xfId="1423" xr:uid="{00000000-0005-0000-0000-000024000000}"/>
    <cellStyle name="20% - Accent1 2 15 4" xfId="1424" xr:uid="{00000000-0005-0000-0000-000025000000}"/>
    <cellStyle name="20% - Accent1 2 15 4 2" xfId="1425" xr:uid="{00000000-0005-0000-0000-000026000000}"/>
    <cellStyle name="20% - Accent1 2 15 4 2 2" xfId="1426" xr:uid="{00000000-0005-0000-0000-000027000000}"/>
    <cellStyle name="20% - Accent1 2 15 4 2 2 2" xfId="1427" xr:uid="{00000000-0005-0000-0000-000028000000}"/>
    <cellStyle name="20% - Accent1 2 15 4 2 2 3" xfId="1428" xr:uid="{00000000-0005-0000-0000-000029000000}"/>
    <cellStyle name="20% - Accent1 2 15 4 2 3" xfId="1429" xr:uid="{00000000-0005-0000-0000-00002A000000}"/>
    <cellStyle name="20% - Accent1 2 15 4 3" xfId="1430" xr:uid="{00000000-0005-0000-0000-00002B000000}"/>
    <cellStyle name="20% - Accent1 2 15 4 4" xfId="1431" xr:uid="{00000000-0005-0000-0000-00002C000000}"/>
    <cellStyle name="20% - Accent1 2 15 5" xfId="1432" xr:uid="{00000000-0005-0000-0000-00002D000000}"/>
    <cellStyle name="20% - Accent1 2 15 6" xfId="1433" xr:uid="{00000000-0005-0000-0000-00002E000000}"/>
    <cellStyle name="20% - Accent1 2 15 6 2" xfId="1434" xr:uid="{00000000-0005-0000-0000-00002F000000}"/>
    <cellStyle name="20% - Accent1 2 15 6 3" xfId="1435" xr:uid="{00000000-0005-0000-0000-000030000000}"/>
    <cellStyle name="20% - Accent1 2 15 7" xfId="1436" xr:uid="{00000000-0005-0000-0000-000031000000}"/>
    <cellStyle name="20% - Accent1 2 16" xfId="1437" xr:uid="{00000000-0005-0000-0000-000032000000}"/>
    <cellStyle name="20% - Accent1 2 17" xfId="1438" xr:uid="{00000000-0005-0000-0000-000033000000}"/>
    <cellStyle name="20% - Accent1 2 18" xfId="1439" xr:uid="{00000000-0005-0000-0000-000034000000}"/>
    <cellStyle name="20% - Accent1 2 19" xfId="1440" xr:uid="{00000000-0005-0000-0000-000035000000}"/>
    <cellStyle name="20% - Accent1 2 2" xfId="20" xr:uid="{00000000-0005-0000-0000-000036000000}"/>
    <cellStyle name="20% - Accent1 2 2 2" xfId="1441" xr:uid="{00000000-0005-0000-0000-000037000000}"/>
    <cellStyle name="20% - Accent1 2 20" xfId="1442" xr:uid="{00000000-0005-0000-0000-000038000000}"/>
    <cellStyle name="20% - Accent1 2 21" xfId="1443" xr:uid="{00000000-0005-0000-0000-000039000000}"/>
    <cellStyle name="20% - Accent1 2 22" xfId="1444" xr:uid="{00000000-0005-0000-0000-00003A000000}"/>
    <cellStyle name="20% - Accent1 2 23" xfId="1445" xr:uid="{00000000-0005-0000-0000-00003B000000}"/>
    <cellStyle name="20% - Accent1 2 24" xfId="1446" xr:uid="{00000000-0005-0000-0000-00003C000000}"/>
    <cellStyle name="20% - Accent1 2 25" xfId="1447" xr:uid="{00000000-0005-0000-0000-00003D000000}"/>
    <cellStyle name="20% - Accent1 2 26" xfId="1448" xr:uid="{00000000-0005-0000-0000-00003E000000}"/>
    <cellStyle name="20% - Accent1 2 27" xfId="1449" xr:uid="{00000000-0005-0000-0000-00003F000000}"/>
    <cellStyle name="20% - Accent1 2 28" xfId="1450" xr:uid="{00000000-0005-0000-0000-000040000000}"/>
    <cellStyle name="20% - Accent1 2 29" xfId="1451" xr:uid="{00000000-0005-0000-0000-000041000000}"/>
    <cellStyle name="20% - Accent1 2 3" xfId="21" xr:uid="{00000000-0005-0000-0000-000042000000}"/>
    <cellStyle name="20% - Accent1 2 30" xfId="1452" xr:uid="{00000000-0005-0000-0000-000043000000}"/>
    <cellStyle name="20% - Accent1 2 31" xfId="1453" xr:uid="{00000000-0005-0000-0000-000044000000}"/>
    <cellStyle name="20% - Accent1 2 32" xfId="1454" xr:uid="{00000000-0005-0000-0000-000045000000}"/>
    <cellStyle name="20% - Accent1 2 33" xfId="1455" xr:uid="{00000000-0005-0000-0000-000046000000}"/>
    <cellStyle name="20% - Accent1 2 4" xfId="1456" xr:uid="{00000000-0005-0000-0000-000047000000}"/>
    <cellStyle name="20% - Accent1 2 5" xfId="1457" xr:uid="{00000000-0005-0000-0000-000048000000}"/>
    <cellStyle name="20% - Accent1 2 6" xfId="1458" xr:uid="{00000000-0005-0000-0000-000049000000}"/>
    <cellStyle name="20% - Accent1 2 7" xfId="1459" xr:uid="{00000000-0005-0000-0000-00004A000000}"/>
    <cellStyle name="20% - Accent1 2 8" xfId="1460" xr:uid="{00000000-0005-0000-0000-00004B000000}"/>
    <cellStyle name="20% - Accent1 2 9" xfId="1461" xr:uid="{00000000-0005-0000-0000-00004C000000}"/>
    <cellStyle name="20% - Accent1 3" xfId="1462" xr:uid="{00000000-0005-0000-0000-00004D000000}"/>
    <cellStyle name="20% - Accent1 3 10" xfId="1463" xr:uid="{00000000-0005-0000-0000-00004E000000}"/>
    <cellStyle name="20% - Accent1 3 11" xfId="1464" xr:uid="{00000000-0005-0000-0000-00004F000000}"/>
    <cellStyle name="20% - Accent1 3 12" xfId="1465" xr:uid="{00000000-0005-0000-0000-000050000000}"/>
    <cellStyle name="20% - Accent1 3 13" xfId="1466" xr:uid="{00000000-0005-0000-0000-000051000000}"/>
    <cellStyle name="20% - Accent1 3 14" xfId="1467" xr:uid="{00000000-0005-0000-0000-000052000000}"/>
    <cellStyle name="20% - Accent1 3 15" xfId="1468" xr:uid="{00000000-0005-0000-0000-000053000000}"/>
    <cellStyle name="20% - Accent1 3 16" xfId="1469" xr:uid="{00000000-0005-0000-0000-000054000000}"/>
    <cellStyle name="20% - Accent1 3 17" xfId="1470" xr:uid="{00000000-0005-0000-0000-000055000000}"/>
    <cellStyle name="20% - Accent1 3 18" xfId="1471" xr:uid="{00000000-0005-0000-0000-000056000000}"/>
    <cellStyle name="20% - Accent1 3 19" xfId="1472" xr:uid="{00000000-0005-0000-0000-000057000000}"/>
    <cellStyle name="20% - Accent1 3 2" xfId="1473" xr:uid="{00000000-0005-0000-0000-000058000000}"/>
    <cellStyle name="20% - Accent1 3 20" xfId="1474" xr:uid="{00000000-0005-0000-0000-000059000000}"/>
    <cellStyle name="20% - Accent1 3 21" xfId="1475" xr:uid="{00000000-0005-0000-0000-00005A000000}"/>
    <cellStyle name="20% - Accent1 3 22" xfId="1476" xr:uid="{00000000-0005-0000-0000-00005B000000}"/>
    <cellStyle name="20% - Accent1 3 23" xfId="1477" xr:uid="{00000000-0005-0000-0000-00005C000000}"/>
    <cellStyle name="20% - Accent1 3 24" xfId="1478" xr:uid="{00000000-0005-0000-0000-00005D000000}"/>
    <cellStyle name="20% - Accent1 3 25" xfId="1479" xr:uid="{00000000-0005-0000-0000-00005E000000}"/>
    <cellStyle name="20% - Accent1 3 26" xfId="1480" xr:uid="{00000000-0005-0000-0000-00005F000000}"/>
    <cellStyle name="20% - Accent1 3 27" xfId="1481" xr:uid="{00000000-0005-0000-0000-000060000000}"/>
    <cellStyle name="20% - Accent1 3 28" xfId="1482" xr:uid="{00000000-0005-0000-0000-000061000000}"/>
    <cellStyle name="20% - Accent1 3 3" xfId="1483" xr:uid="{00000000-0005-0000-0000-000062000000}"/>
    <cellStyle name="20% - Accent1 3 4" xfId="1484" xr:uid="{00000000-0005-0000-0000-000063000000}"/>
    <cellStyle name="20% - Accent1 3 5" xfId="1485" xr:uid="{00000000-0005-0000-0000-000064000000}"/>
    <cellStyle name="20% - Accent1 3 6" xfId="1486" xr:uid="{00000000-0005-0000-0000-000065000000}"/>
    <cellStyle name="20% - Accent1 3 7" xfId="1487" xr:uid="{00000000-0005-0000-0000-000066000000}"/>
    <cellStyle name="20% - Accent1 3 8" xfId="1488" xr:uid="{00000000-0005-0000-0000-000067000000}"/>
    <cellStyle name="20% - Accent1 3 9" xfId="1489" xr:uid="{00000000-0005-0000-0000-000068000000}"/>
    <cellStyle name="20% - Accent1 4" xfId="1490" xr:uid="{00000000-0005-0000-0000-000069000000}"/>
    <cellStyle name="20% - Accent1 4 10" xfId="1491" xr:uid="{00000000-0005-0000-0000-00006A000000}"/>
    <cellStyle name="20% - Accent1 4 11" xfId="1492" xr:uid="{00000000-0005-0000-0000-00006B000000}"/>
    <cellStyle name="20% - Accent1 4 12" xfId="1493" xr:uid="{00000000-0005-0000-0000-00006C000000}"/>
    <cellStyle name="20% - Accent1 4 13" xfId="1494" xr:uid="{00000000-0005-0000-0000-00006D000000}"/>
    <cellStyle name="20% - Accent1 4 14" xfId="1495" xr:uid="{00000000-0005-0000-0000-00006E000000}"/>
    <cellStyle name="20% - Accent1 4 15" xfId="1496" xr:uid="{00000000-0005-0000-0000-00006F000000}"/>
    <cellStyle name="20% - Accent1 4 16" xfId="1497" xr:uid="{00000000-0005-0000-0000-000070000000}"/>
    <cellStyle name="20% - Accent1 4 17" xfId="1498" xr:uid="{00000000-0005-0000-0000-000071000000}"/>
    <cellStyle name="20% - Accent1 4 18" xfId="1499" xr:uid="{00000000-0005-0000-0000-000072000000}"/>
    <cellStyle name="20% - Accent1 4 19" xfId="1500" xr:uid="{00000000-0005-0000-0000-000073000000}"/>
    <cellStyle name="20% - Accent1 4 2" xfId="1501" xr:uid="{00000000-0005-0000-0000-000074000000}"/>
    <cellStyle name="20% - Accent1 4 20" xfId="1502" xr:uid="{00000000-0005-0000-0000-000075000000}"/>
    <cellStyle name="20% - Accent1 4 21" xfId="1503" xr:uid="{00000000-0005-0000-0000-000076000000}"/>
    <cellStyle name="20% - Accent1 4 22" xfId="1504" xr:uid="{00000000-0005-0000-0000-000077000000}"/>
    <cellStyle name="20% - Accent1 4 23" xfId="1505" xr:uid="{00000000-0005-0000-0000-000078000000}"/>
    <cellStyle name="20% - Accent1 4 24" xfId="1506" xr:uid="{00000000-0005-0000-0000-000079000000}"/>
    <cellStyle name="20% - Accent1 4 25" xfId="1507" xr:uid="{00000000-0005-0000-0000-00007A000000}"/>
    <cellStyle name="20% - Accent1 4 3" xfId="1508" xr:uid="{00000000-0005-0000-0000-00007B000000}"/>
    <cellStyle name="20% - Accent1 4 4" xfId="1509" xr:uid="{00000000-0005-0000-0000-00007C000000}"/>
    <cellStyle name="20% - Accent1 4 5" xfId="1510" xr:uid="{00000000-0005-0000-0000-00007D000000}"/>
    <cellStyle name="20% - Accent1 4 6" xfId="1511" xr:uid="{00000000-0005-0000-0000-00007E000000}"/>
    <cellStyle name="20% - Accent1 4 7" xfId="1512" xr:uid="{00000000-0005-0000-0000-00007F000000}"/>
    <cellStyle name="20% - Accent1 4 8" xfId="1513" xr:uid="{00000000-0005-0000-0000-000080000000}"/>
    <cellStyle name="20% - Accent1 4 9" xfId="1514" xr:uid="{00000000-0005-0000-0000-000081000000}"/>
    <cellStyle name="20% - Accent1 5" xfId="4794" xr:uid="{00000000-0005-0000-0000-000082000000}"/>
    <cellStyle name="20% - Accent1 6" xfId="4795" xr:uid="{00000000-0005-0000-0000-000083000000}"/>
    <cellStyle name="20% - Accent1 7" xfId="4796" xr:uid="{00000000-0005-0000-0000-000084000000}"/>
    <cellStyle name="20% - Accent1 8" xfId="4797" xr:uid="{00000000-0005-0000-0000-000085000000}"/>
    <cellStyle name="20% - Accent1 9" xfId="4798" xr:uid="{00000000-0005-0000-0000-000086000000}"/>
    <cellStyle name="20% - Accent2 1" xfId="22" xr:uid="{00000000-0005-0000-0000-000087000000}"/>
    <cellStyle name="20% - Accent2 1 1" xfId="23" xr:uid="{00000000-0005-0000-0000-000088000000}"/>
    <cellStyle name="20% - Accent2 1_HRVATSKE_SUME_71_5.Privremena" xfId="24" xr:uid="{00000000-0005-0000-0000-000089000000}"/>
    <cellStyle name="20% - Accent2 10" xfId="4799" xr:uid="{00000000-0005-0000-0000-00008A000000}"/>
    <cellStyle name="20% - Accent2 11" xfId="4800" xr:uid="{00000000-0005-0000-0000-00008B000000}"/>
    <cellStyle name="20% - Accent2 11 2" xfId="5278" xr:uid="{00000000-0005-0000-0000-00008C000000}"/>
    <cellStyle name="20% - Accent2 2" xfId="25" xr:uid="{00000000-0005-0000-0000-00008D000000}"/>
    <cellStyle name="20% - Accent2 2 10" xfId="1515" xr:uid="{00000000-0005-0000-0000-00008E000000}"/>
    <cellStyle name="20% - Accent2 2 11" xfId="1516" xr:uid="{00000000-0005-0000-0000-00008F000000}"/>
    <cellStyle name="20% - Accent2 2 12" xfId="1517" xr:uid="{00000000-0005-0000-0000-000090000000}"/>
    <cellStyle name="20% - Accent2 2 13" xfId="1518" xr:uid="{00000000-0005-0000-0000-000091000000}"/>
    <cellStyle name="20% - Accent2 2 14" xfId="1519" xr:uid="{00000000-0005-0000-0000-000092000000}"/>
    <cellStyle name="20% - Accent2 2 15" xfId="1520" xr:uid="{00000000-0005-0000-0000-000093000000}"/>
    <cellStyle name="20% - Accent2 2 15 2" xfId="1521" xr:uid="{00000000-0005-0000-0000-000094000000}"/>
    <cellStyle name="20% - Accent2 2 15 2 2" xfId="1522" xr:uid="{00000000-0005-0000-0000-000095000000}"/>
    <cellStyle name="20% - Accent2 2 15 2 2 2" xfId="1523" xr:uid="{00000000-0005-0000-0000-000096000000}"/>
    <cellStyle name="20% - Accent2 2 15 2 2 2 2" xfId="1524" xr:uid="{00000000-0005-0000-0000-000097000000}"/>
    <cellStyle name="20% - Accent2 2 15 2 2 2 2 2" xfId="1525" xr:uid="{00000000-0005-0000-0000-000098000000}"/>
    <cellStyle name="20% - Accent2 2 15 2 2 2 2 3" xfId="1526" xr:uid="{00000000-0005-0000-0000-000099000000}"/>
    <cellStyle name="20% - Accent2 2 15 2 2 2 3" xfId="1527" xr:uid="{00000000-0005-0000-0000-00009A000000}"/>
    <cellStyle name="20% - Accent2 2 15 2 2 3" xfId="1528" xr:uid="{00000000-0005-0000-0000-00009B000000}"/>
    <cellStyle name="20% - Accent2 2 15 2 2 4" xfId="1529" xr:uid="{00000000-0005-0000-0000-00009C000000}"/>
    <cellStyle name="20% - Accent2 2 15 2 3" xfId="1530" xr:uid="{00000000-0005-0000-0000-00009D000000}"/>
    <cellStyle name="20% - Accent2 2 15 2 4" xfId="1531" xr:uid="{00000000-0005-0000-0000-00009E000000}"/>
    <cellStyle name="20% - Accent2 2 15 2 5" xfId="1532" xr:uid="{00000000-0005-0000-0000-00009F000000}"/>
    <cellStyle name="20% - Accent2 2 15 2 5 2" xfId="1533" xr:uid="{00000000-0005-0000-0000-0000A0000000}"/>
    <cellStyle name="20% - Accent2 2 15 2 5 3" xfId="1534" xr:uid="{00000000-0005-0000-0000-0000A1000000}"/>
    <cellStyle name="20% - Accent2 2 15 2 6" xfId="1535" xr:uid="{00000000-0005-0000-0000-0000A2000000}"/>
    <cellStyle name="20% - Accent2 2 15 3" xfId="1536" xr:uid="{00000000-0005-0000-0000-0000A3000000}"/>
    <cellStyle name="20% - Accent2 2 15 4" xfId="1537" xr:uid="{00000000-0005-0000-0000-0000A4000000}"/>
    <cellStyle name="20% - Accent2 2 15 4 2" xfId="1538" xr:uid="{00000000-0005-0000-0000-0000A5000000}"/>
    <cellStyle name="20% - Accent2 2 15 4 2 2" xfId="1539" xr:uid="{00000000-0005-0000-0000-0000A6000000}"/>
    <cellStyle name="20% - Accent2 2 15 4 2 2 2" xfId="1540" xr:uid="{00000000-0005-0000-0000-0000A7000000}"/>
    <cellStyle name="20% - Accent2 2 15 4 2 2 3" xfId="1541" xr:uid="{00000000-0005-0000-0000-0000A8000000}"/>
    <cellStyle name="20% - Accent2 2 15 4 2 3" xfId="1542" xr:uid="{00000000-0005-0000-0000-0000A9000000}"/>
    <cellStyle name="20% - Accent2 2 15 4 3" xfId="1543" xr:uid="{00000000-0005-0000-0000-0000AA000000}"/>
    <cellStyle name="20% - Accent2 2 15 4 4" xfId="1544" xr:uid="{00000000-0005-0000-0000-0000AB000000}"/>
    <cellStyle name="20% - Accent2 2 15 5" xfId="1545" xr:uid="{00000000-0005-0000-0000-0000AC000000}"/>
    <cellStyle name="20% - Accent2 2 15 6" xfId="1546" xr:uid="{00000000-0005-0000-0000-0000AD000000}"/>
    <cellStyle name="20% - Accent2 2 15 6 2" xfId="1547" xr:uid="{00000000-0005-0000-0000-0000AE000000}"/>
    <cellStyle name="20% - Accent2 2 15 6 3" xfId="1548" xr:uid="{00000000-0005-0000-0000-0000AF000000}"/>
    <cellStyle name="20% - Accent2 2 15 7" xfId="1549" xr:uid="{00000000-0005-0000-0000-0000B0000000}"/>
    <cellStyle name="20% - Accent2 2 16" xfId="1550" xr:uid="{00000000-0005-0000-0000-0000B1000000}"/>
    <cellStyle name="20% - Accent2 2 17" xfId="1551" xr:uid="{00000000-0005-0000-0000-0000B2000000}"/>
    <cellStyle name="20% - Accent2 2 18" xfId="1552" xr:uid="{00000000-0005-0000-0000-0000B3000000}"/>
    <cellStyle name="20% - Accent2 2 19" xfId="1553" xr:uid="{00000000-0005-0000-0000-0000B4000000}"/>
    <cellStyle name="20% - Accent2 2 2" xfId="26" xr:uid="{00000000-0005-0000-0000-0000B5000000}"/>
    <cellStyle name="20% - Accent2 2 2 2" xfId="1554" xr:uid="{00000000-0005-0000-0000-0000B6000000}"/>
    <cellStyle name="20% - Accent2 2 20" xfId="1555" xr:uid="{00000000-0005-0000-0000-0000B7000000}"/>
    <cellStyle name="20% - Accent2 2 21" xfId="1556" xr:uid="{00000000-0005-0000-0000-0000B8000000}"/>
    <cellStyle name="20% - Accent2 2 22" xfId="1557" xr:uid="{00000000-0005-0000-0000-0000B9000000}"/>
    <cellStyle name="20% - Accent2 2 23" xfId="1558" xr:uid="{00000000-0005-0000-0000-0000BA000000}"/>
    <cellStyle name="20% - Accent2 2 24" xfId="1559" xr:uid="{00000000-0005-0000-0000-0000BB000000}"/>
    <cellStyle name="20% - Accent2 2 25" xfId="1560" xr:uid="{00000000-0005-0000-0000-0000BC000000}"/>
    <cellStyle name="20% - Accent2 2 26" xfId="1561" xr:uid="{00000000-0005-0000-0000-0000BD000000}"/>
    <cellStyle name="20% - Accent2 2 27" xfId="1562" xr:uid="{00000000-0005-0000-0000-0000BE000000}"/>
    <cellStyle name="20% - Accent2 2 28" xfId="1563" xr:uid="{00000000-0005-0000-0000-0000BF000000}"/>
    <cellStyle name="20% - Accent2 2 29" xfId="1564" xr:uid="{00000000-0005-0000-0000-0000C0000000}"/>
    <cellStyle name="20% - Accent2 2 3" xfId="27" xr:uid="{00000000-0005-0000-0000-0000C1000000}"/>
    <cellStyle name="20% - Accent2 2 30" xfId="1565" xr:uid="{00000000-0005-0000-0000-0000C2000000}"/>
    <cellStyle name="20% - Accent2 2 31" xfId="1566" xr:uid="{00000000-0005-0000-0000-0000C3000000}"/>
    <cellStyle name="20% - Accent2 2 32" xfId="1567" xr:uid="{00000000-0005-0000-0000-0000C4000000}"/>
    <cellStyle name="20% - Accent2 2 33" xfId="1568" xr:uid="{00000000-0005-0000-0000-0000C5000000}"/>
    <cellStyle name="20% - Accent2 2 4" xfId="1569" xr:uid="{00000000-0005-0000-0000-0000C6000000}"/>
    <cellStyle name="20% - Accent2 2 5" xfId="1570" xr:uid="{00000000-0005-0000-0000-0000C7000000}"/>
    <cellStyle name="20% - Accent2 2 6" xfId="1571" xr:uid="{00000000-0005-0000-0000-0000C8000000}"/>
    <cellStyle name="20% - Accent2 2 7" xfId="1572" xr:uid="{00000000-0005-0000-0000-0000C9000000}"/>
    <cellStyle name="20% - Accent2 2 8" xfId="1573" xr:uid="{00000000-0005-0000-0000-0000CA000000}"/>
    <cellStyle name="20% - Accent2 2 9" xfId="1574" xr:uid="{00000000-0005-0000-0000-0000CB000000}"/>
    <cellStyle name="20% - Accent2 3" xfId="1575" xr:uid="{00000000-0005-0000-0000-0000CC000000}"/>
    <cellStyle name="20% - Accent2 3 10" xfId="1576" xr:uid="{00000000-0005-0000-0000-0000CD000000}"/>
    <cellStyle name="20% - Accent2 3 11" xfId="1577" xr:uid="{00000000-0005-0000-0000-0000CE000000}"/>
    <cellStyle name="20% - Accent2 3 12" xfId="1578" xr:uid="{00000000-0005-0000-0000-0000CF000000}"/>
    <cellStyle name="20% - Accent2 3 13" xfId="1579" xr:uid="{00000000-0005-0000-0000-0000D0000000}"/>
    <cellStyle name="20% - Accent2 3 14" xfId="1580" xr:uid="{00000000-0005-0000-0000-0000D1000000}"/>
    <cellStyle name="20% - Accent2 3 15" xfId="1581" xr:uid="{00000000-0005-0000-0000-0000D2000000}"/>
    <cellStyle name="20% - Accent2 3 16" xfId="1582" xr:uid="{00000000-0005-0000-0000-0000D3000000}"/>
    <cellStyle name="20% - Accent2 3 17" xfId="1583" xr:uid="{00000000-0005-0000-0000-0000D4000000}"/>
    <cellStyle name="20% - Accent2 3 18" xfId="1584" xr:uid="{00000000-0005-0000-0000-0000D5000000}"/>
    <cellStyle name="20% - Accent2 3 19" xfId="1585" xr:uid="{00000000-0005-0000-0000-0000D6000000}"/>
    <cellStyle name="20% - Accent2 3 2" xfId="1586" xr:uid="{00000000-0005-0000-0000-0000D7000000}"/>
    <cellStyle name="20% - Accent2 3 20" xfId="1587" xr:uid="{00000000-0005-0000-0000-0000D8000000}"/>
    <cellStyle name="20% - Accent2 3 21" xfId="1588" xr:uid="{00000000-0005-0000-0000-0000D9000000}"/>
    <cellStyle name="20% - Accent2 3 22" xfId="1589" xr:uid="{00000000-0005-0000-0000-0000DA000000}"/>
    <cellStyle name="20% - Accent2 3 23" xfId="1590" xr:uid="{00000000-0005-0000-0000-0000DB000000}"/>
    <cellStyle name="20% - Accent2 3 24" xfId="1591" xr:uid="{00000000-0005-0000-0000-0000DC000000}"/>
    <cellStyle name="20% - Accent2 3 25" xfId="1592" xr:uid="{00000000-0005-0000-0000-0000DD000000}"/>
    <cellStyle name="20% - Accent2 3 26" xfId="1593" xr:uid="{00000000-0005-0000-0000-0000DE000000}"/>
    <cellStyle name="20% - Accent2 3 27" xfId="1594" xr:uid="{00000000-0005-0000-0000-0000DF000000}"/>
    <cellStyle name="20% - Accent2 3 28" xfId="1595" xr:uid="{00000000-0005-0000-0000-0000E0000000}"/>
    <cellStyle name="20% - Accent2 3 3" xfId="1596" xr:uid="{00000000-0005-0000-0000-0000E1000000}"/>
    <cellStyle name="20% - Accent2 3 4" xfId="1597" xr:uid="{00000000-0005-0000-0000-0000E2000000}"/>
    <cellStyle name="20% - Accent2 3 5" xfId="1598" xr:uid="{00000000-0005-0000-0000-0000E3000000}"/>
    <cellStyle name="20% - Accent2 3 6" xfId="1599" xr:uid="{00000000-0005-0000-0000-0000E4000000}"/>
    <cellStyle name="20% - Accent2 3 7" xfId="1600" xr:uid="{00000000-0005-0000-0000-0000E5000000}"/>
    <cellStyle name="20% - Accent2 3 8" xfId="1601" xr:uid="{00000000-0005-0000-0000-0000E6000000}"/>
    <cellStyle name="20% - Accent2 3 9" xfId="1602" xr:uid="{00000000-0005-0000-0000-0000E7000000}"/>
    <cellStyle name="20% - Accent2 4" xfId="1603" xr:uid="{00000000-0005-0000-0000-0000E8000000}"/>
    <cellStyle name="20% - Accent2 4 10" xfId="1604" xr:uid="{00000000-0005-0000-0000-0000E9000000}"/>
    <cellStyle name="20% - Accent2 4 11" xfId="1605" xr:uid="{00000000-0005-0000-0000-0000EA000000}"/>
    <cellStyle name="20% - Accent2 4 12" xfId="1606" xr:uid="{00000000-0005-0000-0000-0000EB000000}"/>
    <cellStyle name="20% - Accent2 4 13" xfId="1607" xr:uid="{00000000-0005-0000-0000-0000EC000000}"/>
    <cellStyle name="20% - Accent2 4 14" xfId="1608" xr:uid="{00000000-0005-0000-0000-0000ED000000}"/>
    <cellStyle name="20% - Accent2 4 15" xfId="1609" xr:uid="{00000000-0005-0000-0000-0000EE000000}"/>
    <cellStyle name="20% - Accent2 4 16" xfId="1610" xr:uid="{00000000-0005-0000-0000-0000EF000000}"/>
    <cellStyle name="20% - Accent2 4 17" xfId="1611" xr:uid="{00000000-0005-0000-0000-0000F0000000}"/>
    <cellStyle name="20% - Accent2 4 18" xfId="1612" xr:uid="{00000000-0005-0000-0000-0000F1000000}"/>
    <cellStyle name="20% - Accent2 4 19" xfId="1613" xr:uid="{00000000-0005-0000-0000-0000F2000000}"/>
    <cellStyle name="20% - Accent2 4 2" xfId="1614" xr:uid="{00000000-0005-0000-0000-0000F3000000}"/>
    <cellStyle name="20% - Accent2 4 20" xfId="1615" xr:uid="{00000000-0005-0000-0000-0000F4000000}"/>
    <cellStyle name="20% - Accent2 4 21" xfId="1616" xr:uid="{00000000-0005-0000-0000-0000F5000000}"/>
    <cellStyle name="20% - Accent2 4 22" xfId="1617" xr:uid="{00000000-0005-0000-0000-0000F6000000}"/>
    <cellStyle name="20% - Accent2 4 23" xfId="1618" xr:uid="{00000000-0005-0000-0000-0000F7000000}"/>
    <cellStyle name="20% - Accent2 4 24" xfId="1619" xr:uid="{00000000-0005-0000-0000-0000F8000000}"/>
    <cellStyle name="20% - Accent2 4 25" xfId="1620" xr:uid="{00000000-0005-0000-0000-0000F9000000}"/>
    <cellStyle name="20% - Accent2 4 3" xfId="1621" xr:uid="{00000000-0005-0000-0000-0000FA000000}"/>
    <cellStyle name="20% - Accent2 4 4" xfId="1622" xr:uid="{00000000-0005-0000-0000-0000FB000000}"/>
    <cellStyle name="20% - Accent2 4 5" xfId="1623" xr:uid="{00000000-0005-0000-0000-0000FC000000}"/>
    <cellStyle name="20% - Accent2 4 6" xfId="1624" xr:uid="{00000000-0005-0000-0000-0000FD000000}"/>
    <cellStyle name="20% - Accent2 4 7" xfId="1625" xr:uid="{00000000-0005-0000-0000-0000FE000000}"/>
    <cellStyle name="20% - Accent2 4 8" xfId="1626" xr:uid="{00000000-0005-0000-0000-0000FF000000}"/>
    <cellStyle name="20% - Accent2 4 9" xfId="1627" xr:uid="{00000000-0005-0000-0000-000000010000}"/>
    <cellStyle name="20% - Accent2 5" xfId="4801" xr:uid="{00000000-0005-0000-0000-000001010000}"/>
    <cellStyle name="20% - Accent2 6" xfId="4802" xr:uid="{00000000-0005-0000-0000-000002010000}"/>
    <cellStyle name="20% - Accent2 7" xfId="4803" xr:uid="{00000000-0005-0000-0000-000003010000}"/>
    <cellStyle name="20% - Accent2 8" xfId="4804" xr:uid="{00000000-0005-0000-0000-000004010000}"/>
    <cellStyle name="20% - Accent2 9" xfId="4805" xr:uid="{00000000-0005-0000-0000-000005010000}"/>
    <cellStyle name="20% - Accent3 1" xfId="28" xr:uid="{00000000-0005-0000-0000-000006010000}"/>
    <cellStyle name="20% - Accent3 1 1" xfId="29" xr:uid="{00000000-0005-0000-0000-000007010000}"/>
    <cellStyle name="20% - Accent3 1_HRVATSKE_SUME_71_5.Privremena" xfId="30" xr:uid="{00000000-0005-0000-0000-000008010000}"/>
    <cellStyle name="20% - Accent3 10" xfId="4806" xr:uid="{00000000-0005-0000-0000-000009010000}"/>
    <cellStyle name="20% - Accent3 11" xfId="4807" xr:uid="{00000000-0005-0000-0000-00000A010000}"/>
    <cellStyle name="20% - Accent3 11 2" xfId="5279" xr:uid="{00000000-0005-0000-0000-00000B010000}"/>
    <cellStyle name="20% - Accent3 2" xfId="31" xr:uid="{00000000-0005-0000-0000-00000C010000}"/>
    <cellStyle name="20% - Accent3 2 10" xfId="1628" xr:uid="{00000000-0005-0000-0000-00000D010000}"/>
    <cellStyle name="20% - Accent3 2 11" xfId="1629" xr:uid="{00000000-0005-0000-0000-00000E010000}"/>
    <cellStyle name="20% - Accent3 2 12" xfId="1630" xr:uid="{00000000-0005-0000-0000-00000F010000}"/>
    <cellStyle name="20% - Accent3 2 13" xfId="1631" xr:uid="{00000000-0005-0000-0000-000010010000}"/>
    <cellStyle name="20% - Accent3 2 14" xfId="1632" xr:uid="{00000000-0005-0000-0000-000011010000}"/>
    <cellStyle name="20% - Accent3 2 15" xfId="1633" xr:uid="{00000000-0005-0000-0000-000012010000}"/>
    <cellStyle name="20% - Accent3 2 15 2" xfId="1634" xr:uid="{00000000-0005-0000-0000-000013010000}"/>
    <cellStyle name="20% - Accent3 2 15 2 2" xfId="1635" xr:uid="{00000000-0005-0000-0000-000014010000}"/>
    <cellStyle name="20% - Accent3 2 15 2 2 2" xfId="1636" xr:uid="{00000000-0005-0000-0000-000015010000}"/>
    <cellStyle name="20% - Accent3 2 15 2 2 2 2" xfId="1637" xr:uid="{00000000-0005-0000-0000-000016010000}"/>
    <cellStyle name="20% - Accent3 2 15 2 2 2 2 2" xfId="1638" xr:uid="{00000000-0005-0000-0000-000017010000}"/>
    <cellStyle name="20% - Accent3 2 15 2 2 2 2 3" xfId="1639" xr:uid="{00000000-0005-0000-0000-000018010000}"/>
    <cellStyle name="20% - Accent3 2 15 2 2 2 3" xfId="1640" xr:uid="{00000000-0005-0000-0000-000019010000}"/>
    <cellStyle name="20% - Accent3 2 15 2 2 3" xfId="1641" xr:uid="{00000000-0005-0000-0000-00001A010000}"/>
    <cellStyle name="20% - Accent3 2 15 2 2 4" xfId="1642" xr:uid="{00000000-0005-0000-0000-00001B010000}"/>
    <cellStyle name="20% - Accent3 2 15 2 3" xfId="1643" xr:uid="{00000000-0005-0000-0000-00001C010000}"/>
    <cellStyle name="20% - Accent3 2 15 2 4" xfId="1644" xr:uid="{00000000-0005-0000-0000-00001D010000}"/>
    <cellStyle name="20% - Accent3 2 15 2 5" xfId="1645" xr:uid="{00000000-0005-0000-0000-00001E010000}"/>
    <cellStyle name="20% - Accent3 2 15 2 5 2" xfId="1646" xr:uid="{00000000-0005-0000-0000-00001F010000}"/>
    <cellStyle name="20% - Accent3 2 15 2 5 3" xfId="1647" xr:uid="{00000000-0005-0000-0000-000020010000}"/>
    <cellStyle name="20% - Accent3 2 15 2 6" xfId="1648" xr:uid="{00000000-0005-0000-0000-000021010000}"/>
    <cellStyle name="20% - Accent3 2 15 3" xfId="1649" xr:uid="{00000000-0005-0000-0000-000022010000}"/>
    <cellStyle name="20% - Accent3 2 15 4" xfId="1650" xr:uid="{00000000-0005-0000-0000-000023010000}"/>
    <cellStyle name="20% - Accent3 2 15 4 2" xfId="1651" xr:uid="{00000000-0005-0000-0000-000024010000}"/>
    <cellStyle name="20% - Accent3 2 15 4 2 2" xfId="1652" xr:uid="{00000000-0005-0000-0000-000025010000}"/>
    <cellStyle name="20% - Accent3 2 15 4 2 2 2" xfId="1653" xr:uid="{00000000-0005-0000-0000-000026010000}"/>
    <cellStyle name="20% - Accent3 2 15 4 2 2 3" xfId="1654" xr:uid="{00000000-0005-0000-0000-000027010000}"/>
    <cellStyle name="20% - Accent3 2 15 4 2 3" xfId="1655" xr:uid="{00000000-0005-0000-0000-000028010000}"/>
    <cellStyle name="20% - Accent3 2 15 4 3" xfId="1656" xr:uid="{00000000-0005-0000-0000-000029010000}"/>
    <cellStyle name="20% - Accent3 2 15 4 4" xfId="1657" xr:uid="{00000000-0005-0000-0000-00002A010000}"/>
    <cellStyle name="20% - Accent3 2 15 5" xfId="1658" xr:uid="{00000000-0005-0000-0000-00002B010000}"/>
    <cellStyle name="20% - Accent3 2 15 6" xfId="1659" xr:uid="{00000000-0005-0000-0000-00002C010000}"/>
    <cellStyle name="20% - Accent3 2 15 6 2" xfId="1660" xr:uid="{00000000-0005-0000-0000-00002D010000}"/>
    <cellStyle name="20% - Accent3 2 15 6 3" xfId="1661" xr:uid="{00000000-0005-0000-0000-00002E010000}"/>
    <cellStyle name="20% - Accent3 2 15 7" xfId="1662" xr:uid="{00000000-0005-0000-0000-00002F010000}"/>
    <cellStyle name="20% - Accent3 2 16" xfId="1663" xr:uid="{00000000-0005-0000-0000-000030010000}"/>
    <cellStyle name="20% - Accent3 2 17" xfId="1664" xr:uid="{00000000-0005-0000-0000-000031010000}"/>
    <cellStyle name="20% - Accent3 2 18" xfId="1665" xr:uid="{00000000-0005-0000-0000-000032010000}"/>
    <cellStyle name="20% - Accent3 2 19" xfId="1666" xr:uid="{00000000-0005-0000-0000-000033010000}"/>
    <cellStyle name="20% - Accent3 2 2" xfId="32" xr:uid="{00000000-0005-0000-0000-000034010000}"/>
    <cellStyle name="20% - Accent3 2 2 2" xfId="1667" xr:uid="{00000000-0005-0000-0000-000035010000}"/>
    <cellStyle name="20% - Accent3 2 20" xfId="1668" xr:uid="{00000000-0005-0000-0000-000036010000}"/>
    <cellStyle name="20% - Accent3 2 21" xfId="1669" xr:uid="{00000000-0005-0000-0000-000037010000}"/>
    <cellStyle name="20% - Accent3 2 22" xfId="1670" xr:uid="{00000000-0005-0000-0000-000038010000}"/>
    <cellStyle name="20% - Accent3 2 23" xfId="1671" xr:uid="{00000000-0005-0000-0000-000039010000}"/>
    <cellStyle name="20% - Accent3 2 24" xfId="1672" xr:uid="{00000000-0005-0000-0000-00003A010000}"/>
    <cellStyle name="20% - Accent3 2 25" xfId="1673" xr:uid="{00000000-0005-0000-0000-00003B010000}"/>
    <cellStyle name="20% - Accent3 2 26" xfId="1674" xr:uid="{00000000-0005-0000-0000-00003C010000}"/>
    <cellStyle name="20% - Accent3 2 27" xfId="1675" xr:uid="{00000000-0005-0000-0000-00003D010000}"/>
    <cellStyle name="20% - Accent3 2 28" xfId="1676" xr:uid="{00000000-0005-0000-0000-00003E010000}"/>
    <cellStyle name="20% - Accent3 2 29" xfId="1677" xr:uid="{00000000-0005-0000-0000-00003F010000}"/>
    <cellStyle name="20% - Accent3 2 3" xfId="33" xr:uid="{00000000-0005-0000-0000-000040010000}"/>
    <cellStyle name="20% - Accent3 2 30" xfId="1678" xr:uid="{00000000-0005-0000-0000-000041010000}"/>
    <cellStyle name="20% - Accent3 2 31" xfId="1679" xr:uid="{00000000-0005-0000-0000-000042010000}"/>
    <cellStyle name="20% - Accent3 2 32" xfId="1680" xr:uid="{00000000-0005-0000-0000-000043010000}"/>
    <cellStyle name="20% - Accent3 2 33" xfId="1681" xr:uid="{00000000-0005-0000-0000-000044010000}"/>
    <cellStyle name="20% - Accent3 2 4" xfId="1682" xr:uid="{00000000-0005-0000-0000-000045010000}"/>
    <cellStyle name="20% - Accent3 2 5" xfId="1683" xr:uid="{00000000-0005-0000-0000-000046010000}"/>
    <cellStyle name="20% - Accent3 2 6" xfId="1684" xr:uid="{00000000-0005-0000-0000-000047010000}"/>
    <cellStyle name="20% - Accent3 2 7" xfId="1685" xr:uid="{00000000-0005-0000-0000-000048010000}"/>
    <cellStyle name="20% - Accent3 2 8" xfId="1686" xr:uid="{00000000-0005-0000-0000-000049010000}"/>
    <cellStyle name="20% - Accent3 2 9" xfId="1687" xr:uid="{00000000-0005-0000-0000-00004A010000}"/>
    <cellStyle name="20% - Accent3 3" xfId="1688" xr:uid="{00000000-0005-0000-0000-00004B010000}"/>
    <cellStyle name="20% - Accent3 3 10" xfId="1689" xr:uid="{00000000-0005-0000-0000-00004C010000}"/>
    <cellStyle name="20% - Accent3 3 11" xfId="1690" xr:uid="{00000000-0005-0000-0000-00004D010000}"/>
    <cellStyle name="20% - Accent3 3 12" xfId="1691" xr:uid="{00000000-0005-0000-0000-00004E010000}"/>
    <cellStyle name="20% - Accent3 3 13" xfId="1692" xr:uid="{00000000-0005-0000-0000-00004F010000}"/>
    <cellStyle name="20% - Accent3 3 14" xfId="1693" xr:uid="{00000000-0005-0000-0000-000050010000}"/>
    <cellStyle name="20% - Accent3 3 15" xfId="1694" xr:uid="{00000000-0005-0000-0000-000051010000}"/>
    <cellStyle name="20% - Accent3 3 16" xfId="1695" xr:uid="{00000000-0005-0000-0000-000052010000}"/>
    <cellStyle name="20% - Accent3 3 17" xfId="1696" xr:uid="{00000000-0005-0000-0000-000053010000}"/>
    <cellStyle name="20% - Accent3 3 18" xfId="1697" xr:uid="{00000000-0005-0000-0000-000054010000}"/>
    <cellStyle name="20% - Accent3 3 19" xfId="1698" xr:uid="{00000000-0005-0000-0000-000055010000}"/>
    <cellStyle name="20% - Accent3 3 2" xfId="1699" xr:uid="{00000000-0005-0000-0000-000056010000}"/>
    <cellStyle name="20% - Accent3 3 20" xfId="1700" xr:uid="{00000000-0005-0000-0000-000057010000}"/>
    <cellStyle name="20% - Accent3 3 21" xfId="1701" xr:uid="{00000000-0005-0000-0000-000058010000}"/>
    <cellStyle name="20% - Accent3 3 22" xfId="1702" xr:uid="{00000000-0005-0000-0000-000059010000}"/>
    <cellStyle name="20% - Accent3 3 23" xfId="1703" xr:uid="{00000000-0005-0000-0000-00005A010000}"/>
    <cellStyle name="20% - Accent3 3 24" xfId="1704" xr:uid="{00000000-0005-0000-0000-00005B010000}"/>
    <cellStyle name="20% - Accent3 3 25" xfId="1705" xr:uid="{00000000-0005-0000-0000-00005C010000}"/>
    <cellStyle name="20% - Accent3 3 26" xfId="1706" xr:uid="{00000000-0005-0000-0000-00005D010000}"/>
    <cellStyle name="20% - Accent3 3 27" xfId="1707" xr:uid="{00000000-0005-0000-0000-00005E010000}"/>
    <cellStyle name="20% - Accent3 3 28" xfId="1708" xr:uid="{00000000-0005-0000-0000-00005F010000}"/>
    <cellStyle name="20% - Accent3 3 3" xfId="1709" xr:uid="{00000000-0005-0000-0000-000060010000}"/>
    <cellStyle name="20% - Accent3 3 4" xfId="1710" xr:uid="{00000000-0005-0000-0000-000061010000}"/>
    <cellStyle name="20% - Accent3 3 5" xfId="1711" xr:uid="{00000000-0005-0000-0000-000062010000}"/>
    <cellStyle name="20% - Accent3 3 6" xfId="1712" xr:uid="{00000000-0005-0000-0000-000063010000}"/>
    <cellStyle name="20% - Accent3 3 7" xfId="1713" xr:uid="{00000000-0005-0000-0000-000064010000}"/>
    <cellStyle name="20% - Accent3 3 8" xfId="1714" xr:uid="{00000000-0005-0000-0000-000065010000}"/>
    <cellStyle name="20% - Accent3 3 9" xfId="1715" xr:uid="{00000000-0005-0000-0000-000066010000}"/>
    <cellStyle name="20% - Accent3 4" xfId="1716" xr:uid="{00000000-0005-0000-0000-000067010000}"/>
    <cellStyle name="20% - Accent3 4 10" xfId="1717" xr:uid="{00000000-0005-0000-0000-000068010000}"/>
    <cellStyle name="20% - Accent3 4 11" xfId="1718" xr:uid="{00000000-0005-0000-0000-000069010000}"/>
    <cellStyle name="20% - Accent3 4 12" xfId="1719" xr:uid="{00000000-0005-0000-0000-00006A010000}"/>
    <cellStyle name="20% - Accent3 4 13" xfId="1720" xr:uid="{00000000-0005-0000-0000-00006B010000}"/>
    <cellStyle name="20% - Accent3 4 14" xfId="1721" xr:uid="{00000000-0005-0000-0000-00006C010000}"/>
    <cellStyle name="20% - Accent3 4 15" xfId="1722" xr:uid="{00000000-0005-0000-0000-00006D010000}"/>
    <cellStyle name="20% - Accent3 4 16" xfId="1723" xr:uid="{00000000-0005-0000-0000-00006E010000}"/>
    <cellStyle name="20% - Accent3 4 17" xfId="1724" xr:uid="{00000000-0005-0000-0000-00006F010000}"/>
    <cellStyle name="20% - Accent3 4 18" xfId="1725" xr:uid="{00000000-0005-0000-0000-000070010000}"/>
    <cellStyle name="20% - Accent3 4 19" xfId="1726" xr:uid="{00000000-0005-0000-0000-000071010000}"/>
    <cellStyle name="20% - Accent3 4 2" xfId="1727" xr:uid="{00000000-0005-0000-0000-000072010000}"/>
    <cellStyle name="20% - Accent3 4 20" xfId="1728" xr:uid="{00000000-0005-0000-0000-000073010000}"/>
    <cellStyle name="20% - Accent3 4 21" xfId="1729" xr:uid="{00000000-0005-0000-0000-000074010000}"/>
    <cellStyle name="20% - Accent3 4 22" xfId="1730" xr:uid="{00000000-0005-0000-0000-000075010000}"/>
    <cellStyle name="20% - Accent3 4 23" xfId="1731" xr:uid="{00000000-0005-0000-0000-000076010000}"/>
    <cellStyle name="20% - Accent3 4 24" xfId="1732" xr:uid="{00000000-0005-0000-0000-000077010000}"/>
    <cellStyle name="20% - Accent3 4 25" xfId="1733" xr:uid="{00000000-0005-0000-0000-000078010000}"/>
    <cellStyle name="20% - Accent3 4 3" xfId="1734" xr:uid="{00000000-0005-0000-0000-000079010000}"/>
    <cellStyle name="20% - Accent3 4 4" xfId="1735" xr:uid="{00000000-0005-0000-0000-00007A010000}"/>
    <cellStyle name="20% - Accent3 4 5" xfId="1736" xr:uid="{00000000-0005-0000-0000-00007B010000}"/>
    <cellStyle name="20% - Accent3 4 6" xfId="1737" xr:uid="{00000000-0005-0000-0000-00007C010000}"/>
    <cellStyle name="20% - Accent3 4 7" xfId="1738" xr:uid="{00000000-0005-0000-0000-00007D010000}"/>
    <cellStyle name="20% - Accent3 4 8" xfId="1739" xr:uid="{00000000-0005-0000-0000-00007E010000}"/>
    <cellStyle name="20% - Accent3 4 9" xfId="1740" xr:uid="{00000000-0005-0000-0000-00007F010000}"/>
    <cellStyle name="20% - Accent3 5" xfId="4808" xr:uid="{00000000-0005-0000-0000-000080010000}"/>
    <cellStyle name="20% - Accent3 6" xfId="4809" xr:uid="{00000000-0005-0000-0000-000081010000}"/>
    <cellStyle name="20% - Accent3 7" xfId="4810" xr:uid="{00000000-0005-0000-0000-000082010000}"/>
    <cellStyle name="20% - Accent3 8" xfId="4811" xr:uid="{00000000-0005-0000-0000-000083010000}"/>
    <cellStyle name="20% - Accent3 9" xfId="4812" xr:uid="{00000000-0005-0000-0000-000084010000}"/>
    <cellStyle name="20% - Accent4 1" xfId="34" xr:uid="{00000000-0005-0000-0000-000085010000}"/>
    <cellStyle name="20% - Accent4 1 1" xfId="35" xr:uid="{00000000-0005-0000-0000-000086010000}"/>
    <cellStyle name="20% - Accent4 1_HRVATSKE_SUME_71_5.Privremena" xfId="36" xr:uid="{00000000-0005-0000-0000-000087010000}"/>
    <cellStyle name="20% - Accent4 10" xfId="4813" xr:uid="{00000000-0005-0000-0000-000088010000}"/>
    <cellStyle name="20% - Accent4 11" xfId="4814" xr:uid="{00000000-0005-0000-0000-000089010000}"/>
    <cellStyle name="20% - Accent4 11 2" xfId="5280" xr:uid="{00000000-0005-0000-0000-00008A010000}"/>
    <cellStyle name="20% - Accent4 2" xfId="37" xr:uid="{00000000-0005-0000-0000-00008B010000}"/>
    <cellStyle name="20% - Accent4 2 10" xfId="1741" xr:uid="{00000000-0005-0000-0000-00008C010000}"/>
    <cellStyle name="20% - Accent4 2 11" xfId="1742" xr:uid="{00000000-0005-0000-0000-00008D010000}"/>
    <cellStyle name="20% - Accent4 2 12" xfId="1743" xr:uid="{00000000-0005-0000-0000-00008E010000}"/>
    <cellStyle name="20% - Accent4 2 13" xfId="1744" xr:uid="{00000000-0005-0000-0000-00008F010000}"/>
    <cellStyle name="20% - Accent4 2 14" xfId="1745" xr:uid="{00000000-0005-0000-0000-000090010000}"/>
    <cellStyle name="20% - Accent4 2 15" xfId="1746" xr:uid="{00000000-0005-0000-0000-000091010000}"/>
    <cellStyle name="20% - Accent4 2 15 2" xfId="1747" xr:uid="{00000000-0005-0000-0000-000092010000}"/>
    <cellStyle name="20% - Accent4 2 15 2 2" xfId="1748" xr:uid="{00000000-0005-0000-0000-000093010000}"/>
    <cellStyle name="20% - Accent4 2 15 2 2 2" xfId="1749" xr:uid="{00000000-0005-0000-0000-000094010000}"/>
    <cellStyle name="20% - Accent4 2 15 2 2 2 2" xfId="1750" xr:uid="{00000000-0005-0000-0000-000095010000}"/>
    <cellStyle name="20% - Accent4 2 15 2 2 2 2 2" xfId="1751" xr:uid="{00000000-0005-0000-0000-000096010000}"/>
    <cellStyle name="20% - Accent4 2 15 2 2 2 2 3" xfId="1752" xr:uid="{00000000-0005-0000-0000-000097010000}"/>
    <cellStyle name="20% - Accent4 2 15 2 2 2 3" xfId="1753" xr:uid="{00000000-0005-0000-0000-000098010000}"/>
    <cellStyle name="20% - Accent4 2 15 2 2 3" xfId="1754" xr:uid="{00000000-0005-0000-0000-000099010000}"/>
    <cellStyle name="20% - Accent4 2 15 2 2 4" xfId="1755" xr:uid="{00000000-0005-0000-0000-00009A010000}"/>
    <cellStyle name="20% - Accent4 2 15 2 3" xfId="1756" xr:uid="{00000000-0005-0000-0000-00009B010000}"/>
    <cellStyle name="20% - Accent4 2 15 2 4" xfId="1757" xr:uid="{00000000-0005-0000-0000-00009C010000}"/>
    <cellStyle name="20% - Accent4 2 15 2 5" xfId="1758" xr:uid="{00000000-0005-0000-0000-00009D010000}"/>
    <cellStyle name="20% - Accent4 2 15 2 5 2" xfId="1759" xr:uid="{00000000-0005-0000-0000-00009E010000}"/>
    <cellStyle name="20% - Accent4 2 15 2 5 3" xfId="1760" xr:uid="{00000000-0005-0000-0000-00009F010000}"/>
    <cellStyle name="20% - Accent4 2 15 2 6" xfId="1761" xr:uid="{00000000-0005-0000-0000-0000A0010000}"/>
    <cellStyle name="20% - Accent4 2 15 3" xfId="1762" xr:uid="{00000000-0005-0000-0000-0000A1010000}"/>
    <cellStyle name="20% - Accent4 2 15 4" xfId="1763" xr:uid="{00000000-0005-0000-0000-0000A2010000}"/>
    <cellStyle name="20% - Accent4 2 15 4 2" xfId="1764" xr:uid="{00000000-0005-0000-0000-0000A3010000}"/>
    <cellStyle name="20% - Accent4 2 15 4 2 2" xfId="1765" xr:uid="{00000000-0005-0000-0000-0000A4010000}"/>
    <cellStyle name="20% - Accent4 2 15 4 2 2 2" xfId="1766" xr:uid="{00000000-0005-0000-0000-0000A5010000}"/>
    <cellStyle name="20% - Accent4 2 15 4 2 2 3" xfId="1767" xr:uid="{00000000-0005-0000-0000-0000A6010000}"/>
    <cellStyle name="20% - Accent4 2 15 4 2 3" xfId="1768" xr:uid="{00000000-0005-0000-0000-0000A7010000}"/>
    <cellStyle name="20% - Accent4 2 15 4 3" xfId="1769" xr:uid="{00000000-0005-0000-0000-0000A8010000}"/>
    <cellStyle name="20% - Accent4 2 15 4 4" xfId="1770" xr:uid="{00000000-0005-0000-0000-0000A9010000}"/>
    <cellStyle name="20% - Accent4 2 15 5" xfId="1771" xr:uid="{00000000-0005-0000-0000-0000AA010000}"/>
    <cellStyle name="20% - Accent4 2 15 6" xfId="1772" xr:uid="{00000000-0005-0000-0000-0000AB010000}"/>
    <cellStyle name="20% - Accent4 2 15 6 2" xfId="1773" xr:uid="{00000000-0005-0000-0000-0000AC010000}"/>
    <cellStyle name="20% - Accent4 2 15 6 3" xfId="1774" xr:uid="{00000000-0005-0000-0000-0000AD010000}"/>
    <cellStyle name="20% - Accent4 2 15 7" xfId="1775" xr:uid="{00000000-0005-0000-0000-0000AE010000}"/>
    <cellStyle name="20% - Accent4 2 16" xfId="1776" xr:uid="{00000000-0005-0000-0000-0000AF010000}"/>
    <cellStyle name="20% - Accent4 2 17" xfId="1777" xr:uid="{00000000-0005-0000-0000-0000B0010000}"/>
    <cellStyle name="20% - Accent4 2 18" xfId="1778" xr:uid="{00000000-0005-0000-0000-0000B1010000}"/>
    <cellStyle name="20% - Accent4 2 19" xfId="1779" xr:uid="{00000000-0005-0000-0000-0000B2010000}"/>
    <cellStyle name="20% - Accent4 2 2" xfId="38" xr:uid="{00000000-0005-0000-0000-0000B3010000}"/>
    <cellStyle name="20% - Accent4 2 2 2" xfId="1780" xr:uid="{00000000-0005-0000-0000-0000B4010000}"/>
    <cellStyle name="20% - Accent4 2 20" xfId="1781" xr:uid="{00000000-0005-0000-0000-0000B5010000}"/>
    <cellStyle name="20% - Accent4 2 21" xfId="1782" xr:uid="{00000000-0005-0000-0000-0000B6010000}"/>
    <cellStyle name="20% - Accent4 2 22" xfId="1783" xr:uid="{00000000-0005-0000-0000-0000B7010000}"/>
    <cellStyle name="20% - Accent4 2 23" xfId="1784" xr:uid="{00000000-0005-0000-0000-0000B8010000}"/>
    <cellStyle name="20% - Accent4 2 24" xfId="1785" xr:uid="{00000000-0005-0000-0000-0000B9010000}"/>
    <cellStyle name="20% - Accent4 2 25" xfId="1786" xr:uid="{00000000-0005-0000-0000-0000BA010000}"/>
    <cellStyle name="20% - Accent4 2 26" xfId="1787" xr:uid="{00000000-0005-0000-0000-0000BB010000}"/>
    <cellStyle name="20% - Accent4 2 27" xfId="1788" xr:uid="{00000000-0005-0000-0000-0000BC010000}"/>
    <cellStyle name="20% - Accent4 2 28" xfId="1789" xr:uid="{00000000-0005-0000-0000-0000BD010000}"/>
    <cellStyle name="20% - Accent4 2 29" xfId="1790" xr:uid="{00000000-0005-0000-0000-0000BE010000}"/>
    <cellStyle name="20% - Accent4 2 3" xfId="39" xr:uid="{00000000-0005-0000-0000-0000BF010000}"/>
    <cellStyle name="20% - Accent4 2 30" xfId="1791" xr:uid="{00000000-0005-0000-0000-0000C0010000}"/>
    <cellStyle name="20% - Accent4 2 31" xfId="1792" xr:uid="{00000000-0005-0000-0000-0000C1010000}"/>
    <cellStyle name="20% - Accent4 2 32" xfId="1793" xr:uid="{00000000-0005-0000-0000-0000C2010000}"/>
    <cellStyle name="20% - Accent4 2 33" xfId="1794" xr:uid="{00000000-0005-0000-0000-0000C3010000}"/>
    <cellStyle name="20% - Accent4 2 4" xfId="1795" xr:uid="{00000000-0005-0000-0000-0000C4010000}"/>
    <cellStyle name="20% - Accent4 2 5" xfId="1796" xr:uid="{00000000-0005-0000-0000-0000C5010000}"/>
    <cellStyle name="20% - Accent4 2 6" xfId="1797" xr:uid="{00000000-0005-0000-0000-0000C6010000}"/>
    <cellStyle name="20% - Accent4 2 7" xfId="1798" xr:uid="{00000000-0005-0000-0000-0000C7010000}"/>
    <cellStyle name="20% - Accent4 2 8" xfId="1799" xr:uid="{00000000-0005-0000-0000-0000C8010000}"/>
    <cellStyle name="20% - Accent4 2 9" xfId="1800" xr:uid="{00000000-0005-0000-0000-0000C9010000}"/>
    <cellStyle name="20% - Accent4 3" xfId="1801" xr:uid="{00000000-0005-0000-0000-0000CA010000}"/>
    <cellStyle name="20% - Accent4 3 10" xfId="1802" xr:uid="{00000000-0005-0000-0000-0000CB010000}"/>
    <cellStyle name="20% - Accent4 3 11" xfId="1803" xr:uid="{00000000-0005-0000-0000-0000CC010000}"/>
    <cellStyle name="20% - Accent4 3 12" xfId="1804" xr:uid="{00000000-0005-0000-0000-0000CD010000}"/>
    <cellStyle name="20% - Accent4 3 13" xfId="1805" xr:uid="{00000000-0005-0000-0000-0000CE010000}"/>
    <cellStyle name="20% - Accent4 3 14" xfId="1806" xr:uid="{00000000-0005-0000-0000-0000CF010000}"/>
    <cellStyle name="20% - Accent4 3 15" xfId="1807" xr:uid="{00000000-0005-0000-0000-0000D0010000}"/>
    <cellStyle name="20% - Accent4 3 16" xfId="1808" xr:uid="{00000000-0005-0000-0000-0000D1010000}"/>
    <cellStyle name="20% - Accent4 3 17" xfId="1809" xr:uid="{00000000-0005-0000-0000-0000D2010000}"/>
    <cellStyle name="20% - Accent4 3 18" xfId="1810" xr:uid="{00000000-0005-0000-0000-0000D3010000}"/>
    <cellStyle name="20% - Accent4 3 19" xfId="1811" xr:uid="{00000000-0005-0000-0000-0000D4010000}"/>
    <cellStyle name="20% - Accent4 3 2" xfId="1812" xr:uid="{00000000-0005-0000-0000-0000D5010000}"/>
    <cellStyle name="20% - Accent4 3 20" xfId="1813" xr:uid="{00000000-0005-0000-0000-0000D6010000}"/>
    <cellStyle name="20% - Accent4 3 21" xfId="1814" xr:uid="{00000000-0005-0000-0000-0000D7010000}"/>
    <cellStyle name="20% - Accent4 3 22" xfId="1815" xr:uid="{00000000-0005-0000-0000-0000D8010000}"/>
    <cellStyle name="20% - Accent4 3 23" xfId="1816" xr:uid="{00000000-0005-0000-0000-0000D9010000}"/>
    <cellStyle name="20% - Accent4 3 24" xfId="1817" xr:uid="{00000000-0005-0000-0000-0000DA010000}"/>
    <cellStyle name="20% - Accent4 3 25" xfId="1818" xr:uid="{00000000-0005-0000-0000-0000DB010000}"/>
    <cellStyle name="20% - Accent4 3 26" xfId="1819" xr:uid="{00000000-0005-0000-0000-0000DC010000}"/>
    <cellStyle name="20% - Accent4 3 27" xfId="1820" xr:uid="{00000000-0005-0000-0000-0000DD010000}"/>
    <cellStyle name="20% - Accent4 3 28" xfId="1821" xr:uid="{00000000-0005-0000-0000-0000DE010000}"/>
    <cellStyle name="20% - Accent4 3 3" xfId="1822" xr:uid="{00000000-0005-0000-0000-0000DF010000}"/>
    <cellStyle name="20% - Accent4 3 4" xfId="1823" xr:uid="{00000000-0005-0000-0000-0000E0010000}"/>
    <cellStyle name="20% - Accent4 3 5" xfId="1824" xr:uid="{00000000-0005-0000-0000-0000E1010000}"/>
    <cellStyle name="20% - Accent4 3 6" xfId="1825" xr:uid="{00000000-0005-0000-0000-0000E2010000}"/>
    <cellStyle name="20% - Accent4 3 7" xfId="1826" xr:uid="{00000000-0005-0000-0000-0000E3010000}"/>
    <cellStyle name="20% - Accent4 3 8" xfId="1827" xr:uid="{00000000-0005-0000-0000-0000E4010000}"/>
    <cellStyle name="20% - Accent4 3 9" xfId="1828" xr:uid="{00000000-0005-0000-0000-0000E5010000}"/>
    <cellStyle name="20% - Accent4 4" xfId="1829" xr:uid="{00000000-0005-0000-0000-0000E6010000}"/>
    <cellStyle name="20% - Accent4 4 10" xfId="1830" xr:uid="{00000000-0005-0000-0000-0000E7010000}"/>
    <cellStyle name="20% - Accent4 4 11" xfId="1831" xr:uid="{00000000-0005-0000-0000-0000E8010000}"/>
    <cellStyle name="20% - Accent4 4 12" xfId="1832" xr:uid="{00000000-0005-0000-0000-0000E9010000}"/>
    <cellStyle name="20% - Accent4 4 13" xfId="1833" xr:uid="{00000000-0005-0000-0000-0000EA010000}"/>
    <cellStyle name="20% - Accent4 4 14" xfId="1834" xr:uid="{00000000-0005-0000-0000-0000EB010000}"/>
    <cellStyle name="20% - Accent4 4 15" xfId="1835" xr:uid="{00000000-0005-0000-0000-0000EC010000}"/>
    <cellStyle name="20% - Accent4 4 16" xfId="1836" xr:uid="{00000000-0005-0000-0000-0000ED010000}"/>
    <cellStyle name="20% - Accent4 4 17" xfId="1837" xr:uid="{00000000-0005-0000-0000-0000EE010000}"/>
    <cellStyle name="20% - Accent4 4 18" xfId="1838" xr:uid="{00000000-0005-0000-0000-0000EF010000}"/>
    <cellStyle name="20% - Accent4 4 19" xfId="1839" xr:uid="{00000000-0005-0000-0000-0000F0010000}"/>
    <cellStyle name="20% - Accent4 4 2" xfId="1840" xr:uid="{00000000-0005-0000-0000-0000F1010000}"/>
    <cellStyle name="20% - Accent4 4 20" xfId="1841" xr:uid="{00000000-0005-0000-0000-0000F2010000}"/>
    <cellStyle name="20% - Accent4 4 21" xfId="1842" xr:uid="{00000000-0005-0000-0000-0000F3010000}"/>
    <cellStyle name="20% - Accent4 4 22" xfId="1843" xr:uid="{00000000-0005-0000-0000-0000F4010000}"/>
    <cellStyle name="20% - Accent4 4 23" xfId="1844" xr:uid="{00000000-0005-0000-0000-0000F5010000}"/>
    <cellStyle name="20% - Accent4 4 24" xfId="1845" xr:uid="{00000000-0005-0000-0000-0000F6010000}"/>
    <cellStyle name="20% - Accent4 4 25" xfId="1846" xr:uid="{00000000-0005-0000-0000-0000F7010000}"/>
    <cellStyle name="20% - Accent4 4 3" xfId="1847" xr:uid="{00000000-0005-0000-0000-0000F8010000}"/>
    <cellStyle name="20% - Accent4 4 4" xfId="1848" xr:uid="{00000000-0005-0000-0000-0000F9010000}"/>
    <cellStyle name="20% - Accent4 4 5" xfId="1849" xr:uid="{00000000-0005-0000-0000-0000FA010000}"/>
    <cellStyle name="20% - Accent4 4 6" xfId="1850" xr:uid="{00000000-0005-0000-0000-0000FB010000}"/>
    <cellStyle name="20% - Accent4 4 7" xfId="1851" xr:uid="{00000000-0005-0000-0000-0000FC010000}"/>
    <cellStyle name="20% - Accent4 4 8" xfId="1852" xr:uid="{00000000-0005-0000-0000-0000FD010000}"/>
    <cellStyle name="20% - Accent4 4 9" xfId="1853" xr:uid="{00000000-0005-0000-0000-0000FE010000}"/>
    <cellStyle name="20% - Accent4 5" xfId="4815" xr:uid="{00000000-0005-0000-0000-0000FF010000}"/>
    <cellStyle name="20% - Accent4 6" xfId="4816" xr:uid="{00000000-0005-0000-0000-000000020000}"/>
    <cellStyle name="20% - Accent4 7" xfId="4817" xr:uid="{00000000-0005-0000-0000-000001020000}"/>
    <cellStyle name="20% - Accent4 8" xfId="4818" xr:uid="{00000000-0005-0000-0000-000002020000}"/>
    <cellStyle name="20% - Accent4 9" xfId="4819" xr:uid="{00000000-0005-0000-0000-000003020000}"/>
    <cellStyle name="20% - Accent5 1" xfId="40" xr:uid="{00000000-0005-0000-0000-000004020000}"/>
    <cellStyle name="20% - Accent5 1 1" xfId="41" xr:uid="{00000000-0005-0000-0000-000005020000}"/>
    <cellStyle name="20% - Accent5 1_HRVATSKE_SUME_71_5.Privremena" xfId="42" xr:uid="{00000000-0005-0000-0000-000006020000}"/>
    <cellStyle name="20% - Accent5 10" xfId="4820" xr:uid="{00000000-0005-0000-0000-000007020000}"/>
    <cellStyle name="20% - Accent5 11" xfId="4821" xr:uid="{00000000-0005-0000-0000-000008020000}"/>
    <cellStyle name="20% - Accent5 11 2" xfId="5281" xr:uid="{00000000-0005-0000-0000-000009020000}"/>
    <cellStyle name="20% - Accent5 2" xfId="43" xr:uid="{00000000-0005-0000-0000-00000A020000}"/>
    <cellStyle name="20% - Accent5 2 10" xfId="1854" xr:uid="{00000000-0005-0000-0000-00000B020000}"/>
    <cellStyle name="20% - Accent5 2 11" xfId="1855" xr:uid="{00000000-0005-0000-0000-00000C020000}"/>
    <cellStyle name="20% - Accent5 2 12" xfId="1856" xr:uid="{00000000-0005-0000-0000-00000D020000}"/>
    <cellStyle name="20% - Accent5 2 13" xfId="1857" xr:uid="{00000000-0005-0000-0000-00000E020000}"/>
    <cellStyle name="20% - Accent5 2 14" xfId="1858" xr:uid="{00000000-0005-0000-0000-00000F020000}"/>
    <cellStyle name="20% - Accent5 2 15" xfId="1859" xr:uid="{00000000-0005-0000-0000-000010020000}"/>
    <cellStyle name="20% - Accent5 2 15 2" xfId="1860" xr:uid="{00000000-0005-0000-0000-000011020000}"/>
    <cellStyle name="20% - Accent5 2 15 2 2" xfId="1861" xr:uid="{00000000-0005-0000-0000-000012020000}"/>
    <cellStyle name="20% - Accent5 2 15 2 2 2" xfId="1862" xr:uid="{00000000-0005-0000-0000-000013020000}"/>
    <cellStyle name="20% - Accent5 2 15 2 2 2 2" xfId="1863" xr:uid="{00000000-0005-0000-0000-000014020000}"/>
    <cellStyle name="20% - Accent5 2 15 2 2 2 2 2" xfId="1864" xr:uid="{00000000-0005-0000-0000-000015020000}"/>
    <cellStyle name="20% - Accent5 2 15 2 2 2 2 3" xfId="1865" xr:uid="{00000000-0005-0000-0000-000016020000}"/>
    <cellStyle name="20% - Accent5 2 15 2 2 2 3" xfId="1866" xr:uid="{00000000-0005-0000-0000-000017020000}"/>
    <cellStyle name="20% - Accent5 2 15 2 2 3" xfId="1867" xr:uid="{00000000-0005-0000-0000-000018020000}"/>
    <cellStyle name="20% - Accent5 2 15 2 2 4" xfId="1868" xr:uid="{00000000-0005-0000-0000-000019020000}"/>
    <cellStyle name="20% - Accent5 2 15 2 3" xfId="1869" xr:uid="{00000000-0005-0000-0000-00001A020000}"/>
    <cellStyle name="20% - Accent5 2 15 2 4" xfId="1870" xr:uid="{00000000-0005-0000-0000-00001B020000}"/>
    <cellStyle name="20% - Accent5 2 15 2 5" xfId="1871" xr:uid="{00000000-0005-0000-0000-00001C020000}"/>
    <cellStyle name="20% - Accent5 2 15 2 5 2" xfId="1872" xr:uid="{00000000-0005-0000-0000-00001D020000}"/>
    <cellStyle name="20% - Accent5 2 15 2 5 3" xfId="1873" xr:uid="{00000000-0005-0000-0000-00001E020000}"/>
    <cellStyle name="20% - Accent5 2 15 2 6" xfId="1874" xr:uid="{00000000-0005-0000-0000-00001F020000}"/>
    <cellStyle name="20% - Accent5 2 15 3" xfId="1875" xr:uid="{00000000-0005-0000-0000-000020020000}"/>
    <cellStyle name="20% - Accent5 2 15 4" xfId="1876" xr:uid="{00000000-0005-0000-0000-000021020000}"/>
    <cellStyle name="20% - Accent5 2 15 4 2" xfId="1877" xr:uid="{00000000-0005-0000-0000-000022020000}"/>
    <cellStyle name="20% - Accent5 2 15 4 2 2" xfId="1878" xr:uid="{00000000-0005-0000-0000-000023020000}"/>
    <cellStyle name="20% - Accent5 2 15 4 2 2 2" xfId="1879" xr:uid="{00000000-0005-0000-0000-000024020000}"/>
    <cellStyle name="20% - Accent5 2 15 4 2 2 3" xfId="1880" xr:uid="{00000000-0005-0000-0000-000025020000}"/>
    <cellStyle name="20% - Accent5 2 15 4 2 3" xfId="1881" xr:uid="{00000000-0005-0000-0000-000026020000}"/>
    <cellStyle name="20% - Accent5 2 15 4 3" xfId="1882" xr:uid="{00000000-0005-0000-0000-000027020000}"/>
    <cellStyle name="20% - Accent5 2 15 4 4" xfId="1883" xr:uid="{00000000-0005-0000-0000-000028020000}"/>
    <cellStyle name="20% - Accent5 2 15 5" xfId="1884" xr:uid="{00000000-0005-0000-0000-000029020000}"/>
    <cellStyle name="20% - Accent5 2 15 6" xfId="1885" xr:uid="{00000000-0005-0000-0000-00002A020000}"/>
    <cellStyle name="20% - Accent5 2 15 6 2" xfId="1886" xr:uid="{00000000-0005-0000-0000-00002B020000}"/>
    <cellStyle name="20% - Accent5 2 15 6 3" xfId="1887" xr:uid="{00000000-0005-0000-0000-00002C020000}"/>
    <cellStyle name="20% - Accent5 2 15 7" xfId="1888" xr:uid="{00000000-0005-0000-0000-00002D020000}"/>
    <cellStyle name="20% - Accent5 2 16" xfId="1889" xr:uid="{00000000-0005-0000-0000-00002E020000}"/>
    <cellStyle name="20% - Accent5 2 17" xfId="1890" xr:uid="{00000000-0005-0000-0000-00002F020000}"/>
    <cellStyle name="20% - Accent5 2 18" xfId="1891" xr:uid="{00000000-0005-0000-0000-000030020000}"/>
    <cellStyle name="20% - Accent5 2 19" xfId="1892" xr:uid="{00000000-0005-0000-0000-000031020000}"/>
    <cellStyle name="20% - Accent5 2 2" xfId="44" xr:uid="{00000000-0005-0000-0000-000032020000}"/>
    <cellStyle name="20% - Accent5 2 2 2" xfId="1893" xr:uid="{00000000-0005-0000-0000-000033020000}"/>
    <cellStyle name="20% - Accent5 2 20" xfId="1894" xr:uid="{00000000-0005-0000-0000-000034020000}"/>
    <cellStyle name="20% - Accent5 2 21" xfId="1895" xr:uid="{00000000-0005-0000-0000-000035020000}"/>
    <cellStyle name="20% - Accent5 2 22" xfId="1896" xr:uid="{00000000-0005-0000-0000-000036020000}"/>
    <cellStyle name="20% - Accent5 2 23" xfId="1897" xr:uid="{00000000-0005-0000-0000-000037020000}"/>
    <cellStyle name="20% - Accent5 2 24" xfId="1898" xr:uid="{00000000-0005-0000-0000-000038020000}"/>
    <cellStyle name="20% - Accent5 2 25" xfId="1899" xr:uid="{00000000-0005-0000-0000-000039020000}"/>
    <cellStyle name="20% - Accent5 2 26" xfId="1900" xr:uid="{00000000-0005-0000-0000-00003A020000}"/>
    <cellStyle name="20% - Accent5 2 27" xfId="1901" xr:uid="{00000000-0005-0000-0000-00003B020000}"/>
    <cellStyle name="20% - Accent5 2 28" xfId="1902" xr:uid="{00000000-0005-0000-0000-00003C020000}"/>
    <cellStyle name="20% - Accent5 2 29" xfId="1903" xr:uid="{00000000-0005-0000-0000-00003D020000}"/>
    <cellStyle name="20% - Accent5 2 3" xfId="45" xr:uid="{00000000-0005-0000-0000-00003E020000}"/>
    <cellStyle name="20% - Accent5 2 30" xfId="1904" xr:uid="{00000000-0005-0000-0000-00003F020000}"/>
    <cellStyle name="20% - Accent5 2 31" xfId="1905" xr:uid="{00000000-0005-0000-0000-000040020000}"/>
    <cellStyle name="20% - Accent5 2 32" xfId="1906" xr:uid="{00000000-0005-0000-0000-000041020000}"/>
    <cellStyle name="20% - Accent5 2 33" xfId="1907" xr:uid="{00000000-0005-0000-0000-000042020000}"/>
    <cellStyle name="20% - Accent5 2 4" xfId="1908" xr:uid="{00000000-0005-0000-0000-000043020000}"/>
    <cellStyle name="20% - Accent5 2 5" xfId="1909" xr:uid="{00000000-0005-0000-0000-000044020000}"/>
    <cellStyle name="20% - Accent5 2 6" xfId="1910" xr:uid="{00000000-0005-0000-0000-000045020000}"/>
    <cellStyle name="20% - Accent5 2 7" xfId="1911" xr:uid="{00000000-0005-0000-0000-000046020000}"/>
    <cellStyle name="20% - Accent5 2 8" xfId="1912" xr:uid="{00000000-0005-0000-0000-000047020000}"/>
    <cellStyle name="20% - Accent5 2 9" xfId="1913" xr:uid="{00000000-0005-0000-0000-000048020000}"/>
    <cellStyle name="20% - Accent5 3" xfId="1914" xr:uid="{00000000-0005-0000-0000-000049020000}"/>
    <cellStyle name="20% - Accent5 3 10" xfId="1915" xr:uid="{00000000-0005-0000-0000-00004A020000}"/>
    <cellStyle name="20% - Accent5 3 11" xfId="1916" xr:uid="{00000000-0005-0000-0000-00004B020000}"/>
    <cellStyle name="20% - Accent5 3 12" xfId="1917" xr:uid="{00000000-0005-0000-0000-00004C020000}"/>
    <cellStyle name="20% - Accent5 3 13" xfId="1918" xr:uid="{00000000-0005-0000-0000-00004D020000}"/>
    <cellStyle name="20% - Accent5 3 14" xfId="1919" xr:uid="{00000000-0005-0000-0000-00004E020000}"/>
    <cellStyle name="20% - Accent5 3 15" xfId="1920" xr:uid="{00000000-0005-0000-0000-00004F020000}"/>
    <cellStyle name="20% - Accent5 3 16" xfId="1921" xr:uid="{00000000-0005-0000-0000-000050020000}"/>
    <cellStyle name="20% - Accent5 3 17" xfId="1922" xr:uid="{00000000-0005-0000-0000-000051020000}"/>
    <cellStyle name="20% - Accent5 3 18" xfId="1923" xr:uid="{00000000-0005-0000-0000-000052020000}"/>
    <cellStyle name="20% - Accent5 3 19" xfId="1924" xr:uid="{00000000-0005-0000-0000-000053020000}"/>
    <cellStyle name="20% - Accent5 3 2" xfId="1925" xr:uid="{00000000-0005-0000-0000-000054020000}"/>
    <cellStyle name="20% - Accent5 3 20" xfId="1926" xr:uid="{00000000-0005-0000-0000-000055020000}"/>
    <cellStyle name="20% - Accent5 3 21" xfId="1927" xr:uid="{00000000-0005-0000-0000-000056020000}"/>
    <cellStyle name="20% - Accent5 3 22" xfId="1928" xr:uid="{00000000-0005-0000-0000-000057020000}"/>
    <cellStyle name="20% - Accent5 3 23" xfId="1929" xr:uid="{00000000-0005-0000-0000-000058020000}"/>
    <cellStyle name="20% - Accent5 3 24" xfId="1930" xr:uid="{00000000-0005-0000-0000-000059020000}"/>
    <cellStyle name="20% - Accent5 3 25" xfId="1931" xr:uid="{00000000-0005-0000-0000-00005A020000}"/>
    <cellStyle name="20% - Accent5 3 26" xfId="1932" xr:uid="{00000000-0005-0000-0000-00005B020000}"/>
    <cellStyle name="20% - Accent5 3 27" xfId="1933" xr:uid="{00000000-0005-0000-0000-00005C020000}"/>
    <cellStyle name="20% - Accent5 3 28" xfId="1934" xr:uid="{00000000-0005-0000-0000-00005D020000}"/>
    <cellStyle name="20% - Accent5 3 3" xfId="1935" xr:uid="{00000000-0005-0000-0000-00005E020000}"/>
    <cellStyle name="20% - Accent5 3 4" xfId="1936" xr:uid="{00000000-0005-0000-0000-00005F020000}"/>
    <cellStyle name="20% - Accent5 3 5" xfId="1937" xr:uid="{00000000-0005-0000-0000-000060020000}"/>
    <cellStyle name="20% - Accent5 3 6" xfId="1938" xr:uid="{00000000-0005-0000-0000-000061020000}"/>
    <cellStyle name="20% - Accent5 3 7" xfId="1939" xr:uid="{00000000-0005-0000-0000-000062020000}"/>
    <cellStyle name="20% - Accent5 3 8" xfId="1940" xr:uid="{00000000-0005-0000-0000-000063020000}"/>
    <cellStyle name="20% - Accent5 3 9" xfId="1941" xr:uid="{00000000-0005-0000-0000-000064020000}"/>
    <cellStyle name="20% - Accent5 4" xfId="1942" xr:uid="{00000000-0005-0000-0000-000065020000}"/>
    <cellStyle name="20% - Accent5 4 10" xfId="1943" xr:uid="{00000000-0005-0000-0000-000066020000}"/>
    <cellStyle name="20% - Accent5 4 11" xfId="1944" xr:uid="{00000000-0005-0000-0000-000067020000}"/>
    <cellStyle name="20% - Accent5 4 12" xfId="1945" xr:uid="{00000000-0005-0000-0000-000068020000}"/>
    <cellStyle name="20% - Accent5 4 13" xfId="1946" xr:uid="{00000000-0005-0000-0000-000069020000}"/>
    <cellStyle name="20% - Accent5 4 14" xfId="1947" xr:uid="{00000000-0005-0000-0000-00006A020000}"/>
    <cellStyle name="20% - Accent5 4 15" xfId="1948" xr:uid="{00000000-0005-0000-0000-00006B020000}"/>
    <cellStyle name="20% - Accent5 4 16" xfId="1949" xr:uid="{00000000-0005-0000-0000-00006C020000}"/>
    <cellStyle name="20% - Accent5 4 17" xfId="1950" xr:uid="{00000000-0005-0000-0000-00006D020000}"/>
    <cellStyle name="20% - Accent5 4 18" xfId="1951" xr:uid="{00000000-0005-0000-0000-00006E020000}"/>
    <cellStyle name="20% - Accent5 4 19" xfId="1952" xr:uid="{00000000-0005-0000-0000-00006F020000}"/>
    <cellStyle name="20% - Accent5 4 2" xfId="1953" xr:uid="{00000000-0005-0000-0000-000070020000}"/>
    <cellStyle name="20% - Accent5 4 20" xfId="1954" xr:uid="{00000000-0005-0000-0000-000071020000}"/>
    <cellStyle name="20% - Accent5 4 21" xfId="1955" xr:uid="{00000000-0005-0000-0000-000072020000}"/>
    <cellStyle name="20% - Accent5 4 22" xfId="1956" xr:uid="{00000000-0005-0000-0000-000073020000}"/>
    <cellStyle name="20% - Accent5 4 23" xfId="1957" xr:uid="{00000000-0005-0000-0000-000074020000}"/>
    <cellStyle name="20% - Accent5 4 24" xfId="1958" xr:uid="{00000000-0005-0000-0000-000075020000}"/>
    <cellStyle name="20% - Accent5 4 25" xfId="1959" xr:uid="{00000000-0005-0000-0000-000076020000}"/>
    <cellStyle name="20% - Accent5 4 3" xfId="1960" xr:uid="{00000000-0005-0000-0000-000077020000}"/>
    <cellStyle name="20% - Accent5 4 4" xfId="1961" xr:uid="{00000000-0005-0000-0000-000078020000}"/>
    <cellStyle name="20% - Accent5 4 5" xfId="1962" xr:uid="{00000000-0005-0000-0000-000079020000}"/>
    <cellStyle name="20% - Accent5 4 6" xfId="1963" xr:uid="{00000000-0005-0000-0000-00007A020000}"/>
    <cellStyle name="20% - Accent5 4 7" xfId="1964" xr:uid="{00000000-0005-0000-0000-00007B020000}"/>
    <cellStyle name="20% - Accent5 4 8" xfId="1965" xr:uid="{00000000-0005-0000-0000-00007C020000}"/>
    <cellStyle name="20% - Accent5 4 9" xfId="1966" xr:uid="{00000000-0005-0000-0000-00007D020000}"/>
    <cellStyle name="20% - Accent5 5" xfId="4822" xr:uid="{00000000-0005-0000-0000-00007E020000}"/>
    <cellStyle name="20% - Accent5 6" xfId="4823" xr:uid="{00000000-0005-0000-0000-00007F020000}"/>
    <cellStyle name="20% - Accent5 7" xfId="4824" xr:uid="{00000000-0005-0000-0000-000080020000}"/>
    <cellStyle name="20% - Accent5 8" xfId="4825" xr:uid="{00000000-0005-0000-0000-000081020000}"/>
    <cellStyle name="20% - Accent5 9" xfId="4826" xr:uid="{00000000-0005-0000-0000-000082020000}"/>
    <cellStyle name="20% - Accent6 1" xfId="46" xr:uid="{00000000-0005-0000-0000-000083020000}"/>
    <cellStyle name="20% - Accent6 1 1" xfId="47" xr:uid="{00000000-0005-0000-0000-000084020000}"/>
    <cellStyle name="20% - Accent6 1_HRVATSKE_SUME_71_5.Privremena" xfId="48" xr:uid="{00000000-0005-0000-0000-000085020000}"/>
    <cellStyle name="20% - Accent6 10" xfId="4827" xr:uid="{00000000-0005-0000-0000-000086020000}"/>
    <cellStyle name="20% - Accent6 11" xfId="4828" xr:uid="{00000000-0005-0000-0000-000087020000}"/>
    <cellStyle name="20% - Accent6 11 2" xfId="5282" xr:uid="{00000000-0005-0000-0000-000088020000}"/>
    <cellStyle name="20% - Accent6 2" xfId="49" xr:uid="{00000000-0005-0000-0000-000089020000}"/>
    <cellStyle name="20% - Accent6 2 10" xfId="1967" xr:uid="{00000000-0005-0000-0000-00008A020000}"/>
    <cellStyle name="20% - Accent6 2 11" xfId="1968" xr:uid="{00000000-0005-0000-0000-00008B020000}"/>
    <cellStyle name="20% - Accent6 2 12" xfId="1969" xr:uid="{00000000-0005-0000-0000-00008C020000}"/>
    <cellStyle name="20% - Accent6 2 13" xfId="1970" xr:uid="{00000000-0005-0000-0000-00008D020000}"/>
    <cellStyle name="20% - Accent6 2 14" xfId="1971" xr:uid="{00000000-0005-0000-0000-00008E020000}"/>
    <cellStyle name="20% - Accent6 2 15" xfId="1972" xr:uid="{00000000-0005-0000-0000-00008F020000}"/>
    <cellStyle name="20% - Accent6 2 15 2" xfId="1973" xr:uid="{00000000-0005-0000-0000-000090020000}"/>
    <cellStyle name="20% - Accent6 2 15 2 2" xfId="1974" xr:uid="{00000000-0005-0000-0000-000091020000}"/>
    <cellStyle name="20% - Accent6 2 15 2 2 2" xfId="1975" xr:uid="{00000000-0005-0000-0000-000092020000}"/>
    <cellStyle name="20% - Accent6 2 15 2 2 2 2" xfId="1976" xr:uid="{00000000-0005-0000-0000-000093020000}"/>
    <cellStyle name="20% - Accent6 2 15 2 2 2 2 2" xfId="1977" xr:uid="{00000000-0005-0000-0000-000094020000}"/>
    <cellStyle name="20% - Accent6 2 15 2 2 2 2 3" xfId="1978" xr:uid="{00000000-0005-0000-0000-000095020000}"/>
    <cellStyle name="20% - Accent6 2 15 2 2 2 3" xfId="1979" xr:uid="{00000000-0005-0000-0000-000096020000}"/>
    <cellStyle name="20% - Accent6 2 15 2 2 3" xfId="1980" xr:uid="{00000000-0005-0000-0000-000097020000}"/>
    <cellStyle name="20% - Accent6 2 15 2 2 4" xfId="1981" xr:uid="{00000000-0005-0000-0000-000098020000}"/>
    <cellStyle name="20% - Accent6 2 15 2 3" xfId="1982" xr:uid="{00000000-0005-0000-0000-000099020000}"/>
    <cellStyle name="20% - Accent6 2 15 2 4" xfId="1983" xr:uid="{00000000-0005-0000-0000-00009A020000}"/>
    <cellStyle name="20% - Accent6 2 15 2 5" xfId="1984" xr:uid="{00000000-0005-0000-0000-00009B020000}"/>
    <cellStyle name="20% - Accent6 2 15 2 5 2" xfId="1985" xr:uid="{00000000-0005-0000-0000-00009C020000}"/>
    <cellStyle name="20% - Accent6 2 15 2 5 3" xfId="1986" xr:uid="{00000000-0005-0000-0000-00009D020000}"/>
    <cellStyle name="20% - Accent6 2 15 2 6" xfId="1987" xr:uid="{00000000-0005-0000-0000-00009E020000}"/>
    <cellStyle name="20% - Accent6 2 15 3" xfId="1988" xr:uid="{00000000-0005-0000-0000-00009F020000}"/>
    <cellStyle name="20% - Accent6 2 15 4" xfId="1989" xr:uid="{00000000-0005-0000-0000-0000A0020000}"/>
    <cellStyle name="20% - Accent6 2 15 4 2" xfId="1990" xr:uid="{00000000-0005-0000-0000-0000A1020000}"/>
    <cellStyle name="20% - Accent6 2 15 4 2 2" xfId="1991" xr:uid="{00000000-0005-0000-0000-0000A2020000}"/>
    <cellStyle name="20% - Accent6 2 15 4 2 2 2" xfId="1992" xr:uid="{00000000-0005-0000-0000-0000A3020000}"/>
    <cellStyle name="20% - Accent6 2 15 4 2 2 3" xfId="1993" xr:uid="{00000000-0005-0000-0000-0000A4020000}"/>
    <cellStyle name="20% - Accent6 2 15 4 2 3" xfId="1994" xr:uid="{00000000-0005-0000-0000-0000A5020000}"/>
    <cellStyle name="20% - Accent6 2 15 4 3" xfId="1995" xr:uid="{00000000-0005-0000-0000-0000A6020000}"/>
    <cellStyle name="20% - Accent6 2 15 4 4" xfId="1996" xr:uid="{00000000-0005-0000-0000-0000A7020000}"/>
    <cellStyle name="20% - Accent6 2 15 5" xfId="1997" xr:uid="{00000000-0005-0000-0000-0000A8020000}"/>
    <cellStyle name="20% - Accent6 2 15 6" xfId="1998" xr:uid="{00000000-0005-0000-0000-0000A9020000}"/>
    <cellStyle name="20% - Accent6 2 15 6 2" xfId="1999" xr:uid="{00000000-0005-0000-0000-0000AA020000}"/>
    <cellStyle name="20% - Accent6 2 15 6 3" xfId="2000" xr:uid="{00000000-0005-0000-0000-0000AB020000}"/>
    <cellStyle name="20% - Accent6 2 15 7" xfId="2001" xr:uid="{00000000-0005-0000-0000-0000AC020000}"/>
    <cellStyle name="20% - Accent6 2 16" xfId="2002" xr:uid="{00000000-0005-0000-0000-0000AD020000}"/>
    <cellStyle name="20% - Accent6 2 17" xfId="2003" xr:uid="{00000000-0005-0000-0000-0000AE020000}"/>
    <cellStyle name="20% - Accent6 2 18" xfId="2004" xr:uid="{00000000-0005-0000-0000-0000AF020000}"/>
    <cellStyle name="20% - Accent6 2 19" xfId="2005" xr:uid="{00000000-0005-0000-0000-0000B0020000}"/>
    <cellStyle name="20% - Accent6 2 2" xfId="50" xr:uid="{00000000-0005-0000-0000-0000B1020000}"/>
    <cellStyle name="20% - Accent6 2 2 2" xfId="2006" xr:uid="{00000000-0005-0000-0000-0000B2020000}"/>
    <cellStyle name="20% - Accent6 2 20" xfId="2007" xr:uid="{00000000-0005-0000-0000-0000B3020000}"/>
    <cellStyle name="20% - Accent6 2 21" xfId="2008" xr:uid="{00000000-0005-0000-0000-0000B4020000}"/>
    <cellStyle name="20% - Accent6 2 22" xfId="2009" xr:uid="{00000000-0005-0000-0000-0000B5020000}"/>
    <cellStyle name="20% - Accent6 2 23" xfId="2010" xr:uid="{00000000-0005-0000-0000-0000B6020000}"/>
    <cellStyle name="20% - Accent6 2 24" xfId="2011" xr:uid="{00000000-0005-0000-0000-0000B7020000}"/>
    <cellStyle name="20% - Accent6 2 25" xfId="2012" xr:uid="{00000000-0005-0000-0000-0000B8020000}"/>
    <cellStyle name="20% - Accent6 2 26" xfId="2013" xr:uid="{00000000-0005-0000-0000-0000B9020000}"/>
    <cellStyle name="20% - Accent6 2 27" xfId="2014" xr:uid="{00000000-0005-0000-0000-0000BA020000}"/>
    <cellStyle name="20% - Accent6 2 28" xfId="2015" xr:uid="{00000000-0005-0000-0000-0000BB020000}"/>
    <cellStyle name="20% - Accent6 2 29" xfId="2016" xr:uid="{00000000-0005-0000-0000-0000BC020000}"/>
    <cellStyle name="20% - Accent6 2 3" xfId="51" xr:uid="{00000000-0005-0000-0000-0000BD020000}"/>
    <cellStyle name="20% - Accent6 2 30" xfId="2017" xr:uid="{00000000-0005-0000-0000-0000BE020000}"/>
    <cellStyle name="20% - Accent6 2 31" xfId="2018" xr:uid="{00000000-0005-0000-0000-0000BF020000}"/>
    <cellStyle name="20% - Accent6 2 32" xfId="2019" xr:uid="{00000000-0005-0000-0000-0000C0020000}"/>
    <cellStyle name="20% - Accent6 2 33" xfId="2020" xr:uid="{00000000-0005-0000-0000-0000C1020000}"/>
    <cellStyle name="20% - Accent6 2 4" xfId="2021" xr:uid="{00000000-0005-0000-0000-0000C2020000}"/>
    <cellStyle name="20% - Accent6 2 5" xfId="2022" xr:uid="{00000000-0005-0000-0000-0000C3020000}"/>
    <cellStyle name="20% - Accent6 2 6" xfId="2023" xr:uid="{00000000-0005-0000-0000-0000C4020000}"/>
    <cellStyle name="20% - Accent6 2 7" xfId="2024" xr:uid="{00000000-0005-0000-0000-0000C5020000}"/>
    <cellStyle name="20% - Accent6 2 8" xfId="2025" xr:uid="{00000000-0005-0000-0000-0000C6020000}"/>
    <cellStyle name="20% - Accent6 2 9" xfId="2026" xr:uid="{00000000-0005-0000-0000-0000C7020000}"/>
    <cellStyle name="20% - Accent6 3" xfId="2027" xr:uid="{00000000-0005-0000-0000-0000C8020000}"/>
    <cellStyle name="20% - Accent6 3 10" xfId="2028" xr:uid="{00000000-0005-0000-0000-0000C9020000}"/>
    <cellStyle name="20% - Accent6 3 11" xfId="2029" xr:uid="{00000000-0005-0000-0000-0000CA020000}"/>
    <cellStyle name="20% - Accent6 3 12" xfId="2030" xr:uid="{00000000-0005-0000-0000-0000CB020000}"/>
    <cellStyle name="20% - Accent6 3 13" xfId="2031" xr:uid="{00000000-0005-0000-0000-0000CC020000}"/>
    <cellStyle name="20% - Accent6 3 14" xfId="2032" xr:uid="{00000000-0005-0000-0000-0000CD020000}"/>
    <cellStyle name="20% - Accent6 3 15" xfId="2033" xr:uid="{00000000-0005-0000-0000-0000CE020000}"/>
    <cellStyle name="20% - Accent6 3 16" xfId="2034" xr:uid="{00000000-0005-0000-0000-0000CF020000}"/>
    <cellStyle name="20% - Accent6 3 17" xfId="2035" xr:uid="{00000000-0005-0000-0000-0000D0020000}"/>
    <cellStyle name="20% - Accent6 3 18" xfId="2036" xr:uid="{00000000-0005-0000-0000-0000D1020000}"/>
    <cellStyle name="20% - Accent6 3 19" xfId="2037" xr:uid="{00000000-0005-0000-0000-0000D2020000}"/>
    <cellStyle name="20% - Accent6 3 2" xfId="2038" xr:uid="{00000000-0005-0000-0000-0000D3020000}"/>
    <cellStyle name="20% - Accent6 3 20" xfId="2039" xr:uid="{00000000-0005-0000-0000-0000D4020000}"/>
    <cellStyle name="20% - Accent6 3 21" xfId="2040" xr:uid="{00000000-0005-0000-0000-0000D5020000}"/>
    <cellStyle name="20% - Accent6 3 22" xfId="2041" xr:uid="{00000000-0005-0000-0000-0000D6020000}"/>
    <cellStyle name="20% - Accent6 3 23" xfId="2042" xr:uid="{00000000-0005-0000-0000-0000D7020000}"/>
    <cellStyle name="20% - Accent6 3 24" xfId="2043" xr:uid="{00000000-0005-0000-0000-0000D8020000}"/>
    <cellStyle name="20% - Accent6 3 25" xfId="2044" xr:uid="{00000000-0005-0000-0000-0000D9020000}"/>
    <cellStyle name="20% - Accent6 3 26" xfId="2045" xr:uid="{00000000-0005-0000-0000-0000DA020000}"/>
    <cellStyle name="20% - Accent6 3 27" xfId="2046" xr:uid="{00000000-0005-0000-0000-0000DB020000}"/>
    <cellStyle name="20% - Accent6 3 28" xfId="2047" xr:uid="{00000000-0005-0000-0000-0000DC020000}"/>
    <cellStyle name="20% - Accent6 3 3" xfId="2048" xr:uid="{00000000-0005-0000-0000-0000DD020000}"/>
    <cellStyle name="20% - Accent6 3 4" xfId="2049" xr:uid="{00000000-0005-0000-0000-0000DE020000}"/>
    <cellStyle name="20% - Accent6 3 5" xfId="2050" xr:uid="{00000000-0005-0000-0000-0000DF020000}"/>
    <cellStyle name="20% - Accent6 3 6" xfId="2051" xr:uid="{00000000-0005-0000-0000-0000E0020000}"/>
    <cellStyle name="20% - Accent6 3 7" xfId="2052" xr:uid="{00000000-0005-0000-0000-0000E1020000}"/>
    <cellStyle name="20% - Accent6 3 8" xfId="2053" xr:uid="{00000000-0005-0000-0000-0000E2020000}"/>
    <cellStyle name="20% - Accent6 3 9" xfId="2054" xr:uid="{00000000-0005-0000-0000-0000E3020000}"/>
    <cellStyle name="20% - Accent6 4" xfId="2055" xr:uid="{00000000-0005-0000-0000-0000E4020000}"/>
    <cellStyle name="20% - Accent6 4 10" xfId="2056" xr:uid="{00000000-0005-0000-0000-0000E5020000}"/>
    <cellStyle name="20% - Accent6 4 11" xfId="2057" xr:uid="{00000000-0005-0000-0000-0000E6020000}"/>
    <cellStyle name="20% - Accent6 4 12" xfId="2058" xr:uid="{00000000-0005-0000-0000-0000E7020000}"/>
    <cellStyle name="20% - Accent6 4 13" xfId="2059" xr:uid="{00000000-0005-0000-0000-0000E8020000}"/>
    <cellStyle name="20% - Accent6 4 14" xfId="2060" xr:uid="{00000000-0005-0000-0000-0000E9020000}"/>
    <cellStyle name="20% - Accent6 4 15" xfId="2061" xr:uid="{00000000-0005-0000-0000-0000EA020000}"/>
    <cellStyle name="20% - Accent6 4 16" xfId="2062" xr:uid="{00000000-0005-0000-0000-0000EB020000}"/>
    <cellStyle name="20% - Accent6 4 17" xfId="2063" xr:uid="{00000000-0005-0000-0000-0000EC020000}"/>
    <cellStyle name="20% - Accent6 4 18" xfId="2064" xr:uid="{00000000-0005-0000-0000-0000ED020000}"/>
    <cellStyle name="20% - Accent6 4 19" xfId="2065" xr:uid="{00000000-0005-0000-0000-0000EE020000}"/>
    <cellStyle name="20% - Accent6 4 2" xfId="2066" xr:uid="{00000000-0005-0000-0000-0000EF020000}"/>
    <cellStyle name="20% - Accent6 4 20" xfId="2067" xr:uid="{00000000-0005-0000-0000-0000F0020000}"/>
    <cellStyle name="20% - Accent6 4 21" xfId="2068" xr:uid="{00000000-0005-0000-0000-0000F1020000}"/>
    <cellStyle name="20% - Accent6 4 22" xfId="2069" xr:uid="{00000000-0005-0000-0000-0000F2020000}"/>
    <cellStyle name="20% - Accent6 4 23" xfId="2070" xr:uid="{00000000-0005-0000-0000-0000F3020000}"/>
    <cellStyle name="20% - Accent6 4 24" xfId="2071" xr:uid="{00000000-0005-0000-0000-0000F4020000}"/>
    <cellStyle name="20% - Accent6 4 25" xfId="2072" xr:uid="{00000000-0005-0000-0000-0000F5020000}"/>
    <cellStyle name="20% - Accent6 4 3" xfId="2073" xr:uid="{00000000-0005-0000-0000-0000F6020000}"/>
    <cellStyle name="20% - Accent6 4 4" xfId="2074" xr:uid="{00000000-0005-0000-0000-0000F7020000}"/>
    <cellStyle name="20% - Accent6 4 5" xfId="2075" xr:uid="{00000000-0005-0000-0000-0000F8020000}"/>
    <cellStyle name="20% - Accent6 4 6" xfId="2076" xr:uid="{00000000-0005-0000-0000-0000F9020000}"/>
    <cellStyle name="20% - Accent6 4 7" xfId="2077" xr:uid="{00000000-0005-0000-0000-0000FA020000}"/>
    <cellStyle name="20% - Accent6 4 8" xfId="2078" xr:uid="{00000000-0005-0000-0000-0000FB020000}"/>
    <cellStyle name="20% - Accent6 4 9" xfId="2079" xr:uid="{00000000-0005-0000-0000-0000FC020000}"/>
    <cellStyle name="20% - Accent6 5" xfId="4829" xr:uid="{00000000-0005-0000-0000-0000FD020000}"/>
    <cellStyle name="20% - Accent6 6" xfId="4830" xr:uid="{00000000-0005-0000-0000-0000FE020000}"/>
    <cellStyle name="20% - Accent6 7" xfId="4831" xr:uid="{00000000-0005-0000-0000-0000FF020000}"/>
    <cellStyle name="20% - Accent6 8" xfId="4832" xr:uid="{00000000-0005-0000-0000-000000030000}"/>
    <cellStyle name="20% - Accent6 9" xfId="4833" xr:uid="{00000000-0005-0000-0000-000001030000}"/>
    <cellStyle name="20% - Akzent1" xfId="52" xr:uid="{00000000-0005-0000-0000-000002030000}"/>
    <cellStyle name="20% - Akzent2" xfId="53" xr:uid="{00000000-0005-0000-0000-000003030000}"/>
    <cellStyle name="20% - Akzent3" xfId="54" xr:uid="{00000000-0005-0000-0000-000004030000}"/>
    <cellStyle name="20% - Akzent4" xfId="55" xr:uid="{00000000-0005-0000-0000-000005030000}"/>
    <cellStyle name="20% - Akzent5" xfId="56" xr:uid="{00000000-0005-0000-0000-000006030000}"/>
    <cellStyle name="20% - Akzent6" xfId="57" xr:uid="{00000000-0005-0000-0000-000007030000}"/>
    <cellStyle name="20% - Isticanje1 1" xfId="58" xr:uid="{00000000-0005-0000-0000-000008030000}"/>
    <cellStyle name="20% - Isticanje1 2" xfId="59" xr:uid="{00000000-0005-0000-0000-000009030000}"/>
    <cellStyle name="20% - Isticanje1 2 2" xfId="1197" xr:uid="{00000000-0005-0000-0000-00000A030000}"/>
    <cellStyle name="20% - Isticanje1 2 2 2" xfId="4834" xr:uid="{00000000-0005-0000-0000-00000B030000}"/>
    <cellStyle name="20% - Isticanje1 2 2 2 2" xfId="5283" xr:uid="{00000000-0005-0000-0000-00000C030000}"/>
    <cellStyle name="20% - Isticanje1 2 3" xfId="4835" xr:uid="{00000000-0005-0000-0000-00000D030000}"/>
    <cellStyle name="20% - Isticanje1 2 3 2" xfId="4836" xr:uid="{00000000-0005-0000-0000-00000E030000}"/>
    <cellStyle name="20% - Isticanje1 2 3 2 2" xfId="5285" xr:uid="{00000000-0005-0000-0000-00000F030000}"/>
    <cellStyle name="20% - Isticanje1 2 3 3" xfId="5284" xr:uid="{00000000-0005-0000-0000-000010030000}"/>
    <cellStyle name="20% - Isticanje1 2 4" xfId="4837" xr:uid="{00000000-0005-0000-0000-000011030000}"/>
    <cellStyle name="20% - Isticanje1 2 4 2" xfId="5286" xr:uid="{00000000-0005-0000-0000-000012030000}"/>
    <cellStyle name="20% - Isticanje1 2 5" xfId="1196" xr:uid="{00000000-0005-0000-0000-000013030000}"/>
    <cellStyle name="20% - Isticanje1 3" xfId="60" xr:uid="{00000000-0005-0000-0000-000014030000}"/>
    <cellStyle name="20% - Isticanje1 3 2" xfId="1195" xr:uid="{00000000-0005-0000-0000-000015030000}"/>
    <cellStyle name="20% - Isticanje2 1" xfId="61" xr:uid="{00000000-0005-0000-0000-000016030000}"/>
    <cellStyle name="20% - Isticanje2 2" xfId="62" xr:uid="{00000000-0005-0000-0000-000017030000}"/>
    <cellStyle name="20% - Isticanje2 2 2" xfId="1200" xr:uid="{00000000-0005-0000-0000-000018030000}"/>
    <cellStyle name="20% - Isticanje2 2 2 2" xfId="4838" xr:uid="{00000000-0005-0000-0000-000019030000}"/>
    <cellStyle name="20% - Isticanje2 2 2 2 2" xfId="5287" xr:uid="{00000000-0005-0000-0000-00001A030000}"/>
    <cellStyle name="20% - Isticanje2 2 3" xfId="4839" xr:uid="{00000000-0005-0000-0000-00001B030000}"/>
    <cellStyle name="20% - Isticanje2 2 3 2" xfId="4840" xr:uid="{00000000-0005-0000-0000-00001C030000}"/>
    <cellStyle name="20% - Isticanje2 2 3 2 2" xfId="5289" xr:uid="{00000000-0005-0000-0000-00001D030000}"/>
    <cellStyle name="20% - Isticanje2 2 3 3" xfId="5288" xr:uid="{00000000-0005-0000-0000-00001E030000}"/>
    <cellStyle name="20% - Isticanje2 2 4" xfId="4841" xr:uid="{00000000-0005-0000-0000-00001F030000}"/>
    <cellStyle name="20% - Isticanje2 2 4 2" xfId="5290" xr:uid="{00000000-0005-0000-0000-000020030000}"/>
    <cellStyle name="20% - Isticanje2 2 5" xfId="1199" xr:uid="{00000000-0005-0000-0000-000021030000}"/>
    <cellStyle name="20% - Isticanje2 3" xfId="63" xr:uid="{00000000-0005-0000-0000-000022030000}"/>
    <cellStyle name="20% - Isticanje2 3 2" xfId="1198" xr:uid="{00000000-0005-0000-0000-000023030000}"/>
    <cellStyle name="20% - Isticanje3 1" xfId="64" xr:uid="{00000000-0005-0000-0000-000024030000}"/>
    <cellStyle name="20% - Isticanje3 2" xfId="65" xr:uid="{00000000-0005-0000-0000-000025030000}"/>
    <cellStyle name="20% - Isticanje3 2 2" xfId="1203" xr:uid="{00000000-0005-0000-0000-000026030000}"/>
    <cellStyle name="20% - Isticanje3 2 2 2" xfId="4842" xr:uid="{00000000-0005-0000-0000-000027030000}"/>
    <cellStyle name="20% - Isticanje3 2 2 2 2" xfId="5291" xr:uid="{00000000-0005-0000-0000-000028030000}"/>
    <cellStyle name="20% - Isticanje3 2 3" xfId="4843" xr:uid="{00000000-0005-0000-0000-000029030000}"/>
    <cellStyle name="20% - Isticanje3 2 3 2" xfId="4844" xr:uid="{00000000-0005-0000-0000-00002A030000}"/>
    <cellStyle name="20% - Isticanje3 2 3 2 2" xfId="5293" xr:uid="{00000000-0005-0000-0000-00002B030000}"/>
    <cellStyle name="20% - Isticanje3 2 3 3" xfId="5292" xr:uid="{00000000-0005-0000-0000-00002C030000}"/>
    <cellStyle name="20% - Isticanje3 2 4" xfId="4845" xr:uid="{00000000-0005-0000-0000-00002D030000}"/>
    <cellStyle name="20% - Isticanje3 2 4 2" xfId="5294" xr:uid="{00000000-0005-0000-0000-00002E030000}"/>
    <cellStyle name="20% - Isticanje3 2 5" xfId="1202" xr:uid="{00000000-0005-0000-0000-00002F030000}"/>
    <cellStyle name="20% - Isticanje3 3" xfId="66" xr:uid="{00000000-0005-0000-0000-000030030000}"/>
    <cellStyle name="20% - Isticanje3 3 2" xfId="1201" xr:uid="{00000000-0005-0000-0000-000031030000}"/>
    <cellStyle name="20% - Isticanje4 1" xfId="67" xr:uid="{00000000-0005-0000-0000-000032030000}"/>
    <cellStyle name="20% - Isticanje4 2" xfId="68" xr:uid="{00000000-0005-0000-0000-000033030000}"/>
    <cellStyle name="20% - Isticanje4 2 2" xfId="1206" xr:uid="{00000000-0005-0000-0000-000034030000}"/>
    <cellStyle name="20% - Isticanje4 2 2 2" xfId="4846" xr:uid="{00000000-0005-0000-0000-000035030000}"/>
    <cellStyle name="20% - Isticanje4 2 2 2 2" xfId="5295" xr:uid="{00000000-0005-0000-0000-000036030000}"/>
    <cellStyle name="20% - Isticanje4 2 3" xfId="4847" xr:uid="{00000000-0005-0000-0000-000037030000}"/>
    <cellStyle name="20% - Isticanje4 2 3 2" xfId="4848" xr:uid="{00000000-0005-0000-0000-000038030000}"/>
    <cellStyle name="20% - Isticanje4 2 3 2 2" xfId="5297" xr:uid="{00000000-0005-0000-0000-000039030000}"/>
    <cellStyle name="20% - Isticanje4 2 3 3" xfId="5296" xr:uid="{00000000-0005-0000-0000-00003A030000}"/>
    <cellStyle name="20% - Isticanje4 2 4" xfId="4849" xr:uid="{00000000-0005-0000-0000-00003B030000}"/>
    <cellStyle name="20% - Isticanje4 2 4 2" xfId="5298" xr:uid="{00000000-0005-0000-0000-00003C030000}"/>
    <cellStyle name="20% - Isticanje4 2 5" xfId="1205" xr:uid="{00000000-0005-0000-0000-00003D030000}"/>
    <cellStyle name="20% - Isticanje4 3" xfId="69" xr:uid="{00000000-0005-0000-0000-00003E030000}"/>
    <cellStyle name="20% - Isticanje4 3 2" xfId="1204" xr:uid="{00000000-0005-0000-0000-00003F030000}"/>
    <cellStyle name="20% - Isticanje5 1" xfId="70" xr:uid="{00000000-0005-0000-0000-000040030000}"/>
    <cellStyle name="20% - Isticanje5 2" xfId="71" xr:uid="{00000000-0005-0000-0000-000041030000}"/>
    <cellStyle name="20% - Isticanje5 2 2" xfId="4850" xr:uid="{00000000-0005-0000-0000-000042030000}"/>
    <cellStyle name="20% - Isticanje5 2 2 2" xfId="4851" xr:uid="{00000000-0005-0000-0000-000043030000}"/>
    <cellStyle name="20% - Isticanje5 2 2 2 2" xfId="5300" xr:uid="{00000000-0005-0000-0000-000044030000}"/>
    <cellStyle name="20% - Isticanje5 2 2 3" xfId="5299" xr:uid="{00000000-0005-0000-0000-000045030000}"/>
    <cellStyle name="20% - Isticanje5 2 3" xfId="4852" xr:uid="{00000000-0005-0000-0000-000046030000}"/>
    <cellStyle name="20% - Isticanje5 2 3 2" xfId="4853" xr:uid="{00000000-0005-0000-0000-000047030000}"/>
    <cellStyle name="20% - Isticanje5 2 3 2 2" xfId="5302" xr:uid="{00000000-0005-0000-0000-000048030000}"/>
    <cellStyle name="20% - Isticanje5 2 3 3" xfId="5301" xr:uid="{00000000-0005-0000-0000-000049030000}"/>
    <cellStyle name="20% - Isticanje5 2 4" xfId="4854" xr:uid="{00000000-0005-0000-0000-00004A030000}"/>
    <cellStyle name="20% - Isticanje5 2 4 2" xfId="5303" xr:uid="{00000000-0005-0000-0000-00004B030000}"/>
    <cellStyle name="20% - Isticanje5 2 5" xfId="1208" xr:uid="{00000000-0005-0000-0000-00004C030000}"/>
    <cellStyle name="20% - Isticanje5 3" xfId="72" xr:uid="{00000000-0005-0000-0000-00004D030000}"/>
    <cellStyle name="20% - Isticanje5 3 2" xfId="1207" xr:uid="{00000000-0005-0000-0000-00004E030000}"/>
    <cellStyle name="20% - Isticanje6 1" xfId="73" xr:uid="{00000000-0005-0000-0000-00004F030000}"/>
    <cellStyle name="20% - Isticanje6 2" xfId="74" xr:uid="{00000000-0005-0000-0000-000050030000}"/>
    <cellStyle name="20% - Isticanje6 2 2" xfId="1211" xr:uid="{00000000-0005-0000-0000-000051030000}"/>
    <cellStyle name="20% - Isticanje6 2 2 2" xfId="4855" xr:uid="{00000000-0005-0000-0000-000052030000}"/>
    <cellStyle name="20% - Isticanje6 2 2 2 2" xfId="5304" xr:uid="{00000000-0005-0000-0000-000053030000}"/>
    <cellStyle name="20% - Isticanje6 2 3" xfId="4856" xr:uid="{00000000-0005-0000-0000-000054030000}"/>
    <cellStyle name="20% - Isticanje6 2 3 2" xfId="4857" xr:uid="{00000000-0005-0000-0000-000055030000}"/>
    <cellStyle name="20% - Isticanje6 2 3 2 2" xfId="5306" xr:uid="{00000000-0005-0000-0000-000056030000}"/>
    <cellStyle name="20% - Isticanje6 2 3 3" xfId="5305" xr:uid="{00000000-0005-0000-0000-000057030000}"/>
    <cellStyle name="20% - Isticanje6 2 4" xfId="4858" xr:uid="{00000000-0005-0000-0000-000058030000}"/>
    <cellStyle name="20% - Isticanje6 2 4 2" xfId="5307" xr:uid="{00000000-0005-0000-0000-000059030000}"/>
    <cellStyle name="20% - Isticanje6 2 5" xfId="1210" xr:uid="{00000000-0005-0000-0000-00005A030000}"/>
    <cellStyle name="20% - Isticanje6 3" xfId="75" xr:uid="{00000000-0005-0000-0000-00005B030000}"/>
    <cellStyle name="20% - Isticanje6 3 2" xfId="1209" xr:uid="{00000000-0005-0000-0000-00005C030000}"/>
    <cellStyle name="2-izmjena" xfId="76" xr:uid="{00000000-0005-0000-0000-00005D030000}"/>
    <cellStyle name="3. jed.mjere" xfId="77" xr:uid="{00000000-0005-0000-0000-00005E030000}"/>
    <cellStyle name="3-pitanje" xfId="78" xr:uid="{00000000-0005-0000-0000-00005F030000}"/>
    <cellStyle name="4. količina" xfId="79" xr:uid="{00000000-0005-0000-0000-000060030000}"/>
    <cellStyle name="4. količina 2" xfId="1135" xr:uid="{00000000-0005-0000-0000-000061030000}"/>
    <cellStyle name="4. količina 2 2" xfId="1178" xr:uid="{00000000-0005-0000-0000-000062030000}"/>
    <cellStyle name="4. količina 3" xfId="1173" xr:uid="{00000000-0005-0000-0000-000063030000}"/>
    <cellStyle name="40% - Accent1 1" xfId="80" xr:uid="{00000000-0005-0000-0000-000064030000}"/>
    <cellStyle name="40% - Accent1 1 1" xfId="81" xr:uid="{00000000-0005-0000-0000-000065030000}"/>
    <cellStyle name="40% - Accent1 1_HRVATSKE_SUME_71_5.Privremena" xfId="82" xr:uid="{00000000-0005-0000-0000-000066030000}"/>
    <cellStyle name="40% - Accent1 10" xfId="4859" xr:uid="{00000000-0005-0000-0000-000067030000}"/>
    <cellStyle name="40% - Accent1 11" xfId="4860" xr:uid="{00000000-0005-0000-0000-000068030000}"/>
    <cellStyle name="40% - Accent1 11 2" xfId="5308" xr:uid="{00000000-0005-0000-0000-000069030000}"/>
    <cellStyle name="40% - Accent1 2" xfId="83" xr:uid="{00000000-0005-0000-0000-00006A030000}"/>
    <cellStyle name="40% - Accent1 2 10" xfId="2080" xr:uid="{00000000-0005-0000-0000-00006B030000}"/>
    <cellStyle name="40% - Accent1 2 11" xfId="2081" xr:uid="{00000000-0005-0000-0000-00006C030000}"/>
    <cellStyle name="40% - Accent1 2 12" xfId="2082" xr:uid="{00000000-0005-0000-0000-00006D030000}"/>
    <cellStyle name="40% - Accent1 2 13" xfId="2083" xr:uid="{00000000-0005-0000-0000-00006E030000}"/>
    <cellStyle name="40% - Accent1 2 14" xfId="2084" xr:uid="{00000000-0005-0000-0000-00006F030000}"/>
    <cellStyle name="40% - Accent1 2 15" xfId="2085" xr:uid="{00000000-0005-0000-0000-000070030000}"/>
    <cellStyle name="40% - Accent1 2 15 2" xfId="2086" xr:uid="{00000000-0005-0000-0000-000071030000}"/>
    <cellStyle name="40% - Accent1 2 15 2 2" xfId="2087" xr:uid="{00000000-0005-0000-0000-000072030000}"/>
    <cellStyle name="40% - Accent1 2 15 2 2 2" xfId="2088" xr:uid="{00000000-0005-0000-0000-000073030000}"/>
    <cellStyle name="40% - Accent1 2 15 2 2 2 2" xfId="2089" xr:uid="{00000000-0005-0000-0000-000074030000}"/>
    <cellStyle name="40% - Accent1 2 15 2 2 2 2 2" xfId="2090" xr:uid="{00000000-0005-0000-0000-000075030000}"/>
    <cellStyle name="40% - Accent1 2 15 2 2 2 2 3" xfId="2091" xr:uid="{00000000-0005-0000-0000-000076030000}"/>
    <cellStyle name="40% - Accent1 2 15 2 2 2 3" xfId="2092" xr:uid="{00000000-0005-0000-0000-000077030000}"/>
    <cellStyle name="40% - Accent1 2 15 2 2 3" xfId="2093" xr:uid="{00000000-0005-0000-0000-000078030000}"/>
    <cellStyle name="40% - Accent1 2 15 2 2 4" xfId="2094" xr:uid="{00000000-0005-0000-0000-000079030000}"/>
    <cellStyle name="40% - Accent1 2 15 2 3" xfId="2095" xr:uid="{00000000-0005-0000-0000-00007A030000}"/>
    <cellStyle name="40% - Accent1 2 15 2 4" xfId="2096" xr:uid="{00000000-0005-0000-0000-00007B030000}"/>
    <cellStyle name="40% - Accent1 2 15 2 5" xfId="2097" xr:uid="{00000000-0005-0000-0000-00007C030000}"/>
    <cellStyle name="40% - Accent1 2 15 2 5 2" xfId="2098" xr:uid="{00000000-0005-0000-0000-00007D030000}"/>
    <cellStyle name="40% - Accent1 2 15 2 5 3" xfId="2099" xr:uid="{00000000-0005-0000-0000-00007E030000}"/>
    <cellStyle name="40% - Accent1 2 15 2 6" xfId="2100" xr:uid="{00000000-0005-0000-0000-00007F030000}"/>
    <cellStyle name="40% - Accent1 2 15 3" xfId="2101" xr:uid="{00000000-0005-0000-0000-000080030000}"/>
    <cellStyle name="40% - Accent1 2 15 4" xfId="2102" xr:uid="{00000000-0005-0000-0000-000081030000}"/>
    <cellStyle name="40% - Accent1 2 15 4 2" xfId="2103" xr:uid="{00000000-0005-0000-0000-000082030000}"/>
    <cellStyle name="40% - Accent1 2 15 4 2 2" xfId="2104" xr:uid="{00000000-0005-0000-0000-000083030000}"/>
    <cellStyle name="40% - Accent1 2 15 4 2 2 2" xfId="2105" xr:uid="{00000000-0005-0000-0000-000084030000}"/>
    <cellStyle name="40% - Accent1 2 15 4 2 2 3" xfId="2106" xr:uid="{00000000-0005-0000-0000-000085030000}"/>
    <cellStyle name="40% - Accent1 2 15 4 2 3" xfId="2107" xr:uid="{00000000-0005-0000-0000-000086030000}"/>
    <cellStyle name="40% - Accent1 2 15 4 3" xfId="2108" xr:uid="{00000000-0005-0000-0000-000087030000}"/>
    <cellStyle name="40% - Accent1 2 15 4 4" xfId="2109" xr:uid="{00000000-0005-0000-0000-000088030000}"/>
    <cellStyle name="40% - Accent1 2 15 5" xfId="2110" xr:uid="{00000000-0005-0000-0000-000089030000}"/>
    <cellStyle name="40% - Accent1 2 15 6" xfId="2111" xr:uid="{00000000-0005-0000-0000-00008A030000}"/>
    <cellStyle name="40% - Accent1 2 15 6 2" xfId="2112" xr:uid="{00000000-0005-0000-0000-00008B030000}"/>
    <cellStyle name="40% - Accent1 2 15 6 3" xfId="2113" xr:uid="{00000000-0005-0000-0000-00008C030000}"/>
    <cellStyle name="40% - Accent1 2 15 7" xfId="2114" xr:uid="{00000000-0005-0000-0000-00008D030000}"/>
    <cellStyle name="40% - Accent1 2 16" xfId="2115" xr:uid="{00000000-0005-0000-0000-00008E030000}"/>
    <cellStyle name="40% - Accent1 2 17" xfId="2116" xr:uid="{00000000-0005-0000-0000-00008F030000}"/>
    <cellStyle name="40% - Accent1 2 18" xfId="2117" xr:uid="{00000000-0005-0000-0000-000090030000}"/>
    <cellStyle name="40% - Accent1 2 19" xfId="2118" xr:uid="{00000000-0005-0000-0000-000091030000}"/>
    <cellStyle name="40% - Accent1 2 2" xfId="84" xr:uid="{00000000-0005-0000-0000-000092030000}"/>
    <cellStyle name="40% - Accent1 2 2 2" xfId="2119" xr:uid="{00000000-0005-0000-0000-000093030000}"/>
    <cellStyle name="40% - Accent1 2 20" xfId="2120" xr:uid="{00000000-0005-0000-0000-000094030000}"/>
    <cellStyle name="40% - Accent1 2 21" xfId="2121" xr:uid="{00000000-0005-0000-0000-000095030000}"/>
    <cellStyle name="40% - Accent1 2 22" xfId="2122" xr:uid="{00000000-0005-0000-0000-000096030000}"/>
    <cellStyle name="40% - Accent1 2 23" xfId="2123" xr:uid="{00000000-0005-0000-0000-000097030000}"/>
    <cellStyle name="40% - Accent1 2 24" xfId="2124" xr:uid="{00000000-0005-0000-0000-000098030000}"/>
    <cellStyle name="40% - Accent1 2 25" xfId="2125" xr:uid="{00000000-0005-0000-0000-000099030000}"/>
    <cellStyle name="40% - Accent1 2 26" xfId="2126" xr:uid="{00000000-0005-0000-0000-00009A030000}"/>
    <cellStyle name="40% - Accent1 2 27" xfId="2127" xr:uid="{00000000-0005-0000-0000-00009B030000}"/>
    <cellStyle name="40% - Accent1 2 28" xfId="2128" xr:uid="{00000000-0005-0000-0000-00009C030000}"/>
    <cellStyle name="40% - Accent1 2 29" xfId="2129" xr:uid="{00000000-0005-0000-0000-00009D030000}"/>
    <cellStyle name="40% - Accent1 2 3" xfId="85" xr:uid="{00000000-0005-0000-0000-00009E030000}"/>
    <cellStyle name="40% - Accent1 2 30" xfId="2130" xr:uid="{00000000-0005-0000-0000-00009F030000}"/>
    <cellStyle name="40% - Accent1 2 31" xfId="2131" xr:uid="{00000000-0005-0000-0000-0000A0030000}"/>
    <cellStyle name="40% - Accent1 2 32" xfId="2132" xr:uid="{00000000-0005-0000-0000-0000A1030000}"/>
    <cellStyle name="40% - Accent1 2 33" xfId="2133" xr:uid="{00000000-0005-0000-0000-0000A2030000}"/>
    <cellStyle name="40% - Accent1 2 4" xfId="2134" xr:uid="{00000000-0005-0000-0000-0000A3030000}"/>
    <cellStyle name="40% - Accent1 2 5" xfId="2135" xr:uid="{00000000-0005-0000-0000-0000A4030000}"/>
    <cellStyle name="40% - Accent1 2 6" xfId="2136" xr:uid="{00000000-0005-0000-0000-0000A5030000}"/>
    <cellStyle name="40% - Accent1 2 7" xfId="2137" xr:uid="{00000000-0005-0000-0000-0000A6030000}"/>
    <cellStyle name="40% - Accent1 2 8" xfId="2138" xr:uid="{00000000-0005-0000-0000-0000A7030000}"/>
    <cellStyle name="40% - Accent1 2 9" xfId="2139" xr:uid="{00000000-0005-0000-0000-0000A8030000}"/>
    <cellStyle name="40% - Accent1 3" xfId="2140" xr:uid="{00000000-0005-0000-0000-0000A9030000}"/>
    <cellStyle name="40% - Accent1 3 10" xfId="2141" xr:uid="{00000000-0005-0000-0000-0000AA030000}"/>
    <cellStyle name="40% - Accent1 3 11" xfId="2142" xr:uid="{00000000-0005-0000-0000-0000AB030000}"/>
    <cellStyle name="40% - Accent1 3 12" xfId="2143" xr:uid="{00000000-0005-0000-0000-0000AC030000}"/>
    <cellStyle name="40% - Accent1 3 13" xfId="2144" xr:uid="{00000000-0005-0000-0000-0000AD030000}"/>
    <cellStyle name="40% - Accent1 3 14" xfId="2145" xr:uid="{00000000-0005-0000-0000-0000AE030000}"/>
    <cellStyle name="40% - Accent1 3 15" xfId="2146" xr:uid="{00000000-0005-0000-0000-0000AF030000}"/>
    <cellStyle name="40% - Accent1 3 16" xfId="2147" xr:uid="{00000000-0005-0000-0000-0000B0030000}"/>
    <cellStyle name="40% - Accent1 3 17" xfId="2148" xr:uid="{00000000-0005-0000-0000-0000B1030000}"/>
    <cellStyle name="40% - Accent1 3 18" xfId="2149" xr:uid="{00000000-0005-0000-0000-0000B2030000}"/>
    <cellStyle name="40% - Accent1 3 19" xfId="2150" xr:uid="{00000000-0005-0000-0000-0000B3030000}"/>
    <cellStyle name="40% - Accent1 3 2" xfId="2151" xr:uid="{00000000-0005-0000-0000-0000B4030000}"/>
    <cellStyle name="40% - Accent1 3 20" xfId="2152" xr:uid="{00000000-0005-0000-0000-0000B5030000}"/>
    <cellStyle name="40% - Accent1 3 21" xfId="2153" xr:uid="{00000000-0005-0000-0000-0000B6030000}"/>
    <cellStyle name="40% - Accent1 3 22" xfId="2154" xr:uid="{00000000-0005-0000-0000-0000B7030000}"/>
    <cellStyle name="40% - Accent1 3 23" xfId="2155" xr:uid="{00000000-0005-0000-0000-0000B8030000}"/>
    <cellStyle name="40% - Accent1 3 24" xfId="2156" xr:uid="{00000000-0005-0000-0000-0000B9030000}"/>
    <cellStyle name="40% - Accent1 3 25" xfId="2157" xr:uid="{00000000-0005-0000-0000-0000BA030000}"/>
    <cellStyle name="40% - Accent1 3 26" xfId="2158" xr:uid="{00000000-0005-0000-0000-0000BB030000}"/>
    <cellStyle name="40% - Accent1 3 27" xfId="2159" xr:uid="{00000000-0005-0000-0000-0000BC030000}"/>
    <cellStyle name="40% - Accent1 3 28" xfId="2160" xr:uid="{00000000-0005-0000-0000-0000BD030000}"/>
    <cellStyle name="40% - Accent1 3 3" xfId="2161" xr:uid="{00000000-0005-0000-0000-0000BE030000}"/>
    <cellStyle name="40% - Accent1 3 4" xfId="2162" xr:uid="{00000000-0005-0000-0000-0000BF030000}"/>
    <cellStyle name="40% - Accent1 3 5" xfId="2163" xr:uid="{00000000-0005-0000-0000-0000C0030000}"/>
    <cellStyle name="40% - Accent1 3 6" xfId="2164" xr:uid="{00000000-0005-0000-0000-0000C1030000}"/>
    <cellStyle name="40% - Accent1 3 7" xfId="2165" xr:uid="{00000000-0005-0000-0000-0000C2030000}"/>
    <cellStyle name="40% - Accent1 3 8" xfId="2166" xr:uid="{00000000-0005-0000-0000-0000C3030000}"/>
    <cellStyle name="40% - Accent1 3 9" xfId="2167" xr:uid="{00000000-0005-0000-0000-0000C4030000}"/>
    <cellStyle name="40% - Accent1 4" xfId="2168" xr:uid="{00000000-0005-0000-0000-0000C5030000}"/>
    <cellStyle name="40% - Accent1 4 10" xfId="2169" xr:uid="{00000000-0005-0000-0000-0000C6030000}"/>
    <cellStyle name="40% - Accent1 4 11" xfId="2170" xr:uid="{00000000-0005-0000-0000-0000C7030000}"/>
    <cellStyle name="40% - Accent1 4 12" xfId="2171" xr:uid="{00000000-0005-0000-0000-0000C8030000}"/>
    <cellStyle name="40% - Accent1 4 13" xfId="2172" xr:uid="{00000000-0005-0000-0000-0000C9030000}"/>
    <cellStyle name="40% - Accent1 4 14" xfId="2173" xr:uid="{00000000-0005-0000-0000-0000CA030000}"/>
    <cellStyle name="40% - Accent1 4 15" xfId="2174" xr:uid="{00000000-0005-0000-0000-0000CB030000}"/>
    <cellStyle name="40% - Accent1 4 16" xfId="2175" xr:uid="{00000000-0005-0000-0000-0000CC030000}"/>
    <cellStyle name="40% - Accent1 4 17" xfId="2176" xr:uid="{00000000-0005-0000-0000-0000CD030000}"/>
    <cellStyle name="40% - Accent1 4 18" xfId="2177" xr:uid="{00000000-0005-0000-0000-0000CE030000}"/>
    <cellStyle name="40% - Accent1 4 19" xfId="2178" xr:uid="{00000000-0005-0000-0000-0000CF030000}"/>
    <cellStyle name="40% - Accent1 4 2" xfId="2179" xr:uid="{00000000-0005-0000-0000-0000D0030000}"/>
    <cellStyle name="40% - Accent1 4 20" xfId="2180" xr:uid="{00000000-0005-0000-0000-0000D1030000}"/>
    <cellStyle name="40% - Accent1 4 21" xfId="2181" xr:uid="{00000000-0005-0000-0000-0000D2030000}"/>
    <cellStyle name="40% - Accent1 4 22" xfId="2182" xr:uid="{00000000-0005-0000-0000-0000D3030000}"/>
    <cellStyle name="40% - Accent1 4 23" xfId="2183" xr:uid="{00000000-0005-0000-0000-0000D4030000}"/>
    <cellStyle name="40% - Accent1 4 24" xfId="2184" xr:uid="{00000000-0005-0000-0000-0000D5030000}"/>
    <cellStyle name="40% - Accent1 4 25" xfId="2185" xr:uid="{00000000-0005-0000-0000-0000D6030000}"/>
    <cellStyle name="40% - Accent1 4 3" xfId="2186" xr:uid="{00000000-0005-0000-0000-0000D7030000}"/>
    <cellStyle name="40% - Accent1 4 4" xfId="2187" xr:uid="{00000000-0005-0000-0000-0000D8030000}"/>
    <cellStyle name="40% - Accent1 4 5" xfId="2188" xr:uid="{00000000-0005-0000-0000-0000D9030000}"/>
    <cellStyle name="40% - Accent1 4 6" xfId="2189" xr:uid="{00000000-0005-0000-0000-0000DA030000}"/>
    <cellStyle name="40% - Accent1 4 7" xfId="2190" xr:uid="{00000000-0005-0000-0000-0000DB030000}"/>
    <cellStyle name="40% - Accent1 4 8" xfId="2191" xr:uid="{00000000-0005-0000-0000-0000DC030000}"/>
    <cellStyle name="40% - Accent1 4 9" xfId="2192" xr:uid="{00000000-0005-0000-0000-0000DD030000}"/>
    <cellStyle name="40% - Accent1 5" xfId="4861" xr:uid="{00000000-0005-0000-0000-0000DE030000}"/>
    <cellStyle name="40% - Accent1 6" xfId="4862" xr:uid="{00000000-0005-0000-0000-0000DF030000}"/>
    <cellStyle name="40% - Accent1 7" xfId="4863" xr:uid="{00000000-0005-0000-0000-0000E0030000}"/>
    <cellStyle name="40% - Accent1 8" xfId="4864" xr:uid="{00000000-0005-0000-0000-0000E1030000}"/>
    <cellStyle name="40% - Accent1 9" xfId="4865" xr:uid="{00000000-0005-0000-0000-0000E2030000}"/>
    <cellStyle name="40% - Accent2 1" xfId="86" xr:uid="{00000000-0005-0000-0000-0000E3030000}"/>
    <cellStyle name="40% - Accent2 1 1" xfId="87" xr:uid="{00000000-0005-0000-0000-0000E4030000}"/>
    <cellStyle name="40% - Accent2 1_HRVATSKE_SUME_71_5.Privremena" xfId="88" xr:uid="{00000000-0005-0000-0000-0000E5030000}"/>
    <cellStyle name="40% - Accent2 10" xfId="4866" xr:uid="{00000000-0005-0000-0000-0000E6030000}"/>
    <cellStyle name="40% - Accent2 11" xfId="4867" xr:uid="{00000000-0005-0000-0000-0000E7030000}"/>
    <cellStyle name="40% - Accent2 11 2" xfId="5309" xr:uid="{00000000-0005-0000-0000-0000E8030000}"/>
    <cellStyle name="40% - Accent2 2" xfId="89" xr:uid="{00000000-0005-0000-0000-0000E9030000}"/>
    <cellStyle name="40% - Accent2 2 10" xfId="2193" xr:uid="{00000000-0005-0000-0000-0000EA030000}"/>
    <cellStyle name="40% - Accent2 2 11" xfId="2194" xr:uid="{00000000-0005-0000-0000-0000EB030000}"/>
    <cellStyle name="40% - Accent2 2 12" xfId="2195" xr:uid="{00000000-0005-0000-0000-0000EC030000}"/>
    <cellStyle name="40% - Accent2 2 13" xfId="2196" xr:uid="{00000000-0005-0000-0000-0000ED030000}"/>
    <cellStyle name="40% - Accent2 2 14" xfId="2197" xr:uid="{00000000-0005-0000-0000-0000EE030000}"/>
    <cellStyle name="40% - Accent2 2 15" xfId="2198" xr:uid="{00000000-0005-0000-0000-0000EF030000}"/>
    <cellStyle name="40% - Accent2 2 15 2" xfId="2199" xr:uid="{00000000-0005-0000-0000-0000F0030000}"/>
    <cellStyle name="40% - Accent2 2 15 2 2" xfId="2200" xr:uid="{00000000-0005-0000-0000-0000F1030000}"/>
    <cellStyle name="40% - Accent2 2 15 2 2 2" xfId="2201" xr:uid="{00000000-0005-0000-0000-0000F2030000}"/>
    <cellStyle name="40% - Accent2 2 15 2 2 2 2" xfId="2202" xr:uid="{00000000-0005-0000-0000-0000F3030000}"/>
    <cellStyle name="40% - Accent2 2 15 2 2 2 2 2" xfId="2203" xr:uid="{00000000-0005-0000-0000-0000F4030000}"/>
    <cellStyle name="40% - Accent2 2 15 2 2 2 2 3" xfId="2204" xr:uid="{00000000-0005-0000-0000-0000F5030000}"/>
    <cellStyle name="40% - Accent2 2 15 2 2 2 3" xfId="2205" xr:uid="{00000000-0005-0000-0000-0000F6030000}"/>
    <cellStyle name="40% - Accent2 2 15 2 2 3" xfId="2206" xr:uid="{00000000-0005-0000-0000-0000F7030000}"/>
    <cellStyle name="40% - Accent2 2 15 2 2 4" xfId="2207" xr:uid="{00000000-0005-0000-0000-0000F8030000}"/>
    <cellStyle name="40% - Accent2 2 15 2 3" xfId="2208" xr:uid="{00000000-0005-0000-0000-0000F9030000}"/>
    <cellStyle name="40% - Accent2 2 15 2 4" xfId="2209" xr:uid="{00000000-0005-0000-0000-0000FA030000}"/>
    <cellStyle name="40% - Accent2 2 15 2 5" xfId="2210" xr:uid="{00000000-0005-0000-0000-0000FB030000}"/>
    <cellStyle name="40% - Accent2 2 15 2 5 2" xfId="2211" xr:uid="{00000000-0005-0000-0000-0000FC030000}"/>
    <cellStyle name="40% - Accent2 2 15 2 5 3" xfId="2212" xr:uid="{00000000-0005-0000-0000-0000FD030000}"/>
    <cellStyle name="40% - Accent2 2 15 2 6" xfId="2213" xr:uid="{00000000-0005-0000-0000-0000FE030000}"/>
    <cellStyle name="40% - Accent2 2 15 3" xfId="2214" xr:uid="{00000000-0005-0000-0000-0000FF030000}"/>
    <cellStyle name="40% - Accent2 2 15 4" xfId="2215" xr:uid="{00000000-0005-0000-0000-000000040000}"/>
    <cellStyle name="40% - Accent2 2 15 4 2" xfId="2216" xr:uid="{00000000-0005-0000-0000-000001040000}"/>
    <cellStyle name="40% - Accent2 2 15 4 2 2" xfId="2217" xr:uid="{00000000-0005-0000-0000-000002040000}"/>
    <cellStyle name="40% - Accent2 2 15 4 2 2 2" xfId="2218" xr:uid="{00000000-0005-0000-0000-000003040000}"/>
    <cellStyle name="40% - Accent2 2 15 4 2 2 3" xfId="2219" xr:uid="{00000000-0005-0000-0000-000004040000}"/>
    <cellStyle name="40% - Accent2 2 15 4 2 3" xfId="2220" xr:uid="{00000000-0005-0000-0000-000005040000}"/>
    <cellStyle name="40% - Accent2 2 15 4 3" xfId="2221" xr:uid="{00000000-0005-0000-0000-000006040000}"/>
    <cellStyle name="40% - Accent2 2 15 4 4" xfId="2222" xr:uid="{00000000-0005-0000-0000-000007040000}"/>
    <cellStyle name="40% - Accent2 2 15 5" xfId="2223" xr:uid="{00000000-0005-0000-0000-000008040000}"/>
    <cellStyle name="40% - Accent2 2 15 6" xfId="2224" xr:uid="{00000000-0005-0000-0000-000009040000}"/>
    <cellStyle name="40% - Accent2 2 15 6 2" xfId="2225" xr:uid="{00000000-0005-0000-0000-00000A040000}"/>
    <cellStyle name="40% - Accent2 2 15 6 3" xfId="2226" xr:uid="{00000000-0005-0000-0000-00000B040000}"/>
    <cellStyle name="40% - Accent2 2 15 7" xfId="2227" xr:uid="{00000000-0005-0000-0000-00000C040000}"/>
    <cellStyle name="40% - Accent2 2 16" xfId="2228" xr:uid="{00000000-0005-0000-0000-00000D040000}"/>
    <cellStyle name="40% - Accent2 2 17" xfId="2229" xr:uid="{00000000-0005-0000-0000-00000E040000}"/>
    <cellStyle name="40% - Accent2 2 18" xfId="2230" xr:uid="{00000000-0005-0000-0000-00000F040000}"/>
    <cellStyle name="40% - Accent2 2 19" xfId="2231" xr:uid="{00000000-0005-0000-0000-000010040000}"/>
    <cellStyle name="40% - Accent2 2 2" xfId="90" xr:uid="{00000000-0005-0000-0000-000011040000}"/>
    <cellStyle name="40% - Accent2 2 2 2" xfId="2232" xr:uid="{00000000-0005-0000-0000-000012040000}"/>
    <cellStyle name="40% - Accent2 2 20" xfId="2233" xr:uid="{00000000-0005-0000-0000-000013040000}"/>
    <cellStyle name="40% - Accent2 2 21" xfId="2234" xr:uid="{00000000-0005-0000-0000-000014040000}"/>
    <cellStyle name="40% - Accent2 2 22" xfId="2235" xr:uid="{00000000-0005-0000-0000-000015040000}"/>
    <cellStyle name="40% - Accent2 2 23" xfId="2236" xr:uid="{00000000-0005-0000-0000-000016040000}"/>
    <cellStyle name="40% - Accent2 2 24" xfId="2237" xr:uid="{00000000-0005-0000-0000-000017040000}"/>
    <cellStyle name="40% - Accent2 2 25" xfId="2238" xr:uid="{00000000-0005-0000-0000-000018040000}"/>
    <cellStyle name="40% - Accent2 2 26" xfId="2239" xr:uid="{00000000-0005-0000-0000-000019040000}"/>
    <cellStyle name="40% - Accent2 2 27" xfId="2240" xr:uid="{00000000-0005-0000-0000-00001A040000}"/>
    <cellStyle name="40% - Accent2 2 28" xfId="2241" xr:uid="{00000000-0005-0000-0000-00001B040000}"/>
    <cellStyle name="40% - Accent2 2 29" xfId="2242" xr:uid="{00000000-0005-0000-0000-00001C040000}"/>
    <cellStyle name="40% - Accent2 2 3" xfId="91" xr:uid="{00000000-0005-0000-0000-00001D040000}"/>
    <cellStyle name="40% - Accent2 2 30" xfId="2243" xr:uid="{00000000-0005-0000-0000-00001E040000}"/>
    <cellStyle name="40% - Accent2 2 31" xfId="2244" xr:uid="{00000000-0005-0000-0000-00001F040000}"/>
    <cellStyle name="40% - Accent2 2 32" xfId="2245" xr:uid="{00000000-0005-0000-0000-000020040000}"/>
    <cellStyle name="40% - Accent2 2 33" xfId="2246" xr:uid="{00000000-0005-0000-0000-000021040000}"/>
    <cellStyle name="40% - Accent2 2 4" xfId="2247" xr:uid="{00000000-0005-0000-0000-000022040000}"/>
    <cellStyle name="40% - Accent2 2 5" xfId="2248" xr:uid="{00000000-0005-0000-0000-000023040000}"/>
    <cellStyle name="40% - Accent2 2 6" xfId="2249" xr:uid="{00000000-0005-0000-0000-000024040000}"/>
    <cellStyle name="40% - Accent2 2 7" xfId="2250" xr:uid="{00000000-0005-0000-0000-000025040000}"/>
    <cellStyle name="40% - Accent2 2 8" xfId="2251" xr:uid="{00000000-0005-0000-0000-000026040000}"/>
    <cellStyle name="40% - Accent2 2 9" xfId="2252" xr:uid="{00000000-0005-0000-0000-000027040000}"/>
    <cellStyle name="40% - Accent2 3" xfId="2253" xr:uid="{00000000-0005-0000-0000-000028040000}"/>
    <cellStyle name="40% - Accent2 3 10" xfId="2254" xr:uid="{00000000-0005-0000-0000-000029040000}"/>
    <cellStyle name="40% - Accent2 3 11" xfId="2255" xr:uid="{00000000-0005-0000-0000-00002A040000}"/>
    <cellStyle name="40% - Accent2 3 12" xfId="2256" xr:uid="{00000000-0005-0000-0000-00002B040000}"/>
    <cellStyle name="40% - Accent2 3 13" xfId="2257" xr:uid="{00000000-0005-0000-0000-00002C040000}"/>
    <cellStyle name="40% - Accent2 3 14" xfId="2258" xr:uid="{00000000-0005-0000-0000-00002D040000}"/>
    <cellStyle name="40% - Accent2 3 15" xfId="2259" xr:uid="{00000000-0005-0000-0000-00002E040000}"/>
    <cellStyle name="40% - Accent2 3 16" xfId="2260" xr:uid="{00000000-0005-0000-0000-00002F040000}"/>
    <cellStyle name="40% - Accent2 3 17" xfId="2261" xr:uid="{00000000-0005-0000-0000-000030040000}"/>
    <cellStyle name="40% - Accent2 3 18" xfId="2262" xr:uid="{00000000-0005-0000-0000-000031040000}"/>
    <cellStyle name="40% - Accent2 3 19" xfId="2263" xr:uid="{00000000-0005-0000-0000-000032040000}"/>
    <cellStyle name="40% - Accent2 3 2" xfId="2264" xr:uid="{00000000-0005-0000-0000-000033040000}"/>
    <cellStyle name="40% - Accent2 3 20" xfId="2265" xr:uid="{00000000-0005-0000-0000-000034040000}"/>
    <cellStyle name="40% - Accent2 3 21" xfId="2266" xr:uid="{00000000-0005-0000-0000-000035040000}"/>
    <cellStyle name="40% - Accent2 3 22" xfId="2267" xr:uid="{00000000-0005-0000-0000-000036040000}"/>
    <cellStyle name="40% - Accent2 3 23" xfId="2268" xr:uid="{00000000-0005-0000-0000-000037040000}"/>
    <cellStyle name="40% - Accent2 3 24" xfId="2269" xr:uid="{00000000-0005-0000-0000-000038040000}"/>
    <cellStyle name="40% - Accent2 3 25" xfId="2270" xr:uid="{00000000-0005-0000-0000-000039040000}"/>
    <cellStyle name="40% - Accent2 3 26" xfId="2271" xr:uid="{00000000-0005-0000-0000-00003A040000}"/>
    <cellStyle name="40% - Accent2 3 27" xfId="2272" xr:uid="{00000000-0005-0000-0000-00003B040000}"/>
    <cellStyle name="40% - Accent2 3 28" xfId="2273" xr:uid="{00000000-0005-0000-0000-00003C040000}"/>
    <cellStyle name="40% - Accent2 3 3" xfId="2274" xr:uid="{00000000-0005-0000-0000-00003D040000}"/>
    <cellStyle name="40% - Accent2 3 4" xfId="2275" xr:uid="{00000000-0005-0000-0000-00003E040000}"/>
    <cellStyle name="40% - Accent2 3 5" xfId="2276" xr:uid="{00000000-0005-0000-0000-00003F040000}"/>
    <cellStyle name="40% - Accent2 3 6" xfId="2277" xr:uid="{00000000-0005-0000-0000-000040040000}"/>
    <cellStyle name="40% - Accent2 3 7" xfId="2278" xr:uid="{00000000-0005-0000-0000-000041040000}"/>
    <cellStyle name="40% - Accent2 3 8" xfId="2279" xr:uid="{00000000-0005-0000-0000-000042040000}"/>
    <cellStyle name="40% - Accent2 3 9" xfId="2280" xr:uid="{00000000-0005-0000-0000-000043040000}"/>
    <cellStyle name="40% - Accent2 4" xfId="2281" xr:uid="{00000000-0005-0000-0000-000044040000}"/>
    <cellStyle name="40% - Accent2 4 10" xfId="2282" xr:uid="{00000000-0005-0000-0000-000045040000}"/>
    <cellStyle name="40% - Accent2 4 11" xfId="2283" xr:uid="{00000000-0005-0000-0000-000046040000}"/>
    <cellStyle name="40% - Accent2 4 12" xfId="2284" xr:uid="{00000000-0005-0000-0000-000047040000}"/>
    <cellStyle name="40% - Accent2 4 13" xfId="2285" xr:uid="{00000000-0005-0000-0000-000048040000}"/>
    <cellStyle name="40% - Accent2 4 14" xfId="2286" xr:uid="{00000000-0005-0000-0000-000049040000}"/>
    <cellStyle name="40% - Accent2 4 15" xfId="2287" xr:uid="{00000000-0005-0000-0000-00004A040000}"/>
    <cellStyle name="40% - Accent2 4 16" xfId="2288" xr:uid="{00000000-0005-0000-0000-00004B040000}"/>
    <cellStyle name="40% - Accent2 4 17" xfId="2289" xr:uid="{00000000-0005-0000-0000-00004C040000}"/>
    <cellStyle name="40% - Accent2 4 18" xfId="2290" xr:uid="{00000000-0005-0000-0000-00004D040000}"/>
    <cellStyle name="40% - Accent2 4 19" xfId="2291" xr:uid="{00000000-0005-0000-0000-00004E040000}"/>
    <cellStyle name="40% - Accent2 4 2" xfId="2292" xr:uid="{00000000-0005-0000-0000-00004F040000}"/>
    <cellStyle name="40% - Accent2 4 20" xfId="2293" xr:uid="{00000000-0005-0000-0000-000050040000}"/>
    <cellStyle name="40% - Accent2 4 21" xfId="2294" xr:uid="{00000000-0005-0000-0000-000051040000}"/>
    <cellStyle name="40% - Accent2 4 22" xfId="2295" xr:uid="{00000000-0005-0000-0000-000052040000}"/>
    <cellStyle name="40% - Accent2 4 23" xfId="2296" xr:uid="{00000000-0005-0000-0000-000053040000}"/>
    <cellStyle name="40% - Accent2 4 24" xfId="2297" xr:uid="{00000000-0005-0000-0000-000054040000}"/>
    <cellStyle name="40% - Accent2 4 25" xfId="2298" xr:uid="{00000000-0005-0000-0000-000055040000}"/>
    <cellStyle name="40% - Accent2 4 3" xfId="2299" xr:uid="{00000000-0005-0000-0000-000056040000}"/>
    <cellStyle name="40% - Accent2 4 4" xfId="2300" xr:uid="{00000000-0005-0000-0000-000057040000}"/>
    <cellStyle name="40% - Accent2 4 5" xfId="2301" xr:uid="{00000000-0005-0000-0000-000058040000}"/>
    <cellStyle name="40% - Accent2 4 6" xfId="2302" xr:uid="{00000000-0005-0000-0000-000059040000}"/>
    <cellStyle name="40% - Accent2 4 7" xfId="2303" xr:uid="{00000000-0005-0000-0000-00005A040000}"/>
    <cellStyle name="40% - Accent2 4 8" xfId="2304" xr:uid="{00000000-0005-0000-0000-00005B040000}"/>
    <cellStyle name="40% - Accent2 4 9" xfId="2305" xr:uid="{00000000-0005-0000-0000-00005C040000}"/>
    <cellStyle name="40% - Accent2 5" xfId="4868" xr:uid="{00000000-0005-0000-0000-00005D040000}"/>
    <cellStyle name="40% - Accent2 6" xfId="4869" xr:uid="{00000000-0005-0000-0000-00005E040000}"/>
    <cellStyle name="40% - Accent2 7" xfId="4870" xr:uid="{00000000-0005-0000-0000-00005F040000}"/>
    <cellStyle name="40% - Accent2 8" xfId="4871" xr:uid="{00000000-0005-0000-0000-000060040000}"/>
    <cellStyle name="40% - Accent2 9" xfId="4872" xr:uid="{00000000-0005-0000-0000-000061040000}"/>
    <cellStyle name="40% - Accent3 1" xfId="92" xr:uid="{00000000-0005-0000-0000-000062040000}"/>
    <cellStyle name="40% - Accent3 1 1" xfId="93" xr:uid="{00000000-0005-0000-0000-000063040000}"/>
    <cellStyle name="40% - Accent3 1_HRVATSKE_SUME_71_5.Privremena" xfId="94" xr:uid="{00000000-0005-0000-0000-000064040000}"/>
    <cellStyle name="40% - Accent3 10" xfId="4873" xr:uid="{00000000-0005-0000-0000-000065040000}"/>
    <cellStyle name="40% - Accent3 11" xfId="4874" xr:uid="{00000000-0005-0000-0000-000066040000}"/>
    <cellStyle name="40% - Accent3 11 2" xfId="5310" xr:uid="{00000000-0005-0000-0000-000067040000}"/>
    <cellStyle name="40% - Accent3 2" xfId="95" xr:uid="{00000000-0005-0000-0000-000068040000}"/>
    <cellStyle name="40% - Accent3 2 10" xfId="2306" xr:uid="{00000000-0005-0000-0000-000069040000}"/>
    <cellStyle name="40% - Accent3 2 11" xfId="2307" xr:uid="{00000000-0005-0000-0000-00006A040000}"/>
    <cellStyle name="40% - Accent3 2 12" xfId="2308" xr:uid="{00000000-0005-0000-0000-00006B040000}"/>
    <cellStyle name="40% - Accent3 2 13" xfId="2309" xr:uid="{00000000-0005-0000-0000-00006C040000}"/>
    <cellStyle name="40% - Accent3 2 14" xfId="2310" xr:uid="{00000000-0005-0000-0000-00006D040000}"/>
    <cellStyle name="40% - Accent3 2 15" xfId="2311" xr:uid="{00000000-0005-0000-0000-00006E040000}"/>
    <cellStyle name="40% - Accent3 2 15 2" xfId="2312" xr:uid="{00000000-0005-0000-0000-00006F040000}"/>
    <cellStyle name="40% - Accent3 2 15 2 2" xfId="2313" xr:uid="{00000000-0005-0000-0000-000070040000}"/>
    <cellStyle name="40% - Accent3 2 15 2 2 2" xfId="2314" xr:uid="{00000000-0005-0000-0000-000071040000}"/>
    <cellStyle name="40% - Accent3 2 15 2 2 2 2" xfId="2315" xr:uid="{00000000-0005-0000-0000-000072040000}"/>
    <cellStyle name="40% - Accent3 2 15 2 2 2 2 2" xfId="2316" xr:uid="{00000000-0005-0000-0000-000073040000}"/>
    <cellStyle name="40% - Accent3 2 15 2 2 2 2 3" xfId="2317" xr:uid="{00000000-0005-0000-0000-000074040000}"/>
    <cellStyle name="40% - Accent3 2 15 2 2 2 3" xfId="2318" xr:uid="{00000000-0005-0000-0000-000075040000}"/>
    <cellStyle name="40% - Accent3 2 15 2 2 3" xfId="2319" xr:uid="{00000000-0005-0000-0000-000076040000}"/>
    <cellStyle name="40% - Accent3 2 15 2 2 4" xfId="2320" xr:uid="{00000000-0005-0000-0000-000077040000}"/>
    <cellStyle name="40% - Accent3 2 15 2 3" xfId="2321" xr:uid="{00000000-0005-0000-0000-000078040000}"/>
    <cellStyle name="40% - Accent3 2 15 2 4" xfId="2322" xr:uid="{00000000-0005-0000-0000-000079040000}"/>
    <cellStyle name="40% - Accent3 2 15 2 5" xfId="2323" xr:uid="{00000000-0005-0000-0000-00007A040000}"/>
    <cellStyle name="40% - Accent3 2 15 2 5 2" xfId="2324" xr:uid="{00000000-0005-0000-0000-00007B040000}"/>
    <cellStyle name="40% - Accent3 2 15 2 5 3" xfId="2325" xr:uid="{00000000-0005-0000-0000-00007C040000}"/>
    <cellStyle name="40% - Accent3 2 15 2 6" xfId="2326" xr:uid="{00000000-0005-0000-0000-00007D040000}"/>
    <cellStyle name="40% - Accent3 2 15 3" xfId="2327" xr:uid="{00000000-0005-0000-0000-00007E040000}"/>
    <cellStyle name="40% - Accent3 2 15 4" xfId="2328" xr:uid="{00000000-0005-0000-0000-00007F040000}"/>
    <cellStyle name="40% - Accent3 2 15 4 2" xfId="2329" xr:uid="{00000000-0005-0000-0000-000080040000}"/>
    <cellStyle name="40% - Accent3 2 15 4 2 2" xfId="2330" xr:uid="{00000000-0005-0000-0000-000081040000}"/>
    <cellStyle name="40% - Accent3 2 15 4 2 2 2" xfId="2331" xr:uid="{00000000-0005-0000-0000-000082040000}"/>
    <cellStyle name="40% - Accent3 2 15 4 2 2 3" xfId="2332" xr:uid="{00000000-0005-0000-0000-000083040000}"/>
    <cellStyle name="40% - Accent3 2 15 4 2 3" xfId="2333" xr:uid="{00000000-0005-0000-0000-000084040000}"/>
    <cellStyle name="40% - Accent3 2 15 4 3" xfId="2334" xr:uid="{00000000-0005-0000-0000-000085040000}"/>
    <cellStyle name="40% - Accent3 2 15 4 4" xfId="2335" xr:uid="{00000000-0005-0000-0000-000086040000}"/>
    <cellStyle name="40% - Accent3 2 15 5" xfId="2336" xr:uid="{00000000-0005-0000-0000-000087040000}"/>
    <cellStyle name="40% - Accent3 2 15 6" xfId="2337" xr:uid="{00000000-0005-0000-0000-000088040000}"/>
    <cellStyle name="40% - Accent3 2 15 6 2" xfId="2338" xr:uid="{00000000-0005-0000-0000-000089040000}"/>
    <cellStyle name="40% - Accent3 2 15 6 3" xfId="2339" xr:uid="{00000000-0005-0000-0000-00008A040000}"/>
    <cellStyle name="40% - Accent3 2 15 7" xfId="2340" xr:uid="{00000000-0005-0000-0000-00008B040000}"/>
    <cellStyle name="40% - Accent3 2 16" xfId="2341" xr:uid="{00000000-0005-0000-0000-00008C040000}"/>
    <cellStyle name="40% - Accent3 2 17" xfId="2342" xr:uid="{00000000-0005-0000-0000-00008D040000}"/>
    <cellStyle name="40% - Accent3 2 18" xfId="2343" xr:uid="{00000000-0005-0000-0000-00008E040000}"/>
    <cellStyle name="40% - Accent3 2 19" xfId="2344" xr:uid="{00000000-0005-0000-0000-00008F040000}"/>
    <cellStyle name="40% - Accent3 2 2" xfId="96" xr:uid="{00000000-0005-0000-0000-000090040000}"/>
    <cellStyle name="40% - Accent3 2 2 2" xfId="2345" xr:uid="{00000000-0005-0000-0000-000091040000}"/>
    <cellStyle name="40% - Accent3 2 20" xfId="2346" xr:uid="{00000000-0005-0000-0000-000092040000}"/>
    <cellStyle name="40% - Accent3 2 21" xfId="2347" xr:uid="{00000000-0005-0000-0000-000093040000}"/>
    <cellStyle name="40% - Accent3 2 22" xfId="2348" xr:uid="{00000000-0005-0000-0000-000094040000}"/>
    <cellStyle name="40% - Accent3 2 23" xfId="2349" xr:uid="{00000000-0005-0000-0000-000095040000}"/>
    <cellStyle name="40% - Accent3 2 24" xfId="2350" xr:uid="{00000000-0005-0000-0000-000096040000}"/>
    <cellStyle name="40% - Accent3 2 25" xfId="2351" xr:uid="{00000000-0005-0000-0000-000097040000}"/>
    <cellStyle name="40% - Accent3 2 26" xfId="2352" xr:uid="{00000000-0005-0000-0000-000098040000}"/>
    <cellStyle name="40% - Accent3 2 27" xfId="2353" xr:uid="{00000000-0005-0000-0000-000099040000}"/>
    <cellStyle name="40% - Accent3 2 28" xfId="2354" xr:uid="{00000000-0005-0000-0000-00009A040000}"/>
    <cellStyle name="40% - Accent3 2 29" xfId="2355" xr:uid="{00000000-0005-0000-0000-00009B040000}"/>
    <cellStyle name="40% - Accent3 2 3" xfId="97" xr:uid="{00000000-0005-0000-0000-00009C040000}"/>
    <cellStyle name="40% - Accent3 2 30" xfId="2356" xr:uid="{00000000-0005-0000-0000-00009D040000}"/>
    <cellStyle name="40% - Accent3 2 31" xfId="2357" xr:uid="{00000000-0005-0000-0000-00009E040000}"/>
    <cellStyle name="40% - Accent3 2 32" xfId="2358" xr:uid="{00000000-0005-0000-0000-00009F040000}"/>
    <cellStyle name="40% - Accent3 2 33" xfId="2359" xr:uid="{00000000-0005-0000-0000-0000A0040000}"/>
    <cellStyle name="40% - Accent3 2 4" xfId="2360" xr:uid="{00000000-0005-0000-0000-0000A1040000}"/>
    <cellStyle name="40% - Accent3 2 5" xfId="2361" xr:uid="{00000000-0005-0000-0000-0000A2040000}"/>
    <cellStyle name="40% - Accent3 2 6" xfId="2362" xr:uid="{00000000-0005-0000-0000-0000A3040000}"/>
    <cellStyle name="40% - Accent3 2 7" xfId="2363" xr:uid="{00000000-0005-0000-0000-0000A4040000}"/>
    <cellStyle name="40% - Accent3 2 8" xfId="2364" xr:uid="{00000000-0005-0000-0000-0000A5040000}"/>
    <cellStyle name="40% - Accent3 2 9" xfId="2365" xr:uid="{00000000-0005-0000-0000-0000A6040000}"/>
    <cellStyle name="40% - Accent3 3" xfId="2366" xr:uid="{00000000-0005-0000-0000-0000A7040000}"/>
    <cellStyle name="40% - Accent3 3 10" xfId="2367" xr:uid="{00000000-0005-0000-0000-0000A8040000}"/>
    <cellStyle name="40% - Accent3 3 11" xfId="2368" xr:uid="{00000000-0005-0000-0000-0000A9040000}"/>
    <cellStyle name="40% - Accent3 3 12" xfId="2369" xr:uid="{00000000-0005-0000-0000-0000AA040000}"/>
    <cellStyle name="40% - Accent3 3 13" xfId="2370" xr:uid="{00000000-0005-0000-0000-0000AB040000}"/>
    <cellStyle name="40% - Accent3 3 14" xfId="2371" xr:uid="{00000000-0005-0000-0000-0000AC040000}"/>
    <cellStyle name="40% - Accent3 3 15" xfId="2372" xr:uid="{00000000-0005-0000-0000-0000AD040000}"/>
    <cellStyle name="40% - Accent3 3 16" xfId="2373" xr:uid="{00000000-0005-0000-0000-0000AE040000}"/>
    <cellStyle name="40% - Accent3 3 17" xfId="2374" xr:uid="{00000000-0005-0000-0000-0000AF040000}"/>
    <cellStyle name="40% - Accent3 3 18" xfId="2375" xr:uid="{00000000-0005-0000-0000-0000B0040000}"/>
    <cellStyle name="40% - Accent3 3 19" xfId="2376" xr:uid="{00000000-0005-0000-0000-0000B1040000}"/>
    <cellStyle name="40% - Accent3 3 2" xfId="2377" xr:uid="{00000000-0005-0000-0000-0000B2040000}"/>
    <cellStyle name="40% - Accent3 3 20" xfId="2378" xr:uid="{00000000-0005-0000-0000-0000B3040000}"/>
    <cellStyle name="40% - Accent3 3 21" xfId="2379" xr:uid="{00000000-0005-0000-0000-0000B4040000}"/>
    <cellStyle name="40% - Accent3 3 22" xfId="2380" xr:uid="{00000000-0005-0000-0000-0000B5040000}"/>
    <cellStyle name="40% - Accent3 3 23" xfId="2381" xr:uid="{00000000-0005-0000-0000-0000B6040000}"/>
    <cellStyle name="40% - Accent3 3 24" xfId="2382" xr:uid="{00000000-0005-0000-0000-0000B7040000}"/>
    <cellStyle name="40% - Accent3 3 25" xfId="2383" xr:uid="{00000000-0005-0000-0000-0000B8040000}"/>
    <cellStyle name="40% - Accent3 3 26" xfId="2384" xr:uid="{00000000-0005-0000-0000-0000B9040000}"/>
    <cellStyle name="40% - Accent3 3 27" xfId="2385" xr:uid="{00000000-0005-0000-0000-0000BA040000}"/>
    <cellStyle name="40% - Accent3 3 28" xfId="2386" xr:uid="{00000000-0005-0000-0000-0000BB040000}"/>
    <cellStyle name="40% - Accent3 3 3" xfId="2387" xr:uid="{00000000-0005-0000-0000-0000BC040000}"/>
    <cellStyle name="40% - Accent3 3 4" xfId="2388" xr:uid="{00000000-0005-0000-0000-0000BD040000}"/>
    <cellStyle name="40% - Accent3 3 5" xfId="2389" xr:uid="{00000000-0005-0000-0000-0000BE040000}"/>
    <cellStyle name="40% - Accent3 3 6" xfId="2390" xr:uid="{00000000-0005-0000-0000-0000BF040000}"/>
    <cellStyle name="40% - Accent3 3 7" xfId="2391" xr:uid="{00000000-0005-0000-0000-0000C0040000}"/>
    <cellStyle name="40% - Accent3 3 8" xfId="2392" xr:uid="{00000000-0005-0000-0000-0000C1040000}"/>
    <cellStyle name="40% - Accent3 3 9" xfId="2393" xr:uid="{00000000-0005-0000-0000-0000C2040000}"/>
    <cellStyle name="40% - Accent3 4" xfId="2394" xr:uid="{00000000-0005-0000-0000-0000C3040000}"/>
    <cellStyle name="40% - Accent3 4 10" xfId="2395" xr:uid="{00000000-0005-0000-0000-0000C4040000}"/>
    <cellStyle name="40% - Accent3 4 11" xfId="2396" xr:uid="{00000000-0005-0000-0000-0000C5040000}"/>
    <cellStyle name="40% - Accent3 4 12" xfId="2397" xr:uid="{00000000-0005-0000-0000-0000C6040000}"/>
    <cellStyle name="40% - Accent3 4 13" xfId="2398" xr:uid="{00000000-0005-0000-0000-0000C7040000}"/>
    <cellStyle name="40% - Accent3 4 14" xfId="2399" xr:uid="{00000000-0005-0000-0000-0000C8040000}"/>
    <cellStyle name="40% - Accent3 4 15" xfId="2400" xr:uid="{00000000-0005-0000-0000-0000C9040000}"/>
    <cellStyle name="40% - Accent3 4 16" xfId="2401" xr:uid="{00000000-0005-0000-0000-0000CA040000}"/>
    <cellStyle name="40% - Accent3 4 17" xfId="2402" xr:uid="{00000000-0005-0000-0000-0000CB040000}"/>
    <cellStyle name="40% - Accent3 4 18" xfId="2403" xr:uid="{00000000-0005-0000-0000-0000CC040000}"/>
    <cellStyle name="40% - Accent3 4 19" xfId="2404" xr:uid="{00000000-0005-0000-0000-0000CD040000}"/>
    <cellStyle name="40% - Accent3 4 2" xfId="2405" xr:uid="{00000000-0005-0000-0000-0000CE040000}"/>
    <cellStyle name="40% - Accent3 4 20" xfId="2406" xr:uid="{00000000-0005-0000-0000-0000CF040000}"/>
    <cellStyle name="40% - Accent3 4 21" xfId="2407" xr:uid="{00000000-0005-0000-0000-0000D0040000}"/>
    <cellStyle name="40% - Accent3 4 22" xfId="2408" xr:uid="{00000000-0005-0000-0000-0000D1040000}"/>
    <cellStyle name="40% - Accent3 4 23" xfId="2409" xr:uid="{00000000-0005-0000-0000-0000D2040000}"/>
    <cellStyle name="40% - Accent3 4 24" xfId="2410" xr:uid="{00000000-0005-0000-0000-0000D3040000}"/>
    <cellStyle name="40% - Accent3 4 25" xfId="2411" xr:uid="{00000000-0005-0000-0000-0000D4040000}"/>
    <cellStyle name="40% - Accent3 4 3" xfId="2412" xr:uid="{00000000-0005-0000-0000-0000D5040000}"/>
    <cellStyle name="40% - Accent3 4 4" xfId="2413" xr:uid="{00000000-0005-0000-0000-0000D6040000}"/>
    <cellStyle name="40% - Accent3 4 5" xfId="2414" xr:uid="{00000000-0005-0000-0000-0000D7040000}"/>
    <cellStyle name="40% - Accent3 4 6" xfId="2415" xr:uid="{00000000-0005-0000-0000-0000D8040000}"/>
    <cellStyle name="40% - Accent3 4 7" xfId="2416" xr:uid="{00000000-0005-0000-0000-0000D9040000}"/>
    <cellStyle name="40% - Accent3 4 8" xfId="2417" xr:uid="{00000000-0005-0000-0000-0000DA040000}"/>
    <cellStyle name="40% - Accent3 4 9" xfId="2418" xr:uid="{00000000-0005-0000-0000-0000DB040000}"/>
    <cellStyle name="40% - Accent3 5" xfId="4875" xr:uid="{00000000-0005-0000-0000-0000DC040000}"/>
    <cellStyle name="40% - Accent3 6" xfId="4876" xr:uid="{00000000-0005-0000-0000-0000DD040000}"/>
    <cellStyle name="40% - Accent3 7" xfId="4877" xr:uid="{00000000-0005-0000-0000-0000DE040000}"/>
    <cellStyle name="40% - Accent3 8" xfId="4878" xr:uid="{00000000-0005-0000-0000-0000DF040000}"/>
    <cellStyle name="40% - Accent3 9" xfId="4879" xr:uid="{00000000-0005-0000-0000-0000E0040000}"/>
    <cellStyle name="40% - Accent4 1" xfId="98" xr:uid="{00000000-0005-0000-0000-0000E1040000}"/>
    <cellStyle name="40% - Accent4 1 1" xfId="99" xr:uid="{00000000-0005-0000-0000-0000E2040000}"/>
    <cellStyle name="40% - Accent4 1_HRVATSKE_SUME_71_5.Privremena" xfId="100" xr:uid="{00000000-0005-0000-0000-0000E3040000}"/>
    <cellStyle name="40% - Accent4 10" xfId="4880" xr:uid="{00000000-0005-0000-0000-0000E4040000}"/>
    <cellStyle name="40% - Accent4 11" xfId="4881" xr:uid="{00000000-0005-0000-0000-0000E5040000}"/>
    <cellStyle name="40% - Accent4 11 2" xfId="5311" xr:uid="{00000000-0005-0000-0000-0000E6040000}"/>
    <cellStyle name="40% - Accent4 2" xfId="101" xr:uid="{00000000-0005-0000-0000-0000E7040000}"/>
    <cellStyle name="40% - Accent4 2 10" xfId="2419" xr:uid="{00000000-0005-0000-0000-0000E8040000}"/>
    <cellStyle name="40% - Accent4 2 11" xfId="2420" xr:uid="{00000000-0005-0000-0000-0000E9040000}"/>
    <cellStyle name="40% - Accent4 2 12" xfId="2421" xr:uid="{00000000-0005-0000-0000-0000EA040000}"/>
    <cellStyle name="40% - Accent4 2 13" xfId="2422" xr:uid="{00000000-0005-0000-0000-0000EB040000}"/>
    <cellStyle name="40% - Accent4 2 14" xfId="2423" xr:uid="{00000000-0005-0000-0000-0000EC040000}"/>
    <cellStyle name="40% - Accent4 2 15" xfId="2424" xr:uid="{00000000-0005-0000-0000-0000ED040000}"/>
    <cellStyle name="40% - Accent4 2 15 2" xfId="2425" xr:uid="{00000000-0005-0000-0000-0000EE040000}"/>
    <cellStyle name="40% - Accent4 2 15 2 2" xfId="2426" xr:uid="{00000000-0005-0000-0000-0000EF040000}"/>
    <cellStyle name="40% - Accent4 2 15 2 2 2" xfId="2427" xr:uid="{00000000-0005-0000-0000-0000F0040000}"/>
    <cellStyle name="40% - Accent4 2 15 2 2 2 2" xfId="2428" xr:uid="{00000000-0005-0000-0000-0000F1040000}"/>
    <cellStyle name="40% - Accent4 2 15 2 2 2 2 2" xfId="2429" xr:uid="{00000000-0005-0000-0000-0000F2040000}"/>
    <cellStyle name="40% - Accent4 2 15 2 2 2 2 3" xfId="2430" xr:uid="{00000000-0005-0000-0000-0000F3040000}"/>
    <cellStyle name="40% - Accent4 2 15 2 2 2 3" xfId="2431" xr:uid="{00000000-0005-0000-0000-0000F4040000}"/>
    <cellStyle name="40% - Accent4 2 15 2 2 3" xfId="2432" xr:uid="{00000000-0005-0000-0000-0000F5040000}"/>
    <cellStyle name="40% - Accent4 2 15 2 2 4" xfId="2433" xr:uid="{00000000-0005-0000-0000-0000F6040000}"/>
    <cellStyle name="40% - Accent4 2 15 2 3" xfId="2434" xr:uid="{00000000-0005-0000-0000-0000F7040000}"/>
    <cellStyle name="40% - Accent4 2 15 2 4" xfId="2435" xr:uid="{00000000-0005-0000-0000-0000F8040000}"/>
    <cellStyle name="40% - Accent4 2 15 2 5" xfId="2436" xr:uid="{00000000-0005-0000-0000-0000F9040000}"/>
    <cellStyle name="40% - Accent4 2 15 2 5 2" xfId="2437" xr:uid="{00000000-0005-0000-0000-0000FA040000}"/>
    <cellStyle name="40% - Accent4 2 15 2 5 3" xfId="2438" xr:uid="{00000000-0005-0000-0000-0000FB040000}"/>
    <cellStyle name="40% - Accent4 2 15 2 6" xfId="2439" xr:uid="{00000000-0005-0000-0000-0000FC040000}"/>
    <cellStyle name="40% - Accent4 2 15 3" xfId="2440" xr:uid="{00000000-0005-0000-0000-0000FD040000}"/>
    <cellStyle name="40% - Accent4 2 15 4" xfId="2441" xr:uid="{00000000-0005-0000-0000-0000FE040000}"/>
    <cellStyle name="40% - Accent4 2 15 4 2" xfId="2442" xr:uid="{00000000-0005-0000-0000-0000FF040000}"/>
    <cellStyle name="40% - Accent4 2 15 4 2 2" xfId="2443" xr:uid="{00000000-0005-0000-0000-000000050000}"/>
    <cellStyle name="40% - Accent4 2 15 4 2 2 2" xfId="2444" xr:uid="{00000000-0005-0000-0000-000001050000}"/>
    <cellStyle name="40% - Accent4 2 15 4 2 2 3" xfId="2445" xr:uid="{00000000-0005-0000-0000-000002050000}"/>
    <cellStyle name="40% - Accent4 2 15 4 2 3" xfId="2446" xr:uid="{00000000-0005-0000-0000-000003050000}"/>
    <cellStyle name="40% - Accent4 2 15 4 3" xfId="2447" xr:uid="{00000000-0005-0000-0000-000004050000}"/>
    <cellStyle name="40% - Accent4 2 15 4 4" xfId="2448" xr:uid="{00000000-0005-0000-0000-000005050000}"/>
    <cellStyle name="40% - Accent4 2 15 5" xfId="2449" xr:uid="{00000000-0005-0000-0000-000006050000}"/>
    <cellStyle name="40% - Accent4 2 15 6" xfId="2450" xr:uid="{00000000-0005-0000-0000-000007050000}"/>
    <cellStyle name="40% - Accent4 2 15 6 2" xfId="2451" xr:uid="{00000000-0005-0000-0000-000008050000}"/>
    <cellStyle name="40% - Accent4 2 15 6 3" xfId="2452" xr:uid="{00000000-0005-0000-0000-000009050000}"/>
    <cellStyle name="40% - Accent4 2 15 7" xfId="2453" xr:uid="{00000000-0005-0000-0000-00000A050000}"/>
    <cellStyle name="40% - Accent4 2 16" xfId="2454" xr:uid="{00000000-0005-0000-0000-00000B050000}"/>
    <cellStyle name="40% - Accent4 2 17" xfId="2455" xr:uid="{00000000-0005-0000-0000-00000C050000}"/>
    <cellStyle name="40% - Accent4 2 18" xfId="2456" xr:uid="{00000000-0005-0000-0000-00000D050000}"/>
    <cellStyle name="40% - Accent4 2 19" xfId="2457" xr:uid="{00000000-0005-0000-0000-00000E050000}"/>
    <cellStyle name="40% - Accent4 2 2" xfId="102" xr:uid="{00000000-0005-0000-0000-00000F050000}"/>
    <cellStyle name="40% - Accent4 2 2 2" xfId="2458" xr:uid="{00000000-0005-0000-0000-000010050000}"/>
    <cellStyle name="40% - Accent4 2 20" xfId="2459" xr:uid="{00000000-0005-0000-0000-000011050000}"/>
    <cellStyle name="40% - Accent4 2 21" xfId="2460" xr:uid="{00000000-0005-0000-0000-000012050000}"/>
    <cellStyle name="40% - Accent4 2 22" xfId="2461" xr:uid="{00000000-0005-0000-0000-000013050000}"/>
    <cellStyle name="40% - Accent4 2 23" xfId="2462" xr:uid="{00000000-0005-0000-0000-000014050000}"/>
    <cellStyle name="40% - Accent4 2 24" xfId="2463" xr:uid="{00000000-0005-0000-0000-000015050000}"/>
    <cellStyle name="40% - Accent4 2 25" xfId="2464" xr:uid="{00000000-0005-0000-0000-000016050000}"/>
    <cellStyle name="40% - Accent4 2 26" xfId="2465" xr:uid="{00000000-0005-0000-0000-000017050000}"/>
    <cellStyle name="40% - Accent4 2 27" xfId="2466" xr:uid="{00000000-0005-0000-0000-000018050000}"/>
    <cellStyle name="40% - Accent4 2 28" xfId="2467" xr:uid="{00000000-0005-0000-0000-000019050000}"/>
    <cellStyle name="40% - Accent4 2 29" xfId="2468" xr:uid="{00000000-0005-0000-0000-00001A050000}"/>
    <cellStyle name="40% - Accent4 2 3" xfId="103" xr:uid="{00000000-0005-0000-0000-00001B050000}"/>
    <cellStyle name="40% - Accent4 2 30" xfId="2469" xr:uid="{00000000-0005-0000-0000-00001C050000}"/>
    <cellStyle name="40% - Accent4 2 31" xfId="2470" xr:uid="{00000000-0005-0000-0000-00001D050000}"/>
    <cellStyle name="40% - Accent4 2 32" xfId="2471" xr:uid="{00000000-0005-0000-0000-00001E050000}"/>
    <cellStyle name="40% - Accent4 2 33" xfId="2472" xr:uid="{00000000-0005-0000-0000-00001F050000}"/>
    <cellStyle name="40% - Accent4 2 4" xfId="2473" xr:uid="{00000000-0005-0000-0000-000020050000}"/>
    <cellStyle name="40% - Accent4 2 5" xfId="2474" xr:uid="{00000000-0005-0000-0000-000021050000}"/>
    <cellStyle name="40% - Accent4 2 6" xfId="2475" xr:uid="{00000000-0005-0000-0000-000022050000}"/>
    <cellStyle name="40% - Accent4 2 7" xfId="2476" xr:uid="{00000000-0005-0000-0000-000023050000}"/>
    <cellStyle name="40% - Accent4 2 8" xfId="2477" xr:uid="{00000000-0005-0000-0000-000024050000}"/>
    <cellStyle name="40% - Accent4 2 9" xfId="2478" xr:uid="{00000000-0005-0000-0000-000025050000}"/>
    <cellStyle name="40% - Accent4 3" xfId="2479" xr:uid="{00000000-0005-0000-0000-000026050000}"/>
    <cellStyle name="40% - Accent4 3 10" xfId="2480" xr:uid="{00000000-0005-0000-0000-000027050000}"/>
    <cellStyle name="40% - Accent4 3 11" xfId="2481" xr:uid="{00000000-0005-0000-0000-000028050000}"/>
    <cellStyle name="40% - Accent4 3 12" xfId="2482" xr:uid="{00000000-0005-0000-0000-000029050000}"/>
    <cellStyle name="40% - Accent4 3 13" xfId="2483" xr:uid="{00000000-0005-0000-0000-00002A050000}"/>
    <cellStyle name="40% - Accent4 3 14" xfId="2484" xr:uid="{00000000-0005-0000-0000-00002B050000}"/>
    <cellStyle name="40% - Accent4 3 15" xfId="2485" xr:uid="{00000000-0005-0000-0000-00002C050000}"/>
    <cellStyle name="40% - Accent4 3 16" xfId="2486" xr:uid="{00000000-0005-0000-0000-00002D050000}"/>
    <cellStyle name="40% - Accent4 3 17" xfId="2487" xr:uid="{00000000-0005-0000-0000-00002E050000}"/>
    <cellStyle name="40% - Accent4 3 18" xfId="2488" xr:uid="{00000000-0005-0000-0000-00002F050000}"/>
    <cellStyle name="40% - Accent4 3 19" xfId="2489" xr:uid="{00000000-0005-0000-0000-000030050000}"/>
    <cellStyle name="40% - Accent4 3 2" xfId="2490" xr:uid="{00000000-0005-0000-0000-000031050000}"/>
    <cellStyle name="40% - Accent4 3 20" xfId="2491" xr:uid="{00000000-0005-0000-0000-000032050000}"/>
    <cellStyle name="40% - Accent4 3 21" xfId="2492" xr:uid="{00000000-0005-0000-0000-000033050000}"/>
    <cellStyle name="40% - Accent4 3 22" xfId="2493" xr:uid="{00000000-0005-0000-0000-000034050000}"/>
    <cellStyle name="40% - Accent4 3 23" xfId="2494" xr:uid="{00000000-0005-0000-0000-000035050000}"/>
    <cellStyle name="40% - Accent4 3 24" xfId="2495" xr:uid="{00000000-0005-0000-0000-000036050000}"/>
    <cellStyle name="40% - Accent4 3 25" xfId="2496" xr:uid="{00000000-0005-0000-0000-000037050000}"/>
    <cellStyle name="40% - Accent4 3 26" xfId="2497" xr:uid="{00000000-0005-0000-0000-000038050000}"/>
    <cellStyle name="40% - Accent4 3 27" xfId="2498" xr:uid="{00000000-0005-0000-0000-000039050000}"/>
    <cellStyle name="40% - Accent4 3 28" xfId="2499" xr:uid="{00000000-0005-0000-0000-00003A050000}"/>
    <cellStyle name="40% - Accent4 3 3" xfId="2500" xr:uid="{00000000-0005-0000-0000-00003B050000}"/>
    <cellStyle name="40% - Accent4 3 4" xfId="2501" xr:uid="{00000000-0005-0000-0000-00003C050000}"/>
    <cellStyle name="40% - Accent4 3 5" xfId="2502" xr:uid="{00000000-0005-0000-0000-00003D050000}"/>
    <cellStyle name="40% - Accent4 3 6" xfId="2503" xr:uid="{00000000-0005-0000-0000-00003E050000}"/>
    <cellStyle name="40% - Accent4 3 7" xfId="2504" xr:uid="{00000000-0005-0000-0000-00003F050000}"/>
    <cellStyle name="40% - Accent4 3 8" xfId="2505" xr:uid="{00000000-0005-0000-0000-000040050000}"/>
    <cellStyle name="40% - Accent4 3 9" xfId="2506" xr:uid="{00000000-0005-0000-0000-000041050000}"/>
    <cellStyle name="40% - Accent4 4" xfId="2507" xr:uid="{00000000-0005-0000-0000-000042050000}"/>
    <cellStyle name="40% - Accent4 4 10" xfId="2508" xr:uid="{00000000-0005-0000-0000-000043050000}"/>
    <cellStyle name="40% - Accent4 4 11" xfId="2509" xr:uid="{00000000-0005-0000-0000-000044050000}"/>
    <cellStyle name="40% - Accent4 4 12" xfId="2510" xr:uid="{00000000-0005-0000-0000-000045050000}"/>
    <cellStyle name="40% - Accent4 4 13" xfId="2511" xr:uid="{00000000-0005-0000-0000-000046050000}"/>
    <cellStyle name="40% - Accent4 4 14" xfId="2512" xr:uid="{00000000-0005-0000-0000-000047050000}"/>
    <cellStyle name="40% - Accent4 4 15" xfId="2513" xr:uid="{00000000-0005-0000-0000-000048050000}"/>
    <cellStyle name="40% - Accent4 4 16" xfId="2514" xr:uid="{00000000-0005-0000-0000-000049050000}"/>
    <cellStyle name="40% - Accent4 4 17" xfId="2515" xr:uid="{00000000-0005-0000-0000-00004A050000}"/>
    <cellStyle name="40% - Accent4 4 18" xfId="2516" xr:uid="{00000000-0005-0000-0000-00004B050000}"/>
    <cellStyle name="40% - Accent4 4 19" xfId="2517" xr:uid="{00000000-0005-0000-0000-00004C050000}"/>
    <cellStyle name="40% - Accent4 4 2" xfId="2518" xr:uid="{00000000-0005-0000-0000-00004D050000}"/>
    <cellStyle name="40% - Accent4 4 20" xfId="2519" xr:uid="{00000000-0005-0000-0000-00004E050000}"/>
    <cellStyle name="40% - Accent4 4 21" xfId="2520" xr:uid="{00000000-0005-0000-0000-00004F050000}"/>
    <cellStyle name="40% - Accent4 4 22" xfId="2521" xr:uid="{00000000-0005-0000-0000-000050050000}"/>
    <cellStyle name="40% - Accent4 4 23" xfId="2522" xr:uid="{00000000-0005-0000-0000-000051050000}"/>
    <cellStyle name="40% - Accent4 4 24" xfId="2523" xr:uid="{00000000-0005-0000-0000-000052050000}"/>
    <cellStyle name="40% - Accent4 4 25" xfId="2524" xr:uid="{00000000-0005-0000-0000-000053050000}"/>
    <cellStyle name="40% - Accent4 4 3" xfId="2525" xr:uid="{00000000-0005-0000-0000-000054050000}"/>
    <cellStyle name="40% - Accent4 4 4" xfId="2526" xr:uid="{00000000-0005-0000-0000-000055050000}"/>
    <cellStyle name="40% - Accent4 4 5" xfId="2527" xr:uid="{00000000-0005-0000-0000-000056050000}"/>
    <cellStyle name="40% - Accent4 4 6" xfId="2528" xr:uid="{00000000-0005-0000-0000-000057050000}"/>
    <cellStyle name="40% - Accent4 4 7" xfId="2529" xr:uid="{00000000-0005-0000-0000-000058050000}"/>
    <cellStyle name="40% - Accent4 4 8" xfId="2530" xr:uid="{00000000-0005-0000-0000-000059050000}"/>
    <cellStyle name="40% - Accent4 4 9" xfId="2531" xr:uid="{00000000-0005-0000-0000-00005A050000}"/>
    <cellStyle name="40% - Accent4 5" xfId="4882" xr:uid="{00000000-0005-0000-0000-00005B050000}"/>
    <cellStyle name="40% - Accent4 6" xfId="4883" xr:uid="{00000000-0005-0000-0000-00005C050000}"/>
    <cellStyle name="40% - Accent4 7" xfId="4884" xr:uid="{00000000-0005-0000-0000-00005D050000}"/>
    <cellStyle name="40% - Accent4 8" xfId="4885" xr:uid="{00000000-0005-0000-0000-00005E050000}"/>
    <cellStyle name="40% - Accent4 9" xfId="4886" xr:uid="{00000000-0005-0000-0000-00005F050000}"/>
    <cellStyle name="40% - Accent5 1" xfId="104" xr:uid="{00000000-0005-0000-0000-000060050000}"/>
    <cellStyle name="40% - Accent5 1 1" xfId="105" xr:uid="{00000000-0005-0000-0000-000061050000}"/>
    <cellStyle name="40% - Accent5 1_HRVATSKE_SUME_71_5.Privremena" xfId="106" xr:uid="{00000000-0005-0000-0000-000062050000}"/>
    <cellStyle name="40% - Accent5 10" xfId="4887" xr:uid="{00000000-0005-0000-0000-000063050000}"/>
    <cellStyle name="40% - Accent5 11" xfId="4888" xr:uid="{00000000-0005-0000-0000-000064050000}"/>
    <cellStyle name="40% - Accent5 11 2" xfId="5312" xr:uid="{00000000-0005-0000-0000-000065050000}"/>
    <cellStyle name="40% - Accent5 2" xfId="107" xr:uid="{00000000-0005-0000-0000-000066050000}"/>
    <cellStyle name="40% - Accent5 2 10" xfId="2532" xr:uid="{00000000-0005-0000-0000-000067050000}"/>
    <cellStyle name="40% - Accent5 2 11" xfId="2533" xr:uid="{00000000-0005-0000-0000-000068050000}"/>
    <cellStyle name="40% - Accent5 2 12" xfId="2534" xr:uid="{00000000-0005-0000-0000-000069050000}"/>
    <cellStyle name="40% - Accent5 2 13" xfId="2535" xr:uid="{00000000-0005-0000-0000-00006A050000}"/>
    <cellStyle name="40% - Accent5 2 14" xfId="2536" xr:uid="{00000000-0005-0000-0000-00006B050000}"/>
    <cellStyle name="40% - Accent5 2 15" xfId="2537" xr:uid="{00000000-0005-0000-0000-00006C050000}"/>
    <cellStyle name="40% - Accent5 2 15 2" xfId="2538" xr:uid="{00000000-0005-0000-0000-00006D050000}"/>
    <cellStyle name="40% - Accent5 2 15 2 2" xfId="2539" xr:uid="{00000000-0005-0000-0000-00006E050000}"/>
    <cellStyle name="40% - Accent5 2 15 2 2 2" xfId="2540" xr:uid="{00000000-0005-0000-0000-00006F050000}"/>
    <cellStyle name="40% - Accent5 2 15 2 2 2 2" xfId="2541" xr:uid="{00000000-0005-0000-0000-000070050000}"/>
    <cellStyle name="40% - Accent5 2 15 2 2 2 2 2" xfId="2542" xr:uid="{00000000-0005-0000-0000-000071050000}"/>
    <cellStyle name="40% - Accent5 2 15 2 2 2 2 3" xfId="2543" xr:uid="{00000000-0005-0000-0000-000072050000}"/>
    <cellStyle name="40% - Accent5 2 15 2 2 2 3" xfId="2544" xr:uid="{00000000-0005-0000-0000-000073050000}"/>
    <cellStyle name="40% - Accent5 2 15 2 2 3" xfId="2545" xr:uid="{00000000-0005-0000-0000-000074050000}"/>
    <cellStyle name="40% - Accent5 2 15 2 2 4" xfId="2546" xr:uid="{00000000-0005-0000-0000-000075050000}"/>
    <cellStyle name="40% - Accent5 2 15 2 3" xfId="2547" xr:uid="{00000000-0005-0000-0000-000076050000}"/>
    <cellStyle name="40% - Accent5 2 15 2 4" xfId="2548" xr:uid="{00000000-0005-0000-0000-000077050000}"/>
    <cellStyle name="40% - Accent5 2 15 2 5" xfId="2549" xr:uid="{00000000-0005-0000-0000-000078050000}"/>
    <cellStyle name="40% - Accent5 2 15 2 5 2" xfId="2550" xr:uid="{00000000-0005-0000-0000-000079050000}"/>
    <cellStyle name="40% - Accent5 2 15 2 5 3" xfId="2551" xr:uid="{00000000-0005-0000-0000-00007A050000}"/>
    <cellStyle name="40% - Accent5 2 15 2 6" xfId="2552" xr:uid="{00000000-0005-0000-0000-00007B050000}"/>
    <cellStyle name="40% - Accent5 2 15 3" xfId="2553" xr:uid="{00000000-0005-0000-0000-00007C050000}"/>
    <cellStyle name="40% - Accent5 2 15 4" xfId="2554" xr:uid="{00000000-0005-0000-0000-00007D050000}"/>
    <cellStyle name="40% - Accent5 2 15 4 2" xfId="2555" xr:uid="{00000000-0005-0000-0000-00007E050000}"/>
    <cellStyle name="40% - Accent5 2 15 4 2 2" xfId="2556" xr:uid="{00000000-0005-0000-0000-00007F050000}"/>
    <cellStyle name="40% - Accent5 2 15 4 2 2 2" xfId="2557" xr:uid="{00000000-0005-0000-0000-000080050000}"/>
    <cellStyle name="40% - Accent5 2 15 4 2 2 3" xfId="2558" xr:uid="{00000000-0005-0000-0000-000081050000}"/>
    <cellStyle name="40% - Accent5 2 15 4 2 3" xfId="2559" xr:uid="{00000000-0005-0000-0000-000082050000}"/>
    <cellStyle name="40% - Accent5 2 15 4 3" xfId="2560" xr:uid="{00000000-0005-0000-0000-000083050000}"/>
    <cellStyle name="40% - Accent5 2 15 4 4" xfId="2561" xr:uid="{00000000-0005-0000-0000-000084050000}"/>
    <cellStyle name="40% - Accent5 2 15 5" xfId="2562" xr:uid="{00000000-0005-0000-0000-000085050000}"/>
    <cellStyle name="40% - Accent5 2 15 6" xfId="2563" xr:uid="{00000000-0005-0000-0000-000086050000}"/>
    <cellStyle name="40% - Accent5 2 15 6 2" xfId="2564" xr:uid="{00000000-0005-0000-0000-000087050000}"/>
    <cellStyle name="40% - Accent5 2 15 6 3" xfId="2565" xr:uid="{00000000-0005-0000-0000-000088050000}"/>
    <cellStyle name="40% - Accent5 2 15 7" xfId="2566" xr:uid="{00000000-0005-0000-0000-000089050000}"/>
    <cellStyle name="40% - Accent5 2 16" xfId="2567" xr:uid="{00000000-0005-0000-0000-00008A050000}"/>
    <cellStyle name="40% - Accent5 2 17" xfId="2568" xr:uid="{00000000-0005-0000-0000-00008B050000}"/>
    <cellStyle name="40% - Accent5 2 18" xfId="2569" xr:uid="{00000000-0005-0000-0000-00008C050000}"/>
    <cellStyle name="40% - Accent5 2 19" xfId="2570" xr:uid="{00000000-0005-0000-0000-00008D050000}"/>
    <cellStyle name="40% - Accent5 2 2" xfId="108" xr:uid="{00000000-0005-0000-0000-00008E050000}"/>
    <cellStyle name="40% - Accent5 2 2 2" xfId="2571" xr:uid="{00000000-0005-0000-0000-00008F050000}"/>
    <cellStyle name="40% - Accent5 2 20" xfId="2572" xr:uid="{00000000-0005-0000-0000-000090050000}"/>
    <cellStyle name="40% - Accent5 2 21" xfId="2573" xr:uid="{00000000-0005-0000-0000-000091050000}"/>
    <cellStyle name="40% - Accent5 2 22" xfId="2574" xr:uid="{00000000-0005-0000-0000-000092050000}"/>
    <cellStyle name="40% - Accent5 2 23" xfId="2575" xr:uid="{00000000-0005-0000-0000-000093050000}"/>
    <cellStyle name="40% - Accent5 2 24" xfId="2576" xr:uid="{00000000-0005-0000-0000-000094050000}"/>
    <cellStyle name="40% - Accent5 2 25" xfId="2577" xr:uid="{00000000-0005-0000-0000-000095050000}"/>
    <cellStyle name="40% - Accent5 2 26" xfId="2578" xr:uid="{00000000-0005-0000-0000-000096050000}"/>
    <cellStyle name="40% - Accent5 2 27" xfId="2579" xr:uid="{00000000-0005-0000-0000-000097050000}"/>
    <cellStyle name="40% - Accent5 2 28" xfId="2580" xr:uid="{00000000-0005-0000-0000-000098050000}"/>
    <cellStyle name="40% - Accent5 2 29" xfId="2581" xr:uid="{00000000-0005-0000-0000-000099050000}"/>
    <cellStyle name="40% - Accent5 2 3" xfId="109" xr:uid="{00000000-0005-0000-0000-00009A050000}"/>
    <cellStyle name="40% - Accent5 2 30" xfId="2582" xr:uid="{00000000-0005-0000-0000-00009B050000}"/>
    <cellStyle name="40% - Accent5 2 31" xfId="2583" xr:uid="{00000000-0005-0000-0000-00009C050000}"/>
    <cellStyle name="40% - Accent5 2 32" xfId="2584" xr:uid="{00000000-0005-0000-0000-00009D050000}"/>
    <cellStyle name="40% - Accent5 2 33" xfId="2585" xr:uid="{00000000-0005-0000-0000-00009E050000}"/>
    <cellStyle name="40% - Accent5 2 4" xfId="2586" xr:uid="{00000000-0005-0000-0000-00009F050000}"/>
    <cellStyle name="40% - Accent5 2 5" xfId="2587" xr:uid="{00000000-0005-0000-0000-0000A0050000}"/>
    <cellStyle name="40% - Accent5 2 6" xfId="2588" xr:uid="{00000000-0005-0000-0000-0000A1050000}"/>
    <cellStyle name="40% - Accent5 2 7" xfId="2589" xr:uid="{00000000-0005-0000-0000-0000A2050000}"/>
    <cellStyle name="40% - Accent5 2 8" xfId="2590" xr:uid="{00000000-0005-0000-0000-0000A3050000}"/>
    <cellStyle name="40% - Accent5 2 9" xfId="2591" xr:uid="{00000000-0005-0000-0000-0000A4050000}"/>
    <cellStyle name="40% - Accent5 3" xfId="2592" xr:uid="{00000000-0005-0000-0000-0000A5050000}"/>
    <cellStyle name="40% - Accent5 3 10" xfId="2593" xr:uid="{00000000-0005-0000-0000-0000A6050000}"/>
    <cellStyle name="40% - Accent5 3 11" xfId="2594" xr:uid="{00000000-0005-0000-0000-0000A7050000}"/>
    <cellStyle name="40% - Accent5 3 12" xfId="2595" xr:uid="{00000000-0005-0000-0000-0000A8050000}"/>
    <cellStyle name="40% - Accent5 3 13" xfId="2596" xr:uid="{00000000-0005-0000-0000-0000A9050000}"/>
    <cellStyle name="40% - Accent5 3 14" xfId="2597" xr:uid="{00000000-0005-0000-0000-0000AA050000}"/>
    <cellStyle name="40% - Accent5 3 15" xfId="2598" xr:uid="{00000000-0005-0000-0000-0000AB050000}"/>
    <cellStyle name="40% - Accent5 3 16" xfId="2599" xr:uid="{00000000-0005-0000-0000-0000AC050000}"/>
    <cellStyle name="40% - Accent5 3 17" xfId="2600" xr:uid="{00000000-0005-0000-0000-0000AD050000}"/>
    <cellStyle name="40% - Accent5 3 18" xfId="2601" xr:uid="{00000000-0005-0000-0000-0000AE050000}"/>
    <cellStyle name="40% - Accent5 3 19" xfId="2602" xr:uid="{00000000-0005-0000-0000-0000AF050000}"/>
    <cellStyle name="40% - Accent5 3 2" xfId="2603" xr:uid="{00000000-0005-0000-0000-0000B0050000}"/>
    <cellStyle name="40% - Accent5 3 20" xfId="2604" xr:uid="{00000000-0005-0000-0000-0000B1050000}"/>
    <cellStyle name="40% - Accent5 3 21" xfId="2605" xr:uid="{00000000-0005-0000-0000-0000B2050000}"/>
    <cellStyle name="40% - Accent5 3 22" xfId="2606" xr:uid="{00000000-0005-0000-0000-0000B3050000}"/>
    <cellStyle name="40% - Accent5 3 23" xfId="2607" xr:uid="{00000000-0005-0000-0000-0000B4050000}"/>
    <cellStyle name="40% - Accent5 3 24" xfId="2608" xr:uid="{00000000-0005-0000-0000-0000B5050000}"/>
    <cellStyle name="40% - Accent5 3 25" xfId="2609" xr:uid="{00000000-0005-0000-0000-0000B6050000}"/>
    <cellStyle name="40% - Accent5 3 26" xfId="2610" xr:uid="{00000000-0005-0000-0000-0000B7050000}"/>
    <cellStyle name="40% - Accent5 3 27" xfId="2611" xr:uid="{00000000-0005-0000-0000-0000B8050000}"/>
    <cellStyle name="40% - Accent5 3 28" xfId="2612" xr:uid="{00000000-0005-0000-0000-0000B9050000}"/>
    <cellStyle name="40% - Accent5 3 3" xfId="2613" xr:uid="{00000000-0005-0000-0000-0000BA050000}"/>
    <cellStyle name="40% - Accent5 3 4" xfId="2614" xr:uid="{00000000-0005-0000-0000-0000BB050000}"/>
    <cellStyle name="40% - Accent5 3 5" xfId="2615" xr:uid="{00000000-0005-0000-0000-0000BC050000}"/>
    <cellStyle name="40% - Accent5 3 6" xfId="2616" xr:uid="{00000000-0005-0000-0000-0000BD050000}"/>
    <cellStyle name="40% - Accent5 3 7" xfId="2617" xr:uid="{00000000-0005-0000-0000-0000BE050000}"/>
    <cellStyle name="40% - Accent5 3 8" xfId="2618" xr:uid="{00000000-0005-0000-0000-0000BF050000}"/>
    <cellStyle name="40% - Accent5 3 9" xfId="2619" xr:uid="{00000000-0005-0000-0000-0000C0050000}"/>
    <cellStyle name="40% - Accent5 4" xfId="2620" xr:uid="{00000000-0005-0000-0000-0000C1050000}"/>
    <cellStyle name="40% - Accent5 4 10" xfId="2621" xr:uid="{00000000-0005-0000-0000-0000C2050000}"/>
    <cellStyle name="40% - Accent5 4 11" xfId="2622" xr:uid="{00000000-0005-0000-0000-0000C3050000}"/>
    <cellStyle name="40% - Accent5 4 12" xfId="2623" xr:uid="{00000000-0005-0000-0000-0000C4050000}"/>
    <cellStyle name="40% - Accent5 4 13" xfId="2624" xr:uid="{00000000-0005-0000-0000-0000C5050000}"/>
    <cellStyle name="40% - Accent5 4 14" xfId="2625" xr:uid="{00000000-0005-0000-0000-0000C6050000}"/>
    <cellStyle name="40% - Accent5 4 15" xfId="2626" xr:uid="{00000000-0005-0000-0000-0000C7050000}"/>
    <cellStyle name="40% - Accent5 4 16" xfId="2627" xr:uid="{00000000-0005-0000-0000-0000C8050000}"/>
    <cellStyle name="40% - Accent5 4 17" xfId="2628" xr:uid="{00000000-0005-0000-0000-0000C9050000}"/>
    <cellStyle name="40% - Accent5 4 18" xfId="2629" xr:uid="{00000000-0005-0000-0000-0000CA050000}"/>
    <cellStyle name="40% - Accent5 4 19" xfId="2630" xr:uid="{00000000-0005-0000-0000-0000CB050000}"/>
    <cellStyle name="40% - Accent5 4 2" xfId="2631" xr:uid="{00000000-0005-0000-0000-0000CC050000}"/>
    <cellStyle name="40% - Accent5 4 20" xfId="2632" xr:uid="{00000000-0005-0000-0000-0000CD050000}"/>
    <cellStyle name="40% - Accent5 4 21" xfId="2633" xr:uid="{00000000-0005-0000-0000-0000CE050000}"/>
    <cellStyle name="40% - Accent5 4 22" xfId="2634" xr:uid="{00000000-0005-0000-0000-0000CF050000}"/>
    <cellStyle name="40% - Accent5 4 23" xfId="2635" xr:uid="{00000000-0005-0000-0000-0000D0050000}"/>
    <cellStyle name="40% - Accent5 4 24" xfId="2636" xr:uid="{00000000-0005-0000-0000-0000D1050000}"/>
    <cellStyle name="40% - Accent5 4 25" xfId="2637" xr:uid="{00000000-0005-0000-0000-0000D2050000}"/>
    <cellStyle name="40% - Accent5 4 3" xfId="2638" xr:uid="{00000000-0005-0000-0000-0000D3050000}"/>
    <cellStyle name="40% - Accent5 4 4" xfId="2639" xr:uid="{00000000-0005-0000-0000-0000D4050000}"/>
    <cellStyle name="40% - Accent5 4 5" xfId="2640" xr:uid="{00000000-0005-0000-0000-0000D5050000}"/>
    <cellStyle name="40% - Accent5 4 6" xfId="2641" xr:uid="{00000000-0005-0000-0000-0000D6050000}"/>
    <cellStyle name="40% - Accent5 4 7" xfId="2642" xr:uid="{00000000-0005-0000-0000-0000D7050000}"/>
    <cellStyle name="40% - Accent5 4 8" xfId="2643" xr:uid="{00000000-0005-0000-0000-0000D8050000}"/>
    <cellStyle name="40% - Accent5 4 9" xfId="2644" xr:uid="{00000000-0005-0000-0000-0000D9050000}"/>
    <cellStyle name="40% - Accent5 5" xfId="4889" xr:uid="{00000000-0005-0000-0000-0000DA050000}"/>
    <cellStyle name="40% - Accent5 6" xfId="4890" xr:uid="{00000000-0005-0000-0000-0000DB050000}"/>
    <cellStyle name="40% - Accent5 7" xfId="4891" xr:uid="{00000000-0005-0000-0000-0000DC050000}"/>
    <cellStyle name="40% - Accent5 8" xfId="4892" xr:uid="{00000000-0005-0000-0000-0000DD050000}"/>
    <cellStyle name="40% - Accent5 9" xfId="4893" xr:uid="{00000000-0005-0000-0000-0000DE050000}"/>
    <cellStyle name="40% - Accent6 1" xfId="110" xr:uid="{00000000-0005-0000-0000-0000DF050000}"/>
    <cellStyle name="40% - Accent6 1 1" xfId="111" xr:uid="{00000000-0005-0000-0000-0000E0050000}"/>
    <cellStyle name="40% - Accent6 1_HRVATSKE_SUME_71_5.Privremena" xfId="112" xr:uid="{00000000-0005-0000-0000-0000E1050000}"/>
    <cellStyle name="40% - Accent6 10" xfId="4894" xr:uid="{00000000-0005-0000-0000-0000E2050000}"/>
    <cellStyle name="40% - Accent6 11" xfId="4895" xr:uid="{00000000-0005-0000-0000-0000E3050000}"/>
    <cellStyle name="40% - Accent6 11 2" xfId="5313" xr:uid="{00000000-0005-0000-0000-0000E4050000}"/>
    <cellStyle name="40% - Accent6 2" xfId="113" xr:uid="{00000000-0005-0000-0000-0000E5050000}"/>
    <cellStyle name="40% - Accent6 2 10" xfId="2645" xr:uid="{00000000-0005-0000-0000-0000E6050000}"/>
    <cellStyle name="40% - Accent6 2 11" xfId="2646" xr:uid="{00000000-0005-0000-0000-0000E7050000}"/>
    <cellStyle name="40% - Accent6 2 12" xfId="2647" xr:uid="{00000000-0005-0000-0000-0000E8050000}"/>
    <cellStyle name="40% - Accent6 2 13" xfId="2648" xr:uid="{00000000-0005-0000-0000-0000E9050000}"/>
    <cellStyle name="40% - Accent6 2 14" xfId="2649" xr:uid="{00000000-0005-0000-0000-0000EA050000}"/>
    <cellStyle name="40% - Accent6 2 15" xfId="2650" xr:uid="{00000000-0005-0000-0000-0000EB050000}"/>
    <cellStyle name="40% - Accent6 2 15 2" xfId="2651" xr:uid="{00000000-0005-0000-0000-0000EC050000}"/>
    <cellStyle name="40% - Accent6 2 15 2 2" xfId="2652" xr:uid="{00000000-0005-0000-0000-0000ED050000}"/>
    <cellStyle name="40% - Accent6 2 15 2 2 2" xfId="2653" xr:uid="{00000000-0005-0000-0000-0000EE050000}"/>
    <cellStyle name="40% - Accent6 2 15 2 2 2 2" xfId="2654" xr:uid="{00000000-0005-0000-0000-0000EF050000}"/>
    <cellStyle name="40% - Accent6 2 15 2 2 2 2 2" xfId="2655" xr:uid="{00000000-0005-0000-0000-0000F0050000}"/>
    <cellStyle name="40% - Accent6 2 15 2 2 2 2 3" xfId="2656" xr:uid="{00000000-0005-0000-0000-0000F1050000}"/>
    <cellStyle name="40% - Accent6 2 15 2 2 2 3" xfId="2657" xr:uid="{00000000-0005-0000-0000-0000F2050000}"/>
    <cellStyle name="40% - Accent6 2 15 2 2 3" xfId="2658" xr:uid="{00000000-0005-0000-0000-0000F3050000}"/>
    <cellStyle name="40% - Accent6 2 15 2 2 4" xfId="2659" xr:uid="{00000000-0005-0000-0000-0000F4050000}"/>
    <cellStyle name="40% - Accent6 2 15 2 3" xfId="2660" xr:uid="{00000000-0005-0000-0000-0000F5050000}"/>
    <cellStyle name="40% - Accent6 2 15 2 4" xfId="2661" xr:uid="{00000000-0005-0000-0000-0000F6050000}"/>
    <cellStyle name="40% - Accent6 2 15 2 5" xfId="2662" xr:uid="{00000000-0005-0000-0000-0000F7050000}"/>
    <cellStyle name="40% - Accent6 2 15 2 5 2" xfId="2663" xr:uid="{00000000-0005-0000-0000-0000F8050000}"/>
    <cellStyle name="40% - Accent6 2 15 2 5 3" xfId="2664" xr:uid="{00000000-0005-0000-0000-0000F9050000}"/>
    <cellStyle name="40% - Accent6 2 15 2 6" xfId="2665" xr:uid="{00000000-0005-0000-0000-0000FA050000}"/>
    <cellStyle name="40% - Accent6 2 15 3" xfId="2666" xr:uid="{00000000-0005-0000-0000-0000FB050000}"/>
    <cellStyle name="40% - Accent6 2 15 4" xfId="2667" xr:uid="{00000000-0005-0000-0000-0000FC050000}"/>
    <cellStyle name="40% - Accent6 2 15 4 2" xfId="2668" xr:uid="{00000000-0005-0000-0000-0000FD050000}"/>
    <cellStyle name="40% - Accent6 2 15 4 2 2" xfId="2669" xr:uid="{00000000-0005-0000-0000-0000FE050000}"/>
    <cellStyle name="40% - Accent6 2 15 4 2 2 2" xfId="2670" xr:uid="{00000000-0005-0000-0000-0000FF050000}"/>
    <cellStyle name="40% - Accent6 2 15 4 2 2 3" xfId="2671" xr:uid="{00000000-0005-0000-0000-000000060000}"/>
    <cellStyle name="40% - Accent6 2 15 4 2 3" xfId="2672" xr:uid="{00000000-0005-0000-0000-000001060000}"/>
    <cellStyle name="40% - Accent6 2 15 4 3" xfId="2673" xr:uid="{00000000-0005-0000-0000-000002060000}"/>
    <cellStyle name="40% - Accent6 2 15 4 4" xfId="2674" xr:uid="{00000000-0005-0000-0000-000003060000}"/>
    <cellStyle name="40% - Accent6 2 15 5" xfId="2675" xr:uid="{00000000-0005-0000-0000-000004060000}"/>
    <cellStyle name="40% - Accent6 2 15 6" xfId="2676" xr:uid="{00000000-0005-0000-0000-000005060000}"/>
    <cellStyle name="40% - Accent6 2 15 6 2" xfId="2677" xr:uid="{00000000-0005-0000-0000-000006060000}"/>
    <cellStyle name="40% - Accent6 2 15 6 3" xfId="2678" xr:uid="{00000000-0005-0000-0000-000007060000}"/>
    <cellStyle name="40% - Accent6 2 15 7" xfId="2679" xr:uid="{00000000-0005-0000-0000-000008060000}"/>
    <cellStyle name="40% - Accent6 2 16" xfId="2680" xr:uid="{00000000-0005-0000-0000-000009060000}"/>
    <cellStyle name="40% - Accent6 2 17" xfId="2681" xr:uid="{00000000-0005-0000-0000-00000A060000}"/>
    <cellStyle name="40% - Accent6 2 18" xfId="2682" xr:uid="{00000000-0005-0000-0000-00000B060000}"/>
    <cellStyle name="40% - Accent6 2 19" xfId="2683" xr:uid="{00000000-0005-0000-0000-00000C060000}"/>
    <cellStyle name="40% - Accent6 2 2" xfId="114" xr:uid="{00000000-0005-0000-0000-00000D060000}"/>
    <cellStyle name="40% - Accent6 2 2 2" xfId="2684" xr:uid="{00000000-0005-0000-0000-00000E060000}"/>
    <cellStyle name="40% - Accent6 2 20" xfId="2685" xr:uid="{00000000-0005-0000-0000-00000F060000}"/>
    <cellStyle name="40% - Accent6 2 21" xfId="2686" xr:uid="{00000000-0005-0000-0000-000010060000}"/>
    <cellStyle name="40% - Accent6 2 22" xfId="2687" xr:uid="{00000000-0005-0000-0000-000011060000}"/>
    <cellStyle name="40% - Accent6 2 23" xfId="2688" xr:uid="{00000000-0005-0000-0000-000012060000}"/>
    <cellStyle name="40% - Accent6 2 24" xfId="2689" xr:uid="{00000000-0005-0000-0000-000013060000}"/>
    <cellStyle name="40% - Accent6 2 25" xfId="2690" xr:uid="{00000000-0005-0000-0000-000014060000}"/>
    <cellStyle name="40% - Accent6 2 26" xfId="2691" xr:uid="{00000000-0005-0000-0000-000015060000}"/>
    <cellStyle name="40% - Accent6 2 27" xfId="2692" xr:uid="{00000000-0005-0000-0000-000016060000}"/>
    <cellStyle name="40% - Accent6 2 28" xfId="2693" xr:uid="{00000000-0005-0000-0000-000017060000}"/>
    <cellStyle name="40% - Accent6 2 29" xfId="2694" xr:uid="{00000000-0005-0000-0000-000018060000}"/>
    <cellStyle name="40% - Accent6 2 3" xfId="115" xr:uid="{00000000-0005-0000-0000-000019060000}"/>
    <cellStyle name="40% - Accent6 2 30" xfId="2695" xr:uid="{00000000-0005-0000-0000-00001A060000}"/>
    <cellStyle name="40% - Accent6 2 31" xfId="2696" xr:uid="{00000000-0005-0000-0000-00001B060000}"/>
    <cellStyle name="40% - Accent6 2 32" xfId="2697" xr:uid="{00000000-0005-0000-0000-00001C060000}"/>
    <cellStyle name="40% - Accent6 2 33" xfId="2698" xr:uid="{00000000-0005-0000-0000-00001D060000}"/>
    <cellStyle name="40% - Accent6 2 4" xfId="2699" xr:uid="{00000000-0005-0000-0000-00001E060000}"/>
    <cellStyle name="40% - Accent6 2 5" xfId="2700" xr:uid="{00000000-0005-0000-0000-00001F060000}"/>
    <cellStyle name="40% - Accent6 2 6" xfId="2701" xr:uid="{00000000-0005-0000-0000-000020060000}"/>
    <cellStyle name="40% - Accent6 2 7" xfId="2702" xr:uid="{00000000-0005-0000-0000-000021060000}"/>
    <cellStyle name="40% - Accent6 2 8" xfId="2703" xr:uid="{00000000-0005-0000-0000-000022060000}"/>
    <cellStyle name="40% - Accent6 2 9" xfId="2704" xr:uid="{00000000-0005-0000-0000-000023060000}"/>
    <cellStyle name="40% - Accent6 3" xfId="2705" xr:uid="{00000000-0005-0000-0000-000024060000}"/>
    <cellStyle name="40% - Accent6 3 10" xfId="2706" xr:uid="{00000000-0005-0000-0000-000025060000}"/>
    <cellStyle name="40% - Accent6 3 11" xfId="2707" xr:uid="{00000000-0005-0000-0000-000026060000}"/>
    <cellStyle name="40% - Accent6 3 12" xfId="2708" xr:uid="{00000000-0005-0000-0000-000027060000}"/>
    <cellStyle name="40% - Accent6 3 13" xfId="2709" xr:uid="{00000000-0005-0000-0000-000028060000}"/>
    <cellStyle name="40% - Accent6 3 14" xfId="2710" xr:uid="{00000000-0005-0000-0000-000029060000}"/>
    <cellStyle name="40% - Accent6 3 15" xfId="2711" xr:uid="{00000000-0005-0000-0000-00002A060000}"/>
    <cellStyle name="40% - Accent6 3 16" xfId="2712" xr:uid="{00000000-0005-0000-0000-00002B060000}"/>
    <cellStyle name="40% - Accent6 3 17" xfId="2713" xr:uid="{00000000-0005-0000-0000-00002C060000}"/>
    <cellStyle name="40% - Accent6 3 18" xfId="2714" xr:uid="{00000000-0005-0000-0000-00002D060000}"/>
    <cellStyle name="40% - Accent6 3 19" xfId="2715" xr:uid="{00000000-0005-0000-0000-00002E060000}"/>
    <cellStyle name="40% - Accent6 3 2" xfId="2716" xr:uid="{00000000-0005-0000-0000-00002F060000}"/>
    <cellStyle name="40% - Accent6 3 20" xfId="2717" xr:uid="{00000000-0005-0000-0000-000030060000}"/>
    <cellStyle name="40% - Accent6 3 21" xfId="2718" xr:uid="{00000000-0005-0000-0000-000031060000}"/>
    <cellStyle name="40% - Accent6 3 22" xfId="2719" xr:uid="{00000000-0005-0000-0000-000032060000}"/>
    <cellStyle name="40% - Accent6 3 23" xfId="2720" xr:uid="{00000000-0005-0000-0000-000033060000}"/>
    <cellStyle name="40% - Accent6 3 24" xfId="2721" xr:uid="{00000000-0005-0000-0000-000034060000}"/>
    <cellStyle name="40% - Accent6 3 25" xfId="2722" xr:uid="{00000000-0005-0000-0000-000035060000}"/>
    <cellStyle name="40% - Accent6 3 26" xfId="2723" xr:uid="{00000000-0005-0000-0000-000036060000}"/>
    <cellStyle name="40% - Accent6 3 27" xfId="2724" xr:uid="{00000000-0005-0000-0000-000037060000}"/>
    <cellStyle name="40% - Accent6 3 28" xfId="2725" xr:uid="{00000000-0005-0000-0000-000038060000}"/>
    <cellStyle name="40% - Accent6 3 3" xfId="2726" xr:uid="{00000000-0005-0000-0000-000039060000}"/>
    <cellStyle name="40% - Accent6 3 4" xfId="2727" xr:uid="{00000000-0005-0000-0000-00003A060000}"/>
    <cellStyle name="40% - Accent6 3 5" xfId="2728" xr:uid="{00000000-0005-0000-0000-00003B060000}"/>
    <cellStyle name="40% - Accent6 3 6" xfId="2729" xr:uid="{00000000-0005-0000-0000-00003C060000}"/>
    <cellStyle name="40% - Accent6 3 7" xfId="2730" xr:uid="{00000000-0005-0000-0000-00003D060000}"/>
    <cellStyle name="40% - Accent6 3 8" xfId="2731" xr:uid="{00000000-0005-0000-0000-00003E060000}"/>
    <cellStyle name="40% - Accent6 3 9" xfId="2732" xr:uid="{00000000-0005-0000-0000-00003F060000}"/>
    <cellStyle name="40% - Accent6 4" xfId="2733" xr:uid="{00000000-0005-0000-0000-000040060000}"/>
    <cellStyle name="40% - Accent6 4 10" xfId="2734" xr:uid="{00000000-0005-0000-0000-000041060000}"/>
    <cellStyle name="40% - Accent6 4 11" xfId="2735" xr:uid="{00000000-0005-0000-0000-000042060000}"/>
    <cellStyle name="40% - Accent6 4 12" xfId="2736" xr:uid="{00000000-0005-0000-0000-000043060000}"/>
    <cellStyle name="40% - Accent6 4 13" xfId="2737" xr:uid="{00000000-0005-0000-0000-000044060000}"/>
    <cellStyle name="40% - Accent6 4 14" xfId="2738" xr:uid="{00000000-0005-0000-0000-000045060000}"/>
    <cellStyle name="40% - Accent6 4 15" xfId="2739" xr:uid="{00000000-0005-0000-0000-000046060000}"/>
    <cellStyle name="40% - Accent6 4 16" xfId="2740" xr:uid="{00000000-0005-0000-0000-000047060000}"/>
    <cellStyle name="40% - Accent6 4 17" xfId="2741" xr:uid="{00000000-0005-0000-0000-000048060000}"/>
    <cellStyle name="40% - Accent6 4 18" xfId="2742" xr:uid="{00000000-0005-0000-0000-000049060000}"/>
    <cellStyle name="40% - Accent6 4 19" xfId="2743" xr:uid="{00000000-0005-0000-0000-00004A060000}"/>
    <cellStyle name="40% - Accent6 4 2" xfId="2744" xr:uid="{00000000-0005-0000-0000-00004B060000}"/>
    <cellStyle name="40% - Accent6 4 20" xfId="2745" xr:uid="{00000000-0005-0000-0000-00004C060000}"/>
    <cellStyle name="40% - Accent6 4 21" xfId="2746" xr:uid="{00000000-0005-0000-0000-00004D060000}"/>
    <cellStyle name="40% - Accent6 4 22" xfId="2747" xr:uid="{00000000-0005-0000-0000-00004E060000}"/>
    <cellStyle name="40% - Accent6 4 23" xfId="2748" xr:uid="{00000000-0005-0000-0000-00004F060000}"/>
    <cellStyle name="40% - Accent6 4 24" xfId="2749" xr:uid="{00000000-0005-0000-0000-000050060000}"/>
    <cellStyle name="40% - Accent6 4 25" xfId="2750" xr:uid="{00000000-0005-0000-0000-000051060000}"/>
    <cellStyle name="40% - Accent6 4 3" xfId="2751" xr:uid="{00000000-0005-0000-0000-000052060000}"/>
    <cellStyle name="40% - Accent6 4 4" xfId="2752" xr:uid="{00000000-0005-0000-0000-000053060000}"/>
    <cellStyle name="40% - Accent6 4 5" xfId="2753" xr:uid="{00000000-0005-0000-0000-000054060000}"/>
    <cellStyle name="40% - Accent6 4 6" xfId="2754" xr:uid="{00000000-0005-0000-0000-000055060000}"/>
    <cellStyle name="40% - Accent6 4 7" xfId="2755" xr:uid="{00000000-0005-0000-0000-000056060000}"/>
    <cellStyle name="40% - Accent6 4 8" xfId="2756" xr:uid="{00000000-0005-0000-0000-000057060000}"/>
    <cellStyle name="40% - Accent6 4 9" xfId="2757" xr:uid="{00000000-0005-0000-0000-000058060000}"/>
    <cellStyle name="40% - Accent6 5" xfId="4896" xr:uid="{00000000-0005-0000-0000-000059060000}"/>
    <cellStyle name="40% - Accent6 6" xfId="4897" xr:uid="{00000000-0005-0000-0000-00005A060000}"/>
    <cellStyle name="40% - Accent6 7" xfId="4898" xr:uid="{00000000-0005-0000-0000-00005B060000}"/>
    <cellStyle name="40% - Accent6 8" xfId="4899" xr:uid="{00000000-0005-0000-0000-00005C060000}"/>
    <cellStyle name="40% - Accent6 9" xfId="4900" xr:uid="{00000000-0005-0000-0000-00005D060000}"/>
    <cellStyle name="40% - Akzent1" xfId="116" xr:uid="{00000000-0005-0000-0000-00005E060000}"/>
    <cellStyle name="40% - Akzent2" xfId="117" xr:uid="{00000000-0005-0000-0000-00005F060000}"/>
    <cellStyle name="40% - Akzent3" xfId="118" xr:uid="{00000000-0005-0000-0000-000060060000}"/>
    <cellStyle name="40% - Akzent4" xfId="119" xr:uid="{00000000-0005-0000-0000-000061060000}"/>
    <cellStyle name="40% - Akzent5" xfId="120" xr:uid="{00000000-0005-0000-0000-000062060000}"/>
    <cellStyle name="40% - Akzent6" xfId="121" xr:uid="{00000000-0005-0000-0000-000063060000}"/>
    <cellStyle name="40% - Isticanje1 2" xfId="122" xr:uid="{00000000-0005-0000-0000-000064060000}"/>
    <cellStyle name="40% - Isticanje1 2 2" xfId="123" xr:uid="{00000000-0005-0000-0000-000065060000}"/>
    <cellStyle name="40% - Isticanje1 2 3" xfId="1213" xr:uid="{00000000-0005-0000-0000-000066060000}"/>
    <cellStyle name="40% - Isticanje1 3" xfId="1212" xr:uid="{00000000-0005-0000-0000-000067060000}"/>
    <cellStyle name="40% - Isticanje2 1" xfId="124" xr:uid="{00000000-0005-0000-0000-000068060000}"/>
    <cellStyle name="40% - Isticanje2 2" xfId="125" xr:uid="{00000000-0005-0000-0000-000069060000}"/>
    <cellStyle name="40% - Isticanje2 2 2" xfId="4901" xr:uid="{00000000-0005-0000-0000-00006A060000}"/>
    <cellStyle name="40% - Isticanje2 2 2 2" xfId="4902" xr:uid="{00000000-0005-0000-0000-00006B060000}"/>
    <cellStyle name="40% - Isticanje2 2 2 2 2" xfId="5315" xr:uid="{00000000-0005-0000-0000-00006C060000}"/>
    <cellStyle name="40% - Isticanje2 2 2 3" xfId="5314" xr:uid="{00000000-0005-0000-0000-00006D060000}"/>
    <cellStyle name="40% - Isticanje2 2 3" xfId="4903" xr:uid="{00000000-0005-0000-0000-00006E060000}"/>
    <cellStyle name="40% - Isticanje2 2 3 2" xfId="4904" xr:uid="{00000000-0005-0000-0000-00006F060000}"/>
    <cellStyle name="40% - Isticanje2 2 3 2 2" xfId="5317" xr:uid="{00000000-0005-0000-0000-000070060000}"/>
    <cellStyle name="40% - Isticanje2 2 3 3" xfId="5316" xr:uid="{00000000-0005-0000-0000-000071060000}"/>
    <cellStyle name="40% - Isticanje2 2 4" xfId="4905" xr:uid="{00000000-0005-0000-0000-000072060000}"/>
    <cellStyle name="40% - Isticanje2 2 4 2" xfId="5318" xr:uid="{00000000-0005-0000-0000-000073060000}"/>
    <cellStyle name="40% - Isticanje2 2 5" xfId="1215" xr:uid="{00000000-0005-0000-0000-000074060000}"/>
    <cellStyle name="40% - Isticanje2 3" xfId="126" xr:uid="{00000000-0005-0000-0000-000075060000}"/>
    <cellStyle name="40% - Isticanje2 3 2" xfId="1214" xr:uid="{00000000-0005-0000-0000-000076060000}"/>
    <cellStyle name="40% - Isticanje3 1" xfId="127" xr:uid="{00000000-0005-0000-0000-000077060000}"/>
    <cellStyle name="40% - Isticanje3 2" xfId="128" xr:uid="{00000000-0005-0000-0000-000078060000}"/>
    <cellStyle name="40% - Isticanje3 2 2" xfId="1218" xr:uid="{00000000-0005-0000-0000-000079060000}"/>
    <cellStyle name="40% - Isticanje3 2 2 2" xfId="4906" xr:uid="{00000000-0005-0000-0000-00007A060000}"/>
    <cellStyle name="40% - Isticanje3 2 2 2 2" xfId="5319" xr:uid="{00000000-0005-0000-0000-00007B060000}"/>
    <cellStyle name="40% - Isticanje3 2 3" xfId="4907" xr:uid="{00000000-0005-0000-0000-00007C060000}"/>
    <cellStyle name="40% - Isticanje3 2 3 2" xfId="4908" xr:uid="{00000000-0005-0000-0000-00007D060000}"/>
    <cellStyle name="40% - Isticanje3 2 3 2 2" xfId="5321" xr:uid="{00000000-0005-0000-0000-00007E060000}"/>
    <cellStyle name="40% - Isticanje3 2 3 3" xfId="5320" xr:uid="{00000000-0005-0000-0000-00007F060000}"/>
    <cellStyle name="40% - Isticanje3 2 4" xfId="4909" xr:uid="{00000000-0005-0000-0000-000080060000}"/>
    <cellStyle name="40% - Isticanje3 2 4 2" xfId="5322" xr:uid="{00000000-0005-0000-0000-000081060000}"/>
    <cellStyle name="40% - Isticanje3 2 5" xfId="1217" xr:uid="{00000000-0005-0000-0000-000082060000}"/>
    <cellStyle name="40% - Isticanje3 3" xfId="129" xr:uid="{00000000-0005-0000-0000-000083060000}"/>
    <cellStyle name="40% - Isticanje3 3 2" xfId="1216" xr:uid="{00000000-0005-0000-0000-000084060000}"/>
    <cellStyle name="40% - Isticanje4 1" xfId="130" xr:uid="{00000000-0005-0000-0000-000085060000}"/>
    <cellStyle name="40% - Isticanje4 2" xfId="131" xr:uid="{00000000-0005-0000-0000-000086060000}"/>
    <cellStyle name="40% - Isticanje4 2 2" xfId="1221" xr:uid="{00000000-0005-0000-0000-000087060000}"/>
    <cellStyle name="40% - Isticanje4 2 2 2" xfId="4910" xr:uid="{00000000-0005-0000-0000-000088060000}"/>
    <cellStyle name="40% - Isticanje4 2 2 2 2" xfId="5323" xr:uid="{00000000-0005-0000-0000-000089060000}"/>
    <cellStyle name="40% - Isticanje4 2 3" xfId="4911" xr:uid="{00000000-0005-0000-0000-00008A060000}"/>
    <cellStyle name="40% - Isticanje4 2 3 2" xfId="4912" xr:uid="{00000000-0005-0000-0000-00008B060000}"/>
    <cellStyle name="40% - Isticanje4 2 3 2 2" xfId="5325" xr:uid="{00000000-0005-0000-0000-00008C060000}"/>
    <cellStyle name="40% - Isticanje4 2 3 3" xfId="5324" xr:uid="{00000000-0005-0000-0000-00008D060000}"/>
    <cellStyle name="40% - Isticanje4 2 4" xfId="4913" xr:uid="{00000000-0005-0000-0000-00008E060000}"/>
    <cellStyle name="40% - Isticanje4 2 4 2" xfId="5326" xr:uid="{00000000-0005-0000-0000-00008F060000}"/>
    <cellStyle name="40% - Isticanje4 2 5" xfId="1220" xr:uid="{00000000-0005-0000-0000-000090060000}"/>
    <cellStyle name="40% - Isticanje4 3" xfId="132" xr:uid="{00000000-0005-0000-0000-000091060000}"/>
    <cellStyle name="40% - Isticanje4 3 2" xfId="1219" xr:uid="{00000000-0005-0000-0000-000092060000}"/>
    <cellStyle name="40% - Isticanje5 1" xfId="133" xr:uid="{00000000-0005-0000-0000-000093060000}"/>
    <cellStyle name="40% - Isticanje5 2" xfId="134" xr:uid="{00000000-0005-0000-0000-000094060000}"/>
    <cellStyle name="40% - Isticanje5 2 2" xfId="1224" xr:uid="{00000000-0005-0000-0000-000095060000}"/>
    <cellStyle name="40% - Isticanje5 2 2 2" xfId="4914" xr:uid="{00000000-0005-0000-0000-000096060000}"/>
    <cellStyle name="40% - Isticanje5 2 2 2 2" xfId="5327" xr:uid="{00000000-0005-0000-0000-000097060000}"/>
    <cellStyle name="40% - Isticanje5 2 3" xfId="4915" xr:uid="{00000000-0005-0000-0000-000098060000}"/>
    <cellStyle name="40% - Isticanje5 2 3 2" xfId="4916" xr:uid="{00000000-0005-0000-0000-000099060000}"/>
    <cellStyle name="40% - Isticanje5 2 3 2 2" xfId="5329" xr:uid="{00000000-0005-0000-0000-00009A060000}"/>
    <cellStyle name="40% - Isticanje5 2 3 3" xfId="5328" xr:uid="{00000000-0005-0000-0000-00009B060000}"/>
    <cellStyle name="40% - Isticanje5 2 4" xfId="4917" xr:uid="{00000000-0005-0000-0000-00009C060000}"/>
    <cellStyle name="40% - Isticanje5 2 4 2" xfId="5330" xr:uid="{00000000-0005-0000-0000-00009D060000}"/>
    <cellStyle name="40% - Isticanje5 2 5" xfId="1223" xr:uid="{00000000-0005-0000-0000-00009E060000}"/>
    <cellStyle name="40% - Isticanje5 3" xfId="135" xr:uid="{00000000-0005-0000-0000-00009F060000}"/>
    <cellStyle name="40% - Isticanje5 3 2" xfId="1222" xr:uid="{00000000-0005-0000-0000-0000A0060000}"/>
    <cellStyle name="40% - Isticanje6 1" xfId="136" xr:uid="{00000000-0005-0000-0000-0000A1060000}"/>
    <cellStyle name="40% - Isticanje6 2" xfId="137" xr:uid="{00000000-0005-0000-0000-0000A2060000}"/>
    <cellStyle name="40% - Isticanje6 2 2" xfId="1227" xr:uid="{00000000-0005-0000-0000-0000A3060000}"/>
    <cellStyle name="40% - Isticanje6 2 2 2" xfId="4918" xr:uid="{00000000-0005-0000-0000-0000A4060000}"/>
    <cellStyle name="40% - Isticanje6 2 2 2 2" xfId="5331" xr:uid="{00000000-0005-0000-0000-0000A5060000}"/>
    <cellStyle name="40% - Isticanje6 2 3" xfId="4919" xr:uid="{00000000-0005-0000-0000-0000A6060000}"/>
    <cellStyle name="40% - Isticanje6 2 3 2" xfId="4920" xr:uid="{00000000-0005-0000-0000-0000A7060000}"/>
    <cellStyle name="40% - Isticanje6 2 3 2 2" xfId="5333" xr:uid="{00000000-0005-0000-0000-0000A8060000}"/>
    <cellStyle name="40% - Isticanje6 2 3 3" xfId="5332" xr:uid="{00000000-0005-0000-0000-0000A9060000}"/>
    <cellStyle name="40% - Isticanje6 2 4" xfId="4921" xr:uid="{00000000-0005-0000-0000-0000AA060000}"/>
    <cellStyle name="40% - Isticanje6 2 4 2" xfId="5334" xr:uid="{00000000-0005-0000-0000-0000AB060000}"/>
    <cellStyle name="40% - Isticanje6 2 5" xfId="1226" xr:uid="{00000000-0005-0000-0000-0000AC060000}"/>
    <cellStyle name="40% - Isticanje6 3" xfId="138" xr:uid="{00000000-0005-0000-0000-0000AD060000}"/>
    <cellStyle name="40% - Isticanje6 3 2" xfId="1225" xr:uid="{00000000-0005-0000-0000-0000AE060000}"/>
    <cellStyle name="40% - Naglasak1" xfId="139" xr:uid="{00000000-0005-0000-0000-0000AF060000}"/>
    <cellStyle name="40% - Naglasak1 1" xfId="140" xr:uid="{00000000-0005-0000-0000-0000B0060000}"/>
    <cellStyle name="40% - Naglasak1 2" xfId="141" xr:uid="{00000000-0005-0000-0000-0000B1060000}"/>
    <cellStyle name="40% - Naglasak1 2 2" xfId="4922" xr:uid="{00000000-0005-0000-0000-0000B2060000}"/>
    <cellStyle name="40% - Naglasak1 2 2 2" xfId="4923" xr:uid="{00000000-0005-0000-0000-0000B3060000}"/>
    <cellStyle name="40% - Naglasak1 2 2 2 2" xfId="5336" xr:uid="{00000000-0005-0000-0000-0000B4060000}"/>
    <cellStyle name="40% - Naglasak1 2 2 3" xfId="5335" xr:uid="{00000000-0005-0000-0000-0000B5060000}"/>
    <cellStyle name="40% - Naglasak1 2 3" xfId="4924" xr:uid="{00000000-0005-0000-0000-0000B6060000}"/>
    <cellStyle name="40% - Naglasak1 2 3 2" xfId="4925" xr:uid="{00000000-0005-0000-0000-0000B7060000}"/>
    <cellStyle name="40% - Naglasak1 2 3 2 2" xfId="5338" xr:uid="{00000000-0005-0000-0000-0000B8060000}"/>
    <cellStyle name="40% - Naglasak1 2 3 3" xfId="5337" xr:uid="{00000000-0005-0000-0000-0000B9060000}"/>
    <cellStyle name="40% - Naglasak1 2 4" xfId="4926" xr:uid="{00000000-0005-0000-0000-0000BA060000}"/>
    <cellStyle name="40% - Naglasak1 2 4 2" xfId="5339" xr:uid="{00000000-0005-0000-0000-0000BB060000}"/>
    <cellStyle name="40% - Naglasak1_HRVATSKE_SUME_71_5.Privremena" xfId="142" xr:uid="{00000000-0005-0000-0000-0000BC060000}"/>
    <cellStyle name="60% - Accent1 1" xfId="143" xr:uid="{00000000-0005-0000-0000-0000BD060000}"/>
    <cellStyle name="60% - Accent1 1 1" xfId="144" xr:uid="{00000000-0005-0000-0000-0000BE060000}"/>
    <cellStyle name="60% - Accent1 10" xfId="4927" xr:uid="{00000000-0005-0000-0000-0000BF060000}"/>
    <cellStyle name="60% - Accent1 2" xfId="145" xr:uid="{00000000-0005-0000-0000-0000C0060000}"/>
    <cellStyle name="60% - Accent1 2 2" xfId="146" xr:uid="{00000000-0005-0000-0000-0000C1060000}"/>
    <cellStyle name="60% - Accent1 2 2 2" xfId="2758" xr:uid="{00000000-0005-0000-0000-0000C2060000}"/>
    <cellStyle name="60% - Accent1 2 3" xfId="4928" xr:uid="{00000000-0005-0000-0000-0000C3060000}"/>
    <cellStyle name="60% - Accent1 3" xfId="2759" xr:uid="{00000000-0005-0000-0000-0000C4060000}"/>
    <cellStyle name="60% - Accent1 3 10" xfId="2760" xr:uid="{00000000-0005-0000-0000-0000C5060000}"/>
    <cellStyle name="60% - Accent1 3 11" xfId="2761" xr:uid="{00000000-0005-0000-0000-0000C6060000}"/>
    <cellStyle name="60% - Accent1 3 12" xfId="2762" xr:uid="{00000000-0005-0000-0000-0000C7060000}"/>
    <cellStyle name="60% - Accent1 3 13" xfId="2763" xr:uid="{00000000-0005-0000-0000-0000C8060000}"/>
    <cellStyle name="60% - Accent1 3 14" xfId="2764" xr:uid="{00000000-0005-0000-0000-0000C9060000}"/>
    <cellStyle name="60% - Accent1 3 15" xfId="2765" xr:uid="{00000000-0005-0000-0000-0000CA060000}"/>
    <cellStyle name="60% - Accent1 3 16" xfId="2766" xr:uid="{00000000-0005-0000-0000-0000CB060000}"/>
    <cellStyle name="60% - Accent1 3 17" xfId="2767" xr:uid="{00000000-0005-0000-0000-0000CC060000}"/>
    <cellStyle name="60% - Accent1 3 18" xfId="2768" xr:uid="{00000000-0005-0000-0000-0000CD060000}"/>
    <cellStyle name="60% - Accent1 3 19" xfId="2769" xr:uid="{00000000-0005-0000-0000-0000CE060000}"/>
    <cellStyle name="60% - Accent1 3 2" xfId="2770" xr:uid="{00000000-0005-0000-0000-0000CF060000}"/>
    <cellStyle name="60% - Accent1 3 20" xfId="2771" xr:uid="{00000000-0005-0000-0000-0000D0060000}"/>
    <cellStyle name="60% - Accent1 3 21" xfId="2772" xr:uid="{00000000-0005-0000-0000-0000D1060000}"/>
    <cellStyle name="60% - Accent1 3 22" xfId="2773" xr:uid="{00000000-0005-0000-0000-0000D2060000}"/>
    <cellStyle name="60% - Accent1 3 23" xfId="2774" xr:uid="{00000000-0005-0000-0000-0000D3060000}"/>
    <cellStyle name="60% - Accent1 3 24" xfId="2775" xr:uid="{00000000-0005-0000-0000-0000D4060000}"/>
    <cellStyle name="60% - Accent1 3 25" xfId="2776" xr:uid="{00000000-0005-0000-0000-0000D5060000}"/>
    <cellStyle name="60% - Accent1 3 26" xfId="2777" xr:uid="{00000000-0005-0000-0000-0000D6060000}"/>
    <cellStyle name="60% - Accent1 3 27" xfId="2778" xr:uid="{00000000-0005-0000-0000-0000D7060000}"/>
    <cellStyle name="60% - Accent1 3 28" xfId="2779" xr:uid="{00000000-0005-0000-0000-0000D8060000}"/>
    <cellStyle name="60% - Accent1 3 3" xfId="2780" xr:uid="{00000000-0005-0000-0000-0000D9060000}"/>
    <cellStyle name="60% - Accent1 3 4" xfId="2781" xr:uid="{00000000-0005-0000-0000-0000DA060000}"/>
    <cellStyle name="60% - Accent1 3 5" xfId="2782" xr:uid="{00000000-0005-0000-0000-0000DB060000}"/>
    <cellStyle name="60% - Accent1 3 6" xfId="2783" xr:uid="{00000000-0005-0000-0000-0000DC060000}"/>
    <cellStyle name="60% - Accent1 3 7" xfId="2784" xr:uid="{00000000-0005-0000-0000-0000DD060000}"/>
    <cellStyle name="60% - Accent1 3 8" xfId="2785" xr:uid="{00000000-0005-0000-0000-0000DE060000}"/>
    <cellStyle name="60% - Accent1 3 9" xfId="2786" xr:uid="{00000000-0005-0000-0000-0000DF060000}"/>
    <cellStyle name="60% - Accent1 4" xfId="2787" xr:uid="{00000000-0005-0000-0000-0000E0060000}"/>
    <cellStyle name="60% - Accent1 4 10" xfId="2788" xr:uid="{00000000-0005-0000-0000-0000E1060000}"/>
    <cellStyle name="60% - Accent1 4 11" xfId="2789" xr:uid="{00000000-0005-0000-0000-0000E2060000}"/>
    <cellStyle name="60% - Accent1 4 12" xfId="2790" xr:uid="{00000000-0005-0000-0000-0000E3060000}"/>
    <cellStyle name="60% - Accent1 4 13" xfId="2791" xr:uid="{00000000-0005-0000-0000-0000E4060000}"/>
    <cellStyle name="60% - Accent1 4 14" xfId="2792" xr:uid="{00000000-0005-0000-0000-0000E5060000}"/>
    <cellStyle name="60% - Accent1 4 15" xfId="2793" xr:uid="{00000000-0005-0000-0000-0000E6060000}"/>
    <cellStyle name="60% - Accent1 4 16" xfId="2794" xr:uid="{00000000-0005-0000-0000-0000E7060000}"/>
    <cellStyle name="60% - Accent1 4 17" xfId="2795" xr:uid="{00000000-0005-0000-0000-0000E8060000}"/>
    <cellStyle name="60% - Accent1 4 18" xfId="2796" xr:uid="{00000000-0005-0000-0000-0000E9060000}"/>
    <cellStyle name="60% - Accent1 4 19" xfId="2797" xr:uid="{00000000-0005-0000-0000-0000EA060000}"/>
    <cellStyle name="60% - Accent1 4 2" xfId="2798" xr:uid="{00000000-0005-0000-0000-0000EB060000}"/>
    <cellStyle name="60% - Accent1 4 20" xfId="2799" xr:uid="{00000000-0005-0000-0000-0000EC060000}"/>
    <cellStyle name="60% - Accent1 4 21" xfId="2800" xr:uid="{00000000-0005-0000-0000-0000ED060000}"/>
    <cellStyle name="60% - Accent1 4 22" xfId="2801" xr:uid="{00000000-0005-0000-0000-0000EE060000}"/>
    <cellStyle name="60% - Accent1 4 23" xfId="2802" xr:uid="{00000000-0005-0000-0000-0000EF060000}"/>
    <cellStyle name="60% - Accent1 4 24" xfId="2803" xr:uid="{00000000-0005-0000-0000-0000F0060000}"/>
    <cellStyle name="60% - Accent1 4 25" xfId="2804" xr:uid="{00000000-0005-0000-0000-0000F1060000}"/>
    <cellStyle name="60% - Accent1 4 3" xfId="2805" xr:uid="{00000000-0005-0000-0000-0000F2060000}"/>
    <cellStyle name="60% - Accent1 4 4" xfId="2806" xr:uid="{00000000-0005-0000-0000-0000F3060000}"/>
    <cellStyle name="60% - Accent1 4 5" xfId="2807" xr:uid="{00000000-0005-0000-0000-0000F4060000}"/>
    <cellStyle name="60% - Accent1 4 6" xfId="2808" xr:uid="{00000000-0005-0000-0000-0000F5060000}"/>
    <cellStyle name="60% - Accent1 4 7" xfId="2809" xr:uid="{00000000-0005-0000-0000-0000F6060000}"/>
    <cellStyle name="60% - Accent1 4 8" xfId="2810" xr:uid="{00000000-0005-0000-0000-0000F7060000}"/>
    <cellStyle name="60% - Accent1 4 9" xfId="2811" xr:uid="{00000000-0005-0000-0000-0000F8060000}"/>
    <cellStyle name="60% - Accent1 5" xfId="4929" xr:uid="{00000000-0005-0000-0000-0000F9060000}"/>
    <cellStyle name="60% - Accent1 6" xfId="4930" xr:uid="{00000000-0005-0000-0000-0000FA060000}"/>
    <cellStyle name="60% - Accent1 7" xfId="4931" xr:uid="{00000000-0005-0000-0000-0000FB060000}"/>
    <cellStyle name="60% - Accent1 8" xfId="4932" xr:uid="{00000000-0005-0000-0000-0000FC060000}"/>
    <cellStyle name="60% - Accent1 9" xfId="4933" xr:uid="{00000000-0005-0000-0000-0000FD060000}"/>
    <cellStyle name="60% - Accent2 1" xfId="147" xr:uid="{00000000-0005-0000-0000-0000FE060000}"/>
    <cellStyle name="60% - Accent2 1 1" xfId="148" xr:uid="{00000000-0005-0000-0000-0000FF060000}"/>
    <cellStyle name="60% - Accent2 10" xfId="4934" xr:uid="{00000000-0005-0000-0000-000000070000}"/>
    <cellStyle name="60% - Accent2 2" xfId="149" xr:uid="{00000000-0005-0000-0000-000001070000}"/>
    <cellStyle name="60% - Accent2 2 2" xfId="150" xr:uid="{00000000-0005-0000-0000-000002070000}"/>
    <cellStyle name="60% - Accent2 2 2 2" xfId="2812" xr:uid="{00000000-0005-0000-0000-000003070000}"/>
    <cellStyle name="60% - Accent2 2 3" xfId="4935" xr:uid="{00000000-0005-0000-0000-000004070000}"/>
    <cellStyle name="60% - Accent2 3" xfId="2813" xr:uid="{00000000-0005-0000-0000-000005070000}"/>
    <cellStyle name="60% - Accent2 3 10" xfId="2814" xr:uid="{00000000-0005-0000-0000-000006070000}"/>
    <cellStyle name="60% - Accent2 3 11" xfId="2815" xr:uid="{00000000-0005-0000-0000-000007070000}"/>
    <cellStyle name="60% - Accent2 3 12" xfId="2816" xr:uid="{00000000-0005-0000-0000-000008070000}"/>
    <cellStyle name="60% - Accent2 3 13" xfId="2817" xr:uid="{00000000-0005-0000-0000-000009070000}"/>
    <cellStyle name="60% - Accent2 3 14" xfId="2818" xr:uid="{00000000-0005-0000-0000-00000A070000}"/>
    <cellStyle name="60% - Accent2 3 15" xfId="2819" xr:uid="{00000000-0005-0000-0000-00000B070000}"/>
    <cellStyle name="60% - Accent2 3 16" xfId="2820" xr:uid="{00000000-0005-0000-0000-00000C070000}"/>
    <cellStyle name="60% - Accent2 3 17" xfId="2821" xr:uid="{00000000-0005-0000-0000-00000D070000}"/>
    <cellStyle name="60% - Accent2 3 18" xfId="2822" xr:uid="{00000000-0005-0000-0000-00000E070000}"/>
    <cellStyle name="60% - Accent2 3 19" xfId="2823" xr:uid="{00000000-0005-0000-0000-00000F070000}"/>
    <cellStyle name="60% - Accent2 3 2" xfId="2824" xr:uid="{00000000-0005-0000-0000-000010070000}"/>
    <cellStyle name="60% - Accent2 3 20" xfId="2825" xr:uid="{00000000-0005-0000-0000-000011070000}"/>
    <cellStyle name="60% - Accent2 3 21" xfId="2826" xr:uid="{00000000-0005-0000-0000-000012070000}"/>
    <cellStyle name="60% - Accent2 3 22" xfId="2827" xr:uid="{00000000-0005-0000-0000-000013070000}"/>
    <cellStyle name="60% - Accent2 3 23" xfId="2828" xr:uid="{00000000-0005-0000-0000-000014070000}"/>
    <cellStyle name="60% - Accent2 3 24" xfId="2829" xr:uid="{00000000-0005-0000-0000-000015070000}"/>
    <cellStyle name="60% - Accent2 3 25" xfId="2830" xr:uid="{00000000-0005-0000-0000-000016070000}"/>
    <cellStyle name="60% - Accent2 3 26" xfId="2831" xr:uid="{00000000-0005-0000-0000-000017070000}"/>
    <cellStyle name="60% - Accent2 3 27" xfId="2832" xr:uid="{00000000-0005-0000-0000-000018070000}"/>
    <cellStyle name="60% - Accent2 3 28" xfId="2833" xr:uid="{00000000-0005-0000-0000-000019070000}"/>
    <cellStyle name="60% - Accent2 3 3" xfId="2834" xr:uid="{00000000-0005-0000-0000-00001A070000}"/>
    <cellStyle name="60% - Accent2 3 4" xfId="2835" xr:uid="{00000000-0005-0000-0000-00001B070000}"/>
    <cellStyle name="60% - Accent2 3 5" xfId="2836" xr:uid="{00000000-0005-0000-0000-00001C070000}"/>
    <cellStyle name="60% - Accent2 3 6" xfId="2837" xr:uid="{00000000-0005-0000-0000-00001D070000}"/>
    <cellStyle name="60% - Accent2 3 7" xfId="2838" xr:uid="{00000000-0005-0000-0000-00001E070000}"/>
    <cellStyle name="60% - Accent2 3 8" xfId="2839" xr:uid="{00000000-0005-0000-0000-00001F070000}"/>
    <cellStyle name="60% - Accent2 3 9" xfId="2840" xr:uid="{00000000-0005-0000-0000-000020070000}"/>
    <cellStyle name="60% - Accent2 4" xfId="2841" xr:uid="{00000000-0005-0000-0000-000021070000}"/>
    <cellStyle name="60% - Accent2 4 10" xfId="2842" xr:uid="{00000000-0005-0000-0000-000022070000}"/>
    <cellStyle name="60% - Accent2 4 11" xfId="2843" xr:uid="{00000000-0005-0000-0000-000023070000}"/>
    <cellStyle name="60% - Accent2 4 12" xfId="2844" xr:uid="{00000000-0005-0000-0000-000024070000}"/>
    <cellStyle name="60% - Accent2 4 13" xfId="2845" xr:uid="{00000000-0005-0000-0000-000025070000}"/>
    <cellStyle name="60% - Accent2 4 14" xfId="2846" xr:uid="{00000000-0005-0000-0000-000026070000}"/>
    <cellStyle name="60% - Accent2 4 15" xfId="2847" xr:uid="{00000000-0005-0000-0000-000027070000}"/>
    <cellStyle name="60% - Accent2 4 16" xfId="2848" xr:uid="{00000000-0005-0000-0000-000028070000}"/>
    <cellStyle name="60% - Accent2 4 17" xfId="2849" xr:uid="{00000000-0005-0000-0000-000029070000}"/>
    <cellStyle name="60% - Accent2 4 18" xfId="2850" xr:uid="{00000000-0005-0000-0000-00002A070000}"/>
    <cellStyle name="60% - Accent2 4 19" xfId="2851" xr:uid="{00000000-0005-0000-0000-00002B070000}"/>
    <cellStyle name="60% - Accent2 4 2" xfId="2852" xr:uid="{00000000-0005-0000-0000-00002C070000}"/>
    <cellStyle name="60% - Accent2 4 20" xfId="2853" xr:uid="{00000000-0005-0000-0000-00002D070000}"/>
    <cellStyle name="60% - Accent2 4 21" xfId="2854" xr:uid="{00000000-0005-0000-0000-00002E070000}"/>
    <cellStyle name="60% - Accent2 4 22" xfId="2855" xr:uid="{00000000-0005-0000-0000-00002F070000}"/>
    <cellStyle name="60% - Accent2 4 23" xfId="2856" xr:uid="{00000000-0005-0000-0000-000030070000}"/>
    <cellStyle name="60% - Accent2 4 24" xfId="2857" xr:uid="{00000000-0005-0000-0000-000031070000}"/>
    <cellStyle name="60% - Accent2 4 25" xfId="2858" xr:uid="{00000000-0005-0000-0000-000032070000}"/>
    <cellStyle name="60% - Accent2 4 3" xfId="2859" xr:uid="{00000000-0005-0000-0000-000033070000}"/>
    <cellStyle name="60% - Accent2 4 4" xfId="2860" xr:uid="{00000000-0005-0000-0000-000034070000}"/>
    <cellStyle name="60% - Accent2 4 5" xfId="2861" xr:uid="{00000000-0005-0000-0000-000035070000}"/>
    <cellStyle name="60% - Accent2 4 6" xfId="2862" xr:uid="{00000000-0005-0000-0000-000036070000}"/>
    <cellStyle name="60% - Accent2 4 7" xfId="2863" xr:uid="{00000000-0005-0000-0000-000037070000}"/>
    <cellStyle name="60% - Accent2 4 8" xfId="2864" xr:uid="{00000000-0005-0000-0000-000038070000}"/>
    <cellStyle name="60% - Accent2 4 9" xfId="2865" xr:uid="{00000000-0005-0000-0000-000039070000}"/>
    <cellStyle name="60% - Accent2 5" xfId="4936" xr:uid="{00000000-0005-0000-0000-00003A070000}"/>
    <cellStyle name="60% - Accent2 6" xfId="4937" xr:uid="{00000000-0005-0000-0000-00003B070000}"/>
    <cellStyle name="60% - Accent2 7" xfId="4938" xr:uid="{00000000-0005-0000-0000-00003C070000}"/>
    <cellStyle name="60% - Accent2 8" xfId="4939" xr:uid="{00000000-0005-0000-0000-00003D070000}"/>
    <cellStyle name="60% - Accent2 9" xfId="4940" xr:uid="{00000000-0005-0000-0000-00003E070000}"/>
    <cellStyle name="60% - Accent3 1" xfId="151" xr:uid="{00000000-0005-0000-0000-00003F070000}"/>
    <cellStyle name="60% - Accent3 1 1" xfId="152" xr:uid="{00000000-0005-0000-0000-000040070000}"/>
    <cellStyle name="60% - Accent3 10" xfId="4941" xr:uid="{00000000-0005-0000-0000-000041070000}"/>
    <cellStyle name="60% - Accent3 2" xfId="153" xr:uid="{00000000-0005-0000-0000-000042070000}"/>
    <cellStyle name="60% - Accent3 2 2" xfId="154" xr:uid="{00000000-0005-0000-0000-000043070000}"/>
    <cellStyle name="60% - Accent3 2 2 2" xfId="2866" xr:uid="{00000000-0005-0000-0000-000044070000}"/>
    <cellStyle name="60% - Accent3 2 3" xfId="4942" xr:uid="{00000000-0005-0000-0000-000045070000}"/>
    <cellStyle name="60% - Accent3 3" xfId="2867" xr:uid="{00000000-0005-0000-0000-000046070000}"/>
    <cellStyle name="60% - Accent3 3 10" xfId="2868" xr:uid="{00000000-0005-0000-0000-000047070000}"/>
    <cellStyle name="60% - Accent3 3 11" xfId="2869" xr:uid="{00000000-0005-0000-0000-000048070000}"/>
    <cellStyle name="60% - Accent3 3 12" xfId="2870" xr:uid="{00000000-0005-0000-0000-000049070000}"/>
    <cellStyle name="60% - Accent3 3 13" xfId="2871" xr:uid="{00000000-0005-0000-0000-00004A070000}"/>
    <cellStyle name="60% - Accent3 3 14" xfId="2872" xr:uid="{00000000-0005-0000-0000-00004B070000}"/>
    <cellStyle name="60% - Accent3 3 15" xfId="2873" xr:uid="{00000000-0005-0000-0000-00004C070000}"/>
    <cellStyle name="60% - Accent3 3 16" xfId="2874" xr:uid="{00000000-0005-0000-0000-00004D070000}"/>
    <cellStyle name="60% - Accent3 3 17" xfId="2875" xr:uid="{00000000-0005-0000-0000-00004E070000}"/>
    <cellStyle name="60% - Accent3 3 18" xfId="2876" xr:uid="{00000000-0005-0000-0000-00004F070000}"/>
    <cellStyle name="60% - Accent3 3 19" xfId="2877" xr:uid="{00000000-0005-0000-0000-000050070000}"/>
    <cellStyle name="60% - Accent3 3 2" xfId="2878" xr:uid="{00000000-0005-0000-0000-000051070000}"/>
    <cellStyle name="60% - Accent3 3 20" xfId="2879" xr:uid="{00000000-0005-0000-0000-000052070000}"/>
    <cellStyle name="60% - Accent3 3 21" xfId="2880" xr:uid="{00000000-0005-0000-0000-000053070000}"/>
    <cellStyle name="60% - Accent3 3 22" xfId="2881" xr:uid="{00000000-0005-0000-0000-000054070000}"/>
    <cellStyle name="60% - Accent3 3 23" xfId="2882" xr:uid="{00000000-0005-0000-0000-000055070000}"/>
    <cellStyle name="60% - Accent3 3 24" xfId="2883" xr:uid="{00000000-0005-0000-0000-000056070000}"/>
    <cellStyle name="60% - Accent3 3 25" xfId="2884" xr:uid="{00000000-0005-0000-0000-000057070000}"/>
    <cellStyle name="60% - Accent3 3 26" xfId="2885" xr:uid="{00000000-0005-0000-0000-000058070000}"/>
    <cellStyle name="60% - Accent3 3 27" xfId="2886" xr:uid="{00000000-0005-0000-0000-000059070000}"/>
    <cellStyle name="60% - Accent3 3 28" xfId="2887" xr:uid="{00000000-0005-0000-0000-00005A070000}"/>
    <cellStyle name="60% - Accent3 3 3" xfId="2888" xr:uid="{00000000-0005-0000-0000-00005B070000}"/>
    <cellStyle name="60% - Accent3 3 4" xfId="2889" xr:uid="{00000000-0005-0000-0000-00005C070000}"/>
    <cellStyle name="60% - Accent3 3 5" xfId="2890" xr:uid="{00000000-0005-0000-0000-00005D070000}"/>
    <cellStyle name="60% - Accent3 3 6" xfId="2891" xr:uid="{00000000-0005-0000-0000-00005E070000}"/>
    <cellStyle name="60% - Accent3 3 7" xfId="2892" xr:uid="{00000000-0005-0000-0000-00005F070000}"/>
    <cellStyle name="60% - Accent3 3 8" xfId="2893" xr:uid="{00000000-0005-0000-0000-000060070000}"/>
    <cellStyle name="60% - Accent3 3 9" xfId="2894" xr:uid="{00000000-0005-0000-0000-000061070000}"/>
    <cellStyle name="60% - Accent3 4" xfId="2895" xr:uid="{00000000-0005-0000-0000-000062070000}"/>
    <cellStyle name="60% - Accent3 4 10" xfId="2896" xr:uid="{00000000-0005-0000-0000-000063070000}"/>
    <cellStyle name="60% - Accent3 4 11" xfId="2897" xr:uid="{00000000-0005-0000-0000-000064070000}"/>
    <cellStyle name="60% - Accent3 4 12" xfId="2898" xr:uid="{00000000-0005-0000-0000-000065070000}"/>
    <cellStyle name="60% - Accent3 4 13" xfId="2899" xr:uid="{00000000-0005-0000-0000-000066070000}"/>
    <cellStyle name="60% - Accent3 4 14" xfId="2900" xr:uid="{00000000-0005-0000-0000-000067070000}"/>
    <cellStyle name="60% - Accent3 4 15" xfId="2901" xr:uid="{00000000-0005-0000-0000-000068070000}"/>
    <cellStyle name="60% - Accent3 4 16" xfId="2902" xr:uid="{00000000-0005-0000-0000-000069070000}"/>
    <cellStyle name="60% - Accent3 4 17" xfId="2903" xr:uid="{00000000-0005-0000-0000-00006A070000}"/>
    <cellStyle name="60% - Accent3 4 18" xfId="2904" xr:uid="{00000000-0005-0000-0000-00006B070000}"/>
    <cellStyle name="60% - Accent3 4 19" xfId="2905" xr:uid="{00000000-0005-0000-0000-00006C070000}"/>
    <cellStyle name="60% - Accent3 4 2" xfId="2906" xr:uid="{00000000-0005-0000-0000-00006D070000}"/>
    <cellStyle name="60% - Accent3 4 20" xfId="2907" xr:uid="{00000000-0005-0000-0000-00006E070000}"/>
    <cellStyle name="60% - Accent3 4 21" xfId="2908" xr:uid="{00000000-0005-0000-0000-00006F070000}"/>
    <cellStyle name="60% - Accent3 4 22" xfId="2909" xr:uid="{00000000-0005-0000-0000-000070070000}"/>
    <cellStyle name="60% - Accent3 4 23" xfId="2910" xr:uid="{00000000-0005-0000-0000-000071070000}"/>
    <cellStyle name="60% - Accent3 4 24" xfId="2911" xr:uid="{00000000-0005-0000-0000-000072070000}"/>
    <cellStyle name="60% - Accent3 4 25" xfId="2912" xr:uid="{00000000-0005-0000-0000-000073070000}"/>
    <cellStyle name="60% - Accent3 4 3" xfId="2913" xr:uid="{00000000-0005-0000-0000-000074070000}"/>
    <cellStyle name="60% - Accent3 4 4" xfId="2914" xr:uid="{00000000-0005-0000-0000-000075070000}"/>
    <cellStyle name="60% - Accent3 4 5" xfId="2915" xr:uid="{00000000-0005-0000-0000-000076070000}"/>
    <cellStyle name="60% - Accent3 4 6" xfId="2916" xr:uid="{00000000-0005-0000-0000-000077070000}"/>
    <cellStyle name="60% - Accent3 4 7" xfId="2917" xr:uid="{00000000-0005-0000-0000-000078070000}"/>
    <cellStyle name="60% - Accent3 4 8" xfId="2918" xr:uid="{00000000-0005-0000-0000-000079070000}"/>
    <cellStyle name="60% - Accent3 4 9" xfId="2919" xr:uid="{00000000-0005-0000-0000-00007A070000}"/>
    <cellStyle name="60% - Accent3 5" xfId="4943" xr:uid="{00000000-0005-0000-0000-00007B070000}"/>
    <cellStyle name="60% - Accent3 6" xfId="4944" xr:uid="{00000000-0005-0000-0000-00007C070000}"/>
    <cellStyle name="60% - Accent3 7" xfId="4945" xr:uid="{00000000-0005-0000-0000-00007D070000}"/>
    <cellStyle name="60% - Accent3 8" xfId="4946" xr:uid="{00000000-0005-0000-0000-00007E070000}"/>
    <cellStyle name="60% - Accent3 9" xfId="4947" xr:uid="{00000000-0005-0000-0000-00007F070000}"/>
    <cellStyle name="60% - Accent4 1" xfId="155" xr:uid="{00000000-0005-0000-0000-000080070000}"/>
    <cellStyle name="60% - Accent4 1 1" xfId="156" xr:uid="{00000000-0005-0000-0000-000081070000}"/>
    <cellStyle name="60% - Accent4 10" xfId="4948" xr:uid="{00000000-0005-0000-0000-000082070000}"/>
    <cellStyle name="60% - Accent4 2" xfId="157" xr:uid="{00000000-0005-0000-0000-000083070000}"/>
    <cellStyle name="60% - Accent4 2 2" xfId="158" xr:uid="{00000000-0005-0000-0000-000084070000}"/>
    <cellStyle name="60% - Accent4 2 2 2" xfId="2920" xr:uid="{00000000-0005-0000-0000-000085070000}"/>
    <cellStyle name="60% - Accent4 2 3" xfId="4949" xr:uid="{00000000-0005-0000-0000-000086070000}"/>
    <cellStyle name="60% - Accent4 3" xfId="2921" xr:uid="{00000000-0005-0000-0000-000087070000}"/>
    <cellStyle name="60% - Accent4 3 10" xfId="2922" xr:uid="{00000000-0005-0000-0000-000088070000}"/>
    <cellStyle name="60% - Accent4 3 11" xfId="2923" xr:uid="{00000000-0005-0000-0000-000089070000}"/>
    <cellStyle name="60% - Accent4 3 12" xfId="2924" xr:uid="{00000000-0005-0000-0000-00008A070000}"/>
    <cellStyle name="60% - Accent4 3 13" xfId="2925" xr:uid="{00000000-0005-0000-0000-00008B070000}"/>
    <cellStyle name="60% - Accent4 3 14" xfId="2926" xr:uid="{00000000-0005-0000-0000-00008C070000}"/>
    <cellStyle name="60% - Accent4 3 15" xfId="2927" xr:uid="{00000000-0005-0000-0000-00008D070000}"/>
    <cellStyle name="60% - Accent4 3 16" xfId="2928" xr:uid="{00000000-0005-0000-0000-00008E070000}"/>
    <cellStyle name="60% - Accent4 3 17" xfId="2929" xr:uid="{00000000-0005-0000-0000-00008F070000}"/>
    <cellStyle name="60% - Accent4 3 18" xfId="2930" xr:uid="{00000000-0005-0000-0000-000090070000}"/>
    <cellStyle name="60% - Accent4 3 19" xfId="2931" xr:uid="{00000000-0005-0000-0000-000091070000}"/>
    <cellStyle name="60% - Accent4 3 2" xfId="2932" xr:uid="{00000000-0005-0000-0000-000092070000}"/>
    <cellStyle name="60% - Accent4 3 20" xfId="2933" xr:uid="{00000000-0005-0000-0000-000093070000}"/>
    <cellStyle name="60% - Accent4 3 21" xfId="2934" xr:uid="{00000000-0005-0000-0000-000094070000}"/>
    <cellStyle name="60% - Accent4 3 22" xfId="2935" xr:uid="{00000000-0005-0000-0000-000095070000}"/>
    <cellStyle name="60% - Accent4 3 23" xfId="2936" xr:uid="{00000000-0005-0000-0000-000096070000}"/>
    <cellStyle name="60% - Accent4 3 24" xfId="2937" xr:uid="{00000000-0005-0000-0000-000097070000}"/>
    <cellStyle name="60% - Accent4 3 25" xfId="2938" xr:uid="{00000000-0005-0000-0000-000098070000}"/>
    <cellStyle name="60% - Accent4 3 26" xfId="2939" xr:uid="{00000000-0005-0000-0000-000099070000}"/>
    <cellStyle name="60% - Accent4 3 27" xfId="2940" xr:uid="{00000000-0005-0000-0000-00009A070000}"/>
    <cellStyle name="60% - Accent4 3 28" xfId="2941" xr:uid="{00000000-0005-0000-0000-00009B070000}"/>
    <cellStyle name="60% - Accent4 3 3" xfId="2942" xr:uid="{00000000-0005-0000-0000-00009C070000}"/>
    <cellStyle name="60% - Accent4 3 4" xfId="2943" xr:uid="{00000000-0005-0000-0000-00009D070000}"/>
    <cellStyle name="60% - Accent4 3 5" xfId="2944" xr:uid="{00000000-0005-0000-0000-00009E070000}"/>
    <cellStyle name="60% - Accent4 3 6" xfId="2945" xr:uid="{00000000-0005-0000-0000-00009F070000}"/>
    <cellStyle name="60% - Accent4 3 7" xfId="2946" xr:uid="{00000000-0005-0000-0000-0000A0070000}"/>
    <cellStyle name="60% - Accent4 3 8" xfId="2947" xr:uid="{00000000-0005-0000-0000-0000A1070000}"/>
    <cellStyle name="60% - Accent4 3 9" xfId="2948" xr:uid="{00000000-0005-0000-0000-0000A2070000}"/>
    <cellStyle name="60% - Accent4 4" xfId="2949" xr:uid="{00000000-0005-0000-0000-0000A3070000}"/>
    <cellStyle name="60% - Accent4 4 10" xfId="2950" xr:uid="{00000000-0005-0000-0000-0000A4070000}"/>
    <cellStyle name="60% - Accent4 4 11" xfId="2951" xr:uid="{00000000-0005-0000-0000-0000A5070000}"/>
    <cellStyle name="60% - Accent4 4 12" xfId="2952" xr:uid="{00000000-0005-0000-0000-0000A6070000}"/>
    <cellStyle name="60% - Accent4 4 13" xfId="2953" xr:uid="{00000000-0005-0000-0000-0000A7070000}"/>
    <cellStyle name="60% - Accent4 4 14" xfId="2954" xr:uid="{00000000-0005-0000-0000-0000A8070000}"/>
    <cellStyle name="60% - Accent4 4 15" xfId="2955" xr:uid="{00000000-0005-0000-0000-0000A9070000}"/>
    <cellStyle name="60% - Accent4 4 16" xfId="2956" xr:uid="{00000000-0005-0000-0000-0000AA070000}"/>
    <cellStyle name="60% - Accent4 4 17" xfId="2957" xr:uid="{00000000-0005-0000-0000-0000AB070000}"/>
    <cellStyle name="60% - Accent4 4 18" xfId="2958" xr:uid="{00000000-0005-0000-0000-0000AC070000}"/>
    <cellStyle name="60% - Accent4 4 19" xfId="2959" xr:uid="{00000000-0005-0000-0000-0000AD070000}"/>
    <cellStyle name="60% - Accent4 4 2" xfId="2960" xr:uid="{00000000-0005-0000-0000-0000AE070000}"/>
    <cellStyle name="60% - Accent4 4 20" xfId="2961" xr:uid="{00000000-0005-0000-0000-0000AF070000}"/>
    <cellStyle name="60% - Accent4 4 21" xfId="2962" xr:uid="{00000000-0005-0000-0000-0000B0070000}"/>
    <cellStyle name="60% - Accent4 4 22" xfId="2963" xr:uid="{00000000-0005-0000-0000-0000B1070000}"/>
    <cellStyle name="60% - Accent4 4 23" xfId="2964" xr:uid="{00000000-0005-0000-0000-0000B2070000}"/>
    <cellStyle name="60% - Accent4 4 24" xfId="2965" xr:uid="{00000000-0005-0000-0000-0000B3070000}"/>
    <cellStyle name="60% - Accent4 4 25" xfId="2966" xr:uid="{00000000-0005-0000-0000-0000B4070000}"/>
    <cellStyle name="60% - Accent4 4 3" xfId="2967" xr:uid="{00000000-0005-0000-0000-0000B5070000}"/>
    <cellStyle name="60% - Accent4 4 4" xfId="2968" xr:uid="{00000000-0005-0000-0000-0000B6070000}"/>
    <cellStyle name="60% - Accent4 4 5" xfId="2969" xr:uid="{00000000-0005-0000-0000-0000B7070000}"/>
    <cellStyle name="60% - Accent4 4 6" xfId="2970" xr:uid="{00000000-0005-0000-0000-0000B8070000}"/>
    <cellStyle name="60% - Accent4 4 7" xfId="2971" xr:uid="{00000000-0005-0000-0000-0000B9070000}"/>
    <cellStyle name="60% - Accent4 4 8" xfId="2972" xr:uid="{00000000-0005-0000-0000-0000BA070000}"/>
    <cellStyle name="60% - Accent4 4 9" xfId="2973" xr:uid="{00000000-0005-0000-0000-0000BB070000}"/>
    <cellStyle name="60% - Accent4 5" xfId="4950" xr:uid="{00000000-0005-0000-0000-0000BC070000}"/>
    <cellStyle name="60% - Accent4 6" xfId="4951" xr:uid="{00000000-0005-0000-0000-0000BD070000}"/>
    <cellStyle name="60% - Accent4 7" xfId="4952" xr:uid="{00000000-0005-0000-0000-0000BE070000}"/>
    <cellStyle name="60% - Accent4 8" xfId="4953" xr:uid="{00000000-0005-0000-0000-0000BF070000}"/>
    <cellStyle name="60% - Accent4 9" xfId="4954" xr:uid="{00000000-0005-0000-0000-0000C0070000}"/>
    <cellStyle name="60% - Accent5 1" xfId="159" xr:uid="{00000000-0005-0000-0000-0000C1070000}"/>
    <cellStyle name="60% - Accent5 1 1" xfId="160" xr:uid="{00000000-0005-0000-0000-0000C2070000}"/>
    <cellStyle name="60% - Accent5 10" xfId="4955" xr:uid="{00000000-0005-0000-0000-0000C3070000}"/>
    <cellStyle name="60% - Accent5 2" xfId="161" xr:uid="{00000000-0005-0000-0000-0000C4070000}"/>
    <cellStyle name="60% - Accent5 2 2" xfId="162" xr:uid="{00000000-0005-0000-0000-0000C5070000}"/>
    <cellStyle name="60% - Accent5 2 2 2" xfId="2974" xr:uid="{00000000-0005-0000-0000-0000C6070000}"/>
    <cellStyle name="60% - Accent5 2 3" xfId="163" xr:uid="{00000000-0005-0000-0000-0000C7070000}"/>
    <cellStyle name="60% - Accent5 2 3 2" xfId="4956" xr:uid="{00000000-0005-0000-0000-0000C8070000}"/>
    <cellStyle name="60% - Accent5 3" xfId="2975" xr:uid="{00000000-0005-0000-0000-0000C9070000}"/>
    <cellStyle name="60% - Accent5 3 10" xfId="2976" xr:uid="{00000000-0005-0000-0000-0000CA070000}"/>
    <cellStyle name="60% - Accent5 3 11" xfId="2977" xr:uid="{00000000-0005-0000-0000-0000CB070000}"/>
    <cellStyle name="60% - Accent5 3 12" xfId="2978" xr:uid="{00000000-0005-0000-0000-0000CC070000}"/>
    <cellStyle name="60% - Accent5 3 13" xfId="2979" xr:uid="{00000000-0005-0000-0000-0000CD070000}"/>
    <cellStyle name="60% - Accent5 3 14" xfId="2980" xr:uid="{00000000-0005-0000-0000-0000CE070000}"/>
    <cellStyle name="60% - Accent5 3 15" xfId="2981" xr:uid="{00000000-0005-0000-0000-0000CF070000}"/>
    <cellStyle name="60% - Accent5 3 16" xfId="2982" xr:uid="{00000000-0005-0000-0000-0000D0070000}"/>
    <cellStyle name="60% - Accent5 3 17" xfId="2983" xr:uid="{00000000-0005-0000-0000-0000D1070000}"/>
    <cellStyle name="60% - Accent5 3 18" xfId="2984" xr:uid="{00000000-0005-0000-0000-0000D2070000}"/>
    <cellStyle name="60% - Accent5 3 19" xfId="2985" xr:uid="{00000000-0005-0000-0000-0000D3070000}"/>
    <cellStyle name="60% - Accent5 3 2" xfId="2986" xr:uid="{00000000-0005-0000-0000-0000D4070000}"/>
    <cellStyle name="60% - Accent5 3 20" xfId="2987" xr:uid="{00000000-0005-0000-0000-0000D5070000}"/>
    <cellStyle name="60% - Accent5 3 21" xfId="2988" xr:uid="{00000000-0005-0000-0000-0000D6070000}"/>
    <cellStyle name="60% - Accent5 3 22" xfId="2989" xr:uid="{00000000-0005-0000-0000-0000D7070000}"/>
    <cellStyle name="60% - Accent5 3 23" xfId="2990" xr:uid="{00000000-0005-0000-0000-0000D8070000}"/>
    <cellStyle name="60% - Accent5 3 24" xfId="2991" xr:uid="{00000000-0005-0000-0000-0000D9070000}"/>
    <cellStyle name="60% - Accent5 3 25" xfId="2992" xr:uid="{00000000-0005-0000-0000-0000DA070000}"/>
    <cellStyle name="60% - Accent5 3 26" xfId="2993" xr:uid="{00000000-0005-0000-0000-0000DB070000}"/>
    <cellStyle name="60% - Accent5 3 27" xfId="2994" xr:uid="{00000000-0005-0000-0000-0000DC070000}"/>
    <cellStyle name="60% - Accent5 3 28" xfId="2995" xr:uid="{00000000-0005-0000-0000-0000DD070000}"/>
    <cellStyle name="60% - Accent5 3 3" xfId="2996" xr:uid="{00000000-0005-0000-0000-0000DE070000}"/>
    <cellStyle name="60% - Accent5 3 4" xfId="2997" xr:uid="{00000000-0005-0000-0000-0000DF070000}"/>
    <cellStyle name="60% - Accent5 3 5" xfId="2998" xr:uid="{00000000-0005-0000-0000-0000E0070000}"/>
    <cellStyle name="60% - Accent5 3 6" xfId="2999" xr:uid="{00000000-0005-0000-0000-0000E1070000}"/>
    <cellStyle name="60% - Accent5 3 7" xfId="3000" xr:uid="{00000000-0005-0000-0000-0000E2070000}"/>
    <cellStyle name="60% - Accent5 3 8" xfId="3001" xr:uid="{00000000-0005-0000-0000-0000E3070000}"/>
    <cellStyle name="60% - Accent5 3 9" xfId="3002" xr:uid="{00000000-0005-0000-0000-0000E4070000}"/>
    <cellStyle name="60% - Accent5 4" xfId="3003" xr:uid="{00000000-0005-0000-0000-0000E5070000}"/>
    <cellStyle name="60% - Accent5 4 10" xfId="3004" xr:uid="{00000000-0005-0000-0000-0000E6070000}"/>
    <cellStyle name="60% - Accent5 4 11" xfId="3005" xr:uid="{00000000-0005-0000-0000-0000E7070000}"/>
    <cellStyle name="60% - Accent5 4 12" xfId="3006" xr:uid="{00000000-0005-0000-0000-0000E8070000}"/>
    <cellStyle name="60% - Accent5 4 13" xfId="3007" xr:uid="{00000000-0005-0000-0000-0000E9070000}"/>
    <cellStyle name="60% - Accent5 4 14" xfId="3008" xr:uid="{00000000-0005-0000-0000-0000EA070000}"/>
    <cellStyle name="60% - Accent5 4 15" xfId="3009" xr:uid="{00000000-0005-0000-0000-0000EB070000}"/>
    <cellStyle name="60% - Accent5 4 16" xfId="3010" xr:uid="{00000000-0005-0000-0000-0000EC070000}"/>
    <cellStyle name="60% - Accent5 4 17" xfId="3011" xr:uid="{00000000-0005-0000-0000-0000ED070000}"/>
    <cellStyle name="60% - Accent5 4 18" xfId="3012" xr:uid="{00000000-0005-0000-0000-0000EE070000}"/>
    <cellStyle name="60% - Accent5 4 19" xfId="3013" xr:uid="{00000000-0005-0000-0000-0000EF070000}"/>
    <cellStyle name="60% - Accent5 4 2" xfId="3014" xr:uid="{00000000-0005-0000-0000-0000F0070000}"/>
    <cellStyle name="60% - Accent5 4 20" xfId="3015" xr:uid="{00000000-0005-0000-0000-0000F1070000}"/>
    <cellStyle name="60% - Accent5 4 21" xfId="3016" xr:uid="{00000000-0005-0000-0000-0000F2070000}"/>
    <cellStyle name="60% - Accent5 4 22" xfId="3017" xr:uid="{00000000-0005-0000-0000-0000F3070000}"/>
    <cellStyle name="60% - Accent5 4 23" xfId="3018" xr:uid="{00000000-0005-0000-0000-0000F4070000}"/>
    <cellStyle name="60% - Accent5 4 24" xfId="3019" xr:uid="{00000000-0005-0000-0000-0000F5070000}"/>
    <cellStyle name="60% - Accent5 4 25" xfId="3020" xr:uid="{00000000-0005-0000-0000-0000F6070000}"/>
    <cellStyle name="60% - Accent5 4 3" xfId="3021" xr:uid="{00000000-0005-0000-0000-0000F7070000}"/>
    <cellStyle name="60% - Accent5 4 4" xfId="3022" xr:uid="{00000000-0005-0000-0000-0000F8070000}"/>
    <cellStyle name="60% - Accent5 4 5" xfId="3023" xr:uid="{00000000-0005-0000-0000-0000F9070000}"/>
    <cellStyle name="60% - Accent5 4 6" xfId="3024" xr:uid="{00000000-0005-0000-0000-0000FA070000}"/>
    <cellStyle name="60% - Accent5 4 7" xfId="3025" xr:uid="{00000000-0005-0000-0000-0000FB070000}"/>
    <cellStyle name="60% - Accent5 4 8" xfId="3026" xr:uid="{00000000-0005-0000-0000-0000FC070000}"/>
    <cellStyle name="60% - Accent5 4 9" xfId="3027" xr:uid="{00000000-0005-0000-0000-0000FD070000}"/>
    <cellStyle name="60% - Accent5 5" xfId="4957" xr:uid="{00000000-0005-0000-0000-0000FE070000}"/>
    <cellStyle name="60% - Accent5 6" xfId="4958" xr:uid="{00000000-0005-0000-0000-0000FF070000}"/>
    <cellStyle name="60% - Accent5 7" xfId="4959" xr:uid="{00000000-0005-0000-0000-000000080000}"/>
    <cellStyle name="60% - Accent5 8" xfId="4960" xr:uid="{00000000-0005-0000-0000-000001080000}"/>
    <cellStyle name="60% - Accent5 9" xfId="4961" xr:uid="{00000000-0005-0000-0000-000002080000}"/>
    <cellStyle name="60% - Accent6 1" xfId="164" xr:uid="{00000000-0005-0000-0000-000003080000}"/>
    <cellStyle name="60% - Accent6 1 1" xfId="165" xr:uid="{00000000-0005-0000-0000-000004080000}"/>
    <cellStyle name="60% - Accent6 10" xfId="4962" xr:uid="{00000000-0005-0000-0000-000005080000}"/>
    <cellStyle name="60% - Accent6 2" xfId="166" xr:uid="{00000000-0005-0000-0000-000006080000}"/>
    <cellStyle name="60% - Accent6 2 2" xfId="167" xr:uid="{00000000-0005-0000-0000-000007080000}"/>
    <cellStyle name="60% - Accent6 2 2 2" xfId="3028" xr:uid="{00000000-0005-0000-0000-000008080000}"/>
    <cellStyle name="60% - Accent6 2 3" xfId="4963" xr:uid="{00000000-0005-0000-0000-000009080000}"/>
    <cellStyle name="60% - Accent6 3" xfId="3029" xr:uid="{00000000-0005-0000-0000-00000A080000}"/>
    <cellStyle name="60% - Accent6 3 10" xfId="3030" xr:uid="{00000000-0005-0000-0000-00000B080000}"/>
    <cellStyle name="60% - Accent6 3 11" xfId="3031" xr:uid="{00000000-0005-0000-0000-00000C080000}"/>
    <cellStyle name="60% - Accent6 3 12" xfId="3032" xr:uid="{00000000-0005-0000-0000-00000D080000}"/>
    <cellStyle name="60% - Accent6 3 13" xfId="3033" xr:uid="{00000000-0005-0000-0000-00000E080000}"/>
    <cellStyle name="60% - Accent6 3 14" xfId="3034" xr:uid="{00000000-0005-0000-0000-00000F080000}"/>
    <cellStyle name="60% - Accent6 3 15" xfId="3035" xr:uid="{00000000-0005-0000-0000-000010080000}"/>
    <cellStyle name="60% - Accent6 3 16" xfId="3036" xr:uid="{00000000-0005-0000-0000-000011080000}"/>
    <cellStyle name="60% - Accent6 3 17" xfId="3037" xr:uid="{00000000-0005-0000-0000-000012080000}"/>
    <cellStyle name="60% - Accent6 3 18" xfId="3038" xr:uid="{00000000-0005-0000-0000-000013080000}"/>
    <cellStyle name="60% - Accent6 3 19" xfId="3039" xr:uid="{00000000-0005-0000-0000-000014080000}"/>
    <cellStyle name="60% - Accent6 3 2" xfId="3040" xr:uid="{00000000-0005-0000-0000-000015080000}"/>
    <cellStyle name="60% - Accent6 3 20" xfId="3041" xr:uid="{00000000-0005-0000-0000-000016080000}"/>
    <cellStyle name="60% - Accent6 3 21" xfId="3042" xr:uid="{00000000-0005-0000-0000-000017080000}"/>
    <cellStyle name="60% - Accent6 3 22" xfId="3043" xr:uid="{00000000-0005-0000-0000-000018080000}"/>
    <cellStyle name="60% - Accent6 3 23" xfId="3044" xr:uid="{00000000-0005-0000-0000-000019080000}"/>
    <cellStyle name="60% - Accent6 3 24" xfId="3045" xr:uid="{00000000-0005-0000-0000-00001A080000}"/>
    <cellStyle name="60% - Accent6 3 25" xfId="3046" xr:uid="{00000000-0005-0000-0000-00001B080000}"/>
    <cellStyle name="60% - Accent6 3 26" xfId="3047" xr:uid="{00000000-0005-0000-0000-00001C080000}"/>
    <cellStyle name="60% - Accent6 3 27" xfId="3048" xr:uid="{00000000-0005-0000-0000-00001D080000}"/>
    <cellStyle name="60% - Accent6 3 28" xfId="3049" xr:uid="{00000000-0005-0000-0000-00001E080000}"/>
    <cellStyle name="60% - Accent6 3 3" xfId="3050" xr:uid="{00000000-0005-0000-0000-00001F080000}"/>
    <cellStyle name="60% - Accent6 3 4" xfId="3051" xr:uid="{00000000-0005-0000-0000-000020080000}"/>
    <cellStyle name="60% - Accent6 3 5" xfId="3052" xr:uid="{00000000-0005-0000-0000-000021080000}"/>
    <cellStyle name="60% - Accent6 3 6" xfId="3053" xr:uid="{00000000-0005-0000-0000-000022080000}"/>
    <cellStyle name="60% - Accent6 3 7" xfId="3054" xr:uid="{00000000-0005-0000-0000-000023080000}"/>
    <cellStyle name="60% - Accent6 3 8" xfId="3055" xr:uid="{00000000-0005-0000-0000-000024080000}"/>
    <cellStyle name="60% - Accent6 3 9" xfId="3056" xr:uid="{00000000-0005-0000-0000-000025080000}"/>
    <cellStyle name="60% - Accent6 4" xfId="3057" xr:uid="{00000000-0005-0000-0000-000026080000}"/>
    <cellStyle name="60% - Accent6 4 10" xfId="3058" xr:uid="{00000000-0005-0000-0000-000027080000}"/>
    <cellStyle name="60% - Accent6 4 11" xfId="3059" xr:uid="{00000000-0005-0000-0000-000028080000}"/>
    <cellStyle name="60% - Accent6 4 12" xfId="3060" xr:uid="{00000000-0005-0000-0000-000029080000}"/>
    <cellStyle name="60% - Accent6 4 13" xfId="3061" xr:uid="{00000000-0005-0000-0000-00002A080000}"/>
    <cellStyle name="60% - Accent6 4 14" xfId="3062" xr:uid="{00000000-0005-0000-0000-00002B080000}"/>
    <cellStyle name="60% - Accent6 4 15" xfId="3063" xr:uid="{00000000-0005-0000-0000-00002C080000}"/>
    <cellStyle name="60% - Accent6 4 16" xfId="3064" xr:uid="{00000000-0005-0000-0000-00002D080000}"/>
    <cellStyle name="60% - Accent6 4 17" xfId="3065" xr:uid="{00000000-0005-0000-0000-00002E080000}"/>
    <cellStyle name="60% - Accent6 4 18" xfId="3066" xr:uid="{00000000-0005-0000-0000-00002F080000}"/>
    <cellStyle name="60% - Accent6 4 19" xfId="3067" xr:uid="{00000000-0005-0000-0000-000030080000}"/>
    <cellStyle name="60% - Accent6 4 2" xfId="3068" xr:uid="{00000000-0005-0000-0000-000031080000}"/>
    <cellStyle name="60% - Accent6 4 20" xfId="3069" xr:uid="{00000000-0005-0000-0000-000032080000}"/>
    <cellStyle name="60% - Accent6 4 21" xfId="3070" xr:uid="{00000000-0005-0000-0000-000033080000}"/>
    <cellStyle name="60% - Accent6 4 22" xfId="3071" xr:uid="{00000000-0005-0000-0000-000034080000}"/>
    <cellStyle name="60% - Accent6 4 23" xfId="3072" xr:uid="{00000000-0005-0000-0000-000035080000}"/>
    <cellStyle name="60% - Accent6 4 24" xfId="3073" xr:uid="{00000000-0005-0000-0000-000036080000}"/>
    <cellStyle name="60% - Accent6 4 25" xfId="3074" xr:uid="{00000000-0005-0000-0000-000037080000}"/>
    <cellStyle name="60% - Accent6 4 3" xfId="3075" xr:uid="{00000000-0005-0000-0000-000038080000}"/>
    <cellStyle name="60% - Accent6 4 4" xfId="3076" xr:uid="{00000000-0005-0000-0000-000039080000}"/>
    <cellStyle name="60% - Accent6 4 5" xfId="3077" xr:uid="{00000000-0005-0000-0000-00003A080000}"/>
    <cellStyle name="60% - Accent6 4 6" xfId="3078" xr:uid="{00000000-0005-0000-0000-00003B080000}"/>
    <cellStyle name="60% - Accent6 4 7" xfId="3079" xr:uid="{00000000-0005-0000-0000-00003C080000}"/>
    <cellStyle name="60% - Accent6 4 8" xfId="3080" xr:uid="{00000000-0005-0000-0000-00003D080000}"/>
    <cellStyle name="60% - Accent6 4 9" xfId="3081" xr:uid="{00000000-0005-0000-0000-00003E080000}"/>
    <cellStyle name="60% - Accent6 5" xfId="4964" xr:uid="{00000000-0005-0000-0000-00003F080000}"/>
    <cellStyle name="60% - Accent6 6" xfId="4965" xr:uid="{00000000-0005-0000-0000-000040080000}"/>
    <cellStyle name="60% - Accent6 7" xfId="4966" xr:uid="{00000000-0005-0000-0000-000041080000}"/>
    <cellStyle name="60% - Accent6 8" xfId="4967" xr:uid="{00000000-0005-0000-0000-000042080000}"/>
    <cellStyle name="60% - Accent6 9" xfId="4968" xr:uid="{00000000-0005-0000-0000-000043080000}"/>
    <cellStyle name="60% - Akzent1" xfId="168" xr:uid="{00000000-0005-0000-0000-000044080000}"/>
    <cellStyle name="60% - Akzent2" xfId="169" xr:uid="{00000000-0005-0000-0000-000045080000}"/>
    <cellStyle name="60% - Akzent3" xfId="170" xr:uid="{00000000-0005-0000-0000-000046080000}"/>
    <cellStyle name="60% - Akzent4" xfId="171" xr:uid="{00000000-0005-0000-0000-000047080000}"/>
    <cellStyle name="60% - Akzent5" xfId="172" xr:uid="{00000000-0005-0000-0000-000048080000}"/>
    <cellStyle name="60% - Akzent6" xfId="173" xr:uid="{00000000-0005-0000-0000-000049080000}"/>
    <cellStyle name="60% - Isticanje1 1" xfId="174" xr:uid="{00000000-0005-0000-0000-00004A080000}"/>
    <cellStyle name="60% - Isticanje1 2" xfId="175" xr:uid="{00000000-0005-0000-0000-00004B080000}"/>
    <cellStyle name="60% - Isticanje1 2 2" xfId="1230" xr:uid="{00000000-0005-0000-0000-00004C080000}"/>
    <cellStyle name="60% - Isticanje1 2 3" xfId="1229" xr:uid="{00000000-0005-0000-0000-00004D080000}"/>
    <cellStyle name="60% - Isticanje1 3" xfId="1228" xr:uid="{00000000-0005-0000-0000-00004E080000}"/>
    <cellStyle name="60% - Isticanje2 1" xfId="176" xr:uid="{00000000-0005-0000-0000-00004F080000}"/>
    <cellStyle name="60% - Isticanje2 2" xfId="177" xr:uid="{00000000-0005-0000-0000-000050080000}"/>
    <cellStyle name="60% - Isticanje2 2 2" xfId="1233" xr:uid="{00000000-0005-0000-0000-000051080000}"/>
    <cellStyle name="60% - Isticanje2 2 3" xfId="1232" xr:uid="{00000000-0005-0000-0000-000052080000}"/>
    <cellStyle name="60% - Isticanje2 3" xfId="1231" xr:uid="{00000000-0005-0000-0000-000053080000}"/>
    <cellStyle name="60% - Isticanje3 1" xfId="178" xr:uid="{00000000-0005-0000-0000-000054080000}"/>
    <cellStyle name="60% - Isticanje3 2" xfId="179" xr:uid="{00000000-0005-0000-0000-000055080000}"/>
    <cellStyle name="60% - Isticanje3 2 2" xfId="1236" xr:uid="{00000000-0005-0000-0000-000056080000}"/>
    <cellStyle name="60% - Isticanje3 2 3" xfId="1235" xr:uid="{00000000-0005-0000-0000-000057080000}"/>
    <cellStyle name="60% - Isticanje3 3" xfId="1234" xr:uid="{00000000-0005-0000-0000-000058080000}"/>
    <cellStyle name="60% - Isticanje4 1" xfId="180" xr:uid="{00000000-0005-0000-0000-000059080000}"/>
    <cellStyle name="60% - Isticanje4 2" xfId="181" xr:uid="{00000000-0005-0000-0000-00005A080000}"/>
    <cellStyle name="60% - Isticanje4 2 2" xfId="1239" xr:uid="{00000000-0005-0000-0000-00005B080000}"/>
    <cellStyle name="60% - Isticanje4 2 3" xfId="1238" xr:uid="{00000000-0005-0000-0000-00005C080000}"/>
    <cellStyle name="60% - Isticanje4 3" xfId="1237" xr:uid="{00000000-0005-0000-0000-00005D080000}"/>
    <cellStyle name="60% - Isticanje5 1" xfId="182" xr:uid="{00000000-0005-0000-0000-00005E080000}"/>
    <cellStyle name="60% - Isticanje5 2" xfId="183" xr:uid="{00000000-0005-0000-0000-00005F080000}"/>
    <cellStyle name="60% - Isticanje5 2 2" xfId="1242" xr:uid="{00000000-0005-0000-0000-000060080000}"/>
    <cellStyle name="60% - Isticanje5 2 3" xfId="1241" xr:uid="{00000000-0005-0000-0000-000061080000}"/>
    <cellStyle name="60% - Isticanje5 3" xfId="1240" xr:uid="{00000000-0005-0000-0000-000062080000}"/>
    <cellStyle name="60% - Isticanje6 1" xfId="184" xr:uid="{00000000-0005-0000-0000-000063080000}"/>
    <cellStyle name="60% - Isticanje6 2" xfId="185" xr:uid="{00000000-0005-0000-0000-000064080000}"/>
    <cellStyle name="60% - Isticanje6 2 2" xfId="1245" xr:uid="{00000000-0005-0000-0000-000065080000}"/>
    <cellStyle name="60% - Isticanje6 2 3" xfId="1244" xr:uid="{00000000-0005-0000-0000-000066080000}"/>
    <cellStyle name="60% - Isticanje6 3" xfId="1243" xr:uid="{00000000-0005-0000-0000-000067080000}"/>
    <cellStyle name="A4 Small 210 x 297 mm" xfId="186" xr:uid="{00000000-0005-0000-0000-000068080000}"/>
    <cellStyle name="Accent" xfId="5352" xr:uid="{00000000-0005-0000-0000-000069080000}"/>
    <cellStyle name="Accent 1" xfId="5353" xr:uid="{00000000-0005-0000-0000-00006A080000}"/>
    <cellStyle name="Accent 2" xfId="5354" xr:uid="{00000000-0005-0000-0000-00006B080000}"/>
    <cellStyle name="Accent 3" xfId="5355" xr:uid="{00000000-0005-0000-0000-00006C080000}"/>
    <cellStyle name="Accent1 - 20%" xfId="3082" xr:uid="{00000000-0005-0000-0000-00006D080000}"/>
    <cellStyle name="Accent1 - 40%" xfId="3083" xr:uid="{00000000-0005-0000-0000-00006E080000}"/>
    <cellStyle name="Accent1 - 60%" xfId="3084" xr:uid="{00000000-0005-0000-0000-00006F080000}"/>
    <cellStyle name="Accent1 1" xfId="187" xr:uid="{00000000-0005-0000-0000-000070080000}"/>
    <cellStyle name="Accent1 1 1" xfId="188" xr:uid="{00000000-0005-0000-0000-000071080000}"/>
    <cellStyle name="Accent1 10" xfId="4969" xr:uid="{00000000-0005-0000-0000-000072080000}"/>
    <cellStyle name="Accent1 2" xfId="189" xr:uid="{00000000-0005-0000-0000-000073080000}"/>
    <cellStyle name="Accent1 2 2" xfId="190" xr:uid="{00000000-0005-0000-0000-000074080000}"/>
    <cellStyle name="Accent1 2 2 2" xfId="3085" xr:uid="{00000000-0005-0000-0000-000075080000}"/>
    <cellStyle name="Accent1 2 3" xfId="4970" xr:uid="{00000000-0005-0000-0000-000076080000}"/>
    <cellStyle name="Accent1 3" xfId="3086" xr:uid="{00000000-0005-0000-0000-000077080000}"/>
    <cellStyle name="Accent1 3 10" xfId="3087" xr:uid="{00000000-0005-0000-0000-000078080000}"/>
    <cellStyle name="Accent1 3 11" xfId="3088" xr:uid="{00000000-0005-0000-0000-000079080000}"/>
    <cellStyle name="Accent1 3 12" xfId="3089" xr:uid="{00000000-0005-0000-0000-00007A080000}"/>
    <cellStyle name="Accent1 3 13" xfId="3090" xr:uid="{00000000-0005-0000-0000-00007B080000}"/>
    <cellStyle name="Accent1 3 14" xfId="3091" xr:uid="{00000000-0005-0000-0000-00007C080000}"/>
    <cellStyle name="Accent1 3 15" xfId="3092" xr:uid="{00000000-0005-0000-0000-00007D080000}"/>
    <cellStyle name="Accent1 3 16" xfId="3093" xr:uid="{00000000-0005-0000-0000-00007E080000}"/>
    <cellStyle name="Accent1 3 17" xfId="3094" xr:uid="{00000000-0005-0000-0000-00007F080000}"/>
    <cellStyle name="Accent1 3 18" xfId="3095" xr:uid="{00000000-0005-0000-0000-000080080000}"/>
    <cellStyle name="Accent1 3 19" xfId="3096" xr:uid="{00000000-0005-0000-0000-000081080000}"/>
    <cellStyle name="Accent1 3 2" xfId="3097" xr:uid="{00000000-0005-0000-0000-000082080000}"/>
    <cellStyle name="Accent1 3 20" xfId="3098" xr:uid="{00000000-0005-0000-0000-000083080000}"/>
    <cellStyle name="Accent1 3 21" xfId="3099" xr:uid="{00000000-0005-0000-0000-000084080000}"/>
    <cellStyle name="Accent1 3 22" xfId="3100" xr:uid="{00000000-0005-0000-0000-000085080000}"/>
    <cellStyle name="Accent1 3 23" xfId="3101" xr:uid="{00000000-0005-0000-0000-000086080000}"/>
    <cellStyle name="Accent1 3 24" xfId="3102" xr:uid="{00000000-0005-0000-0000-000087080000}"/>
    <cellStyle name="Accent1 3 25" xfId="3103" xr:uid="{00000000-0005-0000-0000-000088080000}"/>
    <cellStyle name="Accent1 3 26" xfId="3104" xr:uid="{00000000-0005-0000-0000-000089080000}"/>
    <cellStyle name="Accent1 3 27" xfId="3105" xr:uid="{00000000-0005-0000-0000-00008A080000}"/>
    <cellStyle name="Accent1 3 28" xfId="3106" xr:uid="{00000000-0005-0000-0000-00008B080000}"/>
    <cellStyle name="Accent1 3 3" xfId="3107" xr:uid="{00000000-0005-0000-0000-00008C080000}"/>
    <cellStyle name="Accent1 3 4" xfId="3108" xr:uid="{00000000-0005-0000-0000-00008D080000}"/>
    <cellStyle name="Accent1 3 5" xfId="3109" xr:uid="{00000000-0005-0000-0000-00008E080000}"/>
    <cellStyle name="Accent1 3 6" xfId="3110" xr:uid="{00000000-0005-0000-0000-00008F080000}"/>
    <cellStyle name="Accent1 3 7" xfId="3111" xr:uid="{00000000-0005-0000-0000-000090080000}"/>
    <cellStyle name="Accent1 3 8" xfId="3112" xr:uid="{00000000-0005-0000-0000-000091080000}"/>
    <cellStyle name="Accent1 3 9" xfId="3113" xr:uid="{00000000-0005-0000-0000-000092080000}"/>
    <cellStyle name="Accent1 4" xfId="3114" xr:uid="{00000000-0005-0000-0000-000093080000}"/>
    <cellStyle name="Accent1 4 10" xfId="3115" xr:uid="{00000000-0005-0000-0000-000094080000}"/>
    <cellStyle name="Accent1 4 11" xfId="3116" xr:uid="{00000000-0005-0000-0000-000095080000}"/>
    <cellStyle name="Accent1 4 12" xfId="3117" xr:uid="{00000000-0005-0000-0000-000096080000}"/>
    <cellStyle name="Accent1 4 13" xfId="3118" xr:uid="{00000000-0005-0000-0000-000097080000}"/>
    <cellStyle name="Accent1 4 14" xfId="3119" xr:uid="{00000000-0005-0000-0000-000098080000}"/>
    <cellStyle name="Accent1 4 15" xfId="3120" xr:uid="{00000000-0005-0000-0000-000099080000}"/>
    <cellStyle name="Accent1 4 16" xfId="3121" xr:uid="{00000000-0005-0000-0000-00009A080000}"/>
    <cellStyle name="Accent1 4 17" xfId="3122" xr:uid="{00000000-0005-0000-0000-00009B080000}"/>
    <cellStyle name="Accent1 4 18" xfId="3123" xr:uid="{00000000-0005-0000-0000-00009C080000}"/>
    <cellStyle name="Accent1 4 19" xfId="3124" xr:uid="{00000000-0005-0000-0000-00009D080000}"/>
    <cellStyle name="Accent1 4 2" xfId="3125" xr:uid="{00000000-0005-0000-0000-00009E080000}"/>
    <cellStyle name="Accent1 4 20" xfId="3126" xr:uid="{00000000-0005-0000-0000-00009F080000}"/>
    <cellStyle name="Accent1 4 21" xfId="3127" xr:uid="{00000000-0005-0000-0000-0000A0080000}"/>
    <cellStyle name="Accent1 4 22" xfId="3128" xr:uid="{00000000-0005-0000-0000-0000A1080000}"/>
    <cellStyle name="Accent1 4 23" xfId="3129" xr:uid="{00000000-0005-0000-0000-0000A2080000}"/>
    <cellStyle name="Accent1 4 24" xfId="3130" xr:uid="{00000000-0005-0000-0000-0000A3080000}"/>
    <cellStyle name="Accent1 4 25" xfId="3131" xr:uid="{00000000-0005-0000-0000-0000A4080000}"/>
    <cellStyle name="Accent1 4 3" xfId="3132" xr:uid="{00000000-0005-0000-0000-0000A5080000}"/>
    <cellStyle name="Accent1 4 4" xfId="3133" xr:uid="{00000000-0005-0000-0000-0000A6080000}"/>
    <cellStyle name="Accent1 4 5" xfId="3134" xr:uid="{00000000-0005-0000-0000-0000A7080000}"/>
    <cellStyle name="Accent1 4 6" xfId="3135" xr:uid="{00000000-0005-0000-0000-0000A8080000}"/>
    <cellStyle name="Accent1 4 7" xfId="3136" xr:uid="{00000000-0005-0000-0000-0000A9080000}"/>
    <cellStyle name="Accent1 4 8" xfId="3137" xr:uid="{00000000-0005-0000-0000-0000AA080000}"/>
    <cellStyle name="Accent1 4 9" xfId="3138" xr:uid="{00000000-0005-0000-0000-0000AB080000}"/>
    <cellStyle name="Accent1 5" xfId="4971" xr:uid="{00000000-0005-0000-0000-0000AC080000}"/>
    <cellStyle name="Accent1 6" xfId="4972" xr:uid="{00000000-0005-0000-0000-0000AD080000}"/>
    <cellStyle name="Accent1 7" xfId="4973" xr:uid="{00000000-0005-0000-0000-0000AE080000}"/>
    <cellStyle name="Accent1 8" xfId="4974" xr:uid="{00000000-0005-0000-0000-0000AF080000}"/>
    <cellStyle name="Accent1 9" xfId="4975" xr:uid="{00000000-0005-0000-0000-0000B0080000}"/>
    <cellStyle name="Accent2 - 20%" xfId="3139" xr:uid="{00000000-0005-0000-0000-0000B1080000}"/>
    <cellStyle name="Accent2 - 40%" xfId="3140" xr:uid="{00000000-0005-0000-0000-0000B2080000}"/>
    <cellStyle name="Accent2 - 60%" xfId="3141" xr:uid="{00000000-0005-0000-0000-0000B3080000}"/>
    <cellStyle name="Accent2 1" xfId="191" xr:uid="{00000000-0005-0000-0000-0000B4080000}"/>
    <cellStyle name="Accent2 1 1" xfId="192" xr:uid="{00000000-0005-0000-0000-0000B5080000}"/>
    <cellStyle name="Accent2 10" xfId="4976" xr:uid="{00000000-0005-0000-0000-0000B6080000}"/>
    <cellStyle name="Accent2 2" xfId="193" xr:uid="{00000000-0005-0000-0000-0000B7080000}"/>
    <cellStyle name="Accent2 2 2" xfId="194" xr:uid="{00000000-0005-0000-0000-0000B8080000}"/>
    <cellStyle name="Accent2 2 2 2" xfId="3142" xr:uid="{00000000-0005-0000-0000-0000B9080000}"/>
    <cellStyle name="Accent2 2 3" xfId="4977" xr:uid="{00000000-0005-0000-0000-0000BA080000}"/>
    <cellStyle name="Accent2 3" xfId="3143" xr:uid="{00000000-0005-0000-0000-0000BB080000}"/>
    <cellStyle name="Accent2 3 10" xfId="3144" xr:uid="{00000000-0005-0000-0000-0000BC080000}"/>
    <cellStyle name="Accent2 3 11" xfId="3145" xr:uid="{00000000-0005-0000-0000-0000BD080000}"/>
    <cellStyle name="Accent2 3 12" xfId="3146" xr:uid="{00000000-0005-0000-0000-0000BE080000}"/>
    <cellStyle name="Accent2 3 13" xfId="3147" xr:uid="{00000000-0005-0000-0000-0000BF080000}"/>
    <cellStyle name="Accent2 3 14" xfId="3148" xr:uid="{00000000-0005-0000-0000-0000C0080000}"/>
    <cellStyle name="Accent2 3 15" xfId="3149" xr:uid="{00000000-0005-0000-0000-0000C1080000}"/>
    <cellStyle name="Accent2 3 16" xfId="3150" xr:uid="{00000000-0005-0000-0000-0000C2080000}"/>
    <cellStyle name="Accent2 3 17" xfId="3151" xr:uid="{00000000-0005-0000-0000-0000C3080000}"/>
    <cellStyle name="Accent2 3 18" xfId="3152" xr:uid="{00000000-0005-0000-0000-0000C4080000}"/>
    <cellStyle name="Accent2 3 19" xfId="3153" xr:uid="{00000000-0005-0000-0000-0000C5080000}"/>
    <cellStyle name="Accent2 3 2" xfId="3154" xr:uid="{00000000-0005-0000-0000-0000C6080000}"/>
    <cellStyle name="Accent2 3 20" xfId="3155" xr:uid="{00000000-0005-0000-0000-0000C7080000}"/>
    <cellStyle name="Accent2 3 21" xfId="3156" xr:uid="{00000000-0005-0000-0000-0000C8080000}"/>
    <cellStyle name="Accent2 3 22" xfId="3157" xr:uid="{00000000-0005-0000-0000-0000C9080000}"/>
    <cellStyle name="Accent2 3 23" xfId="3158" xr:uid="{00000000-0005-0000-0000-0000CA080000}"/>
    <cellStyle name="Accent2 3 24" xfId="3159" xr:uid="{00000000-0005-0000-0000-0000CB080000}"/>
    <cellStyle name="Accent2 3 25" xfId="3160" xr:uid="{00000000-0005-0000-0000-0000CC080000}"/>
    <cellStyle name="Accent2 3 26" xfId="3161" xr:uid="{00000000-0005-0000-0000-0000CD080000}"/>
    <cellStyle name="Accent2 3 27" xfId="3162" xr:uid="{00000000-0005-0000-0000-0000CE080000}"/>
    <cellStyle name="Accent2 3 28" xfId="3163" xr:uid="{00000000-0005-0000-0000-0000CF080000}"/>
    <cellStyle name="Accent2 3 3" xfId="3164" xr:uid="{00000000-0005-0000-0000-0000D0080000}"/>
    <cellStyle name="Accent2 3 4" xfId="3165" xr:uid="{00000000-0005-0000-0000-0000D1080000}"/>
    <cellStyle name="Accent2 3 5" xfId="3166" xr:uid="{00000000-0005-0000-0000-0000D2080000}"/>
    <cellStyle name="Accent2 3 6" xfId="3167" xr:uid="{00000000-0005-0000-0000-0000D3080000}"/>
    <cellStyle name="Accent2 3 7" xfId="3168" xr:uid="{00000000-0005-0000-0000-0000D4080000}"/>
    <cellStyle name="Accent2 3 8" xfId="3169" xr:uid="{00000000-0005-0000-0000-0000D5080000}"/>
    <cellStyle name="Accent2 3 9" xfId="3170" xr:uid="{00000000-0005-0000-0000-0000D6080000}"/>
    <cellStyle name="Accent2 4" xfId="3171" xr:uid="{00000000-0005-0000-0000-0000D7080000}"/>
    <cellStyle name="Accent2 4 10" xfId="3172" xr:uid="{00000000-0005-0000-0000-0000D8080000}"/>
    <cellStyle name="Accent2 4 11" xfId="3173" xr:uid="{00000000-0005-0000-0000-0000D9080000}"/>
    <cellStyle name="Accent2 4 12" xfId="3174" xr:uid="{00000000-0005-0000-0000-0000DA080000}"/>
    <cellStyle name="Accent2 4 13" xfId="3175" xr:uid="{00000000-0005-0000-0000-0000DB080000}"/>
    <cellStyle name="Accent2 4 14" xfId="3176" xr:uid="{00000000-0005-0000-0000-0000DC080000}"/>
    <cellStyle name="Accent2 4 15" xfId="3177" xr:uid="{00000000-0005-0000-0000-0000DD080000}"/>
    <cellStyle name="Accent2 4 16" xfId="3178" xr:uid="{00000000-0005-0000-0000-0000DE080000}"/>
    <cellStyle name="Accent2 4 17" xfId="3179" xr:uid="{00000000-0005-0000-0000-0000DF080000}"/>
    <cellStyle name="Accent2 4 18" xfId="3180" xr:uid="{00000000-0005-0000-0000-0000E0080000}"/>
    <cellStyle name="Accent2 4 19" xfId="3181" xr:uid="{00000000-0005-0000-0000-0000E1080000}"/>
    <cellStyle name="Accent2 4 2" xfId="3182" xr:uid="{00000000-0005-0000-0000-0000E2080000}"/>
    <cellStyle name="Accent2 4 20" xfId="3183" xr:uid="{00000000-0005-0000-0000-0000E3080000}"/>
    <cellStyle name="Accent2 4 21" xfId="3184" xr:uid="{00000000-0005-0000-0000-0000E4080000}"/>
    <cellStyle name="Accent2 4 22" xfId="3185" xr:uid="{00000000-0005-0000-0000-0000E5080000}"/>
    <cellStyle name="Accent2 4 23" xfId="3186" xr:uid="{00000000-0005-0000-0000-0000E6080000}"/>
    <cellStyle name="Accent2 4 24" xfId="3187" xr:uid="{00000000-0005-0000-0000-0000E7080000}"/>
    <cellStyle name="Accent2 4 25" xfId="3188" xr:uid="{00000000-0005-0000-0000-0000E8080000}"/>
    <cellStyle name="Accent2 4 3" xfId="3189" xr:uid="{00000000-0005-0000-0000-0000E9080000}"/>
    <cellStyle name="Accent2 4 4" xfId="3190" xr:uid="{00000000-0005-0000-0000-0000EA080000}"/>
    <cellStyle name="Accent2 4 5" xfId="3191" xr:uid="{00000000-0005-0000-0000-0000EB080000}"/>
    <cellStyle name="Accent2 4 6" xfId="3192" xr:uid="{00000000-0005-0000-0000-0000EC080000}"/>
    <cellStyle name="Accent2 4 7" xfId="3193" xr:uid="{00000000-0005-0000-0000-0000ED080000}"/>
    <cellStyle name="Accent2 4 8" xfId="3194" xr:uid="{00000000-0005-0000-0000-0000EE080000}"/>
    <cellStyle name="Accent2 4 9" xfId="3195" xr:uid="{00000000-0005-0000-0000-0000EF080000}"/>
    <cellStyle name="Accent2 5" xfId="4978" xr:uid="{00000000-0005-0000-0000-0000F0080000}"/>
    <cellStyle name="Accent2 6" xfId="4979" xr:uid="{00000000-0005-0000-0000-0000F1080000}"/>
    <cellStyle name="Accent2 7" xfId="4980" xr:uid="{00000000-0005-0000-0000-0000F2080000}"/>
    <cellStyle name="Accent2 8" xfId="4981" xr:uid="{00000000-0005-0000-0000-0000F3080000}"/>
    <cellStyle name="Accent2 9" xfId="4982" xr:uid="{00000000-0005-0000-0000-0000F4080000}"/>
    <cellStyle name="Accent3 - 20%" xfId="3196" xr:uid="{00000000-0005-0000-0000-0000F5080000}"/>
    <cellStyle name="Accent3 - 40%" xfId="3197" xr:uid="{00000000-0005-0000-0000-0000F6080000}"/>
    <cellStyle name="Accent3 - 60%" xfId="3198" xr:uid="{00000000-0005-0000-0000-0000F7080000}"/>
    <cellStyle name="Accent3 1" xfId="195" xr:uid="{00000000-0005-0000-0000-0000F8080000}"/>
    <cellStyle name="Accent3 1 1" xfId="196" xr:uid="{00000000-0005-0000-0000-0000F9080000}"/>
    <cellStyle name="Accent3 10" xfId="4983" xr:uid="{00000000-0005-0000-0000-0000FA080000}"/>
    <cellStyle name="Accent3 2" xfId="197" xr:uid="{00000000-0005-0000-0000-0000FB080000}"/>
    <cellStyle name="Accent3 2 2" xfId="198" xr:uid="{00000000-0005-0000-0000-0000FC080000}"/>
    <cellStyle name="Accent3 2 2 2" xfId="3199" xr:uid="{00000000-0005-0000-0000-0000FD080000}"/>
    <cellStyle name="Accent3 2 3" xfId="4984" xr:uid="{00000000-0005-0000-0000-0000FE080000}"/>
    <cellStyle name="Accent3 3" xfId="3200" xr:uid="{00000000-0005-0000-0000-0000FF080000}"/>
    <cellStyle name="Accent3 3 10" xfId="3201" xr:uid="{00000000-0005-0000-0000-000000090000}"/>
    <cellStyle name="Accent3 3 11" xfId="3202" xr:uid="{00000000-0005-0000-0000-000001090000}"/>
    <cellStyle name="Accent3 3 12" xfId="3203" xr:uid="{00000000-0005-0000-0000-000002090000}"/>
    <cellStyle name="Accent3 3 13" xfId="3204" xr:uid="{00000000-0005-0000-0000-000003090000}"/>
    <cellStyle name="Accent3 3 14" xfId="3205" xr:uid="{00000000-0005-0000-0000-000004090000}"/>
    <cellStyle name="Accent3 3 15" xfId="3206" xr:uid="{00000000-0005-0000-0000-000005090000}"/>
    <cellStyle name="Accent3 3 16" xfId="3207" xr:uid="{00000000-0005-0000-0000-000006090000}"/>
    <cellStyle name="Accent3 3 17" xfId="3208" xr:uid="{00000000-0005-0000-0000-000007090000}"/>
    <cellStyle name="Accent3 3 18" xfId="3209" xr:uid="{00000000-0005-0000-0000-000008090000}"/>
    <cellStyle name="Accent3 3 19" xfId="3210" xr:uid="{00000000-0005-0000-0000-000009090000}"/>
    <cellStyle name="Accent3 3 2" xfId="3211" xr:uid="{00000000-0005-0000-0000-00000A090000}"/>
    <cellStyle name="Accent3 3 20" xfId="3212" xr:uid="{00000000-0005-0000-0000-00000B090000}"/>
    <cellStyle name="Accent3 3 21" xfId="3213" xr:uid="{00000000-0005-0000-0000-00000C090000}"/>
    <cellStyle name="Accent3 3 22" xfId="3214" xr:uid="{00000000-0005-0000-0000-00000D090000}"/>
    <cellStyle name="Accent3 3 23" xfId="3215" xr:uid="{00000000-0005-0000-0000-00000E090000}"/>
    <cellStyle name="Accent3 3 24" xfId="3216" xr:uid="{00000000-0005-0000-0000-00000F090000}"/>
    <cellStyle name="Accent3 3 25" xfId="3217" xr:uid="{00000000-0005-0000-0000-000010090000}"/>
    <cellStyle name="Accent3 3 26" xfId="3218" xr:uid="{00000000-0005-0000-0000-000011090000}"/>
    <cellStyle name="Accent3 3 27" xfId="3219" xr:uid="{00000000-0005-0000-0000-000012090000}"/>
    <cellStyle name="Accent3 3 28" xfId="3220" xr:uid="{00000000-0005-0000-0000-000013090000}"/>
    <cellStyle name="Accent3 3 3" xfId="3221" xr:uid="{00000000-0005-0000-0000-000014090000}"/>
    <cellStyle name="Accent3 3 4" xfId="3222" xr:uid="{00000000-0005-0000-0000-000015090000}"/>
    <cellStyle name="Accent3 3 5" xfId="3223" xr:uid="{00000000-0005-0000-0000-000016090000}"/>
    <cellStyle name="Accent3 3 6" xfId="3224" xr:uid="{00000000-0005-0000-0000-000017090000}"/>
    <cellStyle name="Accent3 3 7" xfId="3225" xr:uid="{00000000-0005-0000-0000-000018090000}"/>
    <cellStyle name="Accent3 3 8" xfId="3226" xr:uid="{00000000-0005-0000-0000-000019090000}"/>
    <cellStyle name="Accent3 3 9" xfId="3227" xr:uid="{00000000-0005-0000-0000-00001A090000}"/>
    <cellStyle name="Accent3 4" xfId="3228" xr:uid="{00000000-0005-0000-0000-00001B090000}"/>
    <cellStyle name="Accent3 4 10" xfId="3229" xr:uid="{00000000-0005-0000-0000-00001C090000}"/>
    <cellStyle name="Accent3 4 11" xfId="3230" xr:uid="{00000000-0005-0000-0000-00001D090000}"/>
    <cellStyle name="Accent3 4 12" xfId="3231" xr:uid="{00000000-0005-0000-0000-00001E090000}"/>
    <cellStyle name="Accent3 4 13" xfId="3232" xr:uid="{00000000-0005-0000-0000-00001F090000}"/>
    <cellStyle name="Accent3 4 14" xfId="3233" xr:uid="{00000000-0005-0000-0000-000020090000}"/>
    <cellStyle name="Accent3 4 15" xfId="3234" xr:uid="{00000000-0005-0000-0000-000021090000}"/>
    <cellStyle name="Accent3 4 16" xfId="3235" xr:uid="{00000000-0005-0000-0000-000022090000}"/>
    <cellStyle name="Accent3 4 17" xfId="3236" xr:uid="{00000000-0005-0000-0000-000023090000}"/>
    <cellStyle name="Accent3 4 18" xfId="3237" xr:uid="{00000000-0005-0000-0000-000024090000}"/>
    <cellStyle name="Accent3 4 19" xfId="3238" xr:uid="{00000000-0005-0000-0000-000025090000}"/>
    <cellStyle name="Accent3 4 2" xfId="3239" xr:uid="{00000000-0005-0000-0000-000026090000}"/>
    <cellStyle name="Accent3 4 20" xfId="3240" xr:uid="{00000000-0005-0000-0000-000027090000}"/>
    <cellStyle name="Accent3 4 21" xfId="3241" xr:uid="{00000000-0005-0000-0000-000028090000}"/>
    <cellStyle name="Accent3 4 22" xfId="3242" xr:uid="{00000000-0005-0000-0000-000029090000}"/>
    <cellStyle name="Accent3 4 23" xfId="3243" xr:uid="{00000000-0005-0000-0000-00002A090000}"/>
    <cellStyle name="Accent3 4 24" xfId="3244" xr:uid="{00000000-0005-0000-0000-00002B090000}"/>
    <cellStyle name="Accent3 4 25" xfId="3245" xr:uid="{00000000-0005-0000-0000-00002C090000}"/>
    <cellStyle name="Accent3 4 3" xfId="3246" xr:uid="{00000000-0005-0000-0000-00002D090000}"/>
    <cellStyle name="Accent3 4 4" xfId="3247" xr:uid="{00000000-0005-0000-0000-00002E090000}"/>
    <cellStyle name="Accent3 4 5" xfId="3248" xr:uid="{00000000-0005-0000-0000-00002F090000}"/>
    <cellStyle name="Accent3 4 6" xfId="3249" xr:uid="{00000000-0005-0000-0000-000030090000}"/>
    <cellStyle name="Accent3 4 7" xfId="3250" xr:uid="{00000000-0005-0000-0000-000031090000}"/>
    <cellStyle name="Accent3 4 8" xfId="3251" xr:uid="{00000000-0005-0000-0000-000032090000}"/>
    <cellStyle name="Accent3 4 9" xfId="3252" xr:uid="{00000000-0005-0000-0000-000033090000}"/>
    <cellStyle name="Accent3 5" xfId="4985" xr:uid="{00000000-0005-0000-0000-000034090000}"/>
    <cellStyle name="Accent3 6" xfId="4986" xr:uid="{00000000-0005-0000-0000-000035090000}"/>
    <cellStyle name="Accent3 7" xfId="4987" xr:uid="{00000000-0005-0000-0000-000036090000}"/>
    <cellStyle name="Accent3 8" xfId="4988" xr:uid="{00000000-0005-0000-0000-000037090000}"/>
    <cellStyle name="Accent3 9" xfId="4989" xr:uid="{00000000-0005-0000-0000-000038090000}"/>
    <cellStyle name="Accent4 - 20%" xfId="3253" xr:uid="{00000000-0005-0000-0000-000039090000}"/>
    <cellStyle name="Accent4 - 40%" xfId="3254" xr:uid="{00000000-0005-0000-0000-00003A090000}"/>
    <cellStyle name="Accent4 - 60%" xfId="3255" xr:uid="{00000000-0005-0000-0000-00003B090000}"/>
    <cellStyle name="Accent4 1" xfId="199" xr:uid="{00000000-0005-0000-0000-00003C090000}"/>
    <cellStyle name="Accent4 1 1" xfId="200" xr:uid="{00000000-0005-0000-0000-00003D090000}"/>
    <cellStyle name="Accent4 10" xfId="4990" xr:uid="{00000000-0005-0000-0000-00003E090000}"/>
    <cellStyle name="Accent4 2" xfId="201" xr:uid="{00000000-0005-0000-0000-00003F090000}"/>
    <cellStyle name="Accent4 2 2" xfId="202" xr:uid="{00000000-0005-0000-0000-000040090000}"/>
    <cellStyle name="Accent4 2 2 2" xfId="3256" xr:uid="{00000000-0005-0000-0000-000041090000}"/>
    <cellStyle name="Accent4 2 3" xfId="4991" xr:uid="{00000000-0005-0000-0000-000042090000}"/>
    <cellStyle name="Accent4 3" xfId="3257" xr:uid="{00000000-0005-0000-0000-000043090000}"/>
    <cellStyle name="Accent4 3 10" xfId="3258" xr:uid="{00000000-0005-0000-0000-000044090000}"/>
    <cellStyle name="Accent4 3 11" xfId="3259" xr:uid="{00000000-0005-0000-0000-000045090000}"/>
    <cellStyle name="Accent4 3 12" xfId="3260" xr:uid="{00000000-0005-0000-0000-000046090000}"/>
    <cellStyle name="Accent4 3 13" xfId="3261" xr:uid="{00000000-0005-0000-0000-000047090000}"/>
    <cellStyle name="Accent4 3 14" xfId="3262" xr:uid="{00000000-0005-0000-0000-000048090000}"/>
    <cellStyle name="Accent4 3 15" xfId="3263" xr:uid="{00000000-0005-0000-0000-000049090000}"/>
    <cellStyle name="Accent4 3 16" xfId="3264" xr:uid="{00000000-0005-0000-0000-00004A090000}"/>
    <cellStyle name="Accent4 3 17" xfId="3265" xr:uid="{00000000-0005-0000-0000-00004B090000}"/>
    <cellStyle name="Accent4 3 18" xfId="3266" xr:uid="{00000000-0005-0000-0000-00004C090000}"/>
    <cellStyle name="Accent4 3 19" xfId="3267" xr:uid="{00000000-0005-0000-0000-00004D090000}"/>
    <cellStyle name="Accent4 3 2" xfId="3268" xr:uid="{00000000-0005-0000-0000-00004E090000}"/>
    <cellStyle name="Accent4 3 20" xfId="3269" xr:uid="{00000000-0005-0000-0000-00004F090000}"/>
    <cellStyle name="Accent4 3 21" xfId="3270" xr:uid="{00000000-0005-0000-0000-000050090000}"/>
    <cellStyle name="Accent4 3 22" xfId="3271" xr:uid="{00000000-0005-0000-0000-000051090000}"/>
    <cellStyle name="Accent4 3 23" xfId="3272" xr:uid="{00000000-0005-0000-0000-000052090000}"/>
    <cellStyle name="Accent4 3 24" xfId="3273" xr:uid="{00000000-0005-0000-0000-000053090000}"/>
    <cellStyle name="Accent4 3 25" xfId="3274" xr:uid="{00000000-0005-0000-0000-000054090000}"/>
    <cellStyle name="Accent4 3 26" xfId="3275" xr:uid="{00000000-0005-0000-0000-000055090000}"/>
    <cellStyle name="Accent4 3 27" xfId="3276" xr:uid="{00000000-0005-0000-0000-000056090000}"/>
    <cellStyle name="Accent4 3 28" xfId="3277" xr:uid="{00000000-0005-0000-0000-000057090000}"/>
    <cellStyle name="Accent4 3 3" xfId="3278" xr:uid="{00000000-0005-0000-0000-000058090000}"/>
    <cellStyle name="Accent4 3 4" xfId="3279" xr:uid="{00000000-0005-0000-0000-000059090000}"/>
    <cellStyle name="Accent4 3 5" xfId="3280" xr:uid="{00000000-0005-0000-0000-00005A090000}"/>
    <cellStyle name="Accent4 3 6" xfId="3281" xr:uid="{00000000-0005-0000-0000-00005B090000}"/>
    <cellStyle name="Accent4 3 7" xfId="3282" xr:uid="{00000000-0005-0000-0000-00005C090000}"/>
    <cellStyle name="Accent4 3 8" xfId="3283" xr:uid="{00000000-0005-0000-0000-00005D090000}"/>
    <cellStyle name="Accent4 3 9" xfId="3284" xr:uid="{00000000-0005-0000-0000-00005E090000}"/>
    <cellStyle name="Accent4 4" xfId="3285" xr:uid="{00000000-0005-0000-0000-00005F090000}"/>
    <cellStyle name="Accent4 4 10" xfId="3286" xr:uid="{00000000-0005-0000-0000-000060090000}"/>
    <cellStyle name="Accent4 4 11" xfId="3287" xr:uid="{00000000-0005-0000-0000-000061090000}"/>
    <cellStyle name="Accent4 4 12" xfId="3288" xr:uid="{00000000-0005-0000-0000-000062090000}"/>
    <cellStyle name="Accent4 4 13" xfId="3289" xr:uid="{00000000-0005-0000-0000-000063090000}"/>
    <cellStyle name="Accent4 4 14" xfId="3290" xr:uid="{00000000-0005-0000-0000-000064090000}"/>
    <cellStyle name="Accent4 4 15" xfId="3291" xr:uid="{00000000-0005-0000-0000-000065090000}"/>
    <cellStyle name="Accent4 4 16" xfId="3292" xr:uid="{00000000-0005-0000-0000-000066090000}"/>
    <cellStyle name="Accent4 4 17" xfId="3293" xr:uid="{00000000-0005-0000-0000-000067090000}"/>
    <cellStyle name="Accent4 4 18" xfId="3294" xr:uid="{00000000-0005-0000-0000-000068090000}"/>
    <cellStyle name="Accent4 4 19" xfId="3295" xr:uid="{00000000-0005-0000-0000-000069090000}"/>
    <cellStyle name="Accent4 4 2" xfId="3296" xr:uid="{00000000-0005-0000-0000-00006A090000}"/>
    <cellStyle name="Accent4 4 20" xfId="3297" xr:uid="{00000000-0005-0000-0000-00006B090000}"/>
    <cellStyle name="Accent4 4 21" xfId="3298" xr:uid="{00000000-0005-0000-0000-00006C090000}"/>
    <cellStyle name="Accent4 4 22" xfId="3299" xr:uid="{00000000-0005-0000-0000-00006D090000}"/>
    <cellStyle name="Accent4 4 23" xfId="3300" xr:uid="{00000000-0005-0000-0000-00006E090000}"/>
    <cellStyle name="Accent4 4 24" xfId="3301" xr:uid="{00000000-0005-0000-0000-00006F090000}"/>
    <cellStyle name="Accent4 4 25" xfId="3302" xr:uid="{00000000-0005-0000-0000-000070090000}"/>
    <cellStyle name="Accent4 4 3" xfId="3303" xr:uid="{00000000-0005-0000-0000-000071090000}"/>
    <cellStyle name="Accent4 4 4" xfId="3304" xr:uid="{00000000-0005-0000-0000-000072090000}"/>
    <cellStyle name="Accent4 4 5" xfId="3305" xr:uid="{00000000-0005-0000-0000-000073090000}"/>
    <cellStyle name="Accent4 4 6" xfId="3306" xr:uid="{00000000-0005-0000-0000-000074090000}"/>
    <cellStyle name="Accent4 4 7" xfId="3307" xr:uid="{00000000-0005-0000-0000-000075090000}"/>
    <cellStyle name="Accent4 4 8" xfId="3308" xr:uid="{00000000-0005-0000-0000-000076090000}"/>
    <cellStyle name="Accent4 4 9" xfId="3309" xr:uid="{00000000-0005-0000-0000-000077090000}"/>
    <cellStyle name="Accent4 5" xfId="4992" xr:uid="{00000000-0005-0000-0000-000078090000}"/>
    <cellStyle name="Accent4 6" xfId="4993" xr:uid="{00000000-0005-0000-0000-000079090000}"/>
    <cellStyle name="Accent4 7" xfId="4994" xr:uid="{00000000-0005-0000-0000-00007A090000}"/>
    <cellStyle name="Accent4 8" xfId="4995" xr:uid="{00000000-0005-0000-0000-00007B090000}"/>
    <cellStyle name="Accent4 9" xfId="4996" xr:uid="{00000000-0005-0000-0000-00007C090000}"/>
    <cellStyle name="Accent5 - 20%" xfId="3310" xr:uid="{00000000-0005-0000-0000-00007D090000}"/>
    <cellStyle name="Accent5 - 40%" xfId="3311" xr:uid="{00000000-0005-0000-0000-00007E090000}"/>
    <cellStyle name="Accent5 - 60%" xfId="3312" xr:uid="{00000000-0005-0000-0000-00007F090000}"/>
    <cellStyle name="Accent5 1" xfId="203" xr:uid="{00000000-0005-0000-0000-000080090000}"/>
    <cellStyle name="Accent5 1 1" xfId="204" xr:uid="{00000000-0005-0000-0000-000081090000}"/>
    <cellStyle name="Accent5 10" xfId="4997" xr:uid="{00000000-0005-0000-0000-000082090000}"/>
    <cellStyle name="Accent5 2" xfId="205" xr:uid="{00000000-0005-0000-0000-000083090000}"/>
    <cellStyle name="Accent5 2 2" xfId="206" xr:uid="{00000000-0005-0000-0000-000084090000}"/>
    <cellStyle name="Accent5 2 2 2" xfId="3313" xr:uid="{00000000-0005-0000-0000-000085090000}"/>
    <cellStyle name="Accent5 2 3" xfId="4998" xr:uid="{00000000-0005-0000-0000-000086090000}"/>
    <cellStyle name="Accent5 3" xfId="3314" xr:uid="{00000000-0005-0000-0000-000087090000}"/>
    <cellStyle name="Accent5 3 10" xfId="3315" xr:uid="{00000000-0005-0000-0000-000088090000}"/>
    <cellStyle name="Accent5 3 11" xfId="3316" xr:uid="{00000000-0005-0000-0000-000089090000}"/>
    <cellStyle name="Accent5 3 12" xfId="3317" xr:uid="{00000000-0005-0000-0000-00008A090000}"/>
    <cellStyle name="Accent5 3 13" xfId="3318" xr:uid="{00000000-0005-0000-0000-00008B090000}"/>
    <cellStyle name="Accent5 3 14" xfId="3319" xr:uid="{00000000-0005-0000-0000-00008C090000}"/>
    <cellStyle name="Accent5 3 15" xfId="3320" xr:uid="{00000000-0005-0000-0000-00008D090000}"/>
    <cellStyle name="Accent5 3 16" xfId="3321" xr:uid="{00000000-0005-0000-0000-00008E090000}"/>
    <cellStyle name="Accent5 3 17" xfId="3322" xr:uid="{00000000-0005-0000-0000-00008F090000}"/>
    <cellStyle name="Accent5 3 18" xfId="3323" xr:uid="{00000000-0005-0000-0000-000090090000}"/>
    <cellStyle name="Accent5 3 19" xfId="3324" xr:uid="{00000000-0005-0000-0000-000091090000}"/>
    <cellStyle name="Accent5 3 2" xfId="3325" xr:uid="{00000000-0005-0000-0000-000092090000}"/>
    <cellStyle name="Accent5 3 20" xfId="3326" xr:uid="{00000000-0005-0000-0000-000093090000}"/>
    <cellStyle name="Accent5 3 21" xfId="3327" xr:uid="{00000000-0005-0000-0000-000094090000}"/>
    <cellStyle name="Accent5 3 22" xfId="3328" xr:uid="{00000000-0005-0000-0000-000095090000}"/>
    <cellStyle name="Accent5 3 23" xfId="3329" xr:uid="{00000000-0005-0000-0000-000096090000}"/>
    <cellStyle name="Accent5 3 24" xfId="3330" xr:uid="{00000000-0005-0000-0000-000097090000}"/>
    <cellStyle name="Accent5 3 25" xfId="3331" xr:uid="{00000000-0005-0000-0000-000098090000}"/>
    <cellStyle name="Accent5 3 26" xfId="3332" xr:uid="{00000000-0005-0000-0000-000099090000}"/>
    <cellStyle name="Accent5 3 27" xfId="3333" xr:uid="{00000000-0005-0000-0000-00009A090000}"/>
    <cellStyle name="Accent5 3 28" xfId="3334" xr:uid="{00000000-0005-0000-0000-00009B090000}"/>
    <cellStyle name="Accent5 3 3" xfId="3335" xr:uid="{00000000-0005-0000-0000-00009C090000}"/>
    <cellStyle name="Accent5 3 4" xfId="3336" xr:uid="{00000000-0005-0000-0000-00009D090000}"/>
    <cellStyle name="Accent5 3 5" xfId="3337" xr:uid="{00000000-0005-0000-0000-00009E090000}"/>
    <cellStyle name="Accent5 3 6" xfId="3338" xr:uid="{00000000-0005-0000-0000-00009F090000}"/>
    <cellStyle name="Accent5 3 7" xfId="3339" xr:uid="{00000000-0005-0000-0000-0000A0090000}"/>
    <cellStyle name="Accent5 3 8" xfId="3340" xr:uid="{00000000-0005-0000-0000-0000A1090000}"/>
    <cellStyle name="Accent5 3 9" xfId="3341" xr:uid="{00000000-0005-0000-0000-0000A2090000}"/>
    <cellStyle name="Accent5 4" xfId="3342" xr:uid="{00000000-0005-0000-0000-0000A3090000}"/>
    <cellStyle name="Accent5 4 10" xfId="3343" xr:uid="{00000000-0005-0000-0000-0000A4090000}"/>
    <cellStyle name="Accent5 4 11" xfId="3344" xr:uid="{00000000-0005-0000-0000-0000A5090000}"/>
    <cellStyle name="Accent5 4 12" xfId="3345" xr:uid="{00000000-0005-0000-0000-0000A6090000}"/>
    <cellStyle name="Accent5 4 13" xfId="3346" xr:uid="{00000000-0005-0000-0000-0000A7090000}"/>
    <cellStyle name="Accent5 4 14" xfId="3347" xr:uid="{00000000-0005-0000-0000-0000A8090000}"/>
    <cellStyle name="Accent5 4 15" xfId="3348" xr:uid="{00000000-0005-0000-0000-0000A9090000}"/>
    <cellStyle name="Accent5 4 16" xfId="3349" xr:uid="{00000000-0005-0000-0000-0000AA090000}"/>
    <cellStyle name="Accent5 4 17" xfId="3350" xr:uid="{00000000-0005-0000-0000-0000AB090000}"/>
    <cellStyle name="Accent5 4 18" xfId="3351" xr:uid="{00000000-0005-0000-0000-0000AC090000}"/>
    <cellStyle name="Accent5 4 19" xfId="3352" xr:uid="{00000000-0005-0000-0000-0000AD090000}"/>
    <cellStyle name="Accent5 4 2" xfId="3353" xr:uid="{00000000-0005-0000-0000-0000AE090000}"/>
    <cellStyle name="Accent5 4 20" xfId="3354" xr:uid="{00000000-0005-0000-0000-0000AF090000}"/>
    <cellStyle name="Accent5 4 21" xfId="3355" xr:uid="{00000000-0005-0000-0000-0000B0090000}"/>
    <cellStyle name="Accent5 4 22" xfId="3356" xr:uid="{00000000-0005-0000-0000-0000B1090000}"/>
    <cellStyle name="Accent5 4 23" xfId="3357" xr:uid="{00000000-0005-0000-0000-0000B2090000}"/>
    <cellStyle name="Accent5 4 24" xfId="3358" xr:uid="{00000000-0005-0000-0000-0000B3090000}"/>
    <cellStyle name="Accent5 4 25" xfId="3359" xr:uid="{00000000-0005-0000-0000-0000B4090000}"/>
    <cellStyle name="Accent5 4 3" xfId="3360" xr:uid="{00000000-0005-0000-0000-0000B5090000}"/>
    <cellStyle name="Accent5 4 4" xfId="3361" xr:uid="{00000000-0005-0000-0000-0000B6090000}"/>
    <cellStyle name="Accent5 4 5" xfId="3362" xr:uid="{00000000-0005-0000-0000-0000B7090000}"/>
    <cellStyle name="Accent5 4 6" xfId="3363" xr:uid="{00000000-0005-0000-0000-0000B8090000}"/>
    <cellStyle name="Accent5 4 7" xfId="3364" xr:uid="{00000000-0005-0000-0000-0000B9090000}"/>
    <cellStyle name="Accent5 4 8" xfId="3365" xr:uid="{00000000-0005-0000-0000-0000BA090000}"/>
    <cellStyle name="Accent5 4 9" xfId="3366" xr:uid="{00000000-0005-0000-0000-0000BB090000}"/>
    <cellStyle name="Accent5 5" xfId="4999" xr:uid="{00000000-0005-0000-0000-0000BC090000}"/>
    <cellStyle name="Accent5 6" xfId="5000" xr:uid="{00000000-0005-0000-0000-0000BD090000}"/>
    <cellStyle name="Accent5 7" xfId="5001" xr:uid="{00000000-0005-0000-0000-0000BE090000}"/>
    <cellStyle name="Accent5 8" xfId="5002" xr:uid="{00000000-0005-0000-0000-0000BF090000}"/>
    <cellStyle name="Accent5 9" xfId="5003" xr:uid="{00000000-0005-0000-0000-0000C0090000}"/>
    <cellStyle name="Accent6 - 20%" xfId="3367" xr:uid="{00000000-0005-0000-0000-0000C1090000}"/>
    <cellStyle name="Accent6 - 40%" xfId="3368" xr:uid="{00000000-0005-0000-0000-0000C2090000}"/>
    <cellStyle name="Accent6 - 60%" xfId="3369" xr:uid="{00000000-0005-0000-0000-0000C3090000}"/>
    <cellStyle name="Accent6 1" xfId="207" xr:uid="{00000000-0005-0000-0000-0000C4090000}"/>
    <cellStyle name="Accent6 1 1" xfId="208" xr:uid="{00000000-0005-0000-0000-0000C5090000}"/>
    <cellStyle name="Accent6 10" xfId="5004" xr:uid="{00000000-0005-0000-0000-0000C6090000}"/>
    <cellStyle name="Accent6 2" xfId="209" xr:uid="{00000000-0005-0000-0000-0000C7090000}"/>
    <cellStyle name="Accent6 2 2" xfId="210" xr:uid="{00000000-0005-0000-0000-0000C8090000}"/>
    <cellStyle name="Accent6 2 2 2" xfId="3370" xr:uid="{00000000-0005-0000-0000-0000C9090000}"/>
    <cellStyle name="Accent6 2 3" xfId="5005" xr:uid="{00000000-0005-0000-0000-0000CA090000}"/>
    <cellStyle name="Accent6 3" xfId="3371" xr:uid="{00000000-0005-0000-0000-0000CB090000}"/>
    <cellStyle name="Accent6 3 10" xfId="3372" xr:uid="{00000000-0005-0000-0000-0000CC090000}"/>
    <cellStyle name="Accent6 3 11" xfId="3373" xr:uid="{00000000-0005-0000-0000-0000CD090000}"/>
    <cellStyle name="Accent6 3 12" xfId="3374" xr:uid="{00000000-0005-0000-0000-0000CE090000}"/>
    <cellStyle name="Accent6 3 13" xfId="3375" xr:uid="{00000000-0005-0000-0000-0000CF090000}"/>
    <cellStyle name="Accent6 3 14" xfId="3376" xr:uid="{00000000-0005-0000-0000-0000D0090000}"/>
    <cellStyle name="Accent6 3 15" xfId="3377" xr:uid="{00000000-0005-0000-0000-0000D1090000}"/>
    <cellStyle name="Accent6 3 16" xfId="3378" xr:uid="{00000000-0005-0000-0000-0000D2090000}"/>
    <cellStyle name="Accent6 3 17" xfId="3379" xr:uid="{00000000-0005-0000-0000-0000D3090000}"/>
    <cellStyle name="Accent6 3 18" xfId="3380" xr:uid="{00000000-0005-0000-0000-0000D4090000}"/>
    <cellStyle name="Accent6 3 19" xfId="3381" xr:uid="{00000000-0005-0000-0000-0000D5090000}"/>
    <cellStyle name="Accent6 3 2" xfId="3382" xr:uid="{00000000-0005-0000-0000-0000D6090000}"/>
    <cellStyle name="Accent6 3 20" xfId="3383" xr:uid="{00000000-0005-0000-0000-0000D7090000}"/>
    <cellStyle name="Accent6 3 21" xfId="3384" xr:uid="{00000000-0005-0000-0000-0000D8090000}"/>
    <cellStyle name="Accent6 3 22" xfId="3385" xr:uid="{00000000-0005-0000-0000-0000D9090000}"/>
    <cellStyle name="Accent6 3 23" xfId="3386" xr:uid="{00000000-0005-0000-0000-0000DA090000}"/>
    <cellStyle name="Accent6 3 24" xfId="3387" xr:uid="{00000000-0005-0000-0000-0000DB090000}"/>
    <cellStyle name="Accent6 3 25" xfId="3388" xr:uid="{00000000-0005-0000-0000-0000DC090000}"/>
    <cellStyle name="Accent6 3 26" xfId="3389" xr:uid="{00000000-0005-0000-0000-0000DD090000}"/>
    <cellStyle name="Accent6 3 27" xfId="3390" xr:uid="{00000000-0005-0000-0000-0000DE090000}"/>
    <cellStyle name="Accent6 3 28" xfId="3391" xr:uid="{00000000-0005-0000-0000-0000DF090000}"/>
    <cellStyle name="Accent6 3 3" xfId="3392" xr:uid="{00000000-0005-0000-0000-0000E0090000}"/>
    <cellStyle name="Accent6 3 4" xfId="3393" xr:uid="{00000000-0005-0000-0000-0000E1090000}"/>
    <cellStyle name="Accent6 3 5" xfId="3394" xr:uid="{00000000-0005-0000-0000-0000E2090000}"/>
    <cellStyle name="Accent6 3 6" xfId="3395" xr:uid="{00000000-0005-0000-0000-0000E3090000}"/>
    <cellStyle name="Accent6 3 7" xfId="3396" xr:uid="{00000000-0005-0000-0000-0000E4090000}"/>
    <cellStyle name="Accent6 3 8" xfId="3397" xr:uid="{00000000-0005-0000-0000-0000E5090000}"/>
    <cellStyle name="Accent6 3 9" xfId="3398" xr:uid="{00000000-0005-0000-0000-0000E6090000}"/>
    <cellStyle name="Accent6 4" xfId="3399" xr:uid="{00000000-0005-0000-0000-0000E7090000}"/>
    <cellStyle name="Accent6 4 10" xfId="3400" xr:uid="{00000000-0005-0000-0000-0000E8090000}"/>
    <cellStyle name="Accent6 4 11" xfId="3401" xr:uid="{00000000-0005-0000-0000-0000E9090000}"/>
    <cellStyle name="Accent6 4 12" xfId="3402" xr:uid="{00000000-0005-0000-0000-0000EA090000}"/>
    <cellStyle name="Accent6 4 13" xfId="3403" xr:uid="{00000000-0005-0000-0000-0000EB090000}"/>
    <cellStyle name="Accent6 4 14" xfId="3404" xr:uid="{00000000-0005-0000-0000-0000EC090000}"/>
    <cellStyle name="Accent6 4 15" xfId="3405" xr:uid="{00000000-0005-0000-0000-0000ED090000}"/>
    <cellStyle name="Accent6 4 16" xfId="3406" xr:uid="{00000000-0005-0000-0000-0000EE090000}"/>
    <cellStyle name="Accent6 4 17" xfId="3407" xr:uid="{00000000-0005-0000-0000-0000EF090000}"/>
    <cellStyle name="Accent6 4 18" xfId="3408" xr:uid="{00000000-0005-0000-0000-0000F0090000}"/>
    <cellStyle name="Accent6 4 19" xfId="3409" xr:uid="{00000000-0005-0000-0000-0000F1090000}"/>
    <cellStyle name="Accent6 4 2" xfId="3410" xr:uid="{00000000-0005-0000-0000-0000F2090000}"/>
    <cellStyle name="Accent6 4 20" xfId="3411" xr:uid="{00000000-0005-0000-0000-0000F3090000}"/>
    <cellStyle name="Accent6 4 21" xfId="3412" xr:uid="{00000000-0005-0000-0000-0000F4090000}"/>
    <cellStyle name="Accent6 4 22" xfId="3413" xr:uid="{00000000-0005-0000-0000-0000F5090000}"/>
    <cellStyle name="Accent6 4 23" xfId="3414" xr:uid="{00000000-0005-0000-0000-0000F6090000}"/>
    <cellStyle name="Accent6 4 24" xfId="3415" xr:uid="{00000000-0005-0000-0000-0000F7090000}"/>
    <cellStyle name="Accent6 4 25" xfId="3416" xr:uid="{00000000-0005-0000-0000-0000F8090000}"/>
    <cellStyle name="Accent6 4 3" xfId="3417" xr:uid="{00000000-0005-0000-0000-0000F9090000}"/>
    <cellStyle name="Accent6 4 4" xfId="3418" xr:uid="{00000000-0005-0000-0000-0000FA090000}"/>
    <cellStyle name="Accent6 4 5" xfId="3419" xr:uid="{00000000-0005-0000-0000-0000FB090000}"/>
    <cellStyle name="Accent6 4 6" xfId="3420" xr:uid="{00000000-0005-0000-0000-0000FC090000}"/>
    <cellStyle name="Accent6 4 7" xfId="3421" xr:uid="{00000000-0005-0000-0000-0000FD090000}"/>
    <cellStyle name="Accent6 4 8" xfId="3422" xr:uid="{00000000-0005-0000-0000-0000FE090000}"/>
    <cellStyle name="Accent6 4 9" xfId="3423" xr:uid="{00000000-0005-0000-0000-0000FF090000}"/>
    <cellStyle name="Accent6 5" xfId="5006" xr:uid="{00000000-0005-0000-0000-0000000A0000}"/>
    <cellStyle name="Accent6 6" xfId="5007" xr:uid="{00000000-0005-0000-0000-0000010A0000}"/>
    <cellStyle name="Accent6 7" xfId="5008" xr:uid="{00000000-0005-0000-0000-0000020A0000}"/>
    <cellStyle name="Accent6 8" xfId="5009" xr:uid="{00000000-0005-0000-0000-0000030A0000}"/>
    <cellStyle name="Accent6 9" xfId="5010" xr:uid="{00000000-0005-0000-0000-0000040A0000}"/>
    <cellStyle name="Akzent1" xfId="211" xr:uid="{00000000-0005-0000-0000-0000050A0000}"/>
    <cellStyle name="Akzent2" xfId="212" xr:uid="{00000000-0005-0000-0000-0000060A0000}"/>
    <cellStyle name="Akzent3" xfId="213" xr:uid="{00000000-0005-0000-0000-0000070A0000}"/>
    <cellStyle name="Akzent4" xfId="214" xr:uid="{00000000-0005-0000-0000-0000080A0000}"/>
    <cellStyle name="Akzent5" xfId="215" xr:uid="{00000000-0005-0000-0000-0000090A0000}"/>
    <cellStyle name="Akzent6" xfId="216" xr:uid="{00000000-0005-0000-0000-00000A0A0000}"/>
    <cellStyle name="Ausgabe" xfId="217" xr:uid="{00000000-0005-0000-0000-00000B0A0000}"/>
    <cellStyle name="Bad 1" xfId="218" xr:uid="{00000000-0005-0000-0000-00000C0A0000}"/>
    <cellStyle name="Bad 1 1" xfId="219" xr:uid="{00000000-0005-0000-0000-00000D0A0000}"/>
    <cellStyle name="Bad 10" xfId="5011" xr:uid="{00000000-0005-0000-0000-00000E0A0000}"/>
    <cellStyle name="Bad 2" xfId="220" xr:uid="{00000000-0005-0000-0000-00000F0A0000}"/>
    <cellStyle name="Bad 2 2" xfId="221" xr:uid="{00000000-0005-0000-0000-0000100A0000}"/>
    <cellStyle name="Bad 2 2 2" xfId="3424" xr:uid="{00000000-0005-0000-0000-0000110A0000}"/>
    <cellStyle name="Bad 2 3" xfId="5012" xr:uid="{00000000-0005-0000-0000-0000120A0000}"/>
    <cellStyle name="Bad 3" xfId="222" xr:uid="{00000000-0005-0000-0000-0000130A0000}"/>
    <cellStyle name="Bad 3 10" xfId="3426" xr:uid="{00000000-0005-0000-0000-0000140A0000}"/>
    <cellStyle name="Bad 3 11" xfId="3427" xr:uid="{00000000-0005-0000-0000-0000150A0000}"/>
    <cellStyle name="Bad 3 12" xfId="3428" xr:uid="{00000000-0005-0000-0000-0000160A0000}"/>
    <cellStyle name="Bad 3 13" xfId="3429" xr:uid="{00000000-0005-0000-0000-0000170A0000}"/>
    <cellStyle name="Bad 3 14" xfId="3430" xr:uid="{00000000-0005-0000-0000-0000180A0000}"/>
    <cellStyle name="Bad 3 15" xfId="3431" xr:uid="{00000000-0005-0000-0000-0000190A0000}"/>
    <cellStyle name="Bad 3 16" xfId="3432" xr:uid="{00000000-0005-0000-0000-00001A0A0000}"/>
    <cellStyle name="Bad 3 17" xfId="3433" xr:uid="{00000000-0005-0000-0000-00001B0A0000}"/>
    <cellStyle name="Bad 3 18" xfId="3434" xr:uid="{00000000-0005-0000-0000-00001C0A0000}"/>
    <cellStyle name="Bad 3 19" xfId="3435" xr:uid="{00000000-0005-0000-0000-00001D0A0000}"/>
    <cellStyle name="Bad 3 2" xfId="3436" xr:uid="{00000000-0005-0000-0000-00001E0A0000}"/>
    <cellStyle name="Bad 3 20" xfId="3437" xr:uid="{00000000-0005-0000-0000-00001F0A0000}"/>
    <cellStyle name="Bad 3 21" xfId="3438" xr:uid="{00000000-0005-0000-0000-0000200A0000}"/>
    <cellStyle name="Bad 3 22" xfId="3439" xr:uid="{00000000-0005-0000-0000-0000210A0000}"/>
    <cellStyle name="Bad 3 23" xfId="3440" xr:uid="{00000000-0005-0000-0000-0000220A0000}"/>
    <cellStyle name="Bad 3 24" xfId="3441" xr:uid="{00000000-0005-0000-0000-0000230A0000}"/>
    <cellStyle name="Bad 3 25" xfId="3442" xr:uid="{00000000-0005-0000-0000-0000240A0000}"/>
    <cellStyle name="Bad 3 26" xfId="3443" xr:uid="{00000000-0005-0000-0000-0000250A0000}"/>
    <cellStyle name="Bad 3 27" xfId="3444" xr:uid="{00000000-0005-0000-0000-0000260A0000}"/>
    <cellStyle name="Bad 3 28" xfId="3445" xr:uid="{00000000-0005-0000-0000-0000270A0000}"/>
    <cellStyle name="Bad 3 29" xfId="3425" xr:uid="{00000000-0005-0000-0000-0000280A0000}"/>
    <cellStyle name="Bad 3 3" xfId="3446" xr:uid="{00000000-0005-0000-0000-0000290A0000}"/>
    <cellStyle name="Bad 3 4" xfId="3447" xr:uid="{00000000-0005-0000-0000-00002A0A0000}"/>
    <cellStyle name="Bad 3 5" xfId="3448" xr:uid="{00000000-0005-0000-0000-00002B0A0000}"/>
    <cellStyle name="Bad 3 6" xfId="3449" xr:uid="{00000000-0005-0000-0000-00002C0A0000}"/>
    <cellStyle name="Bad 3 7" xfId="3450" xr:uid="{00000000-0005-0000-0000-00002D0A0000}"/>
    <cellStyle name="Bad 3 8" xfId="3451" xr:uid="{00000000-0005-0000-0000-00002E0A0000}"/>
    <cellStyle name="Bad 3 9" xfId="3452" xr:uid="{00000000-0005-0000-0000-00002F0A0000}"/>
    <cellStyle name="Bad 4" xfId="3453" xr:uid="{00000000-0005-0000-0000-0000300A0000}"/>
    <cellStyle name="Bad 4 10" xfId="3454" xr:uid="{00000000-0005-0000-0000-0000310A0000}"/>
    <cellStyle name="Bad 4 11" xfId="3455" xr:uid="{00000000-0005-0000-0000-0000320A0000}"/>
    <cellStyle name="Bad 4 12" xfId="3456" xr:uid="{00000000-0005-0000-0000-0000330A0000}"/>
    <cellStyle name="Bad 4 13" xfId="3457" xr:uid="{00000000-0005-0000-0000-0000340A0000}"/>
    <cellStyle name="Bad 4 14" xfId="3458" xr:uid="{00000000-0005-0000-0000-0000350A0000}"/>
    <cellStyle name="Bad 4 15" xfId="3459" xr:uid="{00000000-0005-0000-0000-0000360A0000}"/>
    <cellStyle name="Bad 4 16" xfId="3460" xr:uid="{00000000-0005-0000-0000-0000370A0000}"/>
    <cellStyle name="Bad 4 17" xfId="3461" xr:uid="{00000000-0005-0000-0000-0000380A0000}"/>
    <cellStyle name="Bad 4 18" xfId="3462" xr:uid="{00000000-0005-0000-0000-0000390A0000}"/>
    <cellStyle name="Bad 4 19" xfId="3463" xr:uid="{00000000-0005-0000-0000-00003A0A0000}"/>
    <cellStyle name="Bad 4 2" xfId="3464" xr:uid="{00000000-0005-0000-0000-00003B0A0000}"/>
    <cellStyle name="Bad 4 20" xfId="3465" xr:uid="{00000000-0005-0000-0000-00003C0A0000}"/>
    <cellStyle name="Bad 4 21" xfId="3466" xr:uid="{00000000-0005-0000-0000-00003D0A0000}"/>
    <cellStyle name="Bad 4 22" xfId="3467" xr:uid="{00000000-0005-0000-0000-00003E0A0000}"/>
    <cellStyle name="Bad 4 23" xfId="3468" xr:uid="{00000000-0005-0000-0000-00003F0A0000}"/>
    <cellStyle name="Bad 4 24" xfId="3469" xr:uid="{00000000-0005-0000-0000-0000400A0000}"/>
    <cellStyle name="Bad 4 25" xfId="3470" xr:uid="{00000000-0005-0000-0000-0000410A0000}"/>
    <cellStyle name="Bad 4 3" xfId="3471" xr:uid="{00000000-0005-0000-0000-0000420A0000}"/>
    <cellStyle name="Bad 4 4" xfId="3472" xr:uid="{00000000-0005-0000-0000-0000430A0000}"/>
    <cellStyle name="Bad 4 5" xfId="3473" xr:uid="{00000000-0005-0000-0000-0000440A0000}"/>
    <cellStyle name="Bad 4 6" xfId="3474" xr:uid="{00000000-0005-0000-0000-0000450A0000}"/>
    <cellStyle name="Bad 4 7" xfId="3475" xr:uid="{00000000-0005-0000-0000-0000460A0000}"/>
    <cellStyle name="Bad 4 8" xfId="3476" xr:uid="{00000000-0005-0000-0000-0000470A0000}"/>
    <cellStyle name="Bad 4 9" xfId="3477" xr:uid="{00000000-0005-0000-0000-0000480A0000}"/>
    <cellStyle name="Bad 5" xfId="5013" xr:uid="{00000000-0005-0000-0000-0000490A0000}"/>
    <cellStyle name="Bad 6" xfId="5014" xr:uid="{00000000-0005-0000-0000-00004A0A0000}"/>
    <cellStyle name="Bad 7" xfId="5015" xr:uid="{00000000-0005-0000-0000-00004B0A0000}"/>
    <cellStyle name="Bad 8" xfId="5016" xr:uid="{00000000-0005-0000-0000-00004C0A0000}"/>
    <cellStyle name="Bad 9" xfId="5017" xr:uid="{00000000-0005-0000-0000-00004D0A0000}"/>
    <cellStyle name="Berechnung" xfId="223" xr:uid="{00000000-0005-0000-0000-00004E0A0000}"/>
    <cellStyle name="Berechnung 2" xfId="224" xr:uid="{00000000-0005-0000-0000-00004F0A0000}"/>
    <cellStyle name="Bilješka" xfId="225" xr:uid="{00000000-0005-0000-0000-0000500A0000}"/>
    <cellStyle name="Bilješka 1" xfId="226" xr:uid="{00000000-0005-0000-0000-0000510A0000}"/>
    <cellStyle name="Bilješka 1 2" xfId="227" xr:uid="{00000000-0005-0000-0000-0000520A0000}"/>
    <cellStyle name="Bilješka 2" xfId="228" xr:uid="{00000000-0005-0000-0000-0000530A0000}"/>
    <cellStyle name="Bilješka 2 2" xfId="229" xr:uid="{00000000-0005-0000-0000-0000540A0000}"/>
    <cellStyle name="Bilješka 2 2 2" xfId="230" xr:uid="{00000000-0005-0000-0000-0000550A0000}"/>
    <cellStyle name="Bilješka 2 2 2 2" xfId="231" xr:uid="{00000000-0005-0000-0000-0000560A0000}"/>
    <cellStyle name="Bilješka 2 2 3" xfId="232" xr:uid="{00000000-0005-0000-0000-0000570A0000}"/>
    <cellStyle name="Bilješka 2 2 3 2" xfId="233" xr:uid="{00000000-0005-0000-0000-0000580A0000}"/>
    <cellStyle name="Bilješka 2 2 4" xfId="234" xr:uid="{00000000-0005-0000-0000-0000590A0000}"/>
    <cellStyle name="Bilješka 2 2 4 2" xfId="235" xr:uid="{00000000-0005-0000-0000-00005A0A0000}"/>
    <cellStyle name="Bilješka 2 2 5" xfId="236" xr:uid="{00000000-0005-0000-0000-00005B0A0000}"/>
    <cellStyle name="Bilješka 2 2 6" xfId="5018" xr:uid="{00000000-0005-0000-0000-00005C0A0000}"/>
    <cellStyle name="Bilješka 2 3" xfId="237" xr:uid="{00000000-0005-0000-0000-00005D0A0000}"/>
    <cellStyle name="Bilješka 2 3 2" xfId="238" xr:uid="{00000000-0005-0000-0000-00005E0A0000}"/>
    <cellStyle name="Bilješka 2 3 2 2" xfId="5341" xr:uid="{00000000-0005-0000-0000-00005F0A0000}"/>
    <cellStyle name="Bilješka 2 3 2 3" xfId="5020" xr:uid="{00000000-0005-0000-0000-0000600A0000}"/>
    <cellStyle name="Bilješka 2 3 3" xfId="5340" xr:uid="{00000000-0005-0000-0000-0000610A0000}"/>
    <cellStyle name="Bilješka 2 3 4" xfId="5019" xr:uid="{00000000-0005-0000-0000-0000620A0000}"/>
    <cellStyle name="Bilješka 2 4" xfId="239" xr:uid="{00000000-0005-0000-0000-0000630A0000}"/>
    <cellStyle name="Bilješka 2 5" xfId="1247" xr:uid="{00000000-0005-0000-0000-0000640A0000}"/>
    <cellStyle name="Bilješka 3" xfId="240" xr:uid="{00000000-0005-0000-0000-0000650A0000}"/>
    <cellStyle name="Bilješka 3 2" xfId="241" xr:uid="{00000000-0005-0000-0000-0000660A0000}"/>
    <cellStyle name="Bilješka 3 2 2" xfId="242" xr:uid="{00000000-0005-0000-0000-0000670A0000}"/>
    <cellStyle name="Bilješka 3 2 2 2" xfId="5343" xr:uid="{00000000-0005-0000-0000-0000680A0000}"/>
    <cellStyle name="Bilješka 3 2 2 3" xfId="5023" xr:uid="{00000000-0005-0000-0000-0000690A0000}"/>
    <cellStyle name="Bilješka 3 2 3" xfId="5342" xr:uid="{00000000-0005-0000-0000-00006A0A0000}"/>
    <cellStyle name="Bilješka 3 2 4" xfId="5022" xr:uid="{00000000-0005-0000-0000-00006B0A0000}"/>
    <cellStyle name="Bilješka 3 3" xfId="243" xr:uid="{00000000-0005-0000-0000-00006C0A0000}"/>
    <cellStyle name="Bilješka 3 4" xfId="5021" xr:uid="{00000000-0005-0000-0000-00006D0A0000}"/>
    <cellStyle name="Bilješka 4" xfId="244" xr:uid="{00000000-0005-0000-0000-00006E0A0000}"/>
    <cellStyle name="Bilješka 4 2" xfId="245" xr:uid="{00000000-0005-0000-0000-00006F0A0000}"/>
    <cellStyle name="Bilješka 4 2 2" xfId="246" xr:uid="{00000000-0005-0000-0000-0000700A0000}"/>
    <cellStyle name="Bilješka 4 3" xfId="247" xr:uid="{00000000-0005-0000-0000-0000710A0000}"/>
    <cellStyle name="Bilješka 4 3 2" xfId="248" xr:uid="{00000000-0005-0000-0000-0000720A0000}"/>
    <cellStyle name="Bilješka 4 4" xfId="249" xr:uid="{00000000-0005-0000-0000-0000730A0000}"/>
    <cellStyle name="Bilješka 4 5" xfId="1246" xr:uid="{00000000-0005-0000-0000-0000740A0000}"/>
    <cellStyle name="Bilješka 5" xfId="250" xr:uid="{00000000-0005-0000-0000-0000750A0000}"/>
    <cellStyle name="Bilješka 5 2" xfId="251" xr:uid="{00000000-0005-0000-0000-0000760A0000}"/>
    <cellStyle name="Bilješka 5 2 2" xfId="252" xr:uid="{00000000-0005-0000-0000-0000770A0000}"/>
    <cellStyle name="Bilješka 5 3" xfId="253" xr:uid="{00000000-0005-0000-0000-0000780A0000}"/>
    <cellStyle name="Bilješka 6" xfId="254" xr:uid="{00000000-0005-0000-0000-0000790A0000}"/>
    <cellStyle name="Bilješka 6 2" xfId="255" xr:uid="{00000000-0005-0000-0000-00007A0A0000}"/>
    <cellStyle name="Bilješka 7" xfId="256" xr:uid="{00000000-0005-0000-0000-00007B0A0000}"/>
    <cellStyle name="Border" xfId="3478" xr:uid="{00000000-0005-0000-0000-00007C0A0000}"/>
    <cellStyle name="BROJ" xfId="257" xr:uid="{00000000-0005-0000-0000-00007D0A0000}"/>
    <cellStyle name="Calc Currency (0)" xfId="3479" xr:uid="{00000000-0005-0000-0000-00007E0A0000}"/>
    <cellStyle name="Calc Currency (2)" xfId="3480" xr:uid="{00000000-0005-0000-0000-00007F0A0000}"/>
    <cellStyle name="Calc Percent (0)" xfId="3481" xr:uid="{00000000-0005-0000-0000-0000800A0000}"/>
    <cellStyle name="Calc Percent (1)" xfId="3482" xr:uid="{00000000-0005-0000-0000-0000810A0000}"/>
    <cellStyle name="Calc Percent (2)" xfId="3483" xr:uid="{00000000-0005-0000-0000-0000820A0000}"/>
    <cellStyle name="Calc Units (0)" xfId="3484" xr:uid="{00000000-0005-0000-0000-0000830A0000}"/>
    <cellStyle name="Calc Units (1)" xfId="3485" xr:uid="{00000000-0005-0000-0000-0000840A0000}"/>
    <cellStyle name="Calc Units (2)" xfId="3486" xr:uid="{00000000-0005-0000-0000-0000850A0000}"/>
    <cellStyle name="Calculation 1" xfId="258" xr:uid="{00000000-0005-0000-0000-0000860A0000}"/>
    <cellStyle name="Calculation 1 1" xfId="259" xr:uid="{00000000-0005-0000-0000-0000870A0000}"/>
    <cellStyle name="Calculation 1 1 2" xfId="260" xr:uid="{00000000-0005-0000-0000-0000880A0000}"/>
    <cellStyle name="Calculation 1 2" xfId="261" xr:uid="{00000000-0005-0000-0000-0000890A0000}"/>
    <cellStyle name="Calculation 10" xfId="5024" xr:uid="{00000000-0005-0000-0000-00008A0A0000}"/>
    <cellStyle name="Calculation 2" xfId="262" xr:uid="{00000000-0005-0000-0000-00008B0A0000}"/>
    <cellStyle name="Calculation 2 2" xfId="263" xr:uid="{00000000-0005-0000-0000-00008C0A0000}"/>
    <cellStyle name="Calculation 2 2 2" xfId="264" xr:uid="{00000000-0005-0000-0000-00008D0A0000}"/>
    <cellStyle name="Calculation 2 2 3" xfId="3487" xr:uid="{00000000-0005-0000-0000-00008E0A0000}"/>
    <cellStyle name="Calculation 2 3" xfId="265" xr:uid="{00000000-0005-0000-0000-00008F0A0000}"/>
    <cellStyle name="Calculation 2 3 2" xfId="5025" xr:uid="{00000000-0005-0000-0000-0000900A0000}"/>
    <cellStyle name="Calculation 3" xfId="3488" xr:uid="{00000000-0005-0000-0000-0000910A0000}"/>
    <cellStyle name="Calculation 3 10" xfId="3489" xr:uid="{00000000-0005-0000-0000-0000920A0000}"/>
    <cellStyle name="Calculation 3 11" xfId="3490" xr:uid="{00000000-0005-0000-0000-0000930A0000}"/>
    <cellStyle name="Calculation 3 12" xfId="3491" xr:uid="{00000000-0005-0000-0000-0000940A0000}"/>
    <cellStyle name="Calculation 3 13" xfId="3492" xr:uid="{00000000-0005-0000-0000-0000950A0000}"/>
    <cellStyle name="Calculation 3 14" xfId="3493" xr:uid="{00000000-0005-0000-0000-0000960A0000}"/>
    <cellStyle name="Calculation 3 15" xfId="3494" xr:uid="{00000000-0005-0000-0000-0000970A0000}"/>
    <cellStyle name="Calculation 3 16" xfId="3495" xr:uid="{00000000-0005-0000-0000-0000980A0000}"/>
    <cellStyle name="Calculation 3 17" xfId="3496" xr:uid="{00000000-0005-0000-0000-0000990A0000}"/>
    <cellStyle name="Calculation 3 18" xfId="3497" xr:uid="{00000000-0005-0000-0000-00009A0A0000}"/>
    <cellStyle name="Calculation 3 19" xfId="3498" xr:uid="{00000000-0005-0000-0000-00009B0A0000}"/>
    <cellStyle name="Calculation 3 2" xfId="3499" xr:uid="{00000000-0005-0000-0000-00009C0A0000}"/>
    <cellStyle name="Calculation 3 20" xfId="3500" xr:uid="{00000000-0005-0000-0000-00009D0A0000}"/>
    <cellStyle name="Calculation 3 21" xfId="3501" xr:uid="{00000000-0005-0000-0000-00009E0A0000}"/>
    <cellStyle name="Calculation 3 22" xfId="3502" xr:uid="{00000000-0005-0000-0000-00009F0A0000}"/>
    <cellStyle name="Calculation 3 23" xfId="3503" xr:uid="{00000000-0005-0000-0000-0000A00A0000}"/>
    <cellStyle name="Calculation 3 24" xfId="3504" xr:uid="{00000000-0005-0000-0000-0000A10A0000}"/>
    <cellStyle name="Calculation 3 25" xfId="3505" xr:uid="{00000000-0005-0000-0000-0000A20A0000}"/>
    <cellStyle name="Calculation 3 26" xfId="3506" xr:uid="{00000000-0005-0000-0000-0000A30A0000}"/>
    <cellStyle name="Calculation 3 27" xfId="3507" xr:uid="{00000000-0005-0000-0000-0000A40A0000}"/>
    <cellStyle name="Calculation 3 28" xfId="3508" xr:uid="{00000000-0005-0000-0000-0000A50A0000}"/>
    <cellStyle name="Calculation 3 3" xfId="3509" xr:uid="{00000000-0005-0000-0000-0000A60A0000}"/>
    <cellStyle name="Calculation 3 4" xfId="3510" xr:uid="{00000000-0005-0000-0000-0000A70A0000}"/>
    <cellStyle name="Calculation 3 5" xfId="3511" xr:uid="{00000000-0005-0000-0000-0000A80A0000}"/>
    <cellStyle name="Calculation 3 6" xfId="3512" xr:uid="{00000000-0005-0000-0000-0000A90A0000}"/>
    <cellStyle name="Calculation 3 7" xfId="3513" xr:uid="{00000000-0005-0000-0000-0000AA0A0000}"/>
    <cellStyle name="Calculation 3 8" xfId="3514" xr:uid="{00000000-0005-0000-0000-0000AB0A0000}"/>
    <cellStyle name="Calculation 3 9" xfId="3515" xr:uid="{00000000-0005-0000-0000-0000AC0A0000}"/>
    <cellStyle name="Calculation 4" xfId="3516" xr:uid="{00000000-0005-0000-0000-0000AD0A0000}"/>
    <cellStyle name="Calculation 4 10" xfId="3517" xr:uid="{00000000-0005-0000-0000-0000AE0A0000}"/>
    <cellStyle name="Calculation 4 11" xfId="3518" xr:uid="{00000000-0005-0000-0000-0000AF0A0000}"/>
    <cellStyle name="Calculation 4 12" xfId="3519" xr:uid="{00000000-0005-0000-0000-0000B00A0000}"/>
    <cellStyle name="Calculation 4 13" xfId="3520" xr:uid="{00000000-0005-0000-0000-0000B10A0000}"/>
    <cellStyle name="Calculation 4 14" xfId="3521" xr:uid="{00000000-0005-0000-0000-0000B20A0000}"/>
    <cellStyle name="Calculation 4 15" xfId="3522" xr:uid="{00000000-0005-0000-0000-0000B30A0000}"/>
    <cellStyle name="Calculation 4 16" xfId="3523" xr:uid="{00000000-0005-0000-0000-0000B40A0000}"/>
    <cellStyle name="Calculation 4 17" xfId="3524" xr:uid="{00000000-0005-0000-0000-0000B50A0000}"/>
    <cellStyle name="Calculation 4 18" xfId="3525" xr:uid="{00000000-0005-0000-0000-0000B60A0000}"/>
    <cellStyle name="Calculation 4 19" xfId="3526" xr:uid="{00000000-0005-0000-0000-0000B70A0000}"/>
    <cellStyle name="Calculation 4 2" xfId="3527" xr:uid="{00000000-0005-0000-0000-0000B80A0000}"/>
    <cellStyle name="Calculation 4 20" xfId="3528" xr:uid="{00000000-0005-0000-0000-0000B90A0000}"/>
    <cellStyle name="Calculation 4 21" xfId="3529" xr:uid="{00000000-0005-0000-0000-0000BA0A0000}"/>
    <cellStyle name="Calculation 4 22" xfId="3530" xr:uid="{00000000-0005-0000-0000-0000BB0A0000}"/>
    <cellStyle name="Calculation 4 23" xfId="3531" xr:uid="{00000000-0005-0000-0000-0000BC0A0000}"/>
    <cellStyle name="Calculation 4 24" xfId="3532" xr:uid="{00000000-0005-0000-0000-0000BD0A0000}"/>
    <cellStyle name="Calculation 4 25" xfId="3533" xr:uid="{00000000-0005-0000-0000-0000BE0A0000}"/>
    <cellStyle name="Calculation 4 3" xfId="3534" xr:uid="{00000000-0005-0000-0000-0000BF0A0000}"/>
    <cellStyle name="Calculation 4 4" xfId="3535" xr:uid="{00000000-0005-0000-0000-0000C00A0000}"/>
    <cellStyle name="Calculation 4 5" xfId="3536" xr:uid="{00000000-0005-0000-0000-0000C10A0000}"/>
    <cellStyle name="Calculation 4 6" xfId="3537" xr:uid="{00000000-0005-0000-0000-0000C20A0000}"/>
    <cellStyle name="Calculation 4 7" xfId="3538" xr:uid="{00000000-0005-0000-0000-0000C30A0000}"/>
    <cellStyle name="Calculation 4 8" xfId="3539" xr:uid="{00000000-0005-0000-0000-0000C40A0000}"/>
    <cellStyle name="Calculation 4 9" xfId="3540" xr:uid="{00000000-0005-0000-0000-0000C50A0000}"/>
    <cellStyle name="Calculation 5" xfId="5026" xr:uid="{00000000-0005-0000-0000-0000C60A0000}"/>
    <cellStyle name="Calculation 6" xfId="5027" xr:uid="{00000000-0005-0000-0000-0000C70A0000}"/>
    <cellStyle name="Calculation 7" xfId="5028" xr:uid="{00000000-0005-0000-0000-0000C80A0000}"/>
    <cellStyle name="Calculation 8" xfId="5029" xr:uid="{00000000-0005-0000-0000-0000C90A0000}"/>
    <cellStyle name="Calculation 9" xfId="5030" xr:uid="{00000000-0005-0000-0000-0000CA0A0000}"/>
    <cellStyle name="Check Cell 1" xfId="266" xr:uid="{00000000-0005-0000-0000-0000CB0A0000}"/>
    <cellStyle name="Check Cell 1 1" xfId="267" xr:uid="{00000000-0005-0000-0000-0000CC0A0000}"/>
    <cellStyle name="Check Cell 10" xfId="5031" xr:uid="{00000000-0005-0000-0000-0000CD0A0000}"/>
    <cellStyle name="Check Cell 2" xfId="268" xr:uid="{00000000-0005-0000-0000-0000CE0A0000}"/>
    <cellStyle name="Check Cell 2 2" xfId="269" xr:uid="{00000000-0005-0000-0000-0000CF0A0000}"/>
    <cellStyle name="Check Cell 2 2 2" xfId="3541" xr:uid="{00000000-0005-0000-0000-0000D00A0000}"/>
    <cellStyle name="Check Cell 2 3" xfId="5032" xr:uid="{00000000-0005-0000-0000-0000D10A0000}"/>
    <cellStyle name="Check Cell 3" xfId="3542" xr:uid="{00000000-0005-0000-0000-0000D20A0000}"/>
    <cellStyle name="Check Cell 3 10" xfId="3543" xr:uid="{00000000-0005-0000-0000-0000D30A0000}"/>
    <cellStyle name="Check Cell 3 11" xfId="3544" xr:uid="{00000000-0005-0000-0000-0000D40A0000}"/>
    <cellStyle name="Check Cell 3 12" xfId="3545" xr:uid="{00000000-0005-0000-0000-0000D50A0000}"/>
    <cellStyle name="Check Cell 3 13" xfId="3546" xr:uid="{00000000-0005-0000-0000-0000D60A0000}"/>
    <cellStyle name="Check Cell 3 14" xfId="3547" xr:uid="{00000000-0005-0000-0000-0000D70A0000}"/>
    <cellStyle name="Check Cell 3 15" xfId="3548" xr:uid="{00000000-0005-0000-0000-0000D80A0000}"/>
    <cellStyle name="Check Cell 3 16" xfId="3549" xr:uid="{00000000-0005-0000-0000-0000D90A0000}"/>
    <cellStyle name="Check Cell 3 17" xfId="3550" xr:uid="{00000000-0005-0000-0000-0000DA0A0000}"/>
    <cellStyle name="Check Cell 3 18" xfId="3551" xr:uid="{00000000-0005-0000-0000-0000DB0A0000}"/>
    <cellStyle name="Check Cell 3 19" xfId="3552" xr:uid="{00000000-0005-0000-0000-0000DC0A0000}"/>
    <cellStyle name="Check Cell 3 2" xfId="3553" xr:uid="{00000000-0005-0000-0000-0000DD0A0000}"/>
    <cellStyle name="Check Cell 3 20" xfId="3554" xr:uid="{00000000-0005-0000-0000-0000DE0A0000}"/>
    <cellStyle name="Check Cell 3 21" xfId="3555" xr:uid="{00000000-0005-0000-0000-0000DF0A0000}"/>
    <cellStyle name="Check Cell 3 22" xfId="3556" xr:uid="{00000000-0005-0000-0000-0000E00A0000}"/>
    <cellStyle name="Check Cell 3 23" xfId="3557" xr:uid="{00000000-0005-0000-0000-0000E10A0000}"/>
    <cellStyle name="Check Cell 3 24" xfId="3558" xr:uid="{00000000-0005-0000-0000-0000E20A0000}"/>
    <cellStyle name="Check Cell 3 25" xfId="3559" xr:uid="{00000000-0005-0000-0000-0000E30A0000}"/>
    <cellStyle name="Check Cell 3 26" xfId="3560" xr:uid="{00000000-0005-0000-0000-0000E40A0000}"/>
    <cellStyle name="Check Cell 3 27" xfId="3561" xr:uid="{00000000-0005-0000-0000-0000E50A0000}"/>
    <cellStyle name="Check Cell 3 28" xfId="3562" xr:uid="{00000000-0005-0000-0000-0000E60A0000}"/>
    <cellStyle name="Check Cell 3 3" xfId="3563" xr:uid="{00000000-0005-0000-0000-0000E70A0000}"/>
    <cellStyle name="Check Cell 3 4" xfId="3564" xr:uid="{00000000-0005-0000-0000-0000E80A0000}"/>
    <cellStyle name="Check Cell 3 5" xfId="3565" xr:uid="{00000000-0005-0000-0000-0000E90A0000}"/>
    <cellStyle name="Check Cell 3 6" xfId="3566" xr:uid="{00000000-0005-0000-0000-0000EA0A0000}"/>
    <cellStyle name="Check Cell 3 7" xfId="3567" xr:uid="{00000000-0005-0000-0000-0000EB0A0000}"/>
    <cellStyle name="Check Cell 3 8" xfId="3568" xr:uid="{00000000-0005-0000-0000-0000EC0A0000}"/>
    <cellStyle name="Check Cell 3 9" xfId="3569" xr:uid="{00000000-0005-0000-0000-0000ED0A0000}"/>
    <cellStyle name="Check Cell 4" xfId="3570" xr:uid="{00000000-0005-0000-0000-0000EE0A0000}"/>
    <cellStyle name="Check Cell 4 10" xfId="3571" xr:uid="{00000000-0005-0000-0000-0000EF0A0000}"/>
    <cellStyle name="Check Cell 4 11" xfId="3572" xr:uid="{00000000-0005-0000-0000-0000F00A0000}"/>
    <cellStyle name="Check Cell 4 12" xfId="3573" xr:uid="{00000000-0005-0000-0000-0000F10A0000}"/>
    <cellStyle name="Check Cell 4 13" xfId="3574" xr:uid="{00000000-0005-0000-0000-0000F20A0000}"/>
    <cellStyle name="Check Cell 4 14" xfId="3575" xr:uid="{00000000-0005-0000-0000-0000F30A0000}"/>
    <cellStyle name="Check Cell 4 15" xfId="3576" xr:uid="{00000000-0005-0000-0000-0000F40A0000}"/>
    <cellStyle name="Check Cell 4 16" xfId="3577" xr:uid="{00000000-0005-0000-0000-0000F50A0000}"/>
    <cellStyle name="Check Cell 4 17" xfId="3578" xr:uid="{00000000-0005-0000-0000-0000F60A0000}"/>
    <cellStyle name="Check Cell 4 18" xfId="3579" xr:uid="{00000000-0005-0000-0000-0000F70A0000}"/>
    <cellStyle name="Check Cell 4 19" xfId="3580" xr:uid="{00000000-0005-0000-0000-0000F80A0000}"/>
    <cellStyle name="Check Cell 4 2" xfId="3581" xr:uid="{00000000-0005-0000-0000-0000F90A0000}"/>
    <cellStyle name="Check Cell 4 20" xfId="3582" xr:uid="{00000000-0005-0000-0000-0000FA0A0000}"/>
    <cellStyle name="Check Cell 4 21" xfId="3583" xr:uid="{00000000-0005-0000-0000-0000FB0A0000}"/>
    <cellStyle name="Check Cell 4 22" xfId="3584" xr:uid="{00000000-0005-0000-0000-0000FC0A0000}"/>
    <cellStyle name="Check Cell 4 23" xfId="3585" xr:uid="{00000000-0005-0000-0000-0000FD0A0000}"/>
    <cellStyle name="Check Cell 4 24" xfId="3586" xr:uid="{00000000-0005-0000-0000-0000FE0A0000}"/>
    <cellStyle name="Check Cell 4 25" xfId="3587" xr:uid="{00000000-0005-0000-0000-0000FF0A0000}"/>
    <cellStyle name="Check Cell 4 3" xfId="3588" xr:uid="{00000000-0005-0000-0000-0000000B0000}"/>
    <cellStyle name="Check Cell 4 4" xfId="3589" xr:uid="{00000000-0005-0000-0000-0000010B0000}"/>
    <cellStyle name="Check Cell 4 5" xfId="3590" xr:uid="{00000000-0005-0000-0000-0000020B0000}"/>
    <cellStyle name="Check Cell 4 6" xfId="3591" xr:uid="{00000000-0005-0000-0000-0000030B0000}"/>
    <cellStyle name="Check Cell 4 7" xfId="3592" xr:uid="{00000000-0005-0000-0000-0000040B0000}"/>
    <cellStyle name="Check Cell 4 8" xfId="3593" xr:uid="{00000000-0005-0000-0000-0000050B0000}"/>
    <cellStyle name="Check Cell 4 9" xfId="3594" xr:uid="{00000000-0005-0000-0000-0000060B0000}"/>
    <cellStyle name="Check Cell 5" xfId="5033" xr:uid="{00000000-0005-0000-0000-0000070B0000}"/>
    <cellStyle name="Check Cell 6" xfId="5034" xr:uid="{00000000-0005-0000-0000-0000080B0000}"/>
    <cellStyle name="Check Cell 7" xfId="5035" xr:uid="{00000000-0005-0000-0000-0000090B0000}"/>
    <cellStyle name="Check Cell 8" xfId="5036" xr:uid="{00000000-0005-0000-0000-00000A0B0000}"/>
    <cellStyle name="Check Cell 9" xfId="5037" xr:uid="{00000000-0005-0000-0000-00000B0B0000}"/>
    <cellStyle name="Comma [0] 2" xfId="5038" xr:uid="{00000000-0005-0000-0000-00000C0B0000}"/>
    <cellStyle name="Comma [0] 3" xfId="5039" xr:uid="{00000000-0005-0000-0000-00000D0B0000}"/>
    <cellStyle name="Comma [00]" xfId="3595" xr:uid="{00000000-0005-0000-0000-00000E0B0000}"/>
    <cellStyle name="Comma 10" xfId="270" xr:uid="{00000000-0005-0000-0000-00000F0B0000}"/>
    <cellStyle name="Comma 10 2" xfId="271" xr:uid="{00000000-0005-0000-0000-0000100B0000}"/>
    <cellStyle name="Comma 10 2 2" xfId="272" xr:uid="{00000000-0005-0000-0000-0000110B0000}"/>
    <cellStyle name="Comma 10 3" xfId="1136" xr:uid="{00000000-0005-0000-0000-0000120B0000}"/>
    <cellStyle name="Comma 10 3 2" xfId="1179" xr:uid="{00000000-0005-0000-0000-0000130B0000}"/>
    <cellStyle name="Comma 11" xfId="273" xr:uid="{00000000-0005-0000-0000-0000140B0000}"/>
    <cellStyle name="Comma 11 2" xfId="274" xr:uid="{00000000-0005-0000-0000-0000150B0000}"/>
    <cellStyle name="Comma 11 3" xfId="1137" xr:uid="{00000000-0005-0000-0000-0000160B0000}"/>
    <cellStyle name="Comma 11 3 2" xfId="1180" xr:uid="{00000000-0005-0000-0000-0000170B0000}"/>
    <cellStyle name="Comma 12" xfId="275" xr:uid="{00000000-0005-0000-0000-0000180B0000}"/>
    <cellStyle name="Comma 12 2" xfId="276" xr:uid="{00000000-0005-0000-0000-0000190B0000}"/>
    <cellStyle name="Comma 12 3" xfId="277" xr:uid="{00000000-0005-0000-0000-00001A0B0000}"/>
    <cellStyle name="Comma 12 3 2" xfId="1139" xr:uid="{00000000-0005-0000-0000-00001B0B0000}"/>
    <cellStyle name="Comma 12 3 2 2" xfId="1182" xr:uid="{00000000-0005-0000-0000-00001C0B0000}"/>
    <cellStyle name="Comma 12 4" xfId="1138" xr:uid="{00000000-0005-0000-0000-00001D0B0000}"/>
    <cellStyle name="Comma 12 4 2" xfId="1181" xr:uid="{00000000-0005-0000-0000-00001E0B0000}"/>
    <cellStyle name="Comma 13" xfId="278" xr:uid="{00000000-0005-0000-0000-00001F0B0000}"/>
    <cellStyle name="Comma 13 2" xfId="1140" xr:uid="{00000000-0005-0000-0000-0000200B0000}"/>
    <cellStyle name="Comma 13 2 2" xfId="1183" xr:uid="{00000000-0005-0000-0000-0000210B0000}"/>
    <cellStyle name="Comma 13 2 3" xfId="5248" xr:uid="{00000000-0005-0000-0000-0000220B0000}"/>
    <cellStyle name="Comma 13 3" xfId="1174" xr:uid="{00000000-0005-0000-0000-0000230B0000}"/>
    <cellStyle name="Comma 13 4" xfId="3596" xr:uid="{00000000-0005-0000-0000-0000240B0000}"/>
    <cellStyle name="Comma 14" xfId="3597" xr:uid="{00000000-0005-0000-0000-0000250B0000}"/>
    <cellStyle name="Comma 14 2" xfId="5249" xr:uid="{00000000-0005-0000-0000-0000260B0000}"/>
    <cellStyle name="Comma 15" xfId="3598" xr:uid="{00000000-0005-0000-0000-0000270B0000}"/>
    <cellStyle name="Comma 15 2" xfId="5250" xr:uid="{00000000-0005-0000-0000-0000280B0000}"/>
    <cellStyle name="Comma 16" xfId="3599" xr:uid="{00000000-0005-0000-0000-0000290B0000}"/>
    <cellStyle name="Comma 16 2" xfId="5251" xr:uid="{00000000-0005-0000-0000-00002A0B0000}"/>
    <cellStyle name="Comma 17" xfId="3600" xr:uid="{00000000-0005-0000-0000-00002B0B0000}"/>
    <cellStyle name="Comma 17 2" xfId="5252" xr:uid="{00000000-0005-0000-0000-00002C0B0000}"/>
    <cellStyle name="Comma 18" xfId="3601" xr:uid="{00000000-0005-0000-0000-00002D0B0000}"/>
    <cellStyle name="Comma 18 2" xfId="5253" xr:uid="{00000000-0005-0000-0000-00002E0B0000}"/>
    <cellStyle name="Comma 19" xfId="3602" xr:uid="{00000000-0005-0000-0000-00002F0B0000}"/>
    <cellStyle name="Comma 19 2" xfId="5254" xr:uid="{00000000-0005-0000-0000-0000300B0000}"/>
    <cellStyle name="Comma 2" xfId="279" xr:uid="{00000000-0005-0000-0000-0000310B0000}"/>
    <cellStyle name="Comma 2 2" xfId="280" xr:uid="{00000000-0005-0000-0000-0000320B0000}"/>
    <cellStyle name="Comma 2 2 2" xfId="281" xr:uid="{00000000-0005-0000-0000-0000330B0000}"/>
    <cellStyle name="Comma 2 2 2 2" xfId="282" xr:uid="{00000000-0005-0000-0000-0000340B0000}"/>
    <cellStyle name="Comma 2 2 2 2 2" xfId="5276" xr:uid="{00000000-0005-0000-0000-0000350B0000}"/>
    <cellStyle name="Comma 2 2 2 3" xfId="283" xr:uid="{00000000-0005-0000-0000-0000360B0000}"/>
    <cellStyle name="Comma 2 2 2 4" xfId="4791" xr:uid="{00000000-0005-0000-0000-0000370B0000}"/>
    <cellStyle name="Comma 2 2 3" xfId="284" xr:uid="{00000000-0005-0000-0000-0000380B0000}"/>
    <cellStyle name="Comma 2 2 3 2" xfId="285" xr:uid="{00000000-0005-0000-0000-0000390B0000}"/>
    <cellStyle name="Comma 2 2 4" xfId="286" xr:uid="{00000000-0005-0000-0000-00003A0B0000}"/>
    <cellStyle name="Comma 2 2 4 2" xfId="287" xr:uid="{00000000-0005-0000-0000-00003B0B0000}"/>
    <cellStyle name="Comma 2 2 4 2 2" xfId="288" xr:uid="{00000000-0005-0000-0000-00003C0B0000}"/>
    <cellStyle name="Comma 2 2 4 3" xfId="289" xr:uid="{00000000-0005-0000-0000-00003D0B0000}"/>
    <cellStyle name="Comma 2 2 5" xfId="290" xr:uid="{00000000-0005-0000-0000-00003E0B0000}"/>
    <cellStyle name="Comma 2 2 6" xfId="1389" xr:uid="{00000000-0005-0000-0000-00003F0B0000}"/>
    <cellStyle name="Comma 2 3" xfId="291" xr:uid="{00000000-0005-0000-0000-0000400B0000}"/>
    <cellStyle name="Comma 2 3 2" xfId="292" xr:uid="{00000000-0005-0000-0000-0000410B0000}"/>
    <cellStyle name="Comma 2 3 3" xfId="293" xr:uid="{00000000-0005-0000-0000-0000420B0000}"/>
    <cellStyle name="Comma 2 3 4" xfId="5225" xr:uid="{00000000-0005-0000-0000-0000430B0000}"/>
    <cellStyle name="Comma 2 4" xfId="294" xr:uid="{00000000-0005-0000-0000-0000440B0000}"/>
    <cellStyle name="Comma 2 4 2" xfId="295" xr:uid="{00000000-0005-0000-0000-0000450B0000}"/>
    <cellStyle name="Comma 2 5" xfId="296" xr:uid="{00000000-0005-0000-0000-0000460B0000}"/>
    <cellStyle name="Comma 2 5 2" xfId="1141" xr:uid="{00000000-0005-0000-0000-0000470B0000}"/>
    <cellStyle name="Comma 2 5 2 2" xfId="1184" xr:uid="{00000000-0005-0000-0000-0000480B0000}"/>
    <cellStyle name="Comma 2 5 3" xfId="1175" xr:uid="{00000000-0005-0000-0000-0000490B0000}"/>
    <cellStyle name="Comma 2 6" xfId="297" xr:uid="{00000000-0005-0000-0000-00004A0B0000}"/>
    <cellStyle name="Comma 20" xfId="3603" xr:uid="{00000000-0005-0000-0000-00004B0B0000}"/>
    <cellStyle name="Comma 20 2" xfId="5255" xr:uid="{00000000-0005-0000-0000-00004C0B0000}"/>
    <cellStyle name="Comma 21" xfId="3604" xr:uid="{00000000-0005-0000-0000-00004D0B0000}"/>
    <cellStyle name="Comma 21 2" xfId="5256" xr:uid="{00000000-0005-0000-0000-00004E0B0000}"/>
    <cellStyle name="Comma 22" xfId="3605" xr:uid="{00000000-0005-0000-0000-00004F0B0000}"/>
    <cellStyle name="Comma 22 2" xfId="5257" xr:uid="{00000000-0005-0000-0000-0000500B0000}"/>
    <cellStyle name="Comma 23" xfId="3606" xr:uid="{00000000-0005-0000-0000-0000510B0000}"/>
    <cellStyle name="Comma 23 2" xfId="5258" xr:uid="{00000000-0005-0000-0000-0000520B0000}"/>
    <cellStyle name="Comma 24" xfId="3607" xr:uid="{00000000-0005-0000-0000-0000530B0000}"/>
    <cellStyle name="Comma 24 2" xfId="5259" xr:uid="{00000000-0005-0000-0000-0000540B0000}"/>
    <cellStyle name="Comma 25" xfId="3608" xr:uid="{00000000-0005-0000-0000-0000550B0000}"/>
    <cellStyle name="Comma 26" xfId="3609" xr:uid="{00000000-0005-0000-0000-0000560B0000}"/>
    <cellStyle name="Comma 27" xfId="3610" xr:uid="{00000000-0005-0000-0000-0000570B0000}"/>
    <cellStyle name="Comma 28" xfId="4787" xr:uid="{00000000-0005-0000-0000-0000580B0000}"/>
    <cellStyle name="Comma 3" xfId="298" xr:uid="{00000000-0005-0000-0000-0000590B0000}"/>
    <cellStyle name="Comma 3 2" xfId="299" xr:uid="{00000000-0005-0000-0000-00005A0B0000}"/>
    <cellStyle name="Comma 3 2 2" xfId="300" xr:uid="{00000000-0005-0000-0000-00005B0B0000}"/>
    <cellStyle name="Comma 3 2 3" xfId="301" xr:uid="{00000000-0005-0000-0000-00005C0B0000}"/>
    <cellStyle name="Comma 3 2 4" xfId="302" xr:uid="{00000000-0005-0000-0000-00005D0B0000}"/>
    <cellStyle name="Comma 3 2 4 2" xfId="303" xr:uid="{00000000-0005-0000-0000-00005E0B0000}"/>
    <cellStyle name="Comma 3 2 5" xfId="1249" xr:uid="{00000000-0005-0000-0000-00005F0B0000}"/>
    <cellStyle name="Comma 3 3" xfId="304" xr:uid="{00000000-0005-0000-0000-0000600B0000}"/>
    <cellStyle name="Comma 3 3 2" xfId="1248" xr:uid="{00000000-0005-0000-0000-0000610B0000}"/>
    <cellStyle name="Comma 3 4" xfId="305" xr:uid="{00000000-0005-0000-0000-0000620B0000}"/>
    <cellStyle name="Comma 3 5" xfId="1191" xr:uid="{00000000-0005-0000-0000-0000630B0000}"/>
    <cellStyle name="Comma 4" xfId="306" xr:uid="{00000000-0005-0000-0000-0000640B0000}"/>
    <cellStyle name="Comma 4 2" xfId="307" xr:uid="{00000000-0005-0000-0000-0000650B0000}"/>
    <cellStyle name="Comma 4 2 2" xfId="308" xr:uid="{00000000-0005-0000-0000-0000660B0000}"/>
    <cellStyle name="Comma 4 2 3" xfId="309" xr:uid="{00000000-0005-0000-0000-0000670B0000}"/>
    <cellStyle name="Comma 4 2 4" xfId="1250" xr:uid="{00000000-0005-0000-0000-0000680B0000}"/>
    <cellStyle name="Comma 4 3" xfId="310" xr:uid="{00000000-0005-0000-0000-0000690B0000}"/>
    <cellStyle name="Comma 4 3 2" xfId="311" xr:uid="{00000000-0005-0000-0000-00006A0B0000}"/>
    <cellStyle name="Comma 4 4" xfId="312" xr:uid="{00000000-0005-0000-0000-00006B0B0000}"/>
    <cellStyle name="Comma 4 5" xfId="1192" xr:uid="{00000000-0005-0000-0000-00006C0B0000}"/>
    <cellStyle name="Comma 5" xfId="313" xr:uid="{00000000-0005-0000-0000-00006D0B0000}"/>
    <cellStyle name="Comma 5 2" xfId="314" xr:uid="{00000000-0005-0000-0000-00006E0B0000}"/>
    <cellStyle name="Comma 5 2 2" xfId="315" xr:uid="{00000000-0005-0000-0000-00006F0B0000}"/>
    <cellStyle name="Comma 5 2 3" xfId="316" xr:uid="{00000000-0005-0000-0000-0000700B0000}"/>
    <cellStyle name="Comma 5 3" xfId="317" xr:uid="{00000000-0005-0000-0000-0000710B0000}"/>
    <cellStyle name="Comma 5 3 2" xfId="318" xr:uid="{00000000-0005-0000-0000-0000720B0000}"/>
    <cellStyle name="Comma 5 4" xfId="319" xr:uid="{00000000-0005-0000-0000-0000730B0000}"/>
    <cellStyle name="Comma 5 5" xfId="1251" xr:uid="{00000000-0005-0000-0000-0000740B0000}"/>
    <cellStyle name="Comma 6" xfId="320" xr:uid="{00000000-0005-0000-0000-0000750B0000}"/>
    <cellStyle name="Comma 6 2" xfId="321" xr:uid="{00000000-0005-0000-0000-0000760B0000}"/>
    <cellStyle name="Comma 6 2 2" xfId="322" xr:uid="{00000000-0005-0000-0000-0000770B0000}"/>
    <cellStyle name="Comma 6 2 2 2" xfId="323" xr:uid="{00000000-0005-0000-0000-0000780B0000}"/>
    <cellStyle name="Comma 6 2 3" xfId="324" xr:uid="{00000000-0005-0000-0000-0000790B0000}"/>
    <cellStyle name="Comma 6 3" xfId="325" xr:uid="{00000000-0005-0000-0000-00007A0B0000}"/>
    <cellStyle name="Comma 6 3 2" xfId="326" xr:uid="{00000000-0005-0000-0000-00007B0B0000}"/>
    <cellStyle name="Comma 6 4" xfId="327" xr:uid="{00000000-0005-0000-0000-00007C0B0000}"/>
    <cellStyle name="Comma 6 4 2" xfId="328" xr:uid="{00000000-0005-0000-0000-00007D0B0000}"/>
    <cellStyle name="Comma 6 4 2 2" xfId="1143" xr:uid="{00000000-0005-0000-0000-00007E0B0000}"/>
    <cellStyle name="Comma 6 4 2 2 2" xfId="1186" xr:uid="{00000000-0005-0000-0000-00007F0B0000}"/>
    <cellStyle name="Comma 6 4 2 3" xfId="1177" xr:uid="{00000000-0005-0000-0000-0000800B0000}"/>
    <cellStyle name="Comma 6 4 3" xfId="1142" xr:uid="{00000000-0005-0000-0000-0000810B0000}"/>
    <cellStyle name="Comma 6 4 3 2" xfId="1185" xr:uid="{00000000-0005-0000-0000-0000820B0000}"/>
    <cellStyle name="Comma 6 4 4" xfId="1176" xr:uid="{00000000-0005-0000-0000-0000830B0000}"/>
    <cellStyle name="Comma 6 5" xfId="329" xr:uid="{00000000-0005-0000-0000-0000840B0000}"/>
    <cellStyle name="Comma 6 5 2" xfId="330" xr:uid="{00000000-0005-0000-0000-0000850B0000}"/>
    <cellStyle name="Comma 6 6" xfId="331" xr:uid="{00000000-0005-0000-0000-0000860B0000}"/>
    <cellStyle name="Comma 7" xfId="332" xr:uid="{00000000-0005-0000-0000-0000870B0000}"/>
    <cellStyle name="Comma 7 2" xfId="333" xr:uid="{00000000-0005-0000-0000-0000880B0000}"/>
    <cellStyle name="Comma 7 2 2" xfId="334" xr:uid="{00000000-0005-0000-0000-0000890B0000}"/>
    <cellStyle name="Comma 7 2 3" xfId="5260" xr:uid="{00000000-0005-0000-0000-00008A0B0000}"/>
    <cellStyle name="Comma 7 3" xfId="335" xr:uid="{00000000-0005-0000-0000-00008B0B0000}"/>
    <cellStyle name="Comma 7 4" xfId="336" xr:uid="{00000000-0005-0000-0000-00008C0B0000}"/>
    <cellStyle name="Comma 7 5" xfId="3611" xr:uid="{00000000-0005-0000-0000-00008D0B0000}"/>
    <cellStyle name="Comma 8" xfId="337" xr:uid="{00000000-0005-0000-0000-00008E0B0000}"/>
    <cellStyle name="Comma 8 2" xfId="338" xr:uid="{00000000-0005-0000-0000-00008F0B0000}"/>
    <cellStyle name="Comma 8 2 2" xfId="339" xr:uid="{00000000-0005-0000-0000-0000900B0000}"/>
    <cellStyle name="Comma 8 3" xfId="340" xr:uid="{00000000-0005-0000-0000-0000910B0000}"/>
    <cellStyle name="Comma 8 3 2" xfId="341" xr:uid="{00000000-0005-0000-0000-0000920B0000}"/>
    <cellStyle name="Comma 8 4" xfId="342" xr:uid="{00000000-0005-0000-0000-0000930B0000}"/>
    <cellStyle name="Comma 9" xfId="343" xr:uid="{00000000-0005-0000-0000-0000940B0000}"/>
    <cellStyle name="Comma 9 2" xfId="344" xr:uid="{00000000-0005-0000-0000-0000950B0000}"/>
    <cellStyle name="Comma 9 2 2" xfId="345" xr:uid="{00000000-0005-0000-0000-0000960B0000}"/>
    <cellStyle name="Comma 9 2 3" xfId="1145" xr:uid="{00000000-0005-0000-0000-0000970B0000}"/>
    <cellStyle name="Comma 9 2 3 2" xfId="1188" xr:uid="{00000000-0005-0000-0000-0000980B0000}"/>
    <cellStyle name="Comma 9 3" xfId="346" xr:uid="{00000000-0005-0000-0000-0000990B0000}"/>
    <cellStyle name="Comma 9 4" xfId="1144" xr:uid="{00000000-0005-0000-0000-00009A0B0000}"/>
    <cellStyle name="Comma 9 4 2" xfId="1187" xr:uid="{00000000-0005-0000-0000-00009B0B0000}"/>
    <cellStyle name="Comma0" xfId="3612" xr:uid="{00000000-0005-0000-0000-00009C0B0000}"/>
    <cellStyle name="Currency [00]" xfId="3613" xr:uid="{00000000-0005-0000-0000-00009D0B0000}"/>
    <cellStyle name="Currency 10" xfId="3614" xr:uid="{00000000-0005-0000-0000-00009E0B0000}"/>
    <cellStyle name="Currency 10 2" xfId="5261" xr:uid="{00000000-0005-0000-0000-00009F0B0000}"/>
    <cellStyle name="Currency 11" xfId="3615" xr:uid="{00000000-0005-0000-0000-0000A00B0000}"/>
    <cellStyle name="Currency 11 2" xfId="5262" xr:uid="{00000000-0005-0000-0000-0000A10B0000}"/>
    <cellStyle name="Currency 12" xfId="3616" xr:uid="{00000000-0005-0000-0000-0000A20B0000}"/>
    <cellStyle name="Currency 12 2" xfId="5263" xr:uid="{00000000-0005-0000-0000-0000A30B0000}"/>
    <cellStyle name="Currency 13" xfId="3617" xr:uid="{00000000-0005-0000-0000-0000A40B0000}"/>
    <cellStyle name="Currency 13 2" xfId="5264" xr:uid="{00000000-0005-0000-0000-0000A50B0000}"/>
    <cellStyle name="Currency 14" xfId="3618" xr:uid="{00000000-0005-0000-0000-0000A60B0000}"/>
    <cellStyle name="Currency 14 2" xfId="5265" xr:uid="{00000000-0005-0000-0000-0000A70B0000}"/>
    <cellStyle name="Currency 15" xfId="3619" xr:uid="{00000000-0005-0000-0000-0000A80B0000}"/>
    <cellStyle name="Currency 15 2" xfId="5266" xr:uid="{00000000-0005-0000-0000-0000A90B0000}"/>
    <cellStyle name="Currency 16" xfId="3620" xr:uid="{00000000-0005-0000-0000-0000AA0B0000}"/>
    <cellStyle name="Currency 16 2" xfId="5267" xr:uid="{00000000-0005-0000-0000-0000AB0B0000}"/>
    <cellStyle name="Currency 17" xfId="3621" xr:uid="{00000000-0005-0000-0000-0000AC0B0000}"/>
    <cellStyle name="Currency 17 2" xfId="5268" xr:uid="{00000000-0005-0000-0000-0000AD0B0000}"/>
    <cellStyle name="Currency 2" xfId="347" xr:uid="{00000000-0005-0000-0000-0000AE0B0000}"/>
    <cellStyle name="Currency 2 2" xfId="348" xr:uid="{00000000-0005-0000-0000-0000AF0B0000}"/>
    <cellStyle name="Currency 2 2 2" xfId="349" xr:uid="{00000000-0005-0000-0000-0000B00B0000}"/>
    <cellStyle name="Currency 2 2 2 2" xfId="1148" xr:uid="{00000000-0005-0000-0000-0000B10B0000}"/>
    <cellStyle name="Currency 2 2 3" xfId="1147" xr:uid="{00000000-0005-0000-0000-0000B20B0000}"/>
    <cellStyle name="Currency 2 3" xfId="350" xr:uid="{00000000-0005-0000-0000-0000B30B0000}"/>
    <cellStyle name="Currency 2 3 2" xfId="1149" xr:uid="{00000000-0005-0000-0000-0000B40B0000}"/>
    <cellStyle name="Currency 2 4" xfId="1146" xr:uid="{00000000-0005-0000-0000-0000B50B0000}"/>
    <cellStyle name="Currency 3" xfId="351" xr:uid="{00000000-0005-0000-0000-0000B60B0000}"/>
    <cellStyle name="Currency 3 2" xfId="352" xr:uid="{00000000-0005-0000-0000-0000B70B0000}"/>
    <cellStyle name="Currency 3 2 2" xfId="5269" xr:uid="{00000000-0005-0000-0000-0000B80B0000}"/>
    <cellStyle name="Currency 3 3" xfId="3622" xr:uid="{00000000-0005-0000-0000-0000B90B0000}"/>
    <cellStyle name="Currency 4" xfId="353" xr:uid="{00000000-0005-0000-0000-0000BA0B0000}"/>
    <cellStyle name="Currency 4 2" xfId="354" xr:uid="{00000000-0005-0000-0000-0000BB0B0000}"/>
    <cellStyle name="Currency 4 2 2" xfId="355" xr:uid="{00000000-0005-0000-0000-0000BC0B0000}"/>
    <cellStyle name="Currency 4 2 2 2" xfId="356" xr:uid="{00000000-0005-0000-0000-0000BD0B0000}"/>
    <cellStyle name="Currency 4 2 2 2 2" xfId="1153" xr:uid="{00000000-0005-0000-0000-0000BE0B0000}"/>
    <cellStyle name="Currency 4 2 2 3" xfId="1152" xr:uid="{00000000-0005-0000-0000-0000BF0B0000}"/>
    <cellStyle name="Currency 4 2 3" xfId="357" xr:uid="{00000000-0005-0000-0000-0000C00B0000}"/>
    <cellStyle name="Currency 4 2 3 2" xfId="358" xr:uid="{00000000-0005-0000-0000-0000C10B0000}"/>
    <cellStyle name="Currency 4 2 3 2 2" xfId="1155" xr:uid="{00000000-0005-0000-0000-0000C20B0000}"/>
    <cellStyle name="Currency 4 2 3 3" xfId="1154" xr:uid="{00000000-0005-0000-0000-0000C30B0000}"/>
    <cellStyle name="Currency 4 2 4" xfId="359" xr:uid="{00000000-0005-0000-0000-0000C40B0000}"/>
    <cellStyle name="Currency 4 2 4 2" xfId="360" xr:uid="{00000000-0005-0000-0000-0000C50B0000}"/>
    <cellStyle name="Currency 4 2 4 2 2" xfId="1157" xr:uid="{00000000-0005-0000-0000-0000C60B0000}"/>
    <cellStyle name="Currency 4 2 4 3" xfId="1156" xr:uid="{00000000-0005-0000-0000-0000C70B0000}"/>
    <cellStyle name="Currency 4 2 5" xfId="361" xr:uid="{00000000-0005-0000-0000-0000C80B0000}"/>
    <cellStyle name="Currency 4 2 5 2" xfId="1158" xr:uid="{00000000-0005-0000-0000-0000C90B0000}"/>
    <cellStyle name="Currency 4 2 6" xfId="1151" xr:uid="{00000000-0005-0000-0000-0000CA0B0000}"/>
    <cellStyle name="Currency 4 3" xfId="362" xr:uid="{00000000-0005-0000-0000-0000CB0B0000}"/>
    <cellStyle name="Currency 4 3 2" xfId="1159" xr:uid="{00000000-0005-0000-0000-0000CC0B0000}"/>
    <cellStyle name="Currency 4 4" xfId="1150" xr:uid="{00000000-0005-0000-0000-0000CD0B0000}"/>
    <cellStyle name="Currency 5" xfId="363" xr:uid="{00000000-0005-0000-0000-0000CE0B0000}"/>
    <cellStyle name="Currency 5 2" xfId="364" xr:uid="{00000000-0005-0000-0000-0000CF0B0000}"/>
    <cellStyle name="Currency 5 2 2" xfId="365" xr:uid="{00000000-0005-0000-0000-0000D00B0000}"/>
    <cellStyle name="Currency 5 2 2 2" xfId="1162" xr:uid="{00000000-0005-0000-0000-0000D10B0000}"/>
    <cellStyle name="Currency 5 2 3" xfId="1161" xr:uid="{00000000-0005-0000-0000-0000D20B0000}"/>
    <cellStyle name="Currency 5 3" xfId="366" xr:uid="{00000000-0005-0000-0000-0000D30B0000}"/>
    <cellStyle name="Currency 5 3 2" xfId="367" xr:uid="{00000000-0005-0000-0000-0000D40B0000}"/>
    <cellStyle name="Currency 5 3 2 2" xfId="1164" xr:uid="{00000000-0005-0000-0000-0000D50B0000}"/>
    <cellStyle name="Currency 5 3 3" xfId="1163" xr:uid="{00000000-0005-0000-0000-0000D60B0000}"/>
    <cellStyle name="Currency 5 4" xfId="368" xr:uid="{00000000-0005-0000-0000-0000D70B0000}"/>
    <cellStyle name="Currency 5 4 2" xfId="369" xr:uid="{00000000-0005-0000-0000-0000D80B0000}"/>
    <cellStyle name="Currency 5 4 2 2" xfId="1166" xr:uid="{00000000-0005-0000-0000-0000D90B0000}"/>
    <cellStyle name="Currency 5 4 3" xfId="1165" xr:uid="{00000000-0005-0000-0000-0000DA0B0000}"/>
    <cellStyle name="Currency 5 5" xfId="370" xr:uid="{00000000-0005-0000-0000-0000DB0B0000}"/>
    <cellStyle name="Currency 5 5 2" xfId="1167" xr:uid="{00000000-0005-0000-0000-0000DC0B0000}"/>
    <cellStyle name="Currency 5 6" xfId="1160" xr:uid="{00000000-0005-0000-0000-0000DD0B0000}"/>
    <cellStyle name="Currency 6" xfId="371" xr:uid="{00000000-0005-0000-0000-0000DE0B0000}"/>
    <cellStyle name="Currency 6 2" xfId="372" xr:uid="{00000000-0005-0000-0000-0000DF0B0000}"/>
    <cellStyle name="Currency 6 2 2" xfId="5270" xr:uid="{00000000-0005-0000-0000-0000E00B0000}"/>
    <cellStyle name="Currency 6 3" xfId="3623" xr:uid="{00000000-0005-0000-0000-0000E10B0000}"/>
    <cellStyle name="Currency 7" xfId="373" xr:uid="{00000000-0005-0000-0000-0000E20B0000}"/>
    <cellStyle name="Currency 7 2" xfId="374" xr:uid="{00000000-0005-0000-0000-0000E30B0000}"/>
    <cellStyle name="Currency 7 2 2" xfId="5271" xr:uid="{00000000-0005-0000-0000-0000E40B0000}"/>
    <cellStyle name="Currency 7 3" xfId="3624" xr:uid="{00000000-0005-0000-0000-0000E50B0000}"/>
    <cellStyle name="Currency 8" xfId="3625" xr:uid="{00000000-0005-0000-0000-0000E60B0000}"/>
    <cellStyle name="Currency 8 2" xfId="5272" xr:uid="{00000000-0005-0000-0000-0000E70B0000}"/>
    <cellStyle name="Currency 9" xfId="3626" xr:uid="{00000000-0005-0000-0000-0000E80B0000}"/>
    <cellStyle name="Currency 9 2" xfId="5273" xr:uid="{00000000-0005-0000-0000-0000E90B0000}"/>
    <cellStyle name="Currency0" xfId="3627" xr:uid="{00000000-0005-0000-0000-0000EA0B0000}"/>
    <cellStyle name="Date Short" xfId="3628" xr:uid="{00000000-0005-0000-0000-0000EB0B0000}"/>
    <cellStyle name="Default_Uvuceni" xfId="375" xr:uid="{00000000-0005-0000-0000-0000EC0B0000}"/>
    <cellStyle name="Dezimal [0]_laroux" xfId="3629" xr:uid="{00000000-0005-0000-0000-0000ED0B0000}"/>
    <cellStyle name="Dezimal_laroux" xfId="3630" xr:uid="{00000000-0005-0000-0000-0000EE0B0000}"/>
    <cellStyle name="Dobro" xfId="376" xr:uid="{00000000-0005-0000-0000-0000EF0B0000}"/>
    <cellStyle name="Dobro 1" xfId="377" xr:uid="{00000000-0005-0000-0000-0000F00B0000}"/>
    <cellStyle name="Dobro 2" xfId="378" xr:uid="{00000000-0005-0000-0000-0000F10B0000}"/>
    <cellStyle name="Dobro 2 2" xfId="379" xr:uid="{00000000-0005-0000-0000-0000F20B0000}"/>
    <cellStyle name="Dobro 2 3" xfId="380" xr:uid="{00000000-0005-0000-0000-0000F30B0000}"/>
    <cellStyle name="Dobro 2 4" xfId="1252" xr:uid="{00000000-0005-0000-0000-0000F40B0000}"/>
    <cellStyle name="Dobro 3" xfId="381" xr:uid="{00000000-0005-0000-0000-0000F50B0000}"/>
    <cellStyle name="Dobro 4" xfId="382" xr:uid="{00000000-0005-0000-0000-0000F60B0000}"/>
    <cellStyle name="Eingabe" xfId="383" xr:uid="{00000000-0005-0000-0000-0000F70B0000}"/>
    <cellStyle name="Eingabe 2" xfId="384" xr:uid="{00000000-0005-0000-0000-0000F80B0000}"/>
    <cellStyle name="Emphasis 1" xfId="3631" xr:uid="{00000000-0005-0000-0000-0000F90B0000}"/>
    <cellStyle name="Emphasis 2" xfId="3632" xr:uid="{00000000-0005-0000-0000-0000FA0B0000}"/>
    <cellStyle name="Emphasis 3" xfId="3633" xr:uid="{00000000-0005-0000-0000-0000FB0B0000}"/>
    <cellStyle name="Enter Currency (0)" xfId="3634" xr:uid="{00000000-0005-0000-0000-0000FC0B0000}"/>
    <cellStyle name="Enter Currency (2)" xfId="3635" xr:uid="{00000000-0005-0000-0000-0000FD0B0000}"/>
    <cellStyle name="Enter Units (0)" xfId="3636" xr:uid="{00000000-0005-0000-0000-0000FE0B0000}"/>
    <cellStyle name="Enter Units (1)" xfId="3637" xr:uid="{00000000-0005-0000-0000-0000FF0B0000}"/>
    <cellStyle name="Enter Units (2)" xfId="3638" xr:uid="{00000000-0005-0000-0000-0000000C0000}"/>
    <cellStyle name="Ergebnis" xfId="385" xr:uid="{00000000-0005-0000-0000-0000010C0000}"/>
    <cellStyle name="Ergebnis 2" xfId="386" xr:uid="{00000000-0005-0000-0000-0000020C0000}"/>
    <cellStyle name="Erklärender Text" xfId="387" xr:uid="{00000000-0005-0000-0000-0000030C0000}"/>
    <cellStyle name="Error" xfId="5356" xr:uid="{00000000-0005-0000-0000-0000040C0000}"/>
    <cellStyle name="Euro" xfId="388" xr:uid="{00000000-0005-0000-0000-0000050C0000}"/>
    <cellStyle name="Excel Built-in Excel Built-in Excel Built-in TableStyleLight1" xfId="389" xr:uid="{00000000-0005-0000-0000-0000060C0000}"/>
    <cellStyle name="Excel Built-in Normal" xfId="390" xr:uid="{00000000-0005-0000-0000-0000070C0000}"/>
    <cellStyle name="Excel Built-in Normal 2" xfId="391" xr:uid="{00000000-0005-0000-0000-0000080C0000}"/>
    <cellStyle name="Excel Built-in Normal 2 2" xfId="392" xr:uid="{00000000-0005-0000-0000-0000090C0000}"/>
    <cellStyle name="Excel Built-in Normal 3" xfId="3639" xr:uid="{00000000-0005-0000-0000-00000A0C0000}"/>
    <cellStyle name="Excel_BuiltIn_20% - Accent2" xfId="393" xr:uid="{00000000-0005-0000-0000-00000B0C0000}"/>
    <cellStyle name="Explanatory Text 1" xfId="394" xr:uid="{00000000-0005-0000-0000-00000C0C0000}"/>
    <cellStyle name="Explanatory Text 1 1" xfId="395" xr:uid="{00000000-0005-0000-0000-00000D0C0000}"/>
    <cellStyle name="Explanatory Text 10" xfId="5040" xr:uid="{00000000-0005-0000-0000-00000E0C0000}"/>
    <cellStyle name="Explanatory Text 2" xfId="396" xr:uid="{00000000-0005-0000-0000-00000F0C0000}"/>
    <cellStyle name="Explanatory Text 2 2" xfId="5041" xr:uid="{00000000-0005-0000-0000-0000100C0000}"/>
    <cellStyle name="Explanatory Text 2 3" xfId="5042" xr:uid="{00000000-0005-0000-0000-0000110C0000}"/>
    <cellStyle name="Explanatory Text 3" xfId="3640" xr:uid="{00000000-0005-0000-0000-0000120C0000}"/>
    <cellStyle name="Explanatory Text 3 10" xfId="3641" xr:uid="{00000000-0005-0000-0000-0000130C0000}"/>
    <cellStyle name="Explanatory Text 3 11" xfId="3642" xr:uid="{00000000-0005-0000-0000-0000140C0000}"/>
    <cellStyle name="Explanatory Text 3 12" xfId="3643" xr:uid="{00000000-0005-0000-0000-0000150C0000}"/>
    <cellStyle name="Explanatory Text 3 13" xfId="3644" xr:uid="{00000000-0005-0000-0000-0000160C0000}"/>
    <cellStyle name="Explanatory Text 3 14" xfId="3645" xr:uid="{00000000-0005-0000-0000-0000170C0000}"/>
    <cellStyle name="Explanatory Text 3 15" xfId="3646" xr:uid="{00000000-0005-0000-0000-0000180C0000}"/>
    <cellStyle name="Explanatory Text 3 16" xfId="3647" xr:uid="{00000000-0005-0000-0000-0000190C0000}"/>
    <cellStyle name="Explanatory Text 3 17" xfId="3648" xr:uid="{00000000-0005-0000-0000-00001A0C0000}"/>
    <cellStyle name="Explanatory Text 3 18" xfId="3649" xr:uid="{00000000-0005-0000-0000-00001B0C0000}"/>
    <cellStyle name="Explanatory Text 3 19" xfId="3650" xr:uid="{00000000-0005-0000-0000-00001C0C0000}"/>
    <cellStyle name="Explanatory Text 3 2" xfId="3651" xr:uid="{00000000-0005-0000-0000-00001D0C0000}"/>
    <cellStyle name="Explanatory Text 3 20" xfId="3652" xr:uid="{00000000-0005-0000-0000-00001E0C0000}"/>
    <cellStyle name="Explanatory Text 3 21" xfId="3653" xr:uid="{00000000-0005-0000-0000-00001F0C0000}"/>
    <cellStyle name="Explanatory Text 3 22" xfId="3654" xr:uid="{00000000-0005-0000-0000-0000200C0000}"/>
    <cellStyle name="Explanatory Text 3 23" xfId="3655" xr:uid="{00000000-0005-0000-0000-0000210C0000}"/>
    <cellStyle name="Explanatory Text 3 24" xfId="3656" xr:uid="{00000000-0005-0000-0000-0000220C0000}"/>
    <cellStyle name="Explanatory Text 3 25" xfId="3657" xr:uid="{00000000-0005-0000-0000-0000230C0000}"/>
    <cellStyle name="Explanatory Text 3 26" xfId="3658" xr:uid="{00000000-0005-0000-0000-0000240C0000}"/>
    <cellStyle name="Explanatory Text 3 27" xfId="3659" xr:uid="{00000000-0005-0000-0000-0000250C0000}"/>
    <cellStyle name="Explanatory Text 3 28" xfId="3660" xr:uid="{00000000-0005-0000-0000-0000260C0000}"/>
    <cellStyle name="Explanatory Text 3 3" xfId="3661" xr:uid="{00000000-0005-0000-0000-0000270C0000}"/>
    <cellStyle name="Explanatory Text 3 4" xfId="3662" xr:uid="{00000000-0005-0000-0000-0000280C0000}"/>
    <cellStyle name="Explanatory Text 3 5" xfId="3663" xr:uid="{00000000-0005-0000-0000-0000290C0000}"/>
    <cellStyle name="Explanatory Text 3 6" xfId="3664" xr:uid="{00000000-0005-0000-0000-00002A0C0000}"/>
    <cellStyle name="Explanatory Text 3 7" xfId="3665" xr:uid="{00000000-0005-0000-0000-00002B0C0000}"/>
    <cellStyle name="Explanatory Text 3 8" xfId="3666" xr:uid="{00000000-0005-0000-0000-00002C0C0000}"/>
    <cellStyle name="Explanatory Text 3 9" xfId="3667" xr:uid="{00000000-0005-0000-0000-00002D0C0000}"/>
    <cellStyle name="Explanatory Text 4" xfId="3668" xr:uid="{00000000-0005-0000-0000-00002E0C0000}"/>
    <cellStyle name="Explanatory Text 4 10" xfId="3669" xr:uid="{00000000-0005-0000-0000-00002F0C0000}"/>
    <cellStyle name="Explanatory Text 4 11" xfId="3670" xr:uid="{00000000-0005-0000-0000-0000300C0000}"/>
    <cellStyle name="Explanatory Text 4 12" xfId="3671" xr:uid="{00000000-0005-0000-0000-0000310C0000}"/>
    <cellStyle name="Explanatory Text 4 13" xfId="3672" xr:uid="{00000000-0005-0000-0000-0000320C0000}"/>
    <cellStyle name="Explanatory Text 4 14" xfId="3673" xr:uid="{00000000-0005-0000-0000-0000330C0000}"/>
    <cellStyle name="Explanatory Text 4 15" xfId="3674" xr:uid="{00000000-0005-0000-0000-0000340C0000}"/>
    <cellStyle name="Explanatory Text 4 16" xfId="3675" xr:uid="{00000000-0005-0000-0000-0000350C0000}"/>
    <cellStyle name="Explanatory Text 4 17" xfId="3676" xr:uid="{00000000-0005-0000-0000-0000360C0000}"/>
    <cellStyle name="Explanatory Text 4 18" xfId="3677" xr:uid="{00000000-0005-0000-0000-0000370C0000}"/>
    <cellStyle name="Explanatory Text 4 19" xfId="3678" xr:uid="{00000000-0005-0000-0000-0000380C0000}"/>
    <cellStyle name="Explanatory Text 4 2" xfId="3679" xr:uid="{00000000-0005-0000-0000-0000390C0000}"/>
    <cellStyle name="Explanatory Text 4 20" xfId="3680" xr:uid="{00000000-0005-0000-0000-00003A0C0000}"/>
    <cellStyle name="Explanatory Text 4 21" xfId="3681" xr:uid="{00000000-0005-0000-0000-00003B0C0000}"/>
    <cellStyle name="Explanatory Text 4 22" xfId="3682" xr:uid="{00000000-0005-0000-0000-00003C0C0000}"/>
    <cellStyle name="Explanatory Text 4 23" xfId="3683" xr:uid="{00000000-0005-0000-0000-00003D0C0000}"/>
    <cellStyle name="Explanatory Text 4 24" xfId="3684" xr:uid="{00000000-0005-0000-0000-00003E0C0000}"/>
    <cellStyle name="Explanatory Text 4 25" xfId="3685" xr:uid="{00000000-0005-0000-0000-00003F0C0000}"/>
    <cellStyle name="Explanatory Text 4 3" xfId="3686" xr:uid="{00000000-0005-0000-0000-0000400C0000}"/>
    <cellStyle name="Explanatory Text 4 4" xfId="3687" xr:uid="{00000000-0005-0000-0000-0000410C0000}"/>
    <cellStyle name="Explanatory Text 4 5" xfId="3688" xr:uid="{00000000-0005-0000-0000-0000420C0000}"/>
    <cellStyle name="Explanatory Text 4 6" xfId="3689" xr:uid="{00000000-0005-0000-0000-0000430C0000}"/>
    <cellStyle name="Explanatory Text 4 7" xfId="3690" xr:uid="{00000000-0005-0000-0000-0000440C0000}"/>
    <cellStyle name="Explanatory Text 4 8" xfId="3691" xr:uid="{00000000-0005-0000-0000-0000450C0000}"/>
    <cellStyle name="Explanatory Text 4 9" xfId="3692" xr:uid="{00000000-0005-0000-0000-0000460C0000}"/>
    <cellStyle name="Explanatory Text 5" xfId="5043" xr:uid="{00000000-0005-0000-0000-0000470C0000}"/>
    <cellStyle name="Explanatory Text 6" xfId="5044" xr:uid="{00000000-0005-0000-0000-0000480C0000}"/>
    <cellStyle name="Explanatory Text 7" xfId="5045" xr:uid="{00000000-0005-0000-0000-0000490C0000}"/>
    <cellStyle name="Explanatory Text 8" xfId="5046" xr:uid="{00000000-0005-0000-0000-00004A0C0000}"/>
    <cellStyle name="Explanatory Text 9" xfId="5047" xr:uid="{00000000-0005-0000-0000-00004B0C0000}"/>
    <cellStyle name="Footnote" xfId="5357" xr:uid="{00000000-0005-0000-0000-00004C0C0000}"/>
    <cellStyle name="Good 1" xfId="397" xr:uid="{00000000-0005-0000-0000-00004D0C0000}"/>
    <cellStyle name="Good 1 1" xfId="398" xr:uid="{00000000-0005-0000-0000-00004E0C0000}"/>
    <cellStyle name="Good 2" xfId="399" xr:uid="{00000000-0005-0000-0000-00004F0C0000}"/>
    <cellStyle name="Good 2 2" xfId="400" xr:uid="{00000000-0005-0000-0000-0000500C0000}"/>
    <cellStyle name="Good 2 2 2" xfId="3693" xr:uid="{00000000-0005-0000-0000-0000510C0000}"/>
    <cellStyle name="Good 3" xfId="3694" xr:uid="{00000000-0005-0000-0000-0000520C0000}"/>
    <cellStyle name="Good 3 10" xfId="3695" xr:uid="{00000000-0005-0000-0000-0000530C0000}"/>
    <cellStyle name="Good 3 11" xfId="3696" xr:uid="{00000000-0005-0000-0000-0000540C0000}"/>
    <cellStyle name="Good 3 12" xfId="3697" xr:uid="{00000000-0005-0000-0000-0000550C0000}"/>
    <cellStyle name="Good 3 13" xfId="3698" xr:uid="{00000000-0005-0000-0000-0000560C0000}"/>
    <cellStyle name="Good 3 14" xfId="3699" xr:uid="{00000000-0005-0000-0000-0000570C0000}"/>
    <cellStyle name="Good 3 15" xfId="3700" xr:uid="{00000000-0005-0000-0000-0000580C0000}"/>
    <cellStyle name="Good 3 16" xfId="3701" xr:uid="{00000000-0005-0000-0000-0000590C0000}"/>
    <cellStyle name="Good 3 17" xfId="3702" xr:uid="{00000000-0005-0000-0000-00005A0C0000}"/>
    <cellStyle name="Good 3 18" xfId="3703" xr:uid="{00000000-0005-0000-0000-00005B0C0000}"/>
    <cellStyle name="Good 3 19" xfId="3704" xr:uid="{00000000-0005-0000-0000-00005C0C0000}"/>
    <cellStyle name="Good 3 2" xfId="3705" xr:uid="{00000000-0005-0000-0000-00005D0C0000}"/>
    <cellStyle name="Good 3 20" xfId="3706" xr:uid="{00000000-0005-0000-0000-00005E0C0000}"/>
    <cellStyle name="Good 3 21" xfId="3707" xr:uid="{00000000-0005-0000-0000-00005F0C0000}"/>
    <cellStyle name="Good 3 22" xfId="3708" xr:uid="{00000000-0005-0000-0000-0000600C0000}"/>
    <cellStyle name="Good 3 23" xfId="3709" xr:uid="{00000000-0005-0000-0000-0000610C0000}"/>
    <cellStyle name="Good 3 24" xfId="3710" xr:uid="{00000000-0005-0000-0000-0000620C0000}"/>
    <cellStyle name="Good 3 25" xfId="3711" xr:uid="{00000000-0005-0000-0000-0000630C0000}"/>
    <cellStyle name="Good 3 26" xfId="3712" xr:uid="{00000000-0005-0000-0000-0000640C0000}"/>
    <cellStyle name="Good 3 27" xfId="3713" xr:uid="{00000000-0005-0000-0000-0000650C0000}"/>
    <cellStyle name="Good 3 28" xfId="3714" xr:uid="{00000000-0005-0000-0000-0000660C0000}"/>
    <cellStyle name="Good 3 3" xfId="3715" xr:uid="{00000000-0005-0000-0000-0000670C0000}"/>
    <cellStyle name="Good 3 4" xfId="3716" xr:uid="{00000000-0005-0000-0000-0000680C0000}"/>
    <cellStyle name="Good 3 5" xfId="3717" xr:uid="{00000000-0005-0000-0000-0000690C0000}"/>
    <cellStyle name="Good 3 6" xfId="3718" xr:uid="{00000000-0005-0000-0000-00006A0C0000}"/>
    <cellStyle name="Good 3 7" xfId="3719" xr:uid="{00000000-0005-0000-0000-00006B0C0000}"/>
    <cellStyle name="Good 3 8" xfId="3720" xr:uid="{00000000-0005-0000-0000-00006C0C0000}"/>
    <cellStyle name="Good 3 9" xfId="3721" xr:uid="{00000000-0005-0000-0000-00006D0C0000}"/>
    <cellStyle name="Good 4" xfId="3722" xr:uid="{00000000-0005-0000-0000-00006E0C0000}"/>
    <cellStyle name="Good 4 10" xfId="3723" xr:uid="{00000000-0005-0000-0000-00006F0C0000}"/>
    <cellStyle name="Good 4 11" xfId="3724" xr:uid="{00000000-0005-0000-0000-0000700C0000}"/>
    <cellStyle name="Good 4 12" xfId="3725" xr:uid="{00000000-0005-0000-0000-0000710C0000}"/>
    <cellStyle name="Good 4 13" xfId="3726" xr:uid="{00000000-0005-0000-0000-0000720C0000}"/>
    <cellStyle name="Good 4 14" xfId="3727" xr:uid="{00000000-0005-0000-0000-0000730C0000}"/>
    <cellStyle name="Good 4 15" xfId="3728" xr:uid="{00000000-0005-0000-0000-0000740C0000}"/>
    <cellStyle name="Good 4 16" xfId="3729" xr:uid="{00000000-0005-0000-0000-0000750C0000}"/>
    <cellStyle name="Good 4 17" xfId="3730" xr:uid="{00000000-0005-0000-0000-0000760C0000}"/>
    <cellStyle name="Good 4 18" xfId="3731" xr:uid="{00000000-0005-0000-0000-0000770C0000}"/>
    <cellStyle name="Good 4 19" xfId="3732" xr:uid="{00000000-0005-0000-0000-0000780C0000}"/>
    <cellStyle name="Good 4 2" xfId="3733" xr:uid="{00000000-0005-0000-0000-0000790C0000}"/>
    <cellStyle name="Good 4 20" xfId="3734" xr:uid="{00000000-0005-0000-0000-00007A0C0000}"/>
    <cellStyle name="Good 4 21" xfId="3735" xr:uid="{00000000-0005-0000-0000-00007B0C0000}"/>
    <cellStyle name="Good 4 22" xfId="3736" xr:uid="{00000000-0005-0000-0000-00007C0C0000}"/>
    <cellStyle name="Good 4 23" xfId="3737" xr:uid="{00000000-0005-0000-0000-00007D0C0000}"/>
    <cellStyle name="Good 4 24" xfId="3738" xr:uid="{00000000-0005-0000-0000-00007E0C0000}"/>
    <cellStyle name="Good 4 25" xfId="3739" xr:uid="{00000000-0005-0000-0000-00007F0C0000}"/>
    <cellStyle name="Good 4 3" xfId="3740" xr:uid="{00000000-0005-0000-0000-0000800C0000}"/>
    <cellStyle name="Good 4 4" xfId="3741" xr:uid="{00000000-0005-0000-0000-0000810C0000}"/>
    <cellStyle name="Good 4 5" xfId="3742" xr:uid="{00000000-0005-0000-0000-0000820C0000}"/>
    <cellStyle name="Good 4 6" xfId="3743" xr:uid="{00000000-0005-0000-0000-0000830C0000}"/>
    <cellStyle name="Good 4 7" xfId="3744" xr:uid="{00000000-0005-0000-0000-0000840C0000}"/>
    <cellStyle name="Good 4 8" xfId="3745" xr:uid="{00000000-0005-0000-0000-0000850C0000}"/>
    <cellStyle name="Good 4 9" xfId="3746" xr:uid="{00000000-0005-0000-0000-0000860C0000}"/>
    <cellStyle name="Grey" xfId="3747" xr:uid="{00000000-0005-0000-0000-0000870C0000}"/>
    <cellStyle name="Gut" xfId="401" xr:uid="{00000000-0005-0000-0000-0000880C0000}"/>
    <cellStyle name="Header1" xfId="3748" xr:uid="{00000000-0005-0000-0000-0000890C0000}"/>
    <cellStyle name="Header2" xfId="3749" xr:uid="{00000000-0005-0000-0000-00008A0C0000}"/>
    <cellStyle name="Heading" xfId="402" xr:uid="{00000000-0005-0000-0000-00008B0C0000}"/>
    <cellStyle name="Heading 1 1" xfId="403" xr:uid="{00000000-0005-0000-0000-00008C0C0000}"/>
    <cellStyle name="Heading 1 1 1" xfId="404" xr:uid="{00000000-0005-0000-0000-00008D0C0000}"/>
    <cellStyle name="Heading 1 10" xfId="5048" xr:uid="{00000000-0005-0000-0000-00008E0C0000}"/>
    <cellStyle name="Heading 1 2" xfId="405" xr:uid="{00000000-0005-0000-0000-00008F0C0000}"/>
    <cellStyle name="Heading 1 2 2" xfId="406" xr:uid="{00000000-0005-0000-0000-0000900C0000}"/>
    <cellStyle name="Heading 1 2 2 2" xfId="3750" xr:uid="{00000000-0005-0000-0000-0000910C0000}"/>
    <cellStyle name="Heading 1 2 3" xfId="5049" xr:uid="{00000000-0005-0000-0000-0000920C0000}"/>
    <cellStyle name="Heading 1 3" xfId="3751" xr:uid="{00000000-0005-0000-0000-0000930C0000}"/>
    <cellStyle name="Heading 1 3 10" xfId="3752" xr:uid="{00000000-0005-0000-0000-0000940C0000}"/>
    <cellStyle name="Heading 1 3 11" xfId="3753" xr:uid="{00000000-0005-0000-0000-0000950C0000}"/>
    <cellStyle name="Heading 1 3 12" xfId="3754" xr:uid="{00000000-0005-0000-0000-0000960C0000}"/>
    <cellStyle name="Heading 1 3 13" xfId="3755" xr:uid="{00000000-0005-0000-0000-0000970C0000}"/>
    <cellStyle name="Heading 1 3 14" xfId="3756" xr:uid="{00000000-0005-0000-0000-0000980C0000}"/>
    <cellStyle name="Heading 1 3 15" xfId="3757" xr:uid="{00000000-0005-0000-0000-0000990C0000}"/>
    <cellStyle name="Heading 1 3 16" xfId="3758" xr:uid="{00000000-0005-0000-0000-00009A0C0000}"/>
    <cellStyle name="Heading 1 3 17" xfId="3759" xr:uid="{00000000-0005-0000-0000-00009B0C0000}"/>
    <cellStyle name="Heading 1 3 18" xfId="3760" xr:uid="{00000000-0005-0000-0000-00009C0C0000}"/>
    <cellStyle name="Heading 1 3 19" xfId="3761" xr:uid="{00000000-0005-0000-0000-00009D0C0000}"/>
    <cellStyle name="Heading 1 3 2" xfId="3762" xr:uid="{00000000-0005-0000-0000-00009E0C0000}"/>
    <cellStyle name="Heading 1 3 20" xfId="3763" xr:uid="{00000000-0005-0000-0000-00009F0C0000}"/>
    <cellStyle name="Heading 1 3 21" xfId="3764" xr:uid="{00000000-0005-0000-0000-0000A00C0000}"/>
    <cellStyle name="Heading 1 3 22" xfId="3765" xr:uid="{00000000-0005-0000-0000-0000A10C0000}"/>
    <cellStyle name="Heading 1 3 23" xfId="3766" xr:uid="{00000000-0005-0000-0000-0000A20C0000}"/>
    <cellStyle name="Heading 1 3 24" xfId="3767" xr:uid="{00000000-0005-0000-0000-0000A30C0000}"/>
    <cellStyle name="Heading 1 3 25" xfId="3768" xr:uid="{00000000-0005-0000-0000-0000A40C0000}"/>
    <cellStyle name="Heading 1 3 26" xfId="3769" xr:uid="{00000000-0005-0000-0000-0000A50C0000}"/>
    <cellStyle name="Heading 1 3 27" xfId="3770" xr:uid="{00000000-0005-0000-0000-0000A60C0000}"/>
    <cellStyle name="Heading 1 3 28" xfId="3771" xr:uid="{00000000-0005-0000-0000-0000A70C0000}"/>
    <cellStyle name="Heading 1 3 3" xfId="3772" xr:uid="{00000000-0005-0000-0000-0000A80C0000}"/>
    <cellStyle name="Heading 1 3 4" xfId="3773" xr:uid="{00000000-0005-0000-0000-0000A90C0000}"/>
    <cellStyle name="Heading 1 3 5" xfId="3774" xr:uid="{00000000-0005-0000-0000-0000AA0C0000}"/>
    <cellStyle name="Heading 1 3 6" xfId="3775" xr:uid="{00000000-0005-0000-0000-0000AB0C0000}"/>
    <cellStyle name="Heading 1 3 7" xfId="3776" xr:uid="{00000000-0005-0000-0000-0000AC0C0000}"/>
    <cellStyle name="Heading 1 3 8" xfId="3777" xr:uid="{00000000-0005-0000-0000-0000AD0C0000}"/>
    <cellStyle name="Heading 1 3 9" xfId="3778" xr:uid="{00000000-0005-0000-0000-0000AE0C0000}"/>
    <cellStyle name="Heading 1 4" xfId="3779" xr:uid="{00000000-0005-0000-0000-0000AF0C0000}"/>
    <cellStyle name="Heading 1 4 10" xfId="3780" xr:uid="{00000000-0005-0000-0000-0000B00C0000}"/>
    <cellStyle name="Heading 1 4 11" xfId="3781" xr:uid="{00000000-0005-0000-0000-0000B10C0000}"/>
    <cellStyle name="Heading 1 4 12" xfId="3782" xr:uid="{00000000-0005-0000-0000-0000B20C0000}"/>
    <cellStyle name="Heading 1 4 13" xfId="3783" xr:uid="{00000000-0005-0000-0000-0000B30C0000}"/>
    <cellStyle name="Heading 1 4 14" xfId="3784" xr:uid="{00000000-0005-0000-0000-0000B40C0000}"/>
    <cellStyle name="Heading 1 4 15" xfId="3785" xr:uid="{00000000-0005-0000-0000-0000B50C0000}"/>
    <cellStyle name="Heading 1 4 16" xfId="3786" xr:uid="{00000000-0005-0000-0000-0000B60C0000}"/>
    <cellStyle name="Heading 1 4 17" xfId="3787" xr:uid="{00000000-0005-0000-0000-0000B70C0000}"/>
    <cellStyle name="Heading 1 4 18" xfId="3788" xr:uid="{00000000-0005-0000-0000-0000B80C0000}"/>
    <cellStyle name="Heading 1 4 19" xfId="3789" xr:uid="{00000000-0005-0000-0000-0000B90C0000}"/>
    <cellStyle name="Heading 1 4 2" xfId="3790" xr:uid="{00000000-0005-0000-0000-0000BA0C0000}"/>
    <cellStyle name="Heading 1 4 20" xfId="3791" xr:uid="{00000000-0005-0000-0000-0000BB0C0000}"/>
    <cellStyle name="Heading 1 4 21" xfId="3792" xr:uid="{00000000-0005-0000-0000-0000BC0C0000}"/>
    <cellStyle name="Heading 1 4 22" xfId="3793" xr:uid="{00000000-0005-0000-0000-0000BD0C0000}"/>
    <cellStyle name="Heading 1 4 23" xfId="3794" xr:uid="{00000000-0005-0000-0000-0000BE0C0000}"/>
    <cellStyle name="Heading 1 4 24" xfId="3795" xr:uid="{00000000-0005-0000-0000-0000BF0C0000}"/>
    <cellStyle name="Heading 1 4 25" xfId="3796" xr:uid="{00000000-0005-0000-0000-0000C00C0000}"/>
    <cellStyle name="Heading 1 4 3" xfId="3797" xr:uid="{00000000-0005-0000-0000-0000C10C0000}"/>
    <cellStyle name="Heading 1 4 4" xfId="3798" xr:uid="{00000000-0005-0000-0000-0000C20C0000}"/>
    <cellStyle name="Heading 1 4 5" xfId="3799" xr:uid="{00000000-0005-0000-0000-0000C30C0000}"/>
    <cellStyle name="Heading 1 4 6" xfId="3800" xr:uid="{00000000-0005-0000-0000-0000C40C0000}"/>
    <cellStyle name="Heading 1 4 7" xfId="3801" xr:uid="{00000000-0005-0000-0000-0000C50C0000}"/>
    <cellStyle name="Heading 1 4 8" xfId="3802" xr:uid="{00000000-0005-0000-0000-0000C60C0000}"/>
    <cellStyle name="Heading 1 4 9" xfId="3803" xr:uid="{00000000-0005-0000-0000-0000C70C0000}"/>
    <cellStyle name="Heading 1 5" xfId="5050" xr:uid="{00000000-0005-0000-0000-0000C80C0000}"/>
    <cellStyle name="Heading 1 6" xfId="5051" xr:uid="{00000000-0005-0000-0000-0000C90C0000}"/>
    <cellStyle name="Heading 1 7" xfId="5052" xr:uid="{00000000-0005-0000-0000-0000CA0C0000}"/>
    <cellStyle name="Heading 1 8" xfId="5053" xr:uid="{00000000-0005-0000-0000-0000CB0C0000}"/>
    <cellStyle name="Heading 1 9" xfId="5054" xr:uid="{00000000-0005-0000-0000-0000CC0C0000}"/>
    <cellStyle name="Heading 2 1" xfId="407" xr:uid="{00000000-0005-0000-0000-0000CD0C0000}"/>
    <cellStyle name="Heading 2 1 1" xfId="408" xr:uid="{00000000-0005-0000-0000-0000CE0C0000}"/>
    <cellStyle name="Heading 2 10" xfId="5055" xr:uid="{00000000-0005-0000-0000-0000CF0C0000}"/>
    <cellStyle name="Heading 2 2" xfId="409" xr:uid="{00000000-0005-0000-0000-0000D00C0000}"/>
    <cellStyle name="Heading 2 2 2" xfId="410" xr:uid="{00000000-0005-0000-0000-0000D10C0000}"/>
    <cellStyle name="Heading 2 2 2 2" xfId="3804" xr:uid="{00000000-0005-0000-0000-0000D20C0000}"/>
    <cellStyle name="Heading 2 2 3" xfId="5056" xr:uid="{00000000-0005-0000-0000-0000D30C0000}"/>
    <cellStyle name="Heading 2 3" xfId="3805" xr:uid="{00000000-0005-0000-0000-0000D40C0000}"/>
    <cellStyle name="Heading 2 3 10" xfId="3806" xr:uid="{00000000-0005-0000-0000-0000D50C0000}"/>
    <cellStyle name="Heading 2 3 11" xfId="3807" xr:uid="{00000000-0005-0000-0000-0000D60C0000}"/>
    <cellStyle name="Heading 2 3 12" xfId="3808" xr:uid="{00000000-0005-0000-0000-0000D70C0000}"/>
    <cellStyle name="Heading 2 3 13" xfId="3809" xr:uid="{00000000-0005-0000-0000-0000D80C0000}"/>
    <cellStyle name="Heading 2 3 14" xfId="3810" xr:uid="{00000000-0005-0000-0000-0000D90C0000}"/>
    <cellStyle name="Heading 2 3 15" xfId="3811" xr:uid="{00000000-0005-0000-0000-0000DA0C0000}"/>
    <cellStyle name="Heading 2 3 16" xfId="3812" xr:uid="{00000000-0005-0000-0000-0000DB0C0000}"/>
    <cellStyle name="Heading 2 3 17" xfId="3813" xr:uid="{00000000-0005-0000-0000-0000DC0C0000}"/>
    <cellStyle name="Heading 2 3 18" xfId="3814" xr:uid="{00000000-0005-0000-0000-0000DD0C0000}"/>
    <cellStyle name="Heading 2 3 19" xfId="3815" xr:uid="{00000000-0005-0000-0000-0000DE0C0000}"/>
    <cellStyle name="Heading 2 3 2" xfId="3816" xr:uid="{00000000-0005-0000-0000-0000DF0C0000}"/>
    <cellStyle name="Heading 2 3 20" xfId="3817" xr:uid="{00000000-0005-0000-0000-0000E00C0000}"/>
    <cellStyle name="Heading 2 3 21" xfId="3818" xr:uid="{00000000-0005-0000-0000-0000E10C0000}"/>
    <cellStyle name="Heading 2 3 22" xfId="3819" xr:uid="{00000000-0005-0000-0000-0000E20C0000}"/>
    <cellStyle name="Heading 2 3 23" xfId="3820" xr:uid="{00000000-0005-0000-0000-0000E30C0000}"/>
    <cellStyle name="Heading 2 3 24" xfId="3821" xr:uid="{00000000-0005-0000-0000-0000E40C0000}"/>
    <cellStyle name="Heading 2 3 25" xfId="3822" xr:uid="{00000000-0005-0000-0000-0000E50C0000}"/>
    <cellStyle name="Heading 2 3 26" xfId="3823" xr:uid="{00000000-0005-0000-0000-0000E60C0000}"/>
    <cellStyle name="Heading 2 3 27" xfId="3824" xr:uid="{00000000-0005-0000-0000-0000E70C0000}"/>
    <cellStyle name="Heading 2 3 28" xfId="3825" xr:uid="{00000000-0005-0000-0000-0000E80C0000}"/>
    <cellStyle name="Heading 2 3 3" xfId="3826" xr:uid="{00000000-0005-0000-0000-0000E90C0000}"/>
    <cellStyle name="Heading 2 3 4" xfId="3827" xr:uid="{00000000-0005-0000-0000-0000EA0C0000}"/>
    <cellStyle name="Heading 2 3 5" xfId="3828" xr:uid="{00000000-0005-0000-0000-0000EB0C0000}"/>
    <cellStyle name="Heading 2 3 6" xfId="3829" xr:uid="{00000000-0005-0000-0000-0000EC0C0000}"/>
    <cellStyle name="Heading 2 3 7" xfId="3830" xr:uid="{00000000-0005-0000-0000-0000ED0C0000}"/>
    <cellStyle name="Heading 2 3 8" xfId="3831" xr:uid="{00000000-0005-0000-0000-0000EE0C0000}"/>
    <cellStyle name="Heading 2 3 9" xfId="3832" xr:uid="{00000000-0005-0000-0000-0000EF0C0000}"/>
    <cellStyle name="Heading 2 4" xfId="3833" xr:uid="{00000000-0005-0000-0000-0000F00C0000}"/>
    <cellStyle name="Heading 2 4 10" xfId="3834" xr:uid="{00000000-0005-0000-0000-0000F10C0000}"/>
    <cellStyle name="Heading 2 4 11" xfId="3835" xr:uid="{00000000-0005-0000-0000-0000F20C0000}"/>
    <cellStyle name="Heading 2 4 12" xfId="3836" xr:uid="{00000000-0005-0000-0000-0000F30C0000}"/>
    <cellStyle name="Heading 2 4 13" xfId="3837" xr:uid="{00000000-0005-0000-0000-0000F40C0000}"/>
    <cellStyle name="Heading 2 4 14" xfId="3838" xr:uid="{00000000-0005-0000-0000-0000F50C0000}"/>
    <cellStyle name="Heading 2 4 15" xfId="3839" xr:uid="{00000000-0005-0000-0000-0000F60C0000}"/>
    <cellStyle name="Heading 2 4 16" xfId="3840" xr:uid="{00000000-0005-0000-0000-0000F70C0000}"/>
    <cellStyle name="Heading 2 4 17" xfId="3841" xr:uid="{00000000-0005-0000-0000-0000F80C0000}"/>
    <cellStyle name="Heading 2 4 18" xfId="3842" xr:uid="{00000000-0005-0000-0000-0000F90C0000}"/>
    <cellStyle name="Heading 2 4 19" xfId="3843" xr:uid="{00000000-0005-0000-0000-0000FA0C0000}"/>
    <cellStyle name="Heading 2 4 2" xfId="3844" xr:uid="{00000000-0005-0000-0000-0000FB0C0000}"/>
    <cellStyle name="Heading 2 4 20" xfId="3845" xr:uid="{00000000-0005-0000-0000-0000FC0C0000}"/>
    <cellStyle name="Heading 2 4 21" xfId="3846" xr:uid="{00000000-0005-0000-0000-0000FD0C0000}"/>
    <cellStyle name="Heading 2 4 22" xfId="3847" xr:uid="{00000000-0005-0000-0000-0000FE0C0000}"/>
    <cellStyle name="Heading 2 4 23" xfId="3848" xr:uid="{00000000-0005-0000-0000-0000FF0C0000}"/>
    <cellStyle name="Heading 2 4 24" xfId="3849" xr:uid="{00000000-0005-0000-0000-0000000D0000}"/>
    <cellStyle name="Heading 2 4 25" xfId="3850" xr:uid="{00000000-0005-0000-0000-0000010D0000}"/>
    <cellStyle name="Heading 2 4 3" xfId="3851" xr:uid="{00000000-0005-0000-0000-0000020D0000}"/>
    <cellStyle name="Heading 2 4 4" xfId="3852" xr:uid="{00000000-0005-0000-0000-0000030D0000}"/>
    <cellStyle name="Heading 2 4 5" xfId="3853" xr:uid="{00000000-0005-0000-0000-0000040D0000}"/>
    <cellStyle name="Heading 2 4 6" xfId="3854" xr:uid="{00000000-0005-0000-0000-0000050D0000}"/>
    <cellStyle name="Heading 2 4 7" xfId="3855" xr:uid="{00000000-0005-0000-0000-0000060D0000}"/>
    <cellStyle name="Heading 2 4 8" xfId="3856" xr:uid="{00000000-0005-0000-0000-0000070D0000}"/>
    <cellStyle name="Heading 2 4 9" xfId="3857" xr:uid="{00000000-0005-0000-0000-0000080D0000}"/>
    <cellStyle name="Heading 2 5" xfId="5057" xr:uid="{00000000-0005-0000-0000-0000090D0000}"/>
    <cellStyle name="Heading 2 6" xfId="5058" xr:uid="{00000000-0005-0000-0000-00000A0D0000}"/>
    <cellStyle name="Heading 2 7" xfId="5059" xr:uid="{00000000-0005-0000-0000-00000B0D0000}"/>
    <cellStyle name="Heading 2 8" xfId="5060" xr:uid="{00000000-0005-0000-0000-00000C0D0000}"/>
    <cellStyle name="Heading 2 9" xfId="5061" xr:uid="{00000000-0005-0000-0000-00000D0D0000}"/>
    <cellStyle name="Heading 3 1" xfId="411" xr:uid="{00000000-0005-0000-0000-00000E0D0000}"/>
    <cellStyle name="Heading 3 1 1" xfId="412" xr:uid="{00000000-0005-0000-0000-00000F0D0000}"/>
    <cellStyle name="Heading 3 10" xfId="5062" xr:uid="{00000000-0005-0000-0000-0000100D0000}"/>
    <cellStyle name="Heading 3 2" xfId="413" xr:uid="{00000000-0005-0000-0000-0000110D0000}"/>
    <cellStyle name="Heading 3 2 2" xfId="414" xr:uid="{00000000-0005-0000-0000-0000120D0000}"/>
    <cellStyle name="Heading 3 2 2 2" xfId="3858" xr:uid="{00000000-0005-0000-0000-0000130D0000}"/>
    <cellStyle name="Heading 3 2 3" xfId="5063" xr:uid="{00000000-0005-0000-0000-0000140D0000}"/>
    <cellStyle name="Heading 3 3" xfId="3859" xr:uid="{00000000-0005-0000-0000-0000150D0000}"/>
    <cellStyle name="Heading 3 3 10" xfId="3860" xr:uid="{00000000-0005-0000-0000-0000160D0000}"/>
    <cellStyle name="Heading 3 3 11" xfId="3861" xr:uid="{00000000-0005-0000-0000-0000170D0000}"/>
    <cellStyle name="Heading 3 3 12" xfId="3862" xr:uid="{00000000-0005-0000-0000-0000180D0000}"/>
    <cellStyle name="Heading 3 3 13" xfId="3863" xr:uid="{00000000-0005-0000-0000-0000190D0000}"/>
    <cellStyle name="Heading 3 3 14" xfId="3864" xr:uid="{00000000-0005-0000-0000-00001A0D0000}"/>
    <cellStyle name="Heading 3 3 15" xfId="3865" xr:uid="{00000000-0005-0000-0000-00001B0D0000}"/>
    <cellStyle name="Heading 3 3 16" xfId="3866" xr:uid="{00000000-0005-0000-0000-00001C0D0000}"/>
    <cellStyle name="Heading 3 3 17" xfId="3867" xr:uid="{00000000-0005-0000-0000-00001D0D0000}"/>
    <cellStyle name="Heading 3 3 18" xfId="3868" xr:uid="{00000000-0005-0000-0000-00001E0D0000}"/>
    <cellStyle name="Heading 3 3 19" xfId="3869" xr:uid="{00000000-0005-0000-0000-00001F0D0000}"/>
    <cellStyle name="Heading 3 3 2" xfId="3870" xr:uid="{00000000-0005-0000-0000-0000200D0000}"/>
    <cellStyle name="Heading 3 3 20" xfId="3871" xr:uid="{00000000-0005-0000-0000-0000210D0000}"/>
    <cellStyle name="Heading 3 3 21" xfId="3872" xr:uid="{00000000-0005-0000-0000-0000220D0000}"/>
    <cellStyle name="Heading 3 3 22" xfId="3873" xr:uid="{00000000-0005-0000-0000-0000230D0000}"/>
    <cellStyle name="Heading 3 3 23" xfId="3874" xr:uid="{00000000-0005-0000-0000-0000240D0000}"/>
    <cellStyle name="Heading 3 3 24" xfId="3875" xr:uid="{00000000-0005-0000-0000-0000250D0000}"/>
    <cellStyle name="Heading 3 3 25" xfId="3876" xr:uid="{00000000-0005-0000-0000-0000260D0000}"/>
    <cellStyle name="Heading 3 3 26" xfId="3877" xr:uid="{00000000-0005-0000-0000-0000270D0000}"/>
    <cellStyle name="Heading 3 3 27" xfId="3878" xr:uid="{00000000-0005-0000-0000-0000280D0000}"/>
    <cellStyle name="Heading 3 3 28" xfId="3879" xr:uid="{00000000-0005-0000-0000-0000290D0000}"/>
    <cellStyle name="Heading 3 3 3" xfId="3880" xr:uid="{00000000-0005-0000-0000-00002A0D0000}"/>
    <cellStyle name="Heading 3 3 4" xfId="3881" xr:uid="{00000000-0005-0000-0000-00002B0D0000}"/>
    <cellStyle name="Heading 3 3 5" xfId="3882" xr:uid="{00000000-0005-0000-0000-00002C0D0000}"/>
    <cellStyle name="Heading 3 3 6" xfId="3883" xr:uid="{00000000-0005-0000-0000-00002D0D0000}"/>
    <cellStyle name="Heading 3 3 7" xfId="3884" xr:uid="{00000000-0005-0000-0000-00002E0D0000}"/>
    <cellStyle name="Heading 3 3 8" xfId="3885" xr:uid="{00000000-0005-0000-0000-00002F0D0000}"/>
    <cellStyle name="Heading 3 3 9" xfId="3886" xr:uid="{00000000-0005-0000-0000-0000300D0000}"/>
    <cellStyle name="Heading 3 4" xfId="3887" xr:uid="{00000000-0005-0000-0000-0000310D0000}"/>
    <cellStyle name="Heading 3 4 10" xfId="3888" xr:uid="{00000000-0005-0000-0000-0000320D0000}"/>
    <cellStyle name="Heading 3 4 11" xfId="3889" xr:uid="{00000000-0005-0000-0000-0000330D0000}"/>
    <cellStyle name="Heading 3 4 12" xfId="3890" xr:uid="{00000000-0005-0000-0000-0000340D0000}"/>
    <cellStyle name="Heading 3 4 13" xfId="3891" xr:uid="{00000000-0005-0000-0000-0000350D0000}"/>
    <cellStyle name="Heading 3 4 14" xfId="3892" xr:uid="{00000000-0005-0000-0000-0000360D0000}"/>
    <cellStyle name="Heading 3 4 15" xfId="3893" xr:uid="{00000000-0005-0000-0000-0000370D0000}"/>
    <cellStyle name="Heading 3 4 16" xfId="3894" xr:uid="{00000000-0005-0000-0000-0000380D0000}"/>
    <cellStyle name="Heading 3 4 17" xfId="3895" xr:uid="{00000000-0005-0000-0000-0000390D0000}"/>
    <cellStyle name="Heading 3 4 18" xfId="3896" xr:uid="{00000000-0005-0000-0000-00003A0D0000}"/>
    <cellStyle name="Heading 3 4 19" xfId="3897" xr:uid="{00000000-0005-0000-0000-00003B0D0000}"/>
    <cellStyle name="Heading 3 4 2" xfId="3898" xr:uid="{00000000-0005-0000-0000-00003C0D0000}"/>
    <cellStyle name="Heading 3 4 20" xfId="3899" xr:uid="{00000000-0005-0000-0000-00003D0D0000}"/>
    <cellStyle name="Heading 3 4 21" xfId="3900" xr:uid="{00000000-0005-0000-0000-00003E0D0000}"/>
    <cellStyle name="Heading 3 4 22" xfId="3901" xr:uid="{00000000-0005-0000-0000-00003F0D0000}"/>
    <cellStyle name="Heading 3 4 23" xfId="3902" xr:uid="{00000000-0005-0000-0000-0000400D0000}"/>
    <cellStyle name="Heading 3 4 24" xfId="3903" xr:uid="{00000000-0005-0000-0000-0000410D0000}"/>
    <cellStyle name="Heading 3 4 25" xfId="3904" xr:uid="{00000000-0005-0000-0000-0000420D0000}"/>
    <cellStyle name="Heading 3 4 3" xfId="3905" xr:uid="{00000000-0005-0000-0000-0000430D0000}"/>
    <cellStyle name="Heading 3 4 4" xfId="3906" xr:uid="{00000000-0005-0000-0000-0000440D0000}"/>
    <cellStyle name="Heading 3 4 5" xfId="3907" xr:uid="{00000000-0005-0000-0000-0000450D0000}"/>
    <cellStyle name="Heading 3 4 6" xfId="3908" xr:uid="{00000000-0005-0000-0000-0000460D0000}"/>
    <cellStyle name="Heading 3 4 7" xfId="3909" xr:uid="{00000000-0005-0000-0000-0000470D0000}"/>
    <cellStyle name="Heading 3 4 8" xfId="3910" xr:uid="{00000000-0005-0000-0000-0000480D0000}"/>
    <cellStyle name="Heading 3 4 9" xfId="3911" xr:uid="{00000000-0005-0000-0000-0000490D0000}"/>
    <cellStyle name="Heading 3 5" xfId="5064" xr:uid="{00000000-0005-0000-0000-00004A0D0000}"/>
    <cellStyle name="Heading 3 6" xfId="5065" xr:uid="{00000000-0005-0000-0000-00004B0D0000}"/>
    <cellStyle name="Heading 3 7" xfId="5066" xr:uid="{00000000-0005-0000-0000-00004C0D0000}"/>
    <cellStyle name="Heading 3 8" xfId="5067" xr:uid="{00000000-0005-0000-0000-00004D0D0000}"/>
    <cellStyle name="Heading 3 9" xfId="5068" xr:uid="{00000000-0005-0000-0000-00004E0D0000}"/>
    <cellStyle name="Heading 4 1" xfId="415" xr:uid="{00000000-0005-0000-0000-00004F0D0000}"/>
    <cellStyle name="Heading 4 1 1" xfId="416" xr:uid="{00000000-0005-0000-0000-0000500D0000}"/>
    <cellStyle name="Heading 4 10" xfId="5069" xr:uid="{00000000-0005-0000-0000-0000510D0000}"/>
    <cellStyle name="Heading 4 2" xfId="417" xr:uid="{00000000-0005-0000-0000-0000520D0000}"/>
    <cellStyle name="Heading 4 2 2" xfId="418" xr:uid="{00000000-0005-0000-0000-0000530D0000}"/>
    <cellStyle name="Heading 4 2 2 2" xfId="3912" xr:uid="{00000000-0005-0000-0000-0000540D0000}"/>
    <cellStyle name="Heading 4 2 3" xfId="5070" xr:uid="{00000000-0005-0000-0000-0000550D0000}"/>
    <cellStyle name="Heading 4 3" xfId="3913" xr:uid="{00000000-0005-0000-0000-0000560D0000}"/>
    <cellStyle name="Heading 4 3 10" xfId="3914" xr:uid="{00000000-0005-0000-0000-0000570D0000}"/>
    <cellStyle name="Heading 4 3 11" xfId="3915" xr:uid="{00000000-0005-0000-0000-0000580D0000}"/>
    <cellStyle name="Heading 4 3 12" xfId="3916" xr:uid="{00000000-0005-0000-0000-0000590D0000}"/>
    <cellStyle name="Heading 4 3 13" xfId="3917" xr:uid="{00000000-0005-0000-0000-00005A0D0000}"/>
    <cellStyle name="Heading 4 3 14" xfId="3918" xr:uid="{00000000-0005-0000-0000-00005B0D0000}"/>
    <cellStyle name="Heading 4 3 15" xfId="3919" xr:uid="{00000000-0005-0000-0000-00005C0D0000}"/>
    <cellStyle name="Heading 4 3 16" xfId="3920" xr:uid="{00000000-0005-0000-0000-00005D0D0000}"/>
    <cellStyle name="Heading 4 3 17" xfId="3921" xr:uid="{00000000-0005-0000-0000-00005E0D0000}"/>
    <cellStyle name="Heading 4 3 18" xfId="3922" xr:uid="{00000000-0005-0000-0000-00005F0D0000}"/>
    <cellStyle name="Heading 4 3 19" xfId="3923" xr:uid="{00000000-0005-0000-0000-0000600D0000}"/>
    <cellStyle name="Heading 4 3 2" xfId="3924" xr:uid="{00000000-0005-0000-0000-0000610D0000}"/>
    <cellStyle name="Heading 4 3 20" xfId="3925" xr:uid="{00000000-0005-0000-0000-0000620D0000}"/>
    <cellStyle name="Heading 4 3 21" xfId="3926" xr:uid="{00000000-0005-0000-0000-0000630D0000}"/>
    <cellStyle name="Heading 4 3 22" xfId="3927" xr:uid="{00000000-0005-0000-0000-0000640D0000}"/>
    <cellStyle name="Heading 4 3 23" xfId="3928" xr:uid="{00000000-0005-0000-0000-0000650D0000}"/>
    <cellStyle name="Heading 4 3 24" xfId="3929" xr:uid="{00000000-0005-0000-0000-0000660D0000}"/>
    <cellStyle name="Heading 4 3 25" xfId="3930" xr:uid="{00000000-0005-0000-0000-0000670D0000}"/>
    <cellStyle name="Heading 4 3 26" xfId="3931" xr:uid="{00000000-0005-0000-0000-0000680D0000}"/>
    <cellStyle name="Heading 4 3 27" xfId="3932" xr:uid="{00000000-0005-0000-0000-0000690D0000}"/>
    <cellStyle name="Heading 4 3 28" xfId="3933" xr:uid="{00000000-0005-0000-0000-00006A0D0000}"/>
    <cellStyle name="Heading 4 3 3" xfId="3934" xr:uid="{00000000-0005-0000-0000-00006B0D0000}"/>
    <cellStyle name="Heading 4 3 4" xfId="3935" xr:uid="{00000000-0005-0000-0000-00006C0D0000}"/>
    <cellStyle name="Heading 4 3 5" xfId="3936" xr:uid="{00000000-0005-0000-0000-00006D0D0000}"/>
    <cellStyle name="Heading 4 3 6" xfId="3937" xr:uid="{00000000-0005-0000-0000-00006E0D0000}"/>
    <cellStyle name="Heading 4 3 7" xfId="3938" xr:uid="{00000000-0005-0000-0000-00006F0D0000}"/>
    <cellStyle name="Heading 4 3 8" xfId="3939" xr:uid="{00000000-0005-0000-0000-0000700D0000}"/>
    <cellStyle name="Heading 4 3 9" xfId="3940" xr:uid="{00000000-0005-0000-0000-0000710D0000}"/>
    <cellStyle name="Heading 4 4" xfId="3941" xr:uid="{00000000-0005-0000-0000-0000720D0000}"/>
    <cellStyle name="Heading 4 4 10" xfId="3942" xr:uid="{00000000-0005-0000-0000-0000730D0000}"/>
    <cellStyle name="Heading 4 4 11" xfId="3943" xr:uid="{00000000-0005-0000-0000-0000740D0000}"/>
    <cellStyle name="Heading 4 4 12" xfId="3944" xr:uid="{00000000-0005-0000-0000-0000750D0000}"/>
    <cellStyle name="Heading 4 4 13" xfId="3945" xr:uid="{00000000-0005-0000-0000-0000760D0000}"/>
    <cellStyle name="Heading 4 4 14" xfId="3946" xr:uid="{00000000-0005-0000-0000-0000770D0000}"/>
    <cellStyle name="Heading 4 4 15" xfId="3947" xr:uid="{00000000-0005-0000-0000-0000780D0000}"/>
    <cellStyle name="Heading 4 4 16" xfId="3948" xr:uid="{00000000-0005-0000-0000-0000790D0000}"/>
    <cellStyle name="Heading 4 4 17" xfId="3949" xr:uid="{00000000-0005-0000-0000-00007A0D0000}"/>
    <cellStyle name="Heading 4 4 18" xfId="3950" xr:uid="{00000000-0005-0000-0000-00007B0D0000}"/>
    <cellStyle name="Heading 4 4 19" xfId="3951" xr:uid="{00000000-0005-0000-0000-00007C0D0000}"/>
    <cellStyle name="Heading 4 4 2" xfId="3952" xr:uid="{00000000-0005-0000-0000-00007D0D0000}"/>
    <cellStyle name="Heading 4 4 20" xfId="3953" xr:uid="{00000000-0005-0000-0000-00007E0D0000}"/>
    <cellStyle name="Heading 4 4 21" xfId="3954" xr:uid="{00000000-0005-0000-0000-00007F0D0000}"/>
    <cellStyle name="Heading 4 4 22" xfId="3955" xr:uid="{00000000-0005-0000-0000-0000800D0000}"/>
    <cellStyle name="Heading 4 4 23" xfId="3956" xr:uid="{00000000-0005-0000-0000-0000810D0000}"/>
    <cellStyle name="Heading 4 4 24" xfId="3957" xr:uid="{00000000-0005-0000-0000-0000820D0000}"/>
    <cellStyle name="Heading 4 4 25" xfId="3958" xr:uid="{00000000-0005-0000-0000-0000830D0000}"/>
    <cellStyle name="Heading 4 4 3" xfId="3959" xr:uid="{00000000-0005-0000-0000-0000840D0000}"/>
    <cellStyle name="Heading 4 4 4" xfId="3960" xr:uid="{00000000-0005-0000-0000-0000850D0000}"/>
    <cellStyle name="Heading 4 4 5" xfId="3961" xr:uid="{00000000-0005-0000-0000-0000860D0000}"/>
    <cellStyle name="Heading 4 4 6" xfId="3962" xr:uid="{00000000-0005-0000-0000-0000870D0000}"/>
    <cellStyle name="Heading 4 4 7" xfId="3963" xr:uid="{00000000-0005-0000-0000-0000880D0000}"/>
    <cellStyle name="Heading 4 4 8" xfId="3964" xr:uid="{00000000-0005-0000-0000-0000890D0000}"/>
    <cellStyle name="Heading 4 4 9" xfId="3965" xr:uid="{00000000-0005-0000-0000-00008A0D0000}"/>
    <cellStyle name="Heading 4 5" xfId="5071" xr:uid="{00000000-0005-0000-0000-00008B0D0000}"/>
    <cellStyle name="Heading 4 6" xfId="5072" xr:uid="{00000000-0005-0000-0000-00008C0D0000}"/>
    <cellStyle name="Heading 4 7" xfId="5073" xr:uid="{00000000-0005-0000-0000-00008D0D0000}"/>
    <cellStyle name="Heading 4 8" xfId="5074" xr:uid="{00000000-0005-0000-0000-00008E0D0000}"/>
    <cellStyle name="Heading 4 9" xfId="5075" xr:uid="{00000000-0005-0000-0000-00008F0D0000}"/>
    <cellStyle name="Heading 5" xfId="5358" xr:uid="{00000000-0005-0000-0000-0000900D0000}"/>
    <cellStyle name="Heading1" xfId="419" xr:uid="{00000000-0005-0000-0000-0000910D0000}"/>
    <cellStyle name="Hiperveza 10 2" xfId="420" xr:uid="{00000000-0005-0000-0000-0000920D0000}"/>
    <cellStyle name="Hiperveza 10 3" xfId="1253" xr:uid="{00000000-0005-0000-0000-0000930D0000}"/>
    <cellStyle name="Hiperveza 2" xfId="1254" xr:uid="{00000000-0005-0000-0000-0000940D0000}"/>
    <cellStyle name="Hiperveza 2 2" xfId="421" xr:uid="{00000000-0005-0000-0000-0000950D0000}"/>
    <cellStyle name="Hiperveza 2 3" xfId="1255" xr:uid="{00000000-0005-0000-0000-0000960D0000}"/>
    <cellStyle name="Hiperveza 3 2" xfId="1256" xr:uid="{00000000-0005-0000-0000-0000970D0000}"/>
    <cellStyle name="Hiperveza 3 3" xfId="1257" xr:uid="{00000000-0005-0000-0000-0000980D0000}"/>
    <cellStyle name="Hyperlink 2" xfId="422" xr:uid="{00000000-0005-0000-0000-0000990D0000}"/>
    <cellStyle name="Hyperlink 2 2" xfId="423" xr:uid="{00000000-0005-0000-0000-00009A0D0000}"/>
    <cellStyle name="Input [yellow]" xfId="3966" xr:uid="{00000000-0005-0000-0000-00009B0D0000}"/>
    <cellStyle name="Input 1" xfId="424" xr:uid="{00000000-0005-0000-0000-00009C0D0000}"/>
    <cellStyle name="Input 1 1" xfId="425" xr:uid="{00000000-0005-0000-0000-00009D0D0000}"/>
    <cellStyle name="Input 1 1 2" xfId="426" xr:uid="{00000000-0005-0000-0000-00009E0D0000}"/>
    <cellStyle name="Input 1 2" xfId="427" xr:uid="{00000000-0005-0000-0000-00009F0D0000}"/>
    <cellStyle name="Input 10" xfId="3967" xr:uid="{00000000-0005-0000-0000-0000A00D0000}"/>
    <cellStyle name="Input 11" xfId="3968" xr:uid="{00000000-0005-0000-0000-0000A10D0000}"/>
    <cellStyle name="Input 12" xfId="3969" xr:uid="{00000000-0005-0000-0000-0000A20D0000}"/>
    <cellStyle name="Input 13" xfId="3970" xr:uid="{00000000-0005-0000-0000-0000A30D0000}"/>
    <cellStyle name="Input 14" xfId="3971" xr:uid="{00000000-0005-0000-0000-0000A40D0000}"/>
    <cellStyle name="Input 15" xfId="3972" xr:uid="{00000000-0005-0000-0000-0000A50D0000}"/>
    <cellStyle name="Input 16" xfId="3973" xr:uid="{00000000-0005-0000-0000-0000A60D0000}"/>
    <cellStyle name="Input 17" xfId="3974" xr:uid="{00000000-0005-0000-0000-0000A70D0000}"/>
    <cellStyle name="Input 18" xfId="3975" xr:uid="{00000000-0005-0000-0000-0000A80D0000}"/>
    <cellStyle name="Input 19" xfId="3976" xr:uid="{00000000-0005-0000-0000-0000A90D0000}"/>
    <cellStyle name="Input 2" xfId="428" xr:uid="{00000000-0005-0000-0000-0000AA0D0000}"/>
    <cellStyle name="Input 2 2" xfId="429" xr:uid="{00000000-0005-0000-0000-0000AB0D0000}"/>
    <cellStyle name="Input 2 2 2" xfId="430" xr:uid="{00000000-0005-0000-0000-0000AC0D0000}"/>
    <cellStyle name="Input 2 2 3" xfId="3977" xr:uid="{00000000-0005-0000-0000-0000AD0D0000}"/>
    <cellStyle name="Input 2 3" xfId="431" xr:uid="{00000000-0005-0000-0000-0000AE0D0000}"/>
    <cellStyle name="Input 2 3 2" xfId="5076" xr:uid="{00000000-0005-0000-0000-0000AF0D0000}"/>
    <cellStyle name="Input 20" xfId="3978" xr:uid="{00000000-0005-0000-0000-0000B00D0000}"/>
    <cellStyle name="Input 21" xfId="3979" xr:uid="{00000000-0005-0000-0000-0000B10D0000}"/>
    <cellStyle name="Input 22" xfId="3980" xr:uid="{00000000-0005-0000-0000-0000B20D0000}"/>
    <cellStyle name="Input 23" xfId="3981" xr:uid="{00000000-0005-0000-0000-0000B30D0000}"/>
    <cellStyle name="Input 24" xfId="3982" xr:uid="{00000000-0005-0000-0000-0000B40D0000}"/>
    <cellStyle name="Input 3" xfId="3983" xr:uid="{00000000-0005-0000-0000-0000B50D0000}"/>
    <cellStyle name="Input 3 10" xfId="3984" xr:uid="{00000000-0005-0000-0000-0000B60D0000}"/>
    <cellStyle name="Input 3 11" xfId="3985" xr:uid="{00000000-0005-0000-0000-0000B70D0000}"/>
    <cellStyle name="Input 3 11 2" xfId="3986" xr:uid="{00000000-0005-0000-0000-0000B80D0000}"/>
    <cellStyle name="Input 3 11 2 2" xfId="3987" xr:uid="{00000000-0005-0000-0000-0000B90D0000}"/>
    <cellStyle name="Input 3 11 2 2 2" xfId="3988" xr:uid="{00000000-0005-0000-0000-0000BA0D0000}"/>
    <cellStyle name="Input 3 11 2 2 2 2" xfId="3989" xr:uid="{00000000-0005-0000-0000-0000BB0D0000}"/>
    <cellStyle name="Input 3 11 2 2 2 2 2" xfId="3990" xr:uid="{00000000-0005-0000-0000-0000BC0D0000}"/>
    <cellStyle name="Input 3 11 2 2 2 2 3" xfId="3991" xr:uid="{00000000-0005-0000-0000-0000BD0D0000}"/>
    <cellStyle name="Input 3 11 2 2 2 3" xfId="3992" xr:uid="{00000000-0005-0000-0000-0000BE0D0000}"/>
    <cellStyle name="Input 3 11 2 2 3" xfId="3993" xr:uid="{00000000-0005-0000-0000-0000BF0D0000}"/>
    <cellStyle name="Input 3 11 2 2 4" xfId="3994" xr:uid="{00000000-0005-0000-0000-0000C00D0000}"/>
    <cellStyle name="Input 3 11 2 3" xfId="3995" xr:uid="{00000000-0005-0000-0000-0000C10D0000}"/>
    <cellStyle name="Input 3 11 2 4" xfId="3996" xr:uid="{00000000-0005-0000-0000-0000C20D0000}"/>
    <cellStyle name="Input 3 11 2 5" xfId="3997" xr:uid="{00000000-0005-0000-0000-0000C30D0000}"/>
    <cellStyle name="Input 3 11 2 5 2" xfId="3998" xr:uid="{00000000-0005-0000-0000-0000C40D0000}"/>
    <cellStyle name="Input 3 11 2 5 3" xfId="3999" xr:uid="{00000000-0005-0000-0000-0000C50D0000}"/>
    <cellStyle name="Input 3 11 2 6" xfId="4000" xr:uid="{00000000-0005-0000-0000-0000C60D0000}"/>
    <cellStyle name="Input 3 11 3" xfId="4001" xr:uid="{00000000-0005-0000-0000-0000C70D0000}"/>
    <cellStyle name="Input 3 11 4" xfId="4002" xr:uid="{00000000-0005-0000-0000-0000C80D0000}"/>
    <cellStyle name="Input 3 11 4 2" xfId="4003" xr:uid="{00000000-0005-0000-0000-0000C90D0000}"/>
    <cellStyle name="Input 3 11 4 2 2" xfId="4004" xr:uid="{00000000-0005-0000-0000-0000CA0D0000}"/>
    <cellStyle name="Input 3 11 4 2 2 2" xfId="4005" xr:uid="{00000000-0005-0000-0000-0000CB0D0000}"/>
    <cellStyle name="Input 3 11 4 2 2 3" xfId="4006" xr:uid="{00000000-0005-0000-0000-0000CC0D0000}"/>
    <cellStyle name="Input 3 11 4 2 3" xfId="4007" xr:uid="{00000000-0005-0000-0000-0000CD0D0000}"/>
    <cellStyle name="Input 3 11 4 3" xfId="4008" xr:uid="{00000000-0005-0000-0000-0000CE0D0000}"/>
    <cellStyle name="Input 3 11 4 4" xfId="4009" xr:uid="{00000000-0005-0000-0000-0000CF0D0000}"/>
    <cellStyle name="Input 3 11 5" xfId="4010" xr:uid="{00000000-0005-0000-0000-0000D00D0000}"/>
    <cellStyle name="Input 3 11 6" xfId="4011" xr:uid="{00000000-0005-0000-0000-0000D10D0000}"/>
    <cellStyle name="Input 3 11 6 2" xfId="4012" xr:uid="{00000000-0005-0000-0000-0000D20D0000}"/>
    <cellStyle name="Input 3 11 6 3" xfId="4013" xr:uid="{00000000-0005-0000-0000-0000D30D0000}"/>
    <cellStyle name="Input 3 11 7" xfId="4014" xr:uid="{00000000-0005-0000-0000-0000D40D0000}"/>
    <cellStyle name="Input 3 12" xfId="4015" xr:uid="{00000000-0005-0000-0000-0000D50D0000}"/>
    <cellStyle name="Input 3 13" xfId="4016" xr:uid="{00000000-0005-0000-0000-0000D60D0000}"/>
    <cellStyle name="Input 3 14" xfId="4017" xr:uid="{00000000-0005-0000-0000-0000D70D0000}"/>
    <cellStyle name="Input 3 15" xfId="4018" xr:uid="{00000000-0005-0000-0000-0000D80D0000}"/>
    <cellStyle name="Input 3 16" xfId="4019" xr:uid="{00000000-0005-0000-0000-0000D90D0000}"/>
    <cellStyle name="Input 3 17" xfId="4020" xr:uid="{00000000-0005-0000-0000-0000DA0D0000}"/>
    <cellStyle name="Input 3 18" xfId="4021" xr:uid="{00000000-0005-0000-0000-0000DB0D0000}"/>
    <cellStyle name="Input 3 19" xfId="4022" xr:uid="{00000000-0005-0000-0000-0000DC0D0000}"/>
    <cellStyle name="Input 3 2" xfId="4023" xr:uid="{00000000-0005-0000-0000-0000DD0D0000}"/>
    <cellStyle name="Input 3 20" xfId="4024" xr:uid="{00000000-0005-0000-0000-0000DE0D0000}"/>
    <cellStyle name="Input 3 21" xfId="4025" xr:uid="{00000000-0005-0000-0000-0000DF0D0000}"/>
    <cellStyle name="Input 3 22" xfId="4026" xr:uid="{00000000-0005-0000-0000-0000E00D0000}"/>
    <cellStyle name="Input 3 23" xfId="4027" xr:uid="{00000000-0005-0000-0000-0000E10D0000}"/>
    <cellStyle name="Input 3 24" xfId="4028" xr:uid="{00000000-0005-0000-0000-0000E20D0000}"/>
    <cellStyle name="Input 3 25" xfId="4029" xr:uid="{00000000-0005-0000-0000-0000E30D0000}"/>
    <cellStyle name="Input 3 26" xfId="4030" xr:uid="{00000000-0005-0000-0000-0000E40D0000}"/>
    <cellStyle name="Input 3 27" xfId="4031" xr:uid="{00000000-0005-0000-0000-0000E50D0000}"/>
    <cellStyle name="Input 3 28" xfId="4032" xr:uid="{00000000-0005-0000-0000-0000E60D0000}"/>
    <cellStyle name="Input 3 29" xfId="4033" xr:uid="{00000000-0005-0000-0000-0000E70D0000}"/>
    <cellStyle name="Input 3 3" xfId="4034" xr:uid="{00000000-0005-0000-0000-0000E80D0000}"/>
    <cellStyle name="Input 3 4" xfId="4035" xr:uid="{00000000-0005-0000-0000-0000E90D0000}"/>
    <cellStyle name="Input 3 5" xfId="4036" xr:uid="{00000000-0005-0000-0000-0000EA0D0000}"/>
    <cellStyle name="Input 3 6" xfId="4037" xr:uid="{00000000-0005-0000-0000-0000EB0D0000}"/>
    <cellStyle name="Input 3 7" xfId="4038" xr:uid="{00000000-0005-0000-0000-0000EC0D0000}"/>
    <cellStyle name="Input 3 8" xfId="4039" xr:uid="{00000000-0005-0000-0000-0000ED0D0000}"/>
    <cellStyle name="Input 3 9" xfId="4040" xr:uid="{00000000-0005-0000-0000-0000EE0D0000}"/>
    <cellStyle name="Input 4" xfId="4041" xr:uid="{00000000-0005-0000-0000-0000EF0D0000}"/>
    <cellStyle name="Input 4 10" xfId="4042" xr:uid="{00000000-0005-0000-0000-0000F00D0000}"/>
    <cellStyle name="Input 4 11" xfId="4043" xr:uid="{00000000-0005-0000-0000-0000F10D0000}"/>
    <cellStyle name="Input 4 12" xfId="4044" xr:uid="{00000000-0005-0000-0000-0000F20D0000}"/>
    <cellStyle name="Input 4 13" xfId="4045" xr:uid="{00000000-0005-0000-0000-0000F30D0000}"/>
    <cellStyle name="Input 4 14" xfId="4046" xr:uid="{00000000-0005-0000-0000-0000F40D0000}"/>
    <cellStyle name="Input 4 15" xfId="4047" xr:uid="{00000000-0005-0000-0000-0000F50D0000}"/>
    <cellStyle name="Input 4 16" xfId="4048" xr:uid="{00000000-0005-0000-0000-0000F60D0000}"/>
    <cellStyle name="Input 4 17" xfId="4049" xr:uid="{00000000-0005-0000-0000-0000F70D0000}"/>
    <cellStyle name="Input 4 18" xfId="4050" xr:uid="{00000000-0005-0000-0000-0000F80D0000}"/>
    <cellStyle name="Input 4 19" xfId="4051" xr:uid="{00000000-0005-0000-0000-0000F90D0000}"/>
    <cellStyle name="Input 4 2" xfId="4052" xr:uid="{00000000-0005-0000-0000-0000FA0D0000}"/>
    <cellStyle name="Input 4 20" xfId="4053" xr:uid="{00000000-0005-0000-0000-0000FB0D0000}"/>
    <cellStyle name="Input 4 21" xfId="4054" xr:uid="{00000000-0005-0000-0000-0000FC0D0000}"/>
    <cellStyle name="Input 4 22" xfId="4055" xr:uid="{00000000-0005-0000-0000-0000FD0D0000}"/>
    <cellStyle name="Input 4 23" xfId="4056" xr:uid="{00000000-0005-0000-0000-0000FE0D0000}"/>
    <cellStyle name="Input 4 24" xfId="4057" xr:uid="{00000000-0005-0000-0000-0000FF0D0000}"/>
    <cellStyle name="Input 4 25" xfId="4058" xr:uid="{00000000-0005-0000-0000-0000000E0000}"/>
    <cellStyle name="Input 4 26" xfId="4059" xr:uid="{00000000-0005-0000-0000-0000010E0000}"/>
    <cellStyle name="Input 4 3" xfId="4060" xr:uid="{00000000-0005-0000-0000-0000020E0000}"/>
    <cellStyle name="Input 4 4" xfId="4061" xr:uid="{00000000-0005-0000-0000-0000030E0000}"/>
    <cellStyle name="Input 4 5" xfId="4062" xr:uid="{00000000-0005-0000-0000-0000040E0000}"/>
    <cellStyle name="Input 4 6" xfId="4063" xr:uid="{00000000-0005-0000-0000-0000050E0000}"/>
    <cellStyle name="Input 4 7" xfId="4064" xr:uid="{00000000-0005-0000-0000-0000060E0000}"/>
    <cellStyle name="Input 4 8" xfId="4065" xr:uid="{00000000-0005-0000-0000-0000070E0000}"/>
    <cellStyle name="Input 4 8 2" xfId="4066" xr:uid="{00000000-0005-0000-0000-0000080E0000}"/>
    <cellStyle name="Input 4 8 2 2" xfId="4067" xr:uid="{00000000-0005-0000-0000-0000090E0000}"/>
    <cellStyle name="Input 4 8 2 2 2" xfId="4068" xr:uid="{00000000-0005-0000-0000-00000A0E0000}"/>
    <cellStyle name="Input 4 8 2 2 2 2" xfId="4069" xr:uid="{00000000-0005-0000-0000-00000B0E0000}"/>
    <cellStyle name="Input 4 8 2 2 2 2 2" xfId="4070" xr:uid="{00000000-0005-0000-0000-00000C0E0000}"/>
    <cellStyle name="Input 4 8 2 2 2 2 3" xfId="4071" xr:uid="{00000000-0005-0000-0000-00000D0E0000}"/>
    <cellStyle name="Input 4 8 2 2 2 3" xfId="4072" xr:uid="{00000000-0005-0000-0000-00000E0E0000}"/>
    <cellStyle name="Input 4 8 2 2 3" xfId="4073" xr:uid="{00000000-0005-0000-0000-00000F0E0000}"/>
    <cellStyle name="Input 4 8 2 2 4" xfId="4074" xr:uid="{00000000-0005-0000-0000-0000100E0000}"/>
    <cellStyle name="Input 4 8 2 3" xfId="4075" xr:uid="{00000000-0005-0000-0000-0000110E0000}"/>
    <cellStyle name="Input 4 8 2 4" xfId="4076" xr:uid="{00000000-0005-0000-0000-0000120E0000}"/>
    <cellStyle name="Input 4 8 2 5" xfId="4077" xr:uid="{00000000-0005-0000-0000-0000130E0000}"/>
    <cellStyle name="Input 4 8 2 5 2" xfId="4078" xr:uid="{00000000-0005-0000-0000-0000140E0000}"/>
    <cellStyle name="Input 4 8 2 5 3" xfId="4079" xr:uid="{00000000-0005-0000-0000-0000150E0000}"/>
    <cellStyle name="Input 4 8 2 6" xfId="4080" xr:uid="{00000000-0005-0000-0000-0000160E0000}"/>
    <cellStyle name="Input 4 8 3" xfId="4081" xr:uid="{00000000-0005-0000-0000-0000170E0000}"/>
    <cellStyle name="Input 4 8 4" xfId="4082" xr:uid="{00000000-0005-0000-0000-0000180E0000}"/>
    <cellStyle name="Input 4 8 4 2" xfId="4083" xr:uid="{00000000-0005-0000-0000-0000190E0000}"/>
    <cellStyle name="Input 4 8 4 2 2" xfId="4084" xr:uid="{00000000-0005-0000-0000-00001A0E0000}"/>
    <cellStyle name="Input 4 8 4 2 2 2" xfId="4085" xr:uid="{00000000-0005-0000-0000-00001B0E0000}"/>
    <cellStyle name="Input 4 8 4 2 2 3" xfId="4086" xr:uid="{00000000-0005-0000-0000-00001C0E0000}"/>
    <cellStyle name="Input 4 8 4 2 3" xfId="4087" xr:uid="{00000000-0005-0000-0000-00001D0E0000}"/>
    <cellStyle name="Input 4 8 4 3" xfId="4088" xr:uid="{00000000-0005-0000-0000-00001E0E0000}"/>
    <cellStyle name="Input 4 8 4 4" xfId="4089" xr:uid="{00000000-0005-0000-0000-00001F0E0000}"/>
    <cellStyle name="Input 4 8 5" xfId="4090" xr:uid="{00000000-0005-0000-0000-0000200E0000}"/>
    <cellStyle name="Input 4 8 6" xfId="4091" xr:uid="{00000000-0005-0000-0000-0000210E0000}"/>
    <cellStyle name="Input 4 8 6 2" xfId="4092" xr:uid="{00000000-0005-0000-0000-0000220E0000}"/>
    <cellStyle name="Input 4 8 6 3" xfId="4093" xr:uid="{00000000-0005-0000-0000-0000230E0000}"/>
    <cellStyle name="Input 4 8 7" xfId="4094" xr:uid="{00000000-0005-0000-0000-0000240E0000}"/>
    <cellStyle name="Input 4 9" xfId="4095" xr:uid="{00000000-0005-0000-0000-0000250E0000}"/>
    <cellStyle name="Input 5" xfId="4096" xr:uid="{00000000-0005-0000-0000-0000260E0000}"/>
    <cellStyle name="Input 6" xfId="4097" xr:uid="{00000000-0005-0000-0000-0000270E0000}"/>
    <cellStyle name="Input 7" xfId="4098" xr:uid="{00000000-0005-0000-0000-0000280E0000}"/>
    <cellStyle name="Input 8" xfId="4099" xr:uid="{00000000-0005-0000-0000-0000290E0000}"/>
    <cellStyle name="Input 9" xfId="4100" xr:uid="{00000000-0005-0000-0000-00002A0E0000}"/>
    <cellStyle name="Isticanje1 1" xfId="432" xr:uid="{00000000-0005-0000-0000-00002B0E0000}"/>
    <cellStyle name="Isticanje1 2" xfId="433" xr:uid="{00000000-0005-0000-0000-00002C0E0000}"/>
    <cellStyle name="Isticanje1 2 2" xfId="1260" xr:uid="{00000000-0005-0000-0000-00002D0E0000}"/>
    <cellStyle name="Isticanje1 2 3" xfId="1259" xr:uid="{00000000-0005-0000-0000-00002E0E0000}"/>
    <cellStyle name="Isticanje1 3" xfId="1258" xr:uid="{00000000-0005-0000-0000-00002F0E0000}"/>
    <cellStyle name="Isticanje2 1" xfId="434" xr:uid="{00000000-0005-0000-0000-0000300E0000}"/>
    <cellStyle name="Isticanje2 2" xfId="435" xr:uid="{00000000-0005-0000-0000-0000310E0000}"/>
    <cellStyle name="Isticanje2 2 2" xfId="1263" xr:uid="{00000000-0005-0000-0000-0000320E0000}"/>
    <cellStyle name="Isticanje2 2 3" xfId="1262" xr:uid="{00000000-0005-0000-0000-0000330E0000}"/>
    <cellStyle name="Isticanje2 3" xfId="1264" xr:uid="{00000000-0005-0000-0000-0000340E0000}"/>
    <cellStyle name="Isticanje2 4" xfId="1261" xr:uid="{00000000-0005-0000-0000-0000350E0000}"/>
    <cellStyle name="Isticanje3 1" xfId="436" xr:uid="{00000000-0005-0000-0000-0000360E0000}"/>
    <cellStyle name="Isticanje3 2" xfId="437" xr:uid="{00000000-0005-0000-0000-0000370E0000}"/>
    <cellStyle name="Isticanje3 2 2" xfId="1267" xr:uid="{00000000-0005-0000-0000-0000380E0000}"/>
    <cellStyle name="Isticanje3 2 3" xfId="1266" xr:uid="{00000000-0005-0000-0000-0000390E0000}"/>
    <cellStyle name="Isticanje3 3" xfId="1265" xr:uid="{00000000-0005-0000-0000-00003A0E0000}"/>
    <cellStyle name="Isticanje4 1" xfId="438" xr:uid="{00000000-0005-0000-0000-00003B0E0000}"/>
    <cellStyle name="Isticanje4 2" xfId="439" xr:uid="{00000000-0005-0000-0000-00003C0E0000}"/>
    <cellStyle name="Isticanje4 2 2" xfId="1270" xr:uid="{00000000-0005-0000-0000-00003D0E0000}"/>
    <cellStyle name="Isticanje4 2 3" xfId="1269" xr:uid="{00000000-0005-0000-0000-00003E0E0000}"/>
    <cellStyle name="Isticanje4 3" xfId="1268" xr:uid="{00000000-0005-0000-0000-00003F0E0000}"/>
    <cellStyle name="Isticanje5 1" xfId="440" xr:uid="{00000000-0005-0000-0000-0000400E0000}"/>
    <cellStyle name="Isticanje5 2" xfId="441" xr:uid="{00000000-0005-0000-0000-0000410E0000}"/>
    <cellStyle name="Isticanje5 2 2" xfId="1272" xr:uid="{00000000-0005-0000-0000-0000420E0000}"/>
    <cellStyle name="Isticanje5 3" xfId="1271" xr:uid="{00000000-0005-0000-0000-0000430E0000}"/>
    <cellStyle name="Isticanje6 1" xfId="442" xr:uid="{00000000-0005-0000-0000-0000440E0000}"/>
    <cellStyle name="Isticanje6 2" xfId="443" xr:uid="{00000000-0005-0000-0000-0000450E0000}"/>
    <cellStyle name="Isticanje6 2 2" xfId="1275" xr:uid="{00000000-0005-0000-0000-0000460E0000}"/>
    <cellStyle name="Isticanje6 2 3" xfId="1274" xr:uid="{00000000-0005-0000-0000-0000470E0000}"/>
    <cellStyle name="Isticanje6 3" xfId="1273" xr:uid="{00000000-0005-0000-0000-0000480E0000}"/>
    <cellStyle name="Izlaz" xfId="444" xr:uid="{00000000-0005-0000-0000-0000490E0000}"/>
    <cellStyle name="Izlaz 1" xfId="445" xr:uid="{00000000-0005-0000-0000-00004A0E0000}"/>
    <cellStyle name="Izlaz 2" xfId="446" xr:uid="{00000000-0005-0000-0000-00004B0E0000}"/>
    <cellStyle name="Izlaz 2 2" xfId="447" xr:uid="{00000000-0005-0000-0000-00004C0E0000}"/>
    <cellStyle name="Izlaz 2 3" xfId="448" xr:uid="{00000000-0005-0000-0000-00004D0E0000}"/>
    <cellStyle name="Izlaz 2 4" xfId="1276" xr:uid="{00000000-0005-0000-0000-00004E0E0000}"/>
    <cellStyle name="Izlaz 3" xfId="449" xr:uid="{00000000-0005-0000-0000-00004F0E0000}"/>
    <cellStyle name="Izlaz 4" xfId="450" xr:uid="{00000000-0005-0000-0000-0000500E0000}"/>
    <cellStyle name="Izračun 1" xfId="451" xr:uid="{00000000-0005-0000-0000-0000510E0000}"/>
    <cellStyle name="Izračun 1 2" xfId="452" xr:uid="{00000000-0005-0000-0000-0000520E0000}"/>
    <cellStyle name="Izračun 2" xfId="453" xr:uid="{00000000-0005-0000-0000-0000530E0000}"/>
    <cellStyle name="Izračun 2 2" xfId="454" xr:uid="{00000000-0005-0000-0000-0000540E0000}"/>
    <cellStyle name="Izračun 2 2 2" xfId="1279" xr:uid="{00000000-0005-0000-0000-0000550E0000}"/>
    <cellStyle name="Izračun 2 3" xfId="1278" xr:uid="{00000000-0005-0000-0000-0000560E0000}"/>
    <cellStyle name="Izračun 3" xfId="1277" xr:uid="{00000000-0005-0000-0000-0000570E0000}"/>
    <cellStyle name="KOLIČINA" xfId="455" xr:uid="{00000000-0005-0000-0000-0000580E0000}"/>
    <cellStyle name="kolona A" xfId="456" xr:uid="{00000000-0005-0000-0000-0000590E0000}"/>
    <cellStyle name="kolona B" xfId="457" xr:uid="{00000000-0005-0000-0000-00005A0E0000}"/>
    <cellStyle name="kolona C" xfId="458" xr:uid="{00000000-0005-0000-0000-00005B0E0000}"/>
    <cellStyle name="kolona D" xfId="459" xr:uid="{00000000-0005-0000-0000-00005C0E0000}"/>
    <cellStyle name="kolona E" xfId="460" xr:uid="{00000000-0005-0000-0000-00005D0E0000}"/>
    <cellStyle name="kolona F" xfId="461" xr:uid="{00000000-0005-0000-0000-00005E0E0000}"/>
    <cellStyle name="kolona G" xfId="462" xr:uid="{00000000-0005-0000-0000-00005F0E0000}"/>
    <cellStyle name="kolona H" xfId="463" xr:uid="{00000000-0005-0000-0000-0000600E0000}"/>
    <cellStyle name="komadi" xfId="464" xr:uid="{00000000-0005-0000-0000-0000610E0000}"/>
    <cellStyle name="LEGENDA" xfId="465" xr:uid="{00000000-0005-0000-0000-0000620E0000}"/>
    <cellStyle name="LEGENDA 2" xfId="466" xr:uid="{00000000-0005-0000-0000-0000630E0000}"/>
    <cellStyle name="Link Currency (0)" xfId="4101" xr:uid="{00000000-0005-0000-0000-0000640E0000}"/>
    <cellStyle name="Link Currency (2)" xfId="4102" xr:uid="{00000000-0005-0000-0000-0000650E0000}"/>
    <cellStyle name="Link Units (0)" xfId="4103" xr:uid="{00000000-0005-0000-0000-0000660E0000}"/>
    <cellStyle name="Link Units (1)" xfId="4104" xr:uid="{00000000-0005-0000-0000-0000670E0000}"/>
    <cellStyle name="Link Units (2)" xfId="4105" xr:uid="{00000000-0005-0000-0000-0000680E0000}"/>
    <cellStyle name="Linked Cell 1" xfId="467" xr:uid="{00000000-0005-0000-0000-0000690E0000}"/>
    <cellStyle name="Linked Cell 1 1" xfId="468" xr:uid="{00000000-0005-0000-0000-00006A0E0000}"/>
    <cellStyle name="Linked Cell 10" xfId="5077" xr:uid="{00000000-0005-0000-0000-00006B0E0000}"/>
    <cellStyle name="Linked Cell 2" xfId="469" xr:uid="{00000000-0005-0000-0000-00006C0E0000}"/>
    <cellStyle name="Linked Cell 2 2" xfId="470" xr:uid="{00000000-0005-0000-0000-00006D0E0000}"/>
    <cellStyle name="Linked Cell 2 2 2" xfId="4106" xr:uid="{00000000-0005-0000-0000-00006E0E0000}"/>
    <cellStyle name="Linked Cell 2 3" xfId="5078" xr:uid="{00000000-0005-0000-0000-00006F0E0000}"/>
    <cellStyle name="Linked Cell 3" xfId="4107" xr:uid="{00000000-0005-0000-0000-0000700E0000}"/>
    <cellStyle name="Linked Cell 3 10" xfId="4108" xr:uid="{00000000-0005-0000-0000-0000710E0000}"/>
    <cellStyle name="Linked Cell 3 11" xfId="4109" xr:uid="{00000000-0005-0000-0000-0000720E0000}"/>
    <cellStyle name="Linked Cell 3 12" xfId="4110" xr:uid="{00000000-0005-0000-0000-0000730E0000}"/>
    <cellStyle name="Linked Cell 3 13" xfId="4111" xr:uid="{00000000-0005-0000-0000-0000740E0000}"/>
    <cellStyle name="Linked Cell 3 14" xfId="4112" xr:uid="{00000000-0005-0000-0000-0000750E0000}"/>
    <cellStyle name="Linked Cell 3 15" xfId="4113" xr:uid="{00000000-0005-0000-0000-0000760E0000}"/>
    <cellStyle name="Linked Cell 3 16" xfId="4114" xr:uid="{00000000-0005-0000-0000-0000770E0000}"/>
    <cellStyle name="Linked Cell 3 17" xfId="4115" xr:uid="{00000000-0005-0000-0000-0000780E0000}"/>
    <cellStyle name="Linked Cell 3 18" xfId="4116" xr:uid="{00000000-0005-0000-0000-0000790E0000}"/>
    <cellStyle name="Linked Cell 3 19" xfId="4117" xr:uid="{00000000-0005-0000-0000-00007A0E0000}"/>
    <cellStyle name="Linked Cell 3 2" xfId="4118" xr:uid="{00000000-0005-0000-0000-00007B0E0000}"/>
    <cellStyle name="Linked Cell 3 20" xfId="4119" xr:uid="{00000000-0005-0000-0000-00007C0E0000}"/>
    <cellStyle name="Linked Cell 3 21" xfId="4120" xr:uid="{00000000-0005-0000-0000-00007D0E0000}"/>
    <cellStyle name="Linked Cell 3 22" xfId="4121" xr:uid="{00000000-0005-0000-0000-00007E0E0000}"/>
    <cellStyle name="Linked Cell 3 23" xfId="4122" xr:uid="{00000000-0005-0000-0000-00007F0E0000}"/>
    <cellStyle name="Linked Cell 3 24" xfId="4123" xr:uid="{00000000-0005-0000-0000-0000800E0000}"/>
    <cellStyle name="Linked Cell 3 25" xfId="4124" xr:uid="{00000000-0005-0000-0000-0000810E0000}"/>
    <cellStyle name="Linked Cell 3 26" xfId="4125" xr:uid="{00000000-0005-0000-0000-0000820E0000}"/>
    <cellStyle name="Linked Cell 3 27" xfId="4126" xr:uid="{00000000-0005-0000-0000-0000830E0000}"/>
    <cellStyle name="Linked Cell 3 28" xfId="4127" xr:uid="{00000000-0005-0000-0000-0000840E0000}"/>
    <cellStyle name="Linked Cell 3 3" xfId="4128" xr:uid="{00000000-0005-0000-0000-0000850E0000}"/>
    <cellStyle name="Linked Cell 3 4" xfId="4129" xr:uid="{00000000-0005-0000-0000-0000860E0000}"/>
    <cellStyle name="Linked Cell 3 5" xfId="4130" xr:uid="{00000000-0005-0000-0000-0000870E0000}"/>
    <cellStyle name="Linked Cell 3 6" xfId="4131" xr:uid="{00000000-0005-0000-0000-0000880E0000}"/>
    <cellStyle name="Linked Cell 3 7" xfId="4132" xr:uid="{00000000-0005-0000-0000-0000890E0000}"/>
    <cellStyle name="Linked Cell 3 8" xfId="4133" xr:uid="{00000000-0005-0000-0000-00008A0E0000}"/>
    <cellStyle name="Linked Cell 3 9" xfId="4134" xr:uid="{00000000-0005-0000-0000-00008B0E0000}"/>
    <cellStyle name="Linked Cell 4" xfId="4135" xr:uid="{00000000-0005-0000-0000-00008C0E0000}"/>
    <cellStyle name="Linked Cell 4 10" xfId="4136" xr:uid="{00000000-0005-0000-0000-00008D0E0000}"/>
    <cellStyle name="Linked Cell 4 11" xfId="4137" xr:uid="{00000000-0005-0000-0000-00008E0E0000}"/>
    <cellStyle name="Linked Cell 4 12" xfId="4138" xr:uid="{00000000-0005-0000-0000-00008F0E0000}"/>
    <cellStyle name="Linked Cell 4 13" xfId="4139" xr:uid="{00000000-0005-0000-0000-0000900E0000}"/>
    <cellStyle name="Linked Cell 4 14" xfId="4140" xr:uid="{00000000-0005-0000-0000-0000910E0000}"/>
    <cellStyle name="Linked Cell 4 15" xfId="4141" xr:uid="{00000000-0005-0000-0000-0000920E0000}"/>
    <cellStyle name="Linked Cell 4 16" xfId="4142" xr:uid="{00000000-0005-0000-0000-0000930E0000}"/>
    <cellStyle name="Linked Cell 4 17" xfId="4143" xr:uid="{00000000-0005-0000-0000-0000940E0000}"/>
    <cellStyle name="Linked Cell 4 18" xfId="4144" xr:uid="{00000000-0005-0000-0000-0000950E0000}"/>
    <cellStyle name="Linked Cell 4 19" xfId="4145" xr:uid="{00000000-0005-0000-0000-0000960E0000}"/>
    <cellStyle name="Linked Cell 4 2" xfId="4146" xr:uid="{00000000-0005-0000-0000-0000970E0000}"/>
    <cellStyle name="Linked Cell 4 20" xfId="4147" xr:uid="{00000000-0005-0000-0000-0000980E0000}"/>
    <cellStyle name="Linked Cell 4 21" xfId="4148" xr:uid="{00000000-0005-0000-0000-0000990E0000}"/>
    <cellStyle name="Linked Cell 4 22" xfId="4149" xr:uid="{00000000-0005-0000-0000-00009A0E0000}"/>
    <cellStyle name="Linked Cell 4 23" xfId="4150" xr:uid="{00000000-0005-0000-0000-00009B0E0000}"/>
    <cellStyle name="Linked Cell 4 24" xfId="4151" xr:uid="{00000000-0005-0000-0000-00009C0E0000}"/>
    <cellStyle name="Linked Cell 4 25" xfId="4152" xr:uid="{00000000-0005-0000-0000-00009D0E0000}"/>
    <cellStyle name="Linked Cell 4 3" xfId="4153" xr:uid="{00000000-0005-0000-0000-00009E0E0000}"/>
    <cellStyle name="Linked Cell 4 4" xfId="4154" xr:uid="{00000000-0005-0000-0000-00009F0E0000}"/>
    <cellStyle name="Linked Cell 4 5" xfId="4155" xr:uid="{00000000-0005-0000-0000-0000A00E0000}"/>
    <cellStyle name="Linked Cell 4 6" xfId="4156" xr:uid="{00000000-0005-0000-0000-0000A10E0000}"/>
    <cellStyle name="Linked Cell 4 7" xfId="4157" xr:uid="{00000000-0005-0000-0000-0000A20E0000}"/>
    <cellStyle name="Linked Cell 4 8" xfId="4158" xr:uid="{00000000-0005-0000-0000-0000A30E0000}"/>
    <cellStyle name="Linked Cell 4 9" xfId="4159" xr:uid="{00000000-0005-0000-0000-0000A40E0000}"/>
    <cellStyle name="Linked Cell 5" xfId="5079" xr:uid="{00000000-0005-0000-0000-0000A50E0000}"/>
    <cellStyle name="Linked Cell 6" xfId="5080" xr:uid="{00000000-0005-0000-0000-0000A60E0000}"/>
    <cellStyle name="Linked Cell 7" xfId="5081" xr:uid="{00000000-0005-0000-0000-0000A70E0000}"/>
    <cellStyle name="Linked Cell 8" xfId="5082" xr:uid="{00000000-0005-0000-0000-0000A80E0000}"/>
    <cellStyle name="Linked Cell 9" xfId="5083" xr:uid="{00000000-0005-0000-0000-0000A90E0000}"/>
    <cellStyle name="Loše 1" xfId="471" xr:uid="{00000000-0005-0000-0000-0000AA0E0000}"/>
    <cellStyle name="Loše 2" xfId="472" xr:uid="{00000000-0005-0000-0000-0000AB0E0000}"/>
    <cellStyle name="Loše 2 2" xfId="1282" xr:uid="{00000000-0005-0000-0000-0000AC0E0000}"/>
    <cellStyle name="Loše 2 3" xfId="1281" xr:uid="{00000000-0005-0000-0000-0000AD0E0000}"/>
    <cellStyle name="Loše 3" xfId="1280" xr:uid="{00000000-0005-0000-0000-0000AE0E0000}"/>
    <cellStyle name="merge" xfId="473" xr:uid="{00000000-0005-0000-0000-0000AF0E0000}"/>
    <cellStyle name="Milliers [0]_laroux" xfId="4160" xr:uid="{00000000-0005-0000-0000-0000B00E0000}"/>
    <cellStyle name="Milliers_laroux" xfId="4161" xr:uid="{00000000-0005-0000-0000-0000B10E0000}"/>
    <cellStyle name="nabrajanje" xfId="474" xr:uid="{00000000-0005-0000-0000-0000B20E0000}"/>
    <cellStyle name="nabrajanje sa bulletima" xfId="475" xr:uid="{00000000-0005-0000-0000-0000B30E0000}"/>
    <cellStyle name="napomene" xfId="476" xr:uid="{00000000-0005-0000-0000-0000B40E0000}"/>
    <cellStyle name="Naslov" xfId="477" xr:uid="{00000000-0005-0000-0000-0000B50E0000}"/>
    <cellStyle name="Naslov 1 1" xfId="478" xr:uid="{00000000-0005-0000-0000-0000B60E0000}"/>
    <cellStyle name="Naslov 1 2" xfId="479" xr:uid="{00000000-0005-0000-0000-0000B70E0000}"/>
    <cellStyle name="Naslov 1 2 2" xfId="1285" xr:uid="{00000000-0005-0000-0000-0000B80E0000}"/>
    <cellStyle name="Naslov 1 2 3" xfId="1284" xr:uid="{00000000-0005-0000-0000-0000B90E0000}"/>
    <cellStyle name="Naslov 1 3" xfId="1283" xr:uid="{00000000-0005-0000-0000-0000BA0E0000}"/>
    <cellStyle name="Naslov 2 1" xfId="480" xr:uid="{00000000-0005-0000-0000-0000BB0E0000}"/>
    <cellStyle name="Naslov 2 2" xfId="481" xr:uid="{00000000-0005-0000-0000-0000BC0E0000}"/>
    <cellStyle name="Naslov 2 2 2" xfId="1288" xr:uid="{00000000-0005-0000-0000-0000BD0E0000}"/>
    <cellStyle name="Naslov 2 2 3" xfId="1287" xr:uid="{00000000-0005-0000-0000-0000BE0E0000}"/>
    <cellStyle name="Naslov 2 3" xfId="1286" xr:uid="{00000000-0005-0000-0000-0000BF0E0000}"/>
    <cellStyle name="Naslov 3 1" xfId="482" xr:uid="{00000000-0005-0000-0000-0000C00E0000}"/>
    <cellStyle name="Naslov 3 2" xfId="483" xr:uid="{00000000-0005-0000-0000-0000C10E0000}"/>
    <cellStyle name="Naslov 3 2 2" xfId="1291" xr:uid="{00000000-0005-0000-0000-0000C20E0000}"/>
    <cellStyle name="Naslov 3 2 3" xfId="1290" xr:uid="{00000000-0005-0000-0000-0000C30E0000}"/>
    <cellStyle name="Naslov 3 3" xfId="1289" xr:uid="{00000000-0005-0000-0000-0000C40E0000}"/>
    <cellStyle name="Naslov 4 1" xfId="484" xr:uid="{00000000-0005-0000-0000-0000C50E0000}"/>
    <cellStyle name="Naslov 4 2" xfId="485" xr:uid="{00000000-0005-0000-0000-0000C60E0000}"/>
    <cellStyle name="Naslov 4 2 2" xfId="1294" xr:uid="{00000000-0005-0000-0000-0000C70E0000}"/>
    <cellStyle name="Naslov 4 2 3" xfId="1293" xr:uid="{00000000-0005-0000-0000-0000C80E0000}"/>
    <cellStyle name="Naslov 4 3" xfId="1292" xr:uid="{00000000-0005-0000-0000-0000C90E0000}"/>
    <cellStyle name="Naslov 5" xfId="486" xr:uid="{00000000-0005-0000-0000-0000CA0E0000}"/>
    <cellStyle name="Naslov 5 2" xfId="487" xr:uid="{00000000-0005-0000-0000-0000CB0E0000}"/>
    <cellStyle name="Naslov 5 3" xfId="1295" xr:uid="{00000000-0005-0000-0000-0000CC0E0000}"/>
    <cellStyle name="Naslov 6" xfId="488" xr:uid="{00000000-0005-0000-0000-0000CD0E0000}"/>
    <cellStyle name="Navadno 3" xfId="4162" xr:uid="{00000000-0005-0000-0000-0000CE0E0000}"/>
    <cellStyle name="Navadno_KALAMAR-PSO GREGORČIČEVA MS-16.11.04" xfId="489" xr:uid="{00000000-0005-0000-0000-0000CF0E0000}"/>
    <cellStyle name="Neutral 1" xfId="490" xr:uid="{00000000-0005-0000-0000-0000D00E0000}"/>
    <cellStyle name="Neutral 1 1" xfId="491" xr:uid="{00000000-0005-0000-0000-0000D10E0000}"/>
    <cellStyle name="Neutral 10" xfId="5084" xr:uid="{00000000-0005-0000-0000-0000D20E0000}"/>
    <cellStyle name="Neutral 2" xfId="492" xr:uid="{00000000-0005-0000-0000-0000D30E0000}"/>
    <cellStyle name="Neutral 2 2" xfId="493" xr:uid="{00000000-0005-0000-0000-0000D40E0000}"/>
    <cellStyle name="Neutral 2 2 2" xfId="4163" xr:uid="{00000000-0005-0000-0000-0000D50E0000}"/>
    <cellStyle name="Neutral 2 3" xfId="5085" xr:uid="{00000000-0005-0000-0000-0000D60E0000}"/>
    <cellStyle name="Neutral 3" xfId="4164" xr:uid="{00000000-0005-0000-0000-0000D70E0000}"/>
    <cellStyle name="Neutral 3 10" xfId="4165" xr:uid="{00000000-0005-0000-0000-0000D80E0000}"/>
    <cellStyle name="Neutral 3 11" xfId="4166" xr:uid="{00000000-0005-0000-0000-0000D90E0000}"/>
    <cellStyle name="Neutral 3 12" xfId="4167" xr:uid="{00000000-0005-0000-0000-0000DA0E0000}"/>
    <cellStyle name="Neutral 3 13" xfId="4168" xr:uid="{00000000-0005-0000-0000-0000DB0E0000}"/>
    <cellStyle name="Neutral 3 14" xfId="4169" xr:uid="{00000000-0005-0000-0000-0000DC0E0000}"/>
    <cellStyle name="Neutral 3 15" xfId="4170" xr:uid="{00000000-0005-0000-0000-0000DD0E0000}"/>
    <cellStyle name="Neutral 3 16" xfId="4171" xr:uid="{00000000-0005-0000-0000-0000DE0E0000}"/>
    <cellStyle name="Neutral 3 17" xfId="4172" xr:uid="{00000000-0005-0000-0000-0000DF0E0000}"/>
    <cellStyle name="Neutral 3 18" xfId="4173" xr:uid="{00000000-0005-0000-0000-0000E00E0000}"/>
    <cellStyle name="Neutral 3 19" xfId="4174" xr:uid="{00000000-0005-0000-0000-0000E10E0000}"/>
    <cellStyle name="Neutral 3 2" xfId="4175" xr:uid="{00000000-0005-0000-0000-0000E20E0000}"/>
    <cellStyle name="Neutral 3 20" xfId="4176" xr:uid="{00000000-0005-0000-0000-0000E30E0000}"/>
    <cellStyle name="Neutral 3 21" xfId="4177" xr:uid="{00000000-0005-0000-0000-0000E40E0000}"/>
    <cellStyle name="Neutral 3 22" xfId="4178" xr:uid="{00000000-0005-0000-0000-0000E50E0000}"/>
    <cellStyle name="Neutral 3 23" xfId="4179" xr:uid="{00000000-0005-0000-0000-0000E60E0000}"/>
    <cellStyle name="Neutral 3 24" xfId="4180" xr:uid="{00000000-0005-0000-0000-0000E70E0000}"/>
    <cellStyle name="Neutral 3 25" xfId="4181" xr:uid="{00000000-0005-0000-0000-0000E80E0000}"/>
    <cellStyle name="Neutral 3 26" xfId="4182" xr:uid="{00000000-0005-0000-0000-0000E90E0000}"/>
    <cellStyle name="Neutral 3 27" xfId="4183" xr:uid="{00000000-0005-0000-0000-0000EA0E0000}"/>
    <cellStyle name="Neutral 3 28" xfId="4184" xr:uid="{00000000-0005-0000-0000-0000EB0E0000}"/>
    <cellStyle name="Neutral 3 3" xfId="4185" xr:uid="{00000000-0005-0000-0000-0000EC0E0000}"/>
    <cellStyle name="Neutral 3 4" xfId="4186" xr:uid="{00000000-0005-0000-0000-0000ED0E0000}"/>
    <cellStyle name="Neutral 3 5" xfId="4187" xr:uid="{00000000-0005-0000-0000-0000EE0E0000}"/>
    <cellStyle name="Neutral 3 6" xfId="4188" xr:uid="{00000000-0005-0000-0000-0000EF0E0000}"/>
    <cellStyle name="Neutral 3 7" xfId="4189" xr:uid="{00000000-0005-0000-0000-0000F00E0000}"/>
    <cellStyle name="Neutral 3 8" xfId="4190" xr:uid="{00000000-0005-0000-0000-0000F10E0000}"/>
    <cellStyle name="Neutral 3 9" xfId="4191" xr:uid="{00000000-0005-0000-0000-0000F20E0000}"/>
    <cellStyle name="Neutral 4" xfId="4192" xr:uid="{00000000-0005-0000-0000-0000F30E0000}"/>
    <cellStyle name="Neutral 4 10" xfId="4193" xr:uid="{00000000-0005-0000-0000-0000F40E0000}"/>
    <cellStyle name="Neutral 4 11" xfId="4194" xr:uid="{00000000-0005-0000-0000-0000F50E0000}"/>
    <cellStyle name="Neutral 4 12" xfId="4195" xr:uid="{00000000-0005-0000-0000-0000F60E0000}"/>
    <cellStyle name="Neutral 4 13" xfId="4196" xr:uid="{00000000-0005-0000-0000-0000F70E0000}"/>
    <cellStyle name="Neutral 4 14" xfId="4197" xr:uid="{00000000-0005-0000-0000-0000F80E0000}"/>
    <cellStyle name="Neutral 4 15" xfId="4198" xr:uid="{00000000-0005-0000-0000-0000F90E0000}"/>
    <cellStyle name="Neutral 4 16" xfId="4199" xr:uid="{00000000-0005-0000-0000-0000FA0E0000}"/>
    <cellStyle name="Neutral 4 17" xfId="4200" xr:uid="{00000000-0005-0000-0000-0000FB0E0000}"/>
    <cellStyle name="Neutral 4 18" xfId="4201" xr:uid="{00000000-0005-0000-0000-0000FC0E0000}"/>
    <cellStyle name="Neutral 4 19" xfId="4202" xr:uid="{00000000-0005-0000-0000-0000FD0E0000}"/>
    <cellStyle name="Neutral 4 2" xfId="4203" xr:uid="{00000000-0005-0000-0000-0000FE0E0000}"/>
    <cellStyle name="Neutral 4 20" xfId="4204" xr:uid="{00000000-0005-0000-0000-0000FF0E0000}"/>
    <cellStyle name="Neutral 4 21" xfId="4205" xr:uid="{00000000-0005-0000-0000-0000000F0000}"/>
    <cellStyle name="Neutral 4 22" xfId="4206" xr:uid="{00000000-0005-0000-0000-0000010F0000}"/>
    <cellStyle name="Neutral 4 23" xfId="4207" xr:uid="{00000000-0005-0000-0000-0000020F0000}"/>
    <cellStyle name="Neutral 4 24" xfId="4208" xr:uid="{00000000-0005-0000-0000-0000030F0000}"/>
    <cellStyle name="Neutral 4 25" xfId="4209" xr:uid="{00000000-0005-0000-0000-0000040F0000}"/>
    <cellStyle name="Neutral 4 3" xfId="4210" xr:uid="{00000000-0005-0000-0000-0000050F0000}"/>
    <cellStyle name="Neutral 4 4" xfId="4211" xr:uid="{00000000-0005-0000-0000-0000060F0000}"/>
    <cellStyle name="Neutral 4 5" xfId="4212" xr:uid="{00000000-0005-0000-0000-0000070F0000}"/>
    <cellStyle name="Neutral 4 6" xfId="4213" xr:uid="{00000000-0005-0000-0000-0000080F0000}"/>
    <cellStyle name="Neutral 4 7" xfId="4214" xr:uid="{00000000-0005-0000-0000-0000090F0000}"/>
    <cellStyle name="Neutral 4 8" xfId="4215" xr:uid="{00000000-0005-0000-0000-00000A0F0000}"/>
    <cellStyle name="Neutral 4 9" xfId="4216" xr:uid="{00000000-0005-0000-0000-00000B0F0000}"/>
    <cellStyle name="Neutral 5" xfId="5086" xr:uid="{00000000-0005-0000-0000-00000C0F0000}"/>
    <cellStyle name="Neutral 6" xfId="5087" xr:uid="{00000000-0005-0000-0000-00000D0F0000}"/>
    <cellStyle name="Neutral 7" xfId="5088" xr:uid="{00000000-0005-0000-0000-00000E0F0000}"/>
    <cellStyle name="Neutral 8" xfId="5089" xr:uid="{00000000-0005-0000-0000-00000F0F0000}"/>
    <cellStyle name="Neutral 9" xfId="5090" xr:uid="{00000000-0005-0000-0000-0000100F0000}"/>
    <cellStyle name="Neutralno 1" xfId="494" xr:uid="{00000000-0005-0000-0000-0000110F0000}"/>
    <cellStyle name="Neutralno 2" xfId="495" xr:uid="{00000000-0005-0000-0000-0000120F0000}"/>
    <cellStyle name="Neutralno 2 2" xfId="1298" xr:uid="{00000000-0005-0000-0000-0000130F0000}"/>
    <cellStyle name="Neutralno 2 3" xfId="1297" xr:uid="{00000000-0005-0000-0000-0000140F0000}"/>
    <cellStyle name="Neutralno 3" xfId="1296" xr:uid="{00000000-0005-0000-0000-0000150F0000}"/>
    <cellStyle name="Normal" xfId="0" builtinId="0"/>
    <cellStyle name="Normal - Style1" xfId="4217" xr:uid="{00000000-0005-0000-0000-0000160F0000}"/>
    <cellStyle name="Normal 10" xfId="496" xr:uid="{00000000-0005-0000-0000-0000170F0000}"/>
    <cellStyle name="Normal 10 10" xfId="4218" xr:uid="{00000000-0005-0000-0000-0000180F0000}"/>
    <cellStyle name="Normal 10 11" xfId="4219" xr:uid="{00000000-0005-0000-0000-0000190F0000}"/>
    <cellStyle name="Normal 10 12" xfId="4220" xr:uid="{00000000-0005-0000-0000-00001A0F0000}"/>
    <cellStyle name="Normal 10 13" xfId="4221" xr:uid="{00000000-0005-0000-0000-00001B0F0000}"/>
    <cellStyle name="Normal 10 14" xfId="4222" xr:uid="{00000000-0005-0000-0000-00001C0F0000}"/>
    <cellStyle name="Normal 10 15" xfId="4223" xr:uid="{00000000-0005-0000-0000-00001D0F0000}"/>
    <cellStyle name="Normal 10 16" xfId="4224" xr:uid="{00000000-0005-0000-0000-00001E0F0000}"/>
    <cellStyle name="Normal 10 2" xfId="497" xr:uid="{00000000-0005-0000-0000-00001F0F0000}"/>
    <cellStyle name="Normal 10 2 2" xfId="498" xr:uid="{00000000-0005-0000-0000-0000200F0000}"/>
    <cellStyle name="Normal 10 2 2 2" xfId="499" xr:uid="{00000000-0005-0000-0000-0000210F0000}"/>
    <cellStyle name="Normal 10 2 2 3" xfId="500" xr:uid="{00000000-0005-0000-0000-0000220F0000}"/>
    <cellStyle name="Normal 10 2 3" xfId="501" xr:uid="{00000000-0005-0000-0000-0000230F0000}"/>
    <cellStyle name="Normal 10 3" xfId="502" xr:uid="{00000000-0005-0000-0000-0000240F0000}"/>
    <cellStyle name="Normal 10 3 2" xfId="4225" xr:uid="{00000000-0005-0000-0000-0000250F0000}"/>
    <cellStyle name="Normal 10 4" xfId="503" xr:uid="{00000000-0005-0000-0000-0000260F0000}"/>
    <cellStyle name="Normal 10 4 2" xfId="4226" xr:uid="{00000000-0005-0000-0000-0000270F0000}"/>
    <cellStyle name="Normal 10 5" xfId="4227" xr:uid="{00000000-0005-0000-0000-0000280F0000}"/>
    <cellStyle name="Normal 10 6" xfId="4228" xr:uid="{00000000-0005-0000-0000-0000290F0000}"/>
    <cellStyle name="Normal 10 7" xfId="4229" xr:uid="{00000000-0005-0000-0000-00002A0F0000}"/>
    <cellStyle name="Normal 10 8" xfId="4230" xr:uid="{00000000-0005-0000-0000-00002B0F0000}"/>
    <cellStyle name="Normal 10 9" xfId="4231" xr:uid="{00000000-0005-0000-0000-00002C0F0000}"/>
    <cellStyle name="Normal 11" xfId="1" xr:uid="{00000000-0005-0000-0000-00002D0F0000}"/>
    <cellStyle name="Normal 11 10" xfId="4232" xr:uid="{00000000-0005-0000-0000-00002E0F0000}"/>
    <cellStyle name="Normal 11 11" xfId="4233" xr:uid="{00000000-0005-0000-0000-00002F0F0000}"/>
    <cellStyle name="Normal 11 12" xfId="4234" xr:uid="{00000000-0005-0000-0000-0000300F0000}"/>
    <cellStyle name="Normal 11 13" xfId="4235" xr:uid="{00000000-0005-0000-0000-0000310F0000}"/>
    <cellStyle name="Normal 11 14" xfId="4236" xr:uid="{00000000-0005-0000-0000-0000320F0000}"/>
    <cellStyle name="Normal 11 15" xfId="4237" xr:uid="{00000000-0005-0000-0000-0000330F0000}"/>
    <cellStyle name="Normal 11 2" xfId="504" xr:uid="{00000000-0005-0000-0000-0000340F0000}"/>
    <cellStyle name="Normal 11 2 2" xfId="505" xr:uid="{00000000-0005-0000-0000-0000350F0000}"/>
    <cellStyle name="Normal 11 2 3" xfId="506" xr:uid="{00000000-0005-0000-0000-0000360F0000}"/>
    <cellStyle name="Normal 11 2 4" xfId="1134" xr:uid="{00000000-0005-0000-0000-0000370F0000}"/>
    <cellStyle name="Normal 11 3" xfId="4238" xr:uid="{00000000-0005-0000-0000-0000380F0000}"/>
    <cellStyle name="Normal 11 4" xfId="4239" xr:uid="{00000000-0005-0000-0000-0000390F0000}"/>
    <cellStyle name="Normal 11 5" xfId="4240" xr:uid="{00000000-0005-0000-0000-00003A0F0000}"/>
    <cellStyle name="Normal 11 6" xfId="4241" xr:uid="{00000000-0005-0000-0000-00003B0F0000}"/>
    <cellStyle name="Normal 11 7" xfId="4242" xr:uid="{00000000-0005-0000-0000-00003C0F0000}"/>
    <cellStyle name="Normal 11 8" xfId="4243" xr:uid="{00000000-0005-0000-0000-00003D0F0000}"/>
    <cellStyle name="Normal 11 9" xfId="4244" xr:uid="{00000000-0005-0000-0000-00003E0F0000}"/>
    <cellStyle name="Normal 119 2" xfId="507" xr:uid="{00000000-0005-0000-0000-00003F0F0000}"/>
    <cellStyle name="Normal 12" xfId="508" xr:uid="{00000000-0005-0000-0000-0000400F0000}"/>
    <cellStyle name="Normal 12 10" xfId="4245" xr:uid="{00000000-0005-0000-0000-0000410F0000}"/>
    <cellStyle name="Normal 12 11" xfId="4246" xr:uid="{00000000-0005-0000-0000-0000420F0000}"/>
    <cellStyle name="Normal 12 12" xfId="4247" xr:uid="{00000000-0005-0000-0000-0000430F0000}"/>
    <cellStyle name="Normal 12 13" xfId="4248" xr:uid="{00000000-0005-0000-0000-0000440F0000}"/>
    <cellStyle name="Normal 12 14" xfId="4249" xr:uid="{00000000-0005-0000-0000-0000450F0000}"/>
    <cellStyle name="Normal 12 15" xfId="4250" xr:uid="{00000000-0005-0000-0000-0000460F0000}"/>
    <cellStyle name="Normal 12 16" xfId="4251" xr:uid="{00000000-0005-0000-0000-0000470F0000}"/>
    <cellStyle name="Normal 12 17" xfId="4252" xr:uid="{00000000-0005-0000-0000-0000480F0000}"/>
    <cellStyle name="Normal 12 18" xfId="4253" xr:uid="{00000000-0005-0000-0000-0000490F0000}"/>
    <cellStyle name="Normal 12 19" xfId="4254" xr:uid="{00000000-0005-0000-0000-00004A0F0000}"/>
    <cellStyle name="Normal 12 2" xfId="509" xr:uid="{00000000-0005-0000-0000-00004B0F0000}"/>
    <cellStyle name="Normal 12 2 2" xfId="4255" xr:uid="{00000000-0005-0000-0000-00004C0F0000}"/>
    <cellStyle name="Normal 12 20" xfId="4256" xr:uid="{00000000-0005-0000-0000-00004D0F0000}"/>
    <cellStyle name="Normal 12 21" xfId="4257" xr:uid="{00000000-0005-0000-0000-00004E0F0000}"/>
    <cellStyle name="Normal 12 22" xfId="4258" xr:uid="{00000000-0005-0000-0000-00004F0F0000}"/>
    <cellStyle name="Normal 12 23" xfId="4259" xr:uid="{00000000-0005-0000-0000-0000500F0000}"/>
    <cellStyle name="Normal 12 24" xfId="4260" xr:uid="{00000000-0005-0000-0000-0000510F0000}"/>
    <cellStyle name="Normal 12 25" xfId="1299" xr:uid="{00000000-0005-0000-0000-0000520F0000}"/>
    <cellStyle name="Normal 12 3" xfId="4261" xr:uid="{00000000-0005-0000-0000-0000530F0000}"/>
    <cellStyle name="Normal 12 4" xfId="4262" xr:uid="{00000000-0005-0000-0000-0000540F0000}"/>
    <cellStyle name="Normal 12 5" xfId="4263" xr:uid="{00000000-0005-0000-0000-0000550F0000}"/>
    <cellStyle name="Normal 12 6" xfId="4264" xr:uid="{00000000-0005-0000-0000-0000560F0000}"/>
    <cellStyle name="Normal 12 7" xfId="4265" xr:uid="{00000000-0005-0000-0000-0000570F0000}"/>
    <cellStyle name="Normal 12 8" xfId="4266" xr:uid="{00000000-0005-0000-0000-0000580F0000}"/>
    <cellStyle name="Normal 12 9" xfId="4267" xr:uid="{00000000-0005-0000-0000-0000590F0000}"/>
    <cellStyle name="Normal 120 2" xfId="510" xr:uid="{00000000-0005-0000-0000-00005A0F0000}"/>
    <cellStyle name="Normal 123 2" xfId="511" xr:uid="{00000000-0005-0000-0000-00005B0F0000}"/>
    <cellStyle name="Normal 124 2" xfId="512" xr:uid="{00000000-0005-0000-0000-00005C0F0000}"/>
    <cellStyle name="Normal 13" xfId="513" xr:uid="{00000000-0005-0000-0000-00005D0F0000}"/>
    <cellStyle name="Normal 13 2" xfId="514" xr:uid="{00000000-0005-0000-0000-00005E0F0000}"/>
    <cellStyle name="Normal 13 2 2" xfId="515" xr:uid="{00000000-0005-0000-0000-00005F0F0000}"/>
    <cellStyle name="Normal 13 2 3" xfId="516" xr:uid="{00000000-0005-0000-0000-0000600F0000}"/>
    <cellStyle name="Normal 13 2 4" xfId="4268" xr:uid="{00000000-0005-0000-0000-0000610F0000}"/>
    <cellStyle name="Normal 13 3" xfId="517" xr:uid="{00000000-0005-0000-0000-0000620F0000}"/>
    <cellStyle name="Normal 13 3 2" xfId="518" xr:uid="{00000000-0005-0000-0000-0000630F0000}"/>
    <cellStyle name="Normal 13 4" xfId="4269" xr:uid="{00000000-0005-0000-0000-0000640F0000}"/>
    <cellStyle name="Normal 13 5" xfId="4270" xr:uid="{00000000-0005-0000-0000-0000650F0000}"/>
    <cellStyle name="Normal 13 6" xfId="4271" xr:uid="{00000000-0005-0000-0000-0000660F0000}"/>
    <cellStyle name="Normal 13 7" xfId="4272" xr:uid="{00000000-0005-0000-0000-0000670F0000}"/>
    <cellStyle name="Normal 13 8" xfId="4273" xr:uid="{00000000-0005-0000-0000-0000680F0000}"/>
    <cellStyle name="Normal 13_2015-01-29 - Auto kamp Karlovac - demontaze i rusenja" xfId="519" xr:uid="{00000000-0005-0000-0000-0000690F0000}"/>
    <cellStyle name="Normal 14" xfId="520" xr:uid="{00000000-0005-0000-0000-00006A0F0000}"/>
    <cellStyle name="Normal 14 2" xfId="521" xr:uid="{00000000-0005-0000-0000-00006B0F0000}"/>
    <cellStyle name="Normal 15" xfId="522" xr:uid="{00000000-0005-0000-0000-00006C0F0000}"/>
    <cellStyle name="Normal 15 2" xfId="523" xr:uid="{00000000-0005-0000-0000-00006D0F0000}"/>
    <cellStyle name="Normal 15 3" xfId="4274" xr:uid="{00000000-0005-0000-0000-00006E0F0000}"/>
    <cellStyle name="Normal 15 4" xfId="4275" xr:uid="{00000000-0005-0000-0000-00006F0F0000}"/>
    <cellStyle name="Normal 15 5" xfId="4276" xr:uid="{00000000-0005-0000-0000-0000700F0000}"/>
    <cellStyle name="Normal 15 6" xfId="4277" xr:uid="{00000000-0005-0000-0000-0000710F0000}"/>
    <cellStyle name="Normal 15 7" xfId="4278" xr:uid="{00000000-0005-0000-0000-0000720F0000}"/>
    <cellStyle name="Normal 16" xfId="524" xr:uid="{00000000-0005-0000-0000-0000730F0000}"/>
    <cellStyle name="Normal 16 10" xfId="4279" xr:uid="{00000000-0005-0000-0000-0000740F0000}"/>
    <cellStyle name="Normal 16 11" xfId="4280" xr:uid="{00000000-0005-0000-0000-0000750F0000}"/>
    <cellStyle name="Normal 16 12" xfId="4281" xr:uid="{00000000-0005-0000-0000-0000760F0000}"/>
    <cellStyle name="Normal 16 13" xfId="4282" xr:uid="{00000000-0005-0000-0000-0000770F0000}"/>
    <cellStyle name="Normal 16 14" xfId="4283" xr:uid="{00000000-0005-0000-0000-0000780F0000}"/>
    <cellStyle name="Normal 16 15" xfId="4284" xr:uid="{00000000-0005-0000-0000-0000790F0000}"/>
    <cellStyle name="Normal 16 16" xfId="4285" xr:uid="{00000000-0005-0000-0000-00007A0F0000}"/>
    <cellStyle name="Normal 16 17" xfId="1300" xr:uid="{00000000-0005-0000-0000-00007B0F0000}"/>
    <cellStyle name="Normal 16 2" xfId="525" xr:uid="{00000000-0005-0000-0000-00007C0F0000}"/>
    <cellStyle name="Normal 16 3" xfId="4286" xr:uid="{00000000-0005-0000-0000-00007D0F0000}"/>
    <cellStyle name="Normal 16 4" xfId="4287" xr:uid="{00000000-0005-0000-0000-00007E0F0000}"/>
    <cellStyle name="Normal 16 5" xfId="4288" xr:uid="{00000000-0005-0000-0000-00007F0F0000}"/>
    <cellStyle name="Normal 16 6" xfId="4289" xr:uid="{00000000-0005-0000-0000-0000800F0000}"/>
    <cellStyle name="Normal 16 7" xfId="4290" xr:uid="{00000000-0005-0000-0000-0000810F0000}"/>
    <cellStyle name="Normal 16 8" xfId="4291" xr:uid="{00000000-0005-0000-0000-0000820F0000}"/>
    <cellStyle name="Normal 16 9" xfId="4292" xr:uid="{00000000-0005-0000-0000-0000830F0000}"/>
    <cellStyle name="Normal 17" xfId="526" xr:uid="{00000000-0005-0000-0000-0000840F0000}"/>
    <cellStyle name="Normal 17 2" xfId="527" xr:uid="{00000000-0005-0000-0000-0000850F0000}"/>
    <cellStyle name="Normal 18" xfId="528" xr:uid="{00000000-0005-0000-0000-0000860F0000}"/>
    <cellStyle name="Normal 18 2" xfId="529" xr:uid="{00000000-0005-0000-0000-0000870F0000}"/>
    <cellStyle name="Normal 18 2 2" xfId="530" xr:uid="{00000000-0005-0000-0000-0000880F0000}"/>
    <cellStyle name="Normal 19" xfId="531" xr:uid="{00000000-0005-0000-0000-0000890F0000}"/>
    <cellStyle name="Normal 19 2" xfId="3" xr:uid="{00000000-0005-0000-0000-00008A0F0000}"/>
    <cellStyle name="Normal 19 2 2" xfId="6" xr:uid="{00000000-0005-0000-0000-00008B0F0000}"/>
    <cellStyle name="Normal 19 2 3" xfId="4293" xr:uid="{00000000-0005-0000-0000-00008C0F0000}"/>
    <cellStyle name="Normal 19 3" xfId="1301" xr:uid="{00000000-0005-0000-0000-00008D0F0000}"/>
    <cellStyle name="Normal 2" xfId="5" xr:uid="{00000000-0005-0000-0000-00008E0F0000}"/>
    <cellStyle name="Normal 2 10" xfId="532" xr:uid="{00000000-0005-0000-0000-00008F0F0000}"/>
    <cellStyle name="Normal 2 10 2" xfId="533" xr:uid="{00000000-0005-0000-0000-0000900F0000}"/>
    <cellStyle name="Normal 2 10 3" xfId="534" xr:uid="{00000000-0005-0000-0000-0000910F0000}"/>
    <cellStyle name="Normal 2 10 4" xfId="4294" xr:uid="{00000000-0005-0000-0000-0000920F0000}"/>
    <cellStyle name="Normal 2 11" xfId="535" xr:uid="{00000000-0005-0000-0000-0000930F0000}"/>
    <cellStyle name="Normal 2 11 2" xfId="4295" xr:uid="{00000000-0005-0000-0000-0000940F0000}"/>
    <cellStyle name="Normal 2 12" xfId="4296" xr:uid="{00000000-0005-0000-0000-0000950F0000}"/>
    <cellStyle name="Normal 2 13" xfId="4297" xr:uid="{00000000-0005-0000-0000-0000960F0000}"/>
    <cellStyle name="Normal 2 14" xfId="4298" xr:uid="{00000000-0005-0000-0000-0000970F0000}"/>
    <cellStyle name="Normal 2 15" xfId="4299" xr:uid="{00000000-0005-0000-0000-0000980F0000}"/>
    <cellStyle name="Normal 2 16" xfId="4300" xr:uid="{00000000-0005-0000-0000-0000990F0000}"/>
    <cellStyle name="Normal 2 17" xfId="4301" xr:uid="{00000000-0005-0000-0000-00009A0F0000}"/>
    <cellStyle name="Normal 2 18" xfId="4302" xr:uid="{00000000-0005-0000-0000-00009B0F0000}"/>
    <cellStyle name="Normal 2 19" xfId="4303" xr:uid="{00000000-0005-0000-0000-00009C0F0000}"/>
    <cellStyle name="Normal 2 2" xfId="536" xr:uid="{00000000-0005-0000-0000-00009D0F0000}"/>
    <cellStyle name="Normal 2 2 2" xfId="537" xr:uid="{00000000-0005-0000-0000-00009E0F0000}"/>
    <cellStyle name="Normal 2 2 2 2" xfId="538" xr:uid="{00000000-0005-0000-0000-00009F0F0000}"/>
    <cellStyle name="Normal 2 2 2 2 2" xfId="1386" xr:uid="{00000000-0005-0000-0000-0000A00F0000}"/>
    <cellStyle name="Normal 2 2 3" xfId="539" xr:uid="{00000000-0005-0000-0000-0000A10F0000}"/>
    <cellStyle name="Normal 2 2 3 2" xfId="540" xr:uid="{00000000-0005-0000-0000-0000A20F0000}"/>
    <cellStyle name="Normal 2 2 4" xfId="541" xr:uid="{00000000-0005-0000-0000-0000A30F0000}"/>
    <cellStyle name="Normal 2 2 4 2" xfId="542" xr:uid="{00000000-0005-0000-0000-0000A40F0000}"/>
    <cellStyle name="Normal 2 2 5" xfId="543" xr:uid="{00000000-0005-0000-0000-0000A50F0000}"/>
    <cellStyle name="Normal 2 2 6" xfId="544" xr:uid="{00000000-0005-0000-0000-0000A60F0000}"/>
    <cellStyle name="Normal 2 2 7" xfId="545" xr:uid="{00000000-0005-0000-0000-0000A70F0000}"/>
    <cellStyle name="Normal 2 2 8" xfId="546" xr:uid="{00000000-0005-0000-0000-0000A80F0000}"/>
    <cellStyle name="Normal 2 2 9" xfId="1302" xr:uid="{00000000-0005-0000-0000-0000A90F0000}"/>
    <cellStyle name="Normal 2 2_123_IZ_troskovnik_rasvjeta_120320_telektra" xfId="547" xr:uid="{00000000-0005-0000-0000-0000AA0F0000}"/>
    <cellStyle name="Normal 2 20" xfId="4304" xr:uid="{00000000-0005-0000-0000-0000AB0F0000}"/>
    <cellStyle name="Normal 2 21" xfId="4305" xr:uid="{00000000-0005-0000-0000-0000AC0F0000}"/>
    <cellStyle name="Normal 2 22" xfId="4788" xr:uid="{00000000-0005-0000-0000-0000AD0F0000}"/>
    <cellStyle name="Normal 2 23" xfId="5222" xr:uid="{00000000-0005-0000-0000-0000AE0F0000}"/>
    <cellStyle name="Normal 2 23 2" xfId="5351" xr:uid="{00000000-0005-0000-0000-0000AF0F0000}"/>
    <cellStyle name="Normal 2 24" xfId="5224" xr:uid="{00000000-0005-0000-0000-0000B00F0000}"/>
    <cellStyle name="Normal 2 25" xfId="1194" xr:uid="{00000000-0005-0000-0000-0000B10F0000}"/>
    <cellStyle name="Normal 2 3" xfId="548" xr:uid="{00000000-0005-0000-0000-0000B20F0000}"/>
    <cellStyle name="Normal 2 3 2" xfId="549" xr:uid="{00000000-0005-0000-0000-0000B30F0000}"/>
    <cellStyle name="Normal 2 3 3" xfId="4306" xr:uid="{00000000-0005-0000-0000-0000B40F0000}"/>
    <cellStyle name="Normal 2 4" xfId="550" xr:uid="{00000000-0005-0000-0000-0000B50F0000}"/>
    <cellStyle name="Normal 2 4 2" xfId="551" xr:uid="{00000000-0005-0000-0000-0000B60F0000}"/>
    <cellStyle name="Normal 2 4 3" xfId="552" xr:uid="{00000000-0005-0000-0000-0000B70F0000}"/>
    <cellStyle name="Normal 2 4 4" xfId="4307" xr:uid="{00000000-0005-0000-0000-0000B80F0000}"/>
    <cellStyle name="Normal 2 5" xfId="553" xr:uid="{00000000-0005-0000-0000-0000B90F0000}"/>
    <cellStyle name="Normal 2 5 2" xfId="554" xr:uid="{00000000-0005-0000-0000-0000BA0F0000}"/>
    <cellStyle name="Normal 2 5 2 2" xfId="555" xr:uid="{00000000-0005-0000-0000-0000BB0F0000}"/>
    <cellStyle name="Normal 2 5 3" xfId="556" xr:uid="{00000000-0005-0000-0000-0000BC0F0000}"/>
    <cellStyle name="Normal 2 5 4" xfId="557" xr:uid="{00000000-0005-0000-0000-0000BD0F0000}"/>
    <cellStyle name="Normal 2 5 5" xfId="558" xr:uid="{00000000-0005-0000-0000-0000BE0F0000}"/>
    <cellStyle name="Normal 2 5_123_IZ_troskovnik_rasvjeta_120320_telektra" xfId="559" xr:uid="{00000000-0005-0000-0000-0000BF0F0000}"/>
    <cellStyle name="Normal 2 52" xfId="560" xr:uid="{00000000-0005-0000-0000-0000C00F0000}"/>
    <cellStyle name="Normal 2 6" xfId="7" xr:uid="{00000000-0005-0000-0000-0000C10F0000}"/>
    <cellStyle name="Normal 2 6 2" xfId="561" xr:uid="{00000000-0005-0000-0000-0000C20F0000}"/>
    <cellStyle name="Normal 2 6 3" xfId="562" xr:uid="{00000000-0005-0000-0000-0000C30F0000}"/>
    <cellStyle name="Normal 2 6 4" xfId="4308" xr:uid="{00000000-0005-0000-0000-0000C40F0000}"/>
    <cellStyle name="Normal 2 7" xfId="563" xr:uid="{00000000-0005-0000-0000-0000C50F0000}"/>
    <cellStyle name="Normal 2 7 2" xfId="564" xr:uid="{00000000-0005-0000-0000-0000C60F0000}"/>
    <cellStyle name="Normal 2 7 3" xfId="4309" xr:uid="{00000000-0005-0000-0000-0000C70F0000}"/>
    <cellStyle name="Normal 2 8" xfId="565" xr:uid="{00000000-0005-0000-0000-0000C80F0000}"/>
    <cellStyle name="Normal 2 8 2" xfId="4310" xr:uid="{00000000-0005-0000-0000-0000C90F0000}"/>
    <cellStyle name="Normal 2 9" xfId="566" xr:uid="{00000000-0005-0000-0000-0000CA0F0000}"/>
    <cellStyle name="Normal 2 9 2" xfId="567" xr:uid="{00000000-0005-0000-0000-0000CB0F0000}"/>
    <cellStyle name="Normal 2 9 3" xfId="4311" xr:uid="{00000000-0005-0000-0000-0000CC0F0000}"/>
    <cellStyle name="Normal 2_TROŠKOVNIK" xfId="4312" xr:uid="{00000000-0005-0000-0000-0000CD0F0000}"/>
    <cellStyle name="Normal 20" xfId="568" xr:uid="{00000000-0005-0000-0000-0000CE0F0000}"/>
    <cellStyle name="Normal 20 2" xfId="4313" xr:uid="{00000000-0005-0000-0000-0000CF0F0000}"/>
    <cellStyle name="Normal 20 3" xfId="5237" xr:uid="{00000000-0005-0000-0000-0000D00F0000}"/>
    <cellStyle name="Normal 20 4" xfId="1391" xr:uid="{00000000-0005-0000-0000-0000D10F0000}"/>
    <cellStyle name="Normal 21" xfId="569" xr:uid="{00000000-0005-0000-0000-0000D20F0000}"/>
    <cellStyle name="Normal 21 2" xfId="4314" xr:uid="{00000000-0005-0000-0000-0000D30F0000}"/>
    <cellStyle name="Normal 21 3" xfId="4315" xr:uid="{00000000-0005-0000-0000-0000D40F0000}"/>
    <cellStyle name="Normal 21 4" xfId="4316" xr:uid="{00000000-0005-0000-0000-0000D50F0000}"/>
    <cellStyle name="Normal 21 5" xfId="4317" xr:uid="{00000000-0005-0000-0000-0000D60F0000}"/>
    <cellStyle name="Normal 21 6" xfId="4318" xr:uid="{00000000-0005-0000-0000-0000D70F0000}"/>
    <cellStyle name="Normal 21 7" xfId="4319" xr:uid="{00000000-0005-0000-0000-0000D80F0000}"/>
    <cellStyle name="Normal 21 8" xfId="5091" xr:uid="{00000000-0005-0000-0000-0000D90F0000}"/>
    <cellStyle name="Normal 22" xfId="5092" xr:uid="{00000000-0005-0000-0000-0000DA0F0000}"/>
    <cellStyle name="Normal 22 2" xfId="4320" xr:uid="{00000000-0005-0000-0000-0000DB0F0000}"/>
    <cellStyle name="Normal 23" xfId="570" xr:uid="{00000000-0005-0000-0000-0000DC0F0000}"/>
    <cellStyle name="Normal 23 2" xfId="4321" xr:uid="{00000000-0005-0000-0000-0000DD0F0000}"/>
    <cellStyle name="Normal 23 3" xfId="4322" xr:uid="{00000000-0005-0000-0000-0000DE0F0000}"/>
    <cellStyle name="Normal 23 4" xfId="4323" xr:uid="{00000000-0005-0000-0000-0000DF0F0000}"/>
    <cellStyle name="Normal 23 5" xfId="4324" xr:uid="{00000000-0005-0000-0000-0000E00F0000}"/>
    <cellStyle name="Normal 24" xfId="4325" xr:uid="{00000000-0005-0000-0000-0000E10F0000}"/>
    <cellStyle name="Normal 25" xfId="4326" xr:uid="{00000000-0005-0000-0000-0000E20F0000}"/>
    <cellStyle name="Normal 26" xfId="4327" xr:uid="{00000000-0005-0000-0000-0000E30F0000}"/>
    <cellStyle name="Normal 27" xfId="1303" xr:uid="{00000000-0005-0000-0000-0000E40F0000}"/>
    <cellStyle name="Normal 28" xfId="4328" xr:uid="{00000000-0005-0000-0000-0000E50F0000}"/>
    <cellStyle name="Normal 28 2" xfId="5093" xr:uid="{00000000-0005-0000-0000-0000E60F0000}"/>
    <cellStyle name="Normal 28 3" xfId="5094" xr:uid="{00000000-0005-0000-0000-0000E70F0000}"/>
    <cellStyle name="Normal 28 4" xfId="5095" xr:uid="{00000000-0005-0000-0000-0000E80F0000}"/>
    <cellStyle name="Normal 28 5" xfId="5096" xr:uid="{00000000-0005-0000-0000-0000E90F0000}"/>
    <cellStyle name="Normal 28 6" xfId="5097" xr:uid="{00000000-0005-0000-0000-0000EA0F0000}"/>
    <cellStyle name="Normal 28 7" xfId="5098" xr:uid="{00000000-0005-0000-0000-0000EB0F0000}"/>
    <cellStyle name="Normal 28 8" xfId="5099" xr:uid="{00000000-0005-0000-0000-0000EC0F0000}"/>
    <cellStyle name="Normal 29" xfId="4329" xr:uid="{00000000-0005-0000-0000-0000ED0F0000}"/>
    <cellStyle name="Normal 29 2" xfId="5100" xr:uid="{00000000-0005-0000-0000-0000EE0F0000}"/>
    <cellStyle name="Normal 29 3" xfId="5101" xr:uid="{00000000-0005-0000-0000-0000EF0F0000}"/>
    <cellStyle name="Normal 29 4" xfId="5102" xr:uid="{00000000-0005-0000-0000-0000F00F0000}"/>
    <cellStyle name="Normal 29 5" xfId="5103" xr:uid="{00000000-0005-0000-0000-0000F10F0000}"/>
    <cellStyle name="Normal 29 6" xfId="5104" xr:uid="{00000000-0005-0000-0000-0000F20F0000}"/>
    <cellStyle name="Normal 29 7" xfId="5105" xr:uid="{00000000-0005-0000-0000-0000F30F0000}"/>
    <cellStyle name="Normal 29 8" xfId="5106" xr:uid="{00000000-0005-0000-0000-0000F40F0000}"/>
    <cellStyle name="Normal 3" xfId="571" xr:uid="{00000000-0005-0000-0000-0000F50F0000}"/>
    <cellStyle name="Normal 3 2" xfId="572" xr:uid="{00000000-0005-0000-0000-0000F60F0000}"/>
    <cellStyle name="Normal 3 2 2" xfId="573" xr:uid="{00000000-0005-0000-0000-0000F70F0000}"/>
    <cellStyle name="Normal 3 2 2 2" xfId="574" xr:uid="{00000000-0005-0000-0000-0000F80F0000}"/>
    <cellStyle name="Normal 3 2 2 2 2" xfId="575" xr:uid="{00000000-0005-0000-0000-0000F90F0000}"/>
    <cellStyle name="Normal 3 2 2 2 2 2" xfId="4332" xr:uid="{00000000-0005-0000-0000-0000FA0F0000}"/>
    <cellStyle name="Normal 3 2 2 2 2 3" xfId="4333" xr:uid="{00000000-0005-0000-0000-0000FB0F0000}"/>
    <cellStyle name="Normal 3 2 2 2 2 4" xfId="4331" xr:uid="{00000000-0005-0000-0000-0000FC0F0000}"/>
    <cellStyle name="Normal 3 2 2 2 3" xfId="4334" xr:uid="{00000000-0005-0000-0000-0000FD0F0000}"/>
    <cellStyle name="Normal 3 2 2 2 4" xfId="4330" xr:uid="{00000000-0005-0000-0000-0000FE0F0000}"/>
    <cellStyle name="Normal 3 2 2 3" xfId="4335" xr:uid="{00000000-0005-0000-0000-0000FF0F0000}"/>
    <cellStyle name="Normal 3 2 2 4" xfId="4336" xr:uid="{00000000-0005-0000-0000-000000100000}"/>
    <cellStyle name="Normal 3 2 3" xfId="576" xr:uid="{00000000-0005-0000-0000-000001100000}"/>
    <cellStyle name="Normal 3 2 3 2" xfId="577" xr:uid="{00000000-0005-0000-0000-000002100000}"/>
    <cellStyle name="Normal 3 2 3 3" xfId="4337" xr:uid="{00000000-0005-0000-0000-000003100000}"/>
    <cellStyle name="Normal 3 2 4" xfId="578" xr:uid="{00000000-0005-0000-0000-000004100000}"/>
    <cellStyle name="Normal 3 2 4 2" xfId="4338" xr:uid="{00000000-0005-0000-0000-000005100000}"/>
    <cellStyle name="Normal 3 2 5" xfId="4339" xr:uid="{00000000-0005-0000-0000-000006100000}"/>
    <cellStyle name="Normal 3 2 5 2" xfId="4340" xr:uid="{00000000-0005-0000-0000-000007100000}"/>
    <cellStyle name="Normal 3 2 5 3" xfId="4341" xr:uid="{00000000-0005-0000-0000-000008100000}"/>
    <cellStyle name="Normal 3 2 6" xfId="4342" xr:uid="{00000000-0005-0000-0000-000009100000}"/>
    <cellStyle name="Normal 3 2 7" xfId="1388" xr:uid="{00000000-0005-0000-0000-00000A100000}"/>
    <cellStyle name="Normal 3 3" xfId="579" xr:uid="{00000000-0005-0000-0000-00000B100000}"/>
    <cellStyle name="Normal 3 3 2" xfId="580" xr:uid="{00000000-0005-0000-0000-00000C100000}"/>
    <cellStyle name="Normal 3 3 3" xfId="581" xr:uid="{00000000-0005-0000-0000-00000D100000}"/>
    <cellStyle name="Normal 3 3 4" xfId="582" xr:uid="{00000000-0005-0000-0000-00000E100000}"/>
    <cellStyle name="Normal 3 4" xfId="583" xr:uid="{00000000-0005-0000-0000-00000F100000}"/>
    <cellStyle name="Normal 3 4 2" xfId="584" xr:uid="{00000000-0005-0000-0000-000010100000}"/>
    <cellStyle name="Normal 3 4 3" xfId="4343" xr:uid="{00000000-0005-0000-0000-000011100000}"/>
    <cellStyle name="Normal 3 5" xfId="585" xr:uid="{00000000-0005-0000-0000-000012100000}"/>
    <cellStyle name="Normal 3 5 2" xfId="4344" xr:uid="{00000000-0005-0000-0000-000013100000}"/>
    <cellStyle name="Normal 3 6" xfId="586" xr:uid="{00000000-0005-0000-0000-000014100000}"/>
    <cellStyle name="Normal 3 6 2" xfId="587" xr:uid="{00000000-0005-0000-0000-000015100000}"/>
    <cellStyle name="Normal 3 6 3" xfId="4345" xr:uid="{00000000-0005-0000-0000-000016100000}"/>
    <cellStyle name="Normal 3 7" xfId="588" xr:uid="{00000000-0005-0000-0000-000017100000}"/>
    <cellStyle name="Normal 3 7 2" xfId="4346" xr:uid="{00000000-0005-0000-0000-000018100000}"/>
    <cellStyle name="Normal 3 8" xfId="4347" xr:uid="{00000000-0005-0000-0000-000019100000}"/>
    <cellStyle name="Normal 3_HRVATSKE_SUME_71_5.Privremena" xfId="589" xr:uid="{00000000-0005-0000-0000-00001A100000}"/>
    <cellStyle name="Normal 30" xfId="4348" xr:uid="{00000000-0005-0000-0000-00001B100000}"/>
    <cellStyle name="Normal 30 2" xfId="5107" xr:uid="{00000000-0005-0000-0000-00001C100000}"/>
    <cellStyle name="Normal 30 3" xfId="5108" xr:uid="{00000000-0005-0000-0000-00001D100000}"/>
    <cellStyle name="Normal 30 4" xfId="5109" xr:uid="{00000000-0005-0000-0000-00001E100000}"/>
    <cellStyle name="Normal 30 5" xfId="5110" xr:uid="{00000000-0005-0000-0000-00001F100000}"/>
    <cellStyle name="Normal 30 6" xfId="5111" xr:uid="{00000000-0005-0000-0000-000020100000}"/>
    <cellStyle name="Normal 30 7" xfId="5112" xr:uid="{00000000-0005-0000-0000-000021100000}"/>
    <cellStyle name="Normal 30 8" xfId="5113" xr:uid="{00000000-0005-0000-0000-000022100000}"/>
    <cellStyle name="Normal 31" xfId="4349" xr:uid="{00000000-0005-0000-0000-000023100000}"/>
    <cellStyle name="Normal 31 2" xfId="5114" xr:uid="{00000000-0005-0000-0000-000024100000}"/>
    <cellStyle name="Normal 31 3" xfId="5115" xr:uid="{00000000-0005-0000-0000-000025100000}"/>
    <cellStyle name="Normal 31 4" xfId="5116" xr:uid="{00000000-0005-0000-0000-000026100000}"/>
    <cellStyle name="Normal 31 5" xfId="5117" xr:uid="{00000000-0005-0000-0000-000027100000}"/>
    <cellStyle name="Normal 31 6" xfId="5118" xr:uid="{00000000-0005-0000-0000-000028100000}"/>
    <cellStyle name="Normal 31 7" xfId="5119" xr:uid="{00000000-0005-0000-0000-000029100000}"/>
    <cellStyle name="Normal 31 8" xfId="5120" xr:uid="{00000000-0005-0000-0000-00002A100000}"/>
    <cellStyle name="Normal 32" xfId="4350" xr:uid="{00000000-0005-0000-0000-00002B100000}"/>
    <cellStyle name="Normal 32 2" xfId="5121" xr:uid="{00000000-0005-0000-0000-00002C100000}"/>
    <cellStyle name="Normal 32 3" xfId="5122" xr:uid="{00000000-0005-0000-0000-00002D100000}"/>
    <cellStyle name="Normal 32 4" xfId="5123" xr:uid="{00000000-0005-0000-0000-00002E100000}"/>
    <cellStyle name="Normal 32 5" xfId="5124" xr:uid="{00000000-0005-0000-0000-00002F100000}"/>
    <cellStyle name="Normal 32 6" xfId="5125" xr:uid="{00000000-0005-0000-0000-000030100000}"/>
    <cellStyle name="Normal 32 7" xfId="5126" xr:uid="{00000000-0005-0000-0000-000031100000}"/>
    <cellStyle name="Normal 32 8" xfId="5127" xr:uid="{00000000-0005-0000-0000-000032100000}"/>
    <cellStyle name="Normal 33" xfId="4351" xr:uid="{00000000-0005-0000-0000-000033100000}"/>
    <cellStyle name="Normal 33 2" xfId="5128" xr:uid="{00000000-0005-0000-0000-000034100000}"/>
    <cellStyle name="Normal 33 3" xfId="5129" xr:uid="{00000000-0005-0000-0000-000035100000}"/>
    <cellStyle name="Normal 33 4" xfId="5130" xr:uid="{00000000-0005-0000-0000-000036100000}"/>
    <cellStyle name="Normal 33 5" xfId="5131" xr:uid="{00000000-0005-0000-0000-000037100000}"/>
    <cellStyle name="Normal 33 6" xfId="5132" xr:uid="{00000000-0005-0000-0000-000038100000}"/>
    <cellStyle name="Normal 33 7" xfId="5133" xr:uid="{00000000-0005-0000-0000-000039100000}"/>
    <cellStyle name="Normal 33 8" xfId="5134" xr:uid="{00000000-0005-0000-0000-00003A100000}"/>
    <cellStyle name="Normal 34" xfId="4352" xr:uid="{00000000-0005-0000-0000-00003B100000}"/>
    <cellStyle name="Normal 34 2" xfId="5135" xr:uid="{00000000-0005-0000-0000-00003C100000}"/>
    <cellStyle name="Normal 34 3" xfId="5136" xr:uid="{00000000-0005-0000-0000-00003D100000}"/>
    <cellStyle name="Normal 34 4" xfId="5137" xr:uid="{00000000-0005-0000-0000-00003E100000}"/>
    <cellStyle name="Normal 34 5" xfId="5138" xr:uid="{00000000-0005-0000-0000-00003F100000}"/>
    <cellStyle name="Normal 34 6" xfId="5139" xr:uid="{00000000-0005-0000-0000-000040100000}"/>
    <cellStyle name="Normal 34 7" xfId="5140" xr:uid="{00000000-0005-0000-0000-000041100000}"/>
    <cellStyle name="Normal 34 8" xfId="5141" xr:uid="{00000000-0005-0000-0000-000042100000}"/>
    <cellStyle name="Normal 35" xfId="590" xr:uid="{00000000-0005-0000-0000-000043100000}"/>
    <cellStyle name="Normal 35 2" xfId="5142" xr:uid="{00000000-0005-0000-0000-000044100000}"/>
    <cellStyle name="Normal 35 3" xfId="5143" xr:uid="{00000000-0005-0000-0000-000045100000}"/>
    <cellStyle name="Normal 35 4" xfId="5144" xr:uid="{00000000-0005-0000-0000-000046100000}"/>
    <cellStyle name="Normal 35 5" xfId="5145" xr:uid="{00000000-0005-0000-0000-000047100000}"/>
    <cellStyle name="Normal 35 6" xfId="5146" xr:uid="{00000000-0005-0000-0000-000048100000}"/>
    <cellStyle name="Normal 35 7" xfId="5147" xr:uid="{00000000-0005-0000-0000-000049100000}"/>
    <cellStyle name="Normal 35 8" xfId="5148" xr:uid="{00000000-0005-0000-0000-00004A100000}"/>
    <cellStyle name="Normal 35 9" xfId="4353" xr:uid="{00000000-0005-0000-0000-00004B100000}"/>
    <cellStyle name="Normal 36" xfId="4354" xr:uid="{00000000-0005-0000-0000-00004C100000}"/>
    <cellStyle name="Normal 36 2" xfId="5149" xr:uid="{00000000-0005-0000-0000-00004D100000}"/>
    <cellStyle name="Normal 36 3" xfId="5150" xr:uid="{00000000-0005-0000-0000-00004E100000}"/>
    <cellStyle name="Normal 36 4" xfId="5151" xr:uid="{00000000-0005-0000-0000-00004F100000}"/>
    <cellStyle name="Normal 36 5" xfId="5152" xr:uid="{00000000-0005-0000-0000-000050100000}"/>
    <cellStyle name="Normal 36 6" xfId="5153" xr:uid="{00000000-0005-0000-0000-000051100000}"/>
    <cellStyle name="Normal 36 7" xfId="5154" xr:uid="{00000000-0005-0000-0000-000052100000}"/>
    <cellStyle name="Normal 36 8" xfId="5155" xr:uid="{00000000-0005-0000-0000-000053100000}"/>
    <cellStyle name="Normal 37" xfId="4355" xr:uid="{00000000-0005-0000-0000-000054100000}"/>
    <cellStyle name="Normal 37 2" xfId="5156" xr:uid="{00000000-0005-0000-0000-000055100000}"/>
    <cellStyle name="Normal 37 3" xfId="5157" xr:uid="{00000000-0005-0000-0000-000056100000}"/>
    <cellStyle name="Normal 37 4" xfId="5158" xr:uid="{00000000-0005-0000-0000-000057100000}"/>
    <cellStyle name="Normal 37 5" xfId="5159" xr:uid="{00000000-0005-0000-0000-000058100000}"/>
    <cellStyle name="Normal 37 6" xfId="5160" xr:uid="{00000000-0005-0000-0000-000059100000}"/>
    <cellStyle name="Normal 37 7" xfId="5161" xr:uid="{00000000-0005-0000-0000-00005A100000}"/>
    <cellStyle name="Normal 37 8" xfId="5162" xr:uid="{00000000-0005-0000-0000-00005B100000}"/>
    <cellStyle name="Normal 38" xfId="4356" xr:uid="{00000000-0005-0000-0000-00005C100000}"/>
    <cellStyle name="Normal 39" xfId="4357" xr:uid="{00000000-0005-0000-0000-00005D100000}"/>
    <cellStyle name="Normal 39 2" xfId="5163" xr:uid="{00000000-0005-0000-0000-00005E100000}"/>
    <cellStyle name="Normal 39 3" xfId="5164" xr:uid="{00000000-0005-0000-0000-00005F100000}"/>
    <cellStyle name="Normal 39 4" xfId="5165" xr:uid="{00000000-0005-0000-0000-000060100000}"/>
    <cellStyle name="Normal 39 5" xfId="5166" xr:uid="{00000000-0005-0000-0000-000061100000}"/>
    <cellStyle name="Normal 39 6" xfId="5167" xr:uid="{00000000-0005-0000-0000-000062100000}"/>
    <cellStyle name="Normal 39 7" xfId="5168" xr:uid="{00000000-0005-0000-0000-000063100000}"/>
    <cellStyle name="Normal 39 8" xfId="5169" xr:uid="{00000000-0005-0000-0000-000064100000}"/>
    <cellStyle name="Normal 4" xfId="591" xr:uid="{00000000-0005-0000-0000-000065100000}"/>
    <cellStyle name="Normal 4 10" xfId="592" xr:uid="{00000000-0005-0000-0000-000066100000}"/>
    <cellStyle name="Normal 4 10 2" xfId="1305" xr:uid="{00000000-0005-0000-0000-000067100000}"/>
    <cellStyle name="Normal 4 11" xfId="1304" xr:uid="{00000000-0005-0000-0000-000068100000}"/>
    <cellStyle name="Normal 4 2" xfId="593" xr:uid="{00000000-0005-0000-0000-000069100000}"/>
    <cellStyle name="Normal 4 2 2" xfId="594" xr:uid="{00000000-0005-0000-0000-00006A100000}"/>
    <cellStyle name="Normal 4 2 3" xfId="595" xr:uid="{00000000-0005-0000-0000-00006B100000}"/>
    <cellStyle name="Normal 4 2 4" xfId="1306" xr:uid="{00000000-0005-0000-0000-00006C100000}"/>
    <cellStyle name="Normal 4 3" xfId="596" xr:uid="{00000000-0005-0000-0000-00006D100000}"/>
    <cellStyle name="Normal 4 3 2" xfId="597" xr:uid="{00000000-0005-0000-0000-00006E100000}"/>
    <cellStyle name="Normal 4 3 2 2" xfId="4360" xr:uid="{00000000-0005-0000-0000-00006F100000}"/>
    <cellStyle name="Normal 4 3 2 2 2" xfId="4361" xr:uid="{00000000-0005-0000-0000-000070100000}"/>
    <cellStyle name="Normal 4 3 2 2 2 2" xfId="4362" xr:uid="{00000000-0005-0000-0000-000071100000}"/>
    <cellStyle name="Normal 4 3 2 2 2 3" xfId="4363" xr:uid="{00000000-0005-0000-0000-000072100000}"/>
    <cellStyle name="Normal 4 3 2 2 3" xfId="4364" xr:uid="{00000000-0005-0000-0000-000073100000}"/>
    <cellStyle name="Normal 4 3 2 3" xfId="4365" xr:uid="{00000000-0005-0000-0000-000074100000}"/>
    <cellStyle name="Normal 4 3 2 4" xfId="4366" xr:uid="{00000000-0005-0000-0000-000075100000}"/>
    <cellStyle name="Normal 4 3 2 5" xfId="4359" xr:uid="{00000000-0005-0000-0000-000076100000}"/>
    <cellStyle name="Normal 4 3 3" xfId="4367" xr:uid="{00000000-0005-0000-0000-000077100000}"/>
    <cellStyle name="Normal 4 3 4" xfId="4368" xr:uid="{00000000-0005-0000-0000-000078100000}"/>
    <cellStyle name="Normal 4 3 5" xfId="4369" xr:uid="{00000000-0005-0000-0000-000079100000}"/>
    <cellStyle name="Normal 4 3 5 2" xfId="4370" xr:uid="{00000000-0005-0000-0000-00007A100000}"/>
    <cellStyle name="Normal 4 3 5 3" xfId="4371" xr:uid="{00000000-0005-0000-0000-00007B100000}"/>
    <cellStyle name="Normal 4 3 6" xfId="4372" xr:uid="{00000000-0005-0000-0000-00007C100000}"/>
    <cellStyle name="Normal 4 3 7" xfId="4358" xr:uid="{00000000-0005-0000-0000-00007D100000}"/>
    <cellStyle name="Normal 4 4" xfId="598" xr:uid="{00000000-0005-0000-0000-00007E100000}"/>
    <cellStyle name="Normal 4 4 2" xfId="4373" xr:uid="{00000000-0005-0000-0000-00007F100000}"/>
    <cellStyle name="Normal 4 5" xfId="599" xr:uid="{00000000-0005-0000-0000-000080100000}"/>
    <cellStyle name="Normal 4 5 2" xfId="4374" xr:uid="{00000000-0005-0000-0000-000081100000}"/>
    <cellStyle name="Normal 4 6" xfId="4375" xr:uid="{00000000-0005-0000-0000-000082100000}"/>
    <cellStyle name="Normal 4 7" xfId="4376" xr:uid="{00000000-0005-0000-0000-000083100000}"/>
    <cellStyle name="Normal 4 8" xfId="4377" xr:uid="{00000000-0005-0000-0000-000084100000}"/>
    <cellStyle name="Normal 4 9" xfId="600" xr:uid="{00000000-0005-0000-0000-000085100000}"/>
    <cellStyle name="Normal 40" xfId="4378" xr:uid="{00000000-0005-0000-0000-000086100000}"/>
    <cellStyle name="Normal 40 2" xfId="5170" xr:uid="{00000000-0005-0000-0000-000087100000}"/>
    <cellStyle name="Normal 40 3" xfId="5171" xr:uid="{00000000-0005-0000-0000-000088100000}"/>
    <cellStyle name="Normal 40 4" xfId="5172" xr:uid="{00000000-0005-0000-0000-000089100000}"/>
    <cellStyle name="Normal 40 5" xfId="5173" xr:uid="{00000000-0005-0000-0000-00008A100000}"/>
    <cellStyle name="Normal 40 6" xfId="5174" xr:uid="{00000000-0005-0000-0000-00008B100000}"/>
    <cellStyle name="Normal 40 7" xfId="5175" xr:uid="{00000000-0005-0000-0000-00008C100000}"/>
    <cellStyle name="Normal 40 8" xfId="5176" xr:uid="{00000000-0005-0000-0000-00008D100000}"/>
    <cellStyle name="Normal 41" xfId="5177" xr:uid="{00000000-0005-0000-0000-00008E100000}"/>
    <cellStyle name="Normal 41 2" xfId="4379" xr:uid="{00000000-0005-0000-0000-00008F100000}"/>
    <cellStyle name="Normal 41 3" xfId="4380" xr:uid="{00000000-0005-0000-0000-000090100000}"/>
    <cellStyle name="Normal 41 4" xfId="4381" xr:uid="{00000000-0005-0000-0000-000091100000}"/>
    <cellStyle name="Normal 41 5" xfId="4382" xr:uid="{00000000-0005-0000-0000-000092100000}"/>
    <cellStyle name="Normal 42" xfId="5178" xr:uid="{00000000-0005-0000-0000-000093100000}"/>
    <cellStyle name="Normal 42 2" xfId="4383" xr:uid="{00000000-0005-0000-0000-000094100000}"/>
    <cellStyle name="Normal 42 3" xfId="4384" xr:uid="{00000000-0005-0000-0000-000095100000}"/>
    <cellStyle name="Normal 42 4" xfId="4385" xr:uid="{00000000-0005-0000-0000-000096100000}"/>
    <cellStyle name="Normal 42 5" xfId="4386" xr:uid="{00000000-0005-0000-0000-000097100000}"/>
    <cellStyle name="Normal 43" xfId="5179" xr:uid="{00000000-0005-0000-0000-000098100000}"/>
    <cellStyle name="Normal 43 2" xfId="4387" xr:uid="{00000000-0005-0000-0000-000099100000}"/>
    <cellStyle name="Normal 43 3" xfId="4388" xr:uid="{00000000-0005-0000-0000-00009A100000}"/>
    <cellStyle name="Normal 43 4" xfId="4389" xr:uid="{00000000-0005-0000-0000-00009B100000}"/>
    <cellStyle name="Normal 43 5" xfId="4390" xr:uid="{00000000-0005-0000-0000-00009C100000}"/>
    <cellStyle name="Normal 44" xfId="5180" xr:uid="{00000000-0005-0000-0000-00009D100000}"/>
    <cellStyle name="Normal 44 2" xfId="4391" xr:uid="{00000000-0005-0000-0000-00009E100000}"/>
    <cellStyle name="Normal 44 3" xfId="4392" xr:uid="{00000000-0005-0000-0000-00009F100000}"/>
    <cellStyle name="Normal 44 4" xfId="4393" xr:uid="{00000000-0005-0000-0000-0000A0100000}"/>
    <cellStyle name="Normal 44 5" xfId="4394" xr:uid="{00000000-0005-0000-0000-0000A1100000}"/>
    <cellStyle name="Normal 45" xfId="5181" xr:uid="{00000000-0005-0000-0000-0000A2100000}"/>
    <cellStyle name="Normal 45 2" xfId="4395" xr:uid="{00000000-0005-0000-0000-0000A3100000}"/>
    <cellStyle name="Normal 45 3" xfId="4396" xr:uid="{00000000-0005-0000-0000-0000A4100000}"/>
    <cellStyle name="Normal 45 4" xfId="4397" xr:uid="{00000000-0005-0000-0000-0000A5100000}"/>
    <cellStyle name="Normal 45 5" xfId="4398" xr:uid="{00000000-0005-0000-0000-0000A6100000}"/>
    <cellStyle name="Normal 46" xfId="5182" xr:uid="{00000000-0005-0000-0000-0000A7100000}"/>
    <cellStyle name="Normal 46 2" xfId="4399" xr:uid="{00000000-0005-0000-0000-0000A8100000}"/>
    <cellStyle name="Normal 46 3" xfId="4400" xr:uid="{00000000-0005-0000-0000-0000A9100000}"/>
    <cellStyle name="Normal 46 4" xfId="4401" xr:uid="{00000000-0005-0000-0000-0000AA100000}"/>
    <cellStyle name="Normal 46 5" xfId="4402" xr:uid="{00000000-0005-0000-0000-0000AB100000}"/>
    <cellStyle name="Normal 47" xfId="5183" xr:uid="{00000000-0005-0000-0000-0000AC100000}"/>
    <cellStyle name="Normal 47 2" xfId="4403" xr:uid="{00000000-0005-0000-0000-0000AD100000}"/>
    <cellStyle name="Normal 47 3" xfId="4404" xr:uid="{00000000-0005-0000-0000-0000AE100000}"/>
    <cellStyle name="Normal 47 4" xfId="4405" xr:uid="{00000000-0005-0000-0000-0000AF100000}"/>
    <cellStyle name="Normal 47 5" xfId="4406" xr:uid="{00000000-0005-0000-0000-0000B0100000}"/>
    <cellStyle name="Normal 48" xfId="5184" xr:uid="{00000000-0005-0000-0000-0000B1100000}"/>
    <cellStyle name="Normal 48 2" xfId="4407" xr:uid="{00000000-0005-0000-0000-0000B2100000}"/>
    <cellStyle name="Normal 48 3" xfId="4408" xr:uid="{00000000-0005-0000-0000-0000B3100000}"/>
    <cellStyle name="Normal 48 4" xfId="4409" xr:uid="{00000000-0005-0000-0000-0000B4100000}"/>
    <cellStyle name="Normal 49" xfId="5185" xr:uid="{00000000-0005-0000-0000-0000B5100000}"/>
    <cellStyle name="Normal 49 2" xfId="4410" xr:uid="{00000000-0005-0000-0000-0000B6100000}"/>
    <cellStyle name="Normal 49 3" xfId="4411" xr:uid="{00000000-0005-0000-0000-0000B7100000}"/>
    <cellStyle name="Normal 49 4" xfId="4412" xr:uid="{00000000-0005-0000-0000-0000B8100000}"/>
    <cellStyle name="Normal 49 5" xfId="4413" xr:uid="{00000000-0005-0000-0000-0000B9100000}"/>
    <cellStyle name="Normal 5" xfId="601" xr:uid="{00000000-0005-0000-0000-0000BA100000}"/>
    <cellStyle name="Normal 5 10" xfId="4414" xr:uid="{00000000-0005-0000-0000-0000BB100000}"/>
    <cellStyle name="Normal 5 11" xfId="4415" xr:uid="{00000000-0005-0000-0000-0000BC100000}"/>
    <cellStyle name="Normal 5 12" xfId="4416" xr:uid="{00000000-0005-0000-0000-0000BD100000}"/>
    <cellStyle name="Normal 5 13" xfId="4417" xr:uid="{00000000-0005-0000-0000-0000BE100000}"/>
    <cellStyle name="Normal 5 14" xfId="4418" xr:uid="{00000000-0005-0000-0000-0000BF100000}"/>
    <cellStyle name="Normal 5 15" xfId="4419" xr:uid="{00000000-0005-0000-0000-0000C0100000}"/>
    <cellStyle name="Normal 5 16" xfId="4420" xr:uid="{00000000-0005-0000-0000-0000C1100000}"/>
    <cellStyle name="Normal 5 17" xfId="1307" xr:uid="{00000000-0005-0000-0000-0000C2100000}"/>
    <cellStyle name="Normal 5 2" xfId="602" xr:uid="{00000000-0005-0000-0000-0000C3100000}"/>
    <cellStyle name="Normal 5 3" xfId="603" xr:uid="{00000000-0005-0000-0000-0000C4100000}"/>
    <cellStyle name="Normal 5 3 2" xfId="4421" xr:uid="{00000000-0005-0000-0000-0000C5100000}"/>
    <cellStyle name="Normal 5 35" xfId="1308" xr:uid="{00000000-0005-0000-0000-0000C6100000}"/>
    <cellStyle name="Normal 5 4" xfId="4422" xr:uid="{00000000-0005-0000-0000-0000C7100000}"/>
    <cellStyle name="Normal 5 47" xfId="1309" xr:uid="{00000000-0005-0000-0000-0000C8100000}"/>
    <cellStyle name="Normal 5 5" xfId="4423" xr:uid="{00000000-0005-0000-0000-0000C9100000}"/>
    <cellStyle name="Normal 5 58" xfId="1310" xr:uid="{00000000-0005-0000-0000-0000CA100000}"/>
    <cellStyle name="Normal 5 6" xfId="4424" xr:uid="{00000000-0005-0000-0000-0000CB100000}"/>
    <cellStyle name="Normal 5 66" xfId="1311" xr:uid="{00000000-0005-0000-0000-0000CC100000}"/>
    <cellStyle name="Normal 5 7" xfId="4425" xr:uid="{00000000-0005-0000-0000-0000CD100000}"/>
    <cellStyle name="Normal 5 8" xfId="4426" xr:uid="{00000000-0005-0000-0000-0000CE100000}"/>
    <cellStyle name="Normal 5 9" xfId="4427" xr:uid="{00000000-0005-0000-0000-0000CF100000}"/>
    <cellStyle name="Normal 50" xfId="5186" xr:uid="{00000000-0005-0000-0000-0000D0100000}"/>
    <cellStyle name="Normal 50 2" xfId="4428" xr:uid="{00000000-0005-0000-0000-0000D1100000}"/>
    <cellStyle name="Normal 50 3" xfId="4429" xr:uid="{00000000-0005-0000-0000-0000D2100000}"/>
    <cellStyle name="Normal 50 4" xfId="4430" xr:uid="{00000000-0005-0000-0000-0000D3100000}"/>
    <cellStyle name="Normal 51" xfId="5187" xr:uid="{00000000-0005-0000-0000-0000D4100000}"/>
    <cellStyle name="Normal 52" xfId="5188" xr:uid="{00000000-0005-0000-0000-0000D5100000}"/>
    <cellStyle name="Normal 52 2" xfId="4431" xr:uid="{00000000-0005-0000-0000-0000D6100000}"/>
    <cellStyle name="Normal 52 3" xfId="4432" xr:uid="{00000000-0005-0000-0000-0000D7100000}"/>
    <cellStyle name="Normal 52 4" xfId="4433" xr:uid="{00000000-0005-0000-0000-0000D8100000}"/>
    <cellStyle name="Normal 53" xfId="5189" xr:uid="{00000000-0005-0000-0000-0000D9100000}"/>
    <cellStyle name="Normal 53 2" xfId="4434" xr:uid="{00000000-0005-0000-0000-0000DA100000}"/>
    <cellStyle name="Normal 53 3" xfId="4435" xr:uid="{00000000-0005-0000-0000-0000DB100000}"/>
    <cellStyle name="Normal 54" xfId="4790" xr:uid="{00000000-0005-0000-0000-0000DC100000}"/>
    <cellStyle name="Normal 55" xfId="5223" xr:uid="{00000000-0005-0000-0000-0000DD100000}"/>
    <cellStyle name="Normal 56" xfId="4436" xr:uid="{00000000-0005-0000-0000-0000DE100000}"/>
    <cellStyle name="Normal 57" xfId="5246" xr:uid="{00000000-0005-0000-0000-0000DF100000}"/>
    <cellStyle name="Normal 58" xfId="5274" xr:uid="{00000000-0005-0000-0000-0000E0100000}"/>
    <cellStyle name="Normal 6" xfId="604" xr:uid="{00000000-0005-0000-0000-0000E1100000}"/>
    <cellStyle name="Normal 6 10" xfId="4437" xr:uid="{00000000-0005-0000-0000-0000E2100000}"/>
    <cellStyle name="Normal 6 11" xfId="4438" xr:uid="{00000000-0005-0000-0000-0000E3100000}"/>
    <cellStyle name="Normal 6 12" xfId="4439" xr:uid="{00000000-0005-0000-0000-0000E4100000}"/>
    <cellStyle name="Normal 6 13" xfId="4440" xr:uid="{00000000-0005-0000-0000-0000E5100000}"/>
    <cellStyle name="Normal 6 14" xfId="4441" xr:uid="{00000000-0005-0000-0000-0000E6100000}"/>
    <cellStyle name="Normal 6 15" xfId="4442" xr:uid="{00000000-0005-0000-0000-0000E7100000}"/>
    <cellStyle name="Normal 6 16" xfId="5226" xr:uid="{00000000-0005-0000-0000-0000E8100000}"/>
    <cellStyle name="Normal 6 17" xfId="1312" xr:uid="{00000000-0005-0000-0000-0000E9100000}"/>
    <cellStyle name="Normal 6 2" xfId="605" xr:uid="{00000000-0005-0000-0000-0000EA100000}"/>
    <cellStyle name="Normal 6 2 2" xfId="606" xr:uid="{00000000-0005-0000-0000-0000EB100000}"/>
    <cellStyle name="Normal 6 2 2 2" xfId="5238" xr:uid="{00000000-0005-0000-0000-0000EC100000}"/>
    <cellStyle name="Normal 6 2 3" xfId="607" xr:uid="{00000000-0005-0000-0000-0000ED100000}"/>
    <cellStyle name="Normal 6 2 4" xfId="1392" xr:uid="{00000000-0005-0000-0000-0000EE100000}"/>
    <cellStyle name="Normal 6 3" xfId="608" xr:uid="{00000000-0005-0000-0000-0000EF100000}"/>
    <cellStyle name="Normal 6 3 2" xfId="609" xr:uid="{00000000-0005-0000-0000-0000F0100000}"/>
    <cellStyle name="Normal 6 3 3" xfId="610" xr:uid="{00000000-0005-0000-0000-0000F1100000}"/>
    <cellStyle name="Normal 6 4" xfId="611" xr:uid="{00000000-0005-0000-0000-0000F2100000}"/>
    <cellStyle name="Normal 6 5" xfId="4443" xr:uid="{00000000-0005-0000-0000-0000F3100000}"/>
    <cellStyle name="Normal 6 6" xfId="4444" xr:uid="{00000000-0005-0000-0000-0000F4100000}"/>
    <cellStyle name="Normal 6 7" xfId="4445" xr:uid="{00000000-0005-0000-0000-0000F5100000}"/>
    <cellStyle name="Normal 6 8" xfId="4446" xr:uid="{00000000-0005-0000-0000-0000F6100000}"/>
    <cellStyle name="Normal 6 9" xfId="4447" xr:uid="{00000000-0005-0000-0000-0000F7100000}"/>
    <cellStyle name="Normal 7" xfId="612" xr:uid="{00000000-0005-0000-0000-0000F8100000}"/>
    <cellStyle name="Normal 7 10" xfId="4448" xr:uid="{00000000-0005-0000-0000-0000F9100000}"/>
    <cellStyle name="Normal 7 11" xfId="4449" xr:uid="{00000000-0005-0000-0000-0000FA100000}"/>
    <cellStyle name="Normal 7 12" xfId="4450" xr:uid="{00000000-0005-0000-0000-0000FB100000}"/>
    <cellStyle name="Normal 7 13" xfId="4451" xr:uid="{00000000-0005-0000-0000-0000FC100000}"/>
    <cellStyle name="Normal 7 14" xfId="4452" xr:uid="{00000000-0005-0000-0000-0000FD100000}"/>
    <cellStyle name="Normal 7 15" xfId="4453" xr:uid="{00000000-0005-0000-0000-0000FE100000}"/>
    <cellStyle name="Normal 7 2" xfId="613" xr:uid="{00000000-0005-0000-0000-0000FF100000}"/>
    <cellStyle name="Normal 7 3" xfId="614" xr:uid="{00000000-0005-0000-0000-000000110000}"/>
    <cellStyle name="Normal 7 3 2" xfId="4454" xr:uid="{00000000-0005-0000-0000-000001110000}"/>
    <cellStyle name="Normal 7 4" xfId="4455" xr:uid="{00000000-0005-0000-0000-000002110000}"/>
    <cellStyle name="Normal 7 5" xfId="4456" xr:uid="{00000000-0005-0000-0000-000003110000}"/>
    <cellStyle name="Normal 7 6" xfId="4457" xr:uid="{00000000-0005-0000-0000-000004110000}"/>
    <cellStyle name="Normal 7 7" xfId="4458" xr:uid="{00000000-0005-0000-0000-000005110000}"/>
    <cellStyle name="Normal 7 8" xfId="4459" xr:uid="{00000000-0005-0000-0000-000006110000}"/>
    <cellStyle name="Normal 7 9" xfId="4460" xr:uid="{00000000-0005-0000-0000-000007110000}"/>
    <cellStyle name="Normal 8" xfId="615" xr:uid="{00000000-0005-0000-0000-000008110000}"/>
    <cellStyle name="Normal 8 10" xfId="4461" xr:uid="{00000000-0005-0000-0000-000009110000}"/>
    <cellStyle name="Normal 8 11" xfId="4462" xr:uid="{00000000-0005-0000-0000-00000A110000}"/>
    <cellStyle name="Normal 8 12" xfId="5190" xr:uid="{00000000-0005-0000-0000-00000B110000}"/>
    <cellStyle name="Normal 8 13" xfId="5191" xr:uid="{00000000-0005-0000-0000-00000C110000}"/>
    <cellStyle name="Normal 8 14" xfId="5192" xr:uid="{00000000-0005-0000-0000-00000D110000}"/>
    <cellStyle name="Normal 8 15" xfId="5193" xr:uid="{00000000-0005-0000-0000-00000E110000}"/>
    <cellStyle name="Normal 8 16" xfId="5194" xr:uid="{00000000-0005-0000-0000-00000F110000}"/>
    <cellStyle name="Normal 8 17" xfId="5195" xr:uid="{00000000-0005-0000-0000-000010110000}"/>
    <cellStyle name="Normal 8 18" xfId="5196" xr:uid="{00000000-0005-0000-0000-000011110000}"/>
    <cellStyle name="Normal 8 19" xfId="5197" xr:uid="{00000000-0005-0000-0000-000012110000}"/>
    <cellStyle name="Normal 8 2" xfId="616" xr:uid="{00000000-0005-0000-0000-000013110000}"/>
    <cellStyle name="Normal 8 20" xfId="5198" xr:uid="{00000000-0005-0000-0000-000014110000}"/>
    <cellStyle name="Normal 8 21" xfId="5199" xr:uid="{00000000-0005-0000-0000-000015110000}"/>
    <cellStyle name="Normal 8 22" xfId="5200" xr:uid="{00000000-0005-0000-0000-000016110000}"/>
    <cellStyle name="Normal 8 23" xfId="5201" xr:uid="{00000000-0005-0000-0000-000017110000}"/>
    <cellStyle name="Normal 8 24" xfId="5202" xr:uid="{00000000-0005-0000-0000-000018110000}"/>
    <cellStyle name="Normal 8 25" xfId="5203" xr:uid="{00000000-0005-0000-0000-000019110000}"/>
    <cellStyle name="Normal 8 26" xfId="5204" xr:uid="{00000000-0005-0000-0000-00001A110000}"/>
    <cellStyle name="Normal 8 3" xfId="4463" xr:uid="{00000000-0005-0000-0000-00001B110000}"/>
    <cellStyle name="Normal 8 4" xfId="4464" xr:uid="{00000000-0005-0000-0000-00001C110000}"/>
    <cellStyle name="Normal 8 5" xfId="4465" xr:uid="{00000000-0005-0000-0000-00001D110000}"/>
    <cellStyle name="Normal 8 6" xfId="4466" xr:uid="{00000000-0005-0000-0000-00001E110000}"/>
    <cellStyle name="Normal 8 7" xfId="4467" xr:uid="{00000000-0005-0000-0000-00001F110000}"/>
    <cellStyle name="Normal 8 8" xfId="4468" xr:uid="{00000000-0005-0000-0000-000020110000}"/>
    <cellStyle name="Normal 8 9" xfId="4469" xr:uid="{00000000-0005-0000-0000-000021110000}"/>
    <cellStyle name="Normal 85" xfId="617" xr:uid="{00000000-0005-0000-0000-000022110000}"/>
    <cellStyle name="Normal 9" xfId="618" xr:uid="{00000000-0005-0000-0000-000023110000}"/>
    <cellStyle name="Normal 9 10" xfId="4470" xr:uid="{00000000-0005-0000-0000-000024110000}"/>
    <cellStyle name="Normal 9 11" xfId="4471" xr:uid="{00000000-0005-0000-0000-000025110000}"/>
    <cellStyle name="Normal 9 12" xfId="4472" xr:uid="{00000000-0005-0000-0000-000026110000}"/>
    <cellStyle name="Normal 9 13" xfId="4473" xr:uid="{00000000-0005-0000-0000-000027110000}"/>
    <cellStyle name="Normal 9 14" xfId="4474" xr:uid="{00000000-0005-0000-0000-000028110000}"/>
    <cellStyle name="Normal 9 15" xfId="4475" xr:uid="{00000000-0005-0000-0000-000029110000}"/>
    <cellStyle name="Normal 9 16" xfId="4476" xr:uid="{00000000-0005-0000-0000-00002A110000}"/>
    <cellStyle name="Normal 9 17" xfId="4477" xr:uid="{00000000-0005-0000-0000-00002B110000}"/>
    <cellStyle name="Normal 9 2" xfId="619" xr:uid="{00000000-0005-0000-0000-00002C110000}"/>
    <cellStyle name="Normal 9 3" xfId="620" xr:uid="{00000000-0005-0000-0000-00002D110000}"/>
    <cellStyle name="Normal 9 3 2" xfId="4478" xr:uid="{00000000-0005-0000-0000-00002E110000}"/>
    <cellStyle name="Normal 9 4" xfId="4479" xr:uid="{00000000-0005-0000-0000-00002F110000}"/>
    <cellStyle name="Normal 9 5" xfId="4480" xr:uid="{00000000-0005-0000-0000-000030110000}"/>
    <cellStyle name="Normal 9 6" xfId="4481" xr:uid="{00000000-0005-0000-0000-000031110000}"/>
    <cellStyle name="Normal 9 7" xfId="4482" xr:uid="{00000000-0005-0000-0000-000032110000}"/>
    <cellStyle name="Normal 9 8" xfId="4483" xr:uid="{00000000-0005-0000-0000-000033110000}"/>
    <cellStyle name="Normal 9 9" xfId="4484" xr:uid="{00000000-0005-0000-0000-000034110000}"/>
    <cellStyle name="Normal 96" xfId="621" xr:uid="{00000000-0005-0000-0000-000035110000}"/>
    <cellStyle name="Normal 97" xfId="622" xr:uid="{00000000-0005-0000-0000-000036110000}"/>
    <cellStyle name="Normal 98" xfId="623" xr:uid="{00000000-0005-0000-0000-000037110000}"/>
    <cellStyle name="Normal_TROŠKOVNIK - KAM - ŽUTO" xfId="4" xr:uid="{00000000-0005-0000-0000-000038110000}"/>
    <cellStyle name="Normal1" xfId="2" xr:uid="{00000000-0005-0000-0000-000039110000}"/>
    <cellStyle name="Normal1 2" xfId="624" xr:uid="{00000000-0005-0000-0000-00003A110000}"/>
    <cellStyle name="Normal1 2 2" xfId="625" xr:uid="{00000000-0005-0000-0000-00003B110000}"/>
    <cellStyle name="Normal1 2 3" xfId="5205" xr:uid="{00000000-0005-0000-0000-00003C110000}"/>
    <cellStyle name="Normal2" xfId="626" xr:uid="{00000000-0005-0000-0000-00003D110000}"/>
    <cellStyle name="Normal3" xfId="627" xr:uid="{00000000-0005-0000-0000-00003E110000}"/>
    <cellStyle name="Normal3 2" xfId="5206" xr:uid="{00000000-0005-0000-0000-00003F110000}"/>
    <cellStyle name="Normale_Foglio1" xfId="628" xr:uid="{00000000-0005-0000-0000-000040110000}"/>
    <cellStyle name="Normalno 10" xfId="1313" xr:uid="{00000000-0005-0000-0000-000041110000}"/>
    <cellStyle name="Normalno 11" xfId="1314" xr:uid="{00000000-0005-0000-0000-000042110000}"/>
    <cellStyle name="Normalno 12" xfId="1193" xr:uid="{00000000-0005-0000-0000-000043110000}"/>
    <cellStyle name="Normalno 15" xfId="1400" xr:uid="{00000000-0005-0000-0000-000044110000}"/>
    <cellStyle name="Normalno 16" xfId="1315" xr:uid="{00000000-0005-0000-0000-000045110000}"/>
    <cellStyle name="Normalno 16 2" xfId="1316" xr:uid="{00000000-0005-0000-0000-000046110000}"/>
    <cellStyle name="Normalno 16 3" xfId="1317" xr:uid="{00000000-0005-0000-0000-000047110000}"/>
    <cellStyle name="Normalno 2" xfId="629" xr:uid="{00000000-0005-0000-0000-000048110000}"/>
    <cellStyle name="Normalno 2 2" xfId="630" xr:uid="{00000000-0005-0000-0000-000049110000}"/>
    <cellStyle name="Normalno 2 2 2" xfId="1319" xr:uid="{00000000-0005-0000-0000-00004A110000}"/>
    <cellStyle name="Normalno 2 2_KTC-Pakrac_TC+BP_GHV-TROŠKOVNIK" xfId="1320" xr:uid="{00000000-0005-0000-0000-00004B110000}"/>
    <cellStyle name="Normalno 2 3" xfId="631" xr:uid="{00000000-0005-0000-0000-00004C110000}"/>
    <cellStyle name="Normalno 2 3 2" xfId="1321" xr:uid="{00000000-0005-0000-0000-00004D110000}"/>
    <cellStyle name="Normalno 2 4" xfId="1318" xr:uid="{00000000-0005-0000-0000-00004E110000}"/>
    <cellStyle name="Normalno 2_KTC-Pakrac_TC+BP_GHV-TROŠKOVNIK" xfId="1322" xr:uid="{00000000-0005-0000-0000-00004F110000}"/>
    <cellStyle name="Normalno 25" xfId="632" xr:uid="{00000000-0005-0000-0000-000050110000}"/>
    <cellStyle name="Normalno 3" xfId="1323" xr:uid="{00000000-0005-0000-0000-000051110000}"/>
    <cellStyle name="Normalno 3 2" xfId="633" xr:uid="{00000000-0005-0000-0000-000052110000}"/>
    <cellStyle name="Normalno 3 2 2" xfId="1324" xr:uid="{00000000-0005-0000-0000-000053110000}"/>
    <cellStyle name="Normalno 3 3" xfId="1325" xr:uid="{00000000-0005-0000-0000-000054110000}"/>
    <cellStyle name="Normalno 3_KTC-Pakrac_TC+BP_GHV-TROŠKOVNIK" xfId="1326" xr:uid="{00000000-0005-0000-0000-000055110000}"/>
    <cellStyle name="Normalno 4" xfId="1327" xr:uid="{00000000-0005-0000-0000-000056110000}"/>
    <cellStyle name="Normalno 4 2" xfId="1328" xr:uid="{00000000-0005-0000-0000-000057110000}"/>
    <cellStyle name="Normalno 4 2 2" xfId="1329" xr:uid="{00000000-0005-0000-0000-000058110000}"/>
    <cellStyle name="Normalno 4 3" xfId="1330" xr:uid="{00000000-0005-0000-0000-000059110000}"/>
    <cellStyle name="Normalno 4_KTC-Pakrac_TC+BP_GHV-TROŠKOVNIK" xfId="1331" xr:uid="{00000000-0005-0000-0000-00005A110000}"/>
    <cellStyle name="Normalno 5" xfId="1332" xr:uid="{00000000-0005-0000-0000-00005B110000}"/>
    <cellStyle name="Normalno 5 2" xfId="1333" xr:uid="{00000000-0005-0000-0000-00005C110000}"/>
    <cellStyle name="Normalno 5 3" xfId="1401" xr:uid="{00000000-0005-0000-0000-00005D110000}"/>
    <cellStyle name="Normalno 5 3 2" xfId="5247" xr:uid="{00000000-0005-0000-0000-00005E110000}"/>
    <cellStyle name="Normalno 6" xfId="1334" xr:uid="{00000000-0005-0000-0000-00005F110000}"/>
    <cellStyle name="Normalno 7" xfId="1335" xr:uid="{00000000-0005-0000-0000-000060110000}"/>
    <cellStyle name="Normalno 8" xfId="1336" xr:uid="{00000000-0005-0000-0000-000061110000}"/>
    <cellStyle name="Normalno 9" xfId="1337" xr:uid="{00000000-0005-0000-0000-000062110000}"/>
    <cellStyle name="Note 1" xfId="634" xr:uid="{00000000-0005-0000-0000-000063110000}"/>
    <cellStyle name="Note 1 1" xfId="635" xr:uid="{00000000-0005-0000-0000-000064110000}"/>
    <cellStyle name="Note 1 1 2" xfId="636" xr:uid="{00000000-0005-0000-0000-000065110000}"/>
    <cellStyle name="Note 1 2" xfId="637" xr:uid="{00000000-0005-0000-0000-000066110000}"/>
    <cellStyle name="Note 2" xfId="638" xr:uid="{00000000-0005-0000-0000-000067110000}"/>
    <cellStyle name="Note 2 2" xfId="639" xr:uid="{00000000-0005-0000-0000-000068110000}"/>
    <cellStyle name="Note 2 2 2" xfId="640" xr:uid="{00000000-0005-0000-0000-000069110000}"/>
    <cellStyle name="Note 2 2 2 2" xfId="641" xr:uid="{00000000-0005-0000-0000-00006A110000}"/>
    <cellStyle name="Note 2 2 3" xfId="642" xr:uid="{00000000-0005-0000-0000-00006B110000}"/>
    <cellStyle name="Note 2 2 4" xfId="4485" xr:uid="{00000000-0005-0000-0000-00006C110000}"/>
    <cellStyle name="Note 2 3" xfId="643" xr:uid="{00000000-0005-0000-0000-00006D110000}"/>
    <cellStyle name="Note 2 3 2" xfId="644" xr:uid="{00000000-0005-0000-0000-00006E110000}"/>
    <cellStyle name="Note 2 4" xfId="645" xr:uid="{00000000-0005-0000-0000-00006F110000}"/>
    <cellStyle name="Note 2 4 2" xfId="646" xr:uid="{00000000-0005-0000-0000-000070110000}"/>
    <cellStyle name="Note 2 5" xfId="647" xr:uid="{00000000-0005-0000-0000-000071110000}"/>
    <cellStyle name="Note 3" xfId="648" xr:uid="{00000000-0005-0000-0000-000072110000}"/>
    <cellStyle name="Note 3 10" xfId="4487" xr:uid="{00000000-0005-0000-0000-000073110000}"/>
    <cellStyle name="Note 3 11" xfId="4488" xr:uid="{00000000-0005-0000-0000-000074110000}"/>
    <cellStyle name="Note 3 12" xfId="4489" xr:uid="{00000000-0005-0000-0000-000075110000}"/>
    <cellStyle name="Note 3 13" xfId="4490" xr:uid="{00000000-0005-0000-0000-000076110000}"/>
    <cellStyle name="Note 3 14" xfId="4491" xr:uid="{00000000-0005-0000-0000-000077110000}"/>
    <cellStyle name="Note 3 15" xfId="4492" xr:uid="{00000000-0005-0000-0000-000078110000}"/>
    <cellStyle name="Note 3 16" xfId="4493" xr:uid="{00000000-0005-0000-0000-000079110000}"/>
    <cellStyle name="Note 3 17" xfId="4494" xr:uid="{00000000-0005-0000-0000-00007A110000}"/>
    <cellStyle name="Note 3 18" xfId="4495" xr:uid="{00000000-0005-0000-0000-00007B110000}"/>
    <cellStyle name="Note 3 19" xfId="4496" xr:uid="{00000000-0005-0000-0000-00007C110000}"/>
    <cellStyle name="Note 3 2" xfId="649" xr:uid="{00000000-0005-0000-0000-00007D110000}"/>
    <cellStyle name="Note 3 2 2" xfId="650" xr:uid="{00000000-0005-0000-0000-00007E110000}"/>
    <cellStyle name="Note 3 2 3" xfId="4497" xr:uid="{00000000-0005-0000-0000-00007F110000}"/>
    <cellStyle name="Note 3 20" xfId="4498" xr:uid="{00000000-0005-0000-0000-000080110000}"/>
    <cellStyle name="Note 3 21" xfId="4499" xr:uid="{00000000-0005-0000-0000-000081110000}"/>
    <cellStyle name="Note 3 22" xfId="4500" xr:uid="{00000000-0005-0000-0000-000082110000}"/>
    <cellStyle name="Note 3 23" xfId="4501" xr:uid="{00000000-0005-0000-0000-000083110000}"/>
    <cellStyle name="Note 3 24" xfId="4502" xr:uid="{00000000-0005-0000-0000-000084110000}"/>
    <cellStyle name="Note 3 25" xfId="4503" xr:uid="{00000000-0005-0000-0000-000085110000}"/>
    <cellStyle name="Note 3 26" xfId="4504" xr:uid="{00000000-0005-0000-0000-000086110000}"/>
    <cellStyle name="Note 3 27" xfId="4505" xr:uid="{00000000-0005-0000-0000-000087110000}"/>
    <cellStyle name="Note 3 28" xfId="4506" xr:uid="{00000000-0005-0000-0000-000088110000}"/>
    <cellStyle name="Note 3 29" xfId="4486" xr:uid="{00000000-0005-0000-0000-000089110000}"/>
    <cellStyle name="Note 3 3" xfId="651" xr:uid="{00000000-0005-0000-0000-00008A110000}"/>
    <cellStyle name="Note 3 3 2" xfId="4507" xr:uid="{00000000-0005-0000-0000-00008B110000}"/>
    <cellStyle name="Note 3 4" xfId="4508" xr:uid="{00000000-0005-0000-0000-00008C110000}"/>
    <cellStyle name="Note 3 5" xfId="4509" xr:uid="{00000000-0005-0000-0000-00008D110000}"/>
    <cellStyle name="Note 3 6" xfId="4510" xr:uid="{00000000-0005-0000-0000-00008E110000}"/>
    <cellStyle name="Note 3 7" xfId="4511" xr:uid="{00000000-0005-0000-0000-00008F110000}"/>
    <cellStyle name="Note 3 8" xfId="4512" xr:uid="{00000000-0005-0000-0000-000090110000}"/>
    <cellStyle name="Note 3 9" xfId="4513" xr:uid="{00000000-0005-0000-0000-000091110000}"/>
    <cellStyle name="Note 4" xfId="4514" xr:uid="{00000000-0005-0000-0000-000092110000}"/>
    <cellStyle name="Note 4 10" xfId="4515" xr:uid="{00000000-0005-0000-0000-000093110000}"/>
    <cellStyle name="Note 4 11" xfId="4516" xr:uid="{00000000-0005-0000-0000-000094110000}"/>
    <cellStyle name="Note 4 12" xfId="4517" xr:uid="{00000000-0005-0000-0000-000095110000}"/>
    <cellStyle name="Note 4 13" xfId="4518" xr:uid="{00000000-0005-0000-0000-000096110000}"/>
    <cellStyle name="Note 4 14" xfId="4519" xr:uid="{00000000-0005-0000-0000-000097110000}"/>
    <cellStyle name="Note 4 15" xfId="4520" xr:uid="{00000000-0005-0000-0000-000098110000}"/>
    <cellStyle name="Note 4 16" xfId="4521" xr:uid="{00000000-0005-0000-0000-000099110000}"/>
    <cellStyle name="Note 4 17" xfId="4522" xr:uid="{00000000-0005-0000-0000-00009A110000}"/>
    <cellStyle name="Note 4 18" xfId="4523" xr:uid="{00000000-0005-0000-0000-00009B110000}"/>
    <cellStyle name="Note 4 19" xfId="4524" xr:uid="{00000000-0005-0000-0000-00009C110000}"/>
    <cellStyle name="Note 4 2" xfId="4525" xr:uid="{00000000-0005-0000-0000-00009D110000}"/>
    <cellStyle name="Note 4 20" xfId="4526" xr:uid="{00000000-0005-0000-0000-00009E110000}"/>
    <cellStyle name="Note 4 21" xfId="4527" xr:uid="{00000000-0005-0000-0000-00009F110000}"/>
    <cellStyle name="Note 4 22" xfId="4528" xr:uid="{00000000-0005-0000-0000-0000A0110000}"/>
    <cellStyle name="Note 4 23" xfId="4529" xr:uid="{00000000-0005-0000-0000-0000A1110000}"/>
    <cellStyle name="Note 4 24" xfId="4530" xr:uid="{00000000-0005-0000-0000-0000A2110000}"/>
    <cellStyle name="Note 4 25" xfId="4531" xr:uid="{00000000-0005-0000-0000-0000A3110000}"/>
    <cellStyle name="Note 4 3" xfId="4532" xr:uid="{00000000-0005-0000-0000-0000A4110000}"/>
    <cellStyle name="Note 4 4" xfId="4533" xr:uid="{00000000-0005-0000-0000-0000A5110000}"/>
    <cellStyle name="Note 4 5" xfId="4534" xr:uid="{00000000-0005-0000-0000-0000A6110000}"/>
    <cellStyle name="Note 4 5 10" xfId="4535" xr:uid="{00000000-0005-0000-0000-0000A7110000}"/>
    <cellStyle name="Note 4 5 11" xfId="4536" xr:uid="{00000000-0005-0000-0000-0000A8110000}"/>
    <cellStyle name="Note 4 5 12" xfId="4537" xr:uid="{00000000-0005-0000-0000-0000A9110000}"/>
    <cellStyle name="Note 4 5 13" xfId="4538" xr:uid="{00000000-0005-0000-0000-0000AA110000}"/>
    <cellStyle name="Note 4 5 14" xfId="4539" xr:uid="{00000000-0005-0000-0000-0000AB110000}"/>
    <cellStyle name="Note 4 5 15" xfId="4540" xr:uid="{00000000-0005-0000-0000-0000AC110000}"/>
    <cellStyle name="Note 4 5 16" xfId="4541" xr:uid="{00000000-0005-0000-0000-0000AD110000}"/>
    <cellStyle name="Note 4 5 17" xfId="4542" xr:uid="{00000000-0005-0000-0000-0000AE110000}"/>
    <cellStyle name="Note 4 5 18" xfId="4543" xr:uid="{00000000-0005-0000-0000-0000AF110000}"/>
    <cellStyle name="Note 4 5 19" xfId="4544" xr:uid="{00000000-0005-0000-0000-0000B0110000}"/>
    <cellStyle name="Note 4 5 2" xfId="4545" xr:uid="{00000000-0005-0000-0000-0000B1110000}"/>
    <cellStyle name="Note 4 5 3" xfId="4546" xr:uid="{00000000-0005-0000-0000-0000B2110000}"/>
    <cellStyle name="Note 4 5 4" xfId="4547" xr:uid="{00000000-0005-0000-0000-0000B3110000}"/>
    <cellStyle name="Note 4 5 5" xfId="4548" xr:uid="{00000000-0005-0000-0000-0000B4110000}"/>
    <cellStyle name="Note 4 5 6" xfId="4549" xr:uid="{00000000-0005-0000-0000-0000B5110000}"/>
    <cellStyle name="Note 4 5 7" xfId="4550" xr:uid="{00000000-0005-0000-0000-0000B6110000}"/>
    <cellStyle name="Note 4 5 8" xfId="4551" xr:uid="{00000000-0005-0000-0000-0000B7110000}"/>
    <cellStyle name="Note 4 5 9" xfId="4552" xr:uid="{00000000-0005-0000-0000-0000B8110000}"/>
    <cellStyle name="Note 4 6" xfId="4553" xr:uid="{00000000-0005-0000-0000-0000B9110000}"/>
    <cellStyle name="Note 4 7" xfId="4554" xr:uid="{00000000-0005-0000-0000-0000BA110000}"/>
    <cellStyle name="Note 4 8" xfId="4555" xr:uid="{00000000-0005-0000-0000-0000BB110000}"/>
    <cellStyle name="Note 4 9" xfId="4556" xr:uid="{00000000-0005-0000-0000-0000BC110000}"/>
    <cellStyle name="Notiz" xfId="652" xr:uid="{00000000-0005-0000-0000-0000BD110000}"/>
    <cellStyle name="Notiz 2" xfId="653" xr:uid="{00000000-0005-0000-0000-0000BE110000}"/>
    <cellStyle name="Notiz 2 2" xfId="654" xr:uid="{00000000-0005-0000-0000-0000BF110000}"/>
    <cellStyle name="Notiz 2 2 2" xfId="655" xr:uid="{00000000-0005-0000-0000-0000C0110000}"/>
    <cellStyle name="Notiz 2 3" xfId="656" xr:uid="{00000000-0005-0000-0000-0000C1110000}"/>
    <cellStyle name="Notiz 3" xfId="657" xr:uid="{00000000-0005-0000-0000-0000C2110000}"/>
    <cellStyle name="Notiz 3 2" xfId="658" xr:uid="{00000000-0005-0000-0000-0000C3110000}"/>
    <cellStyle name="Notiz 3 2 2" xfId="659" xr:uid="{00000000-0005-0000-0000-0000C4110000}"/>
    <cellStyle name="Notiz 3 3" xfId="660" xr:uid="{00000000-0005-0000-0000-0000C5110000}"/>
    <cellStyle name="Notiz 4" xfId="661" xr:uid="{00000000-0005-0000-0000-0000C6110000}"/>
    <cellStyle name="Notiz 4 2" xfId="662" xr:uid="{00000000-0005-0000-0000-0000C7110000}"/>
    <cellStyle name="Notiz 4 2 2" xfId="663" xr:uid="{00000000-0005-0000-0000-0000C8110000}"/>
    <cellStyle name="Notiz 4 2 2 2" xfId="664" xr:uid="{00000000-0005-0000-0000-0000C9110000}"/>
    <cellStyle name="Notiz 4 2 3" xfId="665" xr:uid="{00000000-0005-0000-0000-0000CA110000}"/>
    <cellStyle name="Notiz 4 3" xfId="666" xr:uid="{00000000-0005-0000-0000-0000CB110000}"/>
    <cellStyle name="Notiz 4 3 2" xfId="667" xr:uid="{00000000-0005-0000-0000-0000CC110000}"/>
    <cellStyle name="Notiz 4 3 2 2" xfId="668" xr:uid="{00000000-0005-0000-0000-0000CD110000}"/>
    <cellStyle name="Notiz 4 3 3" xfId="669" xr:uid="{00000000-0005-0000-0000-0000CE110000}"/>
    <cellStyle name="Notiz 4 4" xfId="670" xr:uid="{00000000-0005-0000-0000-0000CF110000}"/>
    <cellStyle name="Notiz 4 4 2" xfId="671" xr:uid="{00000000-0005-0000-0000-0000D0110000}"/>
    <cellStyle name="Notiz 4 4 2 2" xfId="672" xr:uid="{00000000-0005-0000-0000-0000D1110000}"/>
    <cellStyle name="Notiz 4 4 3" xfId="673" xr:uid="{00000000-0005-0000-0000-0000D2110000}"/>
    <cellStyle name="Notiz 4 5" xfId="674" xr:uid="{00000000-0005-0000-0000-0000D3110000}"/>
    <cellStyle name="Notiz 4 5 2" xfId="675" xr:uid="{00000000-0005-0000-0000-0000D4110000}"/>
    <cellStyle name="Notiz 4 6" xfId="676" xr:uid="{00000000-0005-0000-0000-0000D5110000}"/>
    <cellStyle name="Notiz 5" xfId="677" xr:uid="{00000000-0005-0000-0000-0000D6110000}"/>
    <cellStyle name="Notiz 5 2" xfId="678" xr:uid="{00000000-0005-0000-0000-0000D7110000}"/>
    <cellStyle name="Notiz 6" xfId="679" xr:uid="{00000000-0005-0000-0000-0000D8110000}"/>
    <cellStyle name="Obično 10" xfId="680" xr:uid="{00000000-0005-0000-0000-0000DA110000}"/>
    <cellStyle name="Obično 10 18" xfId="681" xr:uid="{00000000-0005-0000-0000-0000DB110000}"/>
    <cellStyle name="Obično 10 2" xfId="682" xr:uid="{00000000-0005-0000-0000-0000DC110000}"/>
    <cellStyle name="Obično 10 2 2" xfId="683" xr:uid="{00000000-0005-0000-0000-0000DD110000}"/>
    <cellStyle name="Obično 10 3" xfId="684" xr:uid="{00000000-0005-0000-0000-0000DE110000}"/>
    <cellStyle name="Obično 10 3 2" xfId="685" xr:uid="{00000000-0005-0000-0000-0000DF110000}"/>
    <cellStyle name="Obično 11" xfId="686" xr:uid="{00000000-0005-0000-0000-0000E0110000}"/>
    <cellStyle name="Obično 11 2" xfId="687" xr:uid="{00000000-0005-0000-0000-0000E1110000}"/>
    <cellStyle name="Obično 11 3" xfId="688" xr:uid="{00000000-0005-0000-0000-0000E2110000}"/>
    <cellStyle name="Obično 11 4" xfId="1338" xr:uid="{00000000-0005-0000-0000-0000E3110000}"/>
    <cellStyle name="Obično 12" xfId="689" xr:uid="{00000000-0005-0000-0000-0000E4110000}"/>
    <cellStyle name="Obično 12 2" xfId="690" xr:uid="{00000000-0005-0000-0000-0000E5110000}"/>
    <cellStyle name="Obično 12 3" xfId="691" xr:uid="{00000000-0005-0000-0000-0000E6110000}"/>
    <cellStyle name="Obično 12 4" xfId="1339" xr:uid="{00000000-0005-0000-0000-0000E7110000}"/>
    <cellStyle name="Obično 13" xfId="692" xr:uid="{00000000-0005-0000-0000-0000E8110000}"/>
    <cellStyle name="Obično 13 2" xfId="693" xr:uid="{00000000-0005-0000-0000-0000E9110000}"/>
    <cellStyle name="Obično 13 3" xfId="694" xr:uid="{00000000-0005-0000-0000-0000EA110000}"/>
    <cellStyle name="Obično 13 4" xfId="1340" xr:uid="{00000000-0005-0000-0000-0000EB110000}"/>
    <cellStyle name="Obično 14" xfId="695" xr:uid="{00000000-0005-0000-0000-0000EC110000}"/>
    <cellStyle name="Obično 14 2" xfId="696" xr:uid="{00000000-0005-0000-0000-0000ED110000}"/>
    <cellStyle name="Obično 14 3" xfId="697" xr:uid="{00000000-0005-0000-0000-0000EE110000}"/>
    <cellStyle name="Obično 14 4" xfId="1341" xr:uid="{00000000-0005-0000-0000-0000EF110000}"/>
    <cellStyle name="Obično 15" xfId="698" xr:uid="{00000000-0005-0000-0000-0000F0110000}"/>
    <cellStyle name="Obično 15 2" xfId="1342" xr:uid="{00000000-0005-0000-0000-0000F1110000}"/>
    <cellStyle name="Obično 16" xfId="699" xr:uid="{00000000-0005-0000-0000-0000F2110000}"/>
    <cellStyle name="Obično 16 2" xfId="1343" xr:uid="{00000000-0005-0000-0000-0000F3110000}"/>
    <cellStyle name="Obično 16 3" xfId="1344" xr:uid="{00000000-0005-0000-0000-0000F4110000}"/>
    <cellStyle name="Obično 17" xfId="700" xr:uid="{00000000-0005-0000-0000-0000F5110000}"/>
    <cellStyle name="Obično 17 2" xfId="701" xr:uid="{00000000-0005-0000-0000-0000F6110000}"/>
    <cellStyle name="Obično 17 2 2" xfId="1393" xr:uid="{00000000-0005-0000-0000-0000F7110000}"/>
    <cellStyle name="Obično 17 2 2 2" xfId="5239" xr:uid="{00000000-0005-0000-0000-0000F8110000}"/>
    <cellStyle name="Obično 17 2 3" xfId="5227" xr:uid="{00000000-0005-0000-0000-0000F9110000}"/>
    <cellStyle name="Obično 17 2 4" xfId="1345" xr:uid="{00000000-0005-0000-0000-0000FA110000}"/>
    <cellStyle name="Obično 18" xfId="702" xr:uid="{00000000-0005-0000-0000-0000FB110000}"/>
    <cellStyle name="Obično 18 2" xfId="703" xr:uid="{00000000-0005-0000-0000-0000FC110000}"/>
    <cellStyle name="Obično 18 3" xfId="1346" xr:uid="{00000000-0005-0000-0000-0000FD110000}"/>
    <cellStyle name="Obično 19" xfId="704" xr:uid="{00000000-0005-0000-0000-0000FE110000}"/>
    <cellStyle name="Obično 19 2" xfId="1347" xr:uid="{00000000-0005-0000-0000-0000FF110000}"/>
    <cellStyle name="Obično 2" xfId="705" xr:uid="{00000000-0005-0000-0000-000000120000}"/>
    <cellStyle name="Obično 2 10" xfId="706" xr:uid="{00000000-0005-0000-0000-000001120000}"/>
    <cellStyle name="Obično 2 11" xfId="707" xr:uid="{00000000-0005-0000-0000-000002120000}"/>
    <cellStyle name="Obično 2 12" xfId="708" xr:uid="{00000000-0005-0000-0000-000003120000}"/>
    <cellStyle name="Obično 2 13" xfId="709" xr:uid="{00000000-0005-0000-0000-000004120000}"/>
    <cellStyle name="Obično 2 14" xfId="710" xr:uid="{00000000-0005-0000-0000-000005120000}"/>
    <cellStyle name="Obično 2 15" xfId="711" xr:uid="{00000000-0005-0000-0000-000006120000}"/>
    <cellStyle name="Obično 2 16" xfId="712" xr:uid="{00000000-0005-0000-0000-000007120000}"/>
    <cellStyle name="Obično 2 17" xfId="713" xr:uid="{00000000-0005-0000-0000-000008120000}"/>
    <cellStyle name="Obično 2 18" xfId="714" xr:uid="{00000000-0005-0000-0000-000009120000}"/>
    <cellStyle name="Obično 2 19" xfId="715" xr:uid="{00000000-0005-0000-0000-00000A120000}"/>
    <cellStyle name="Obično 2 2" xfId="716" xr:uid="{00000000-0005-0000-0000-00000B120000}"/>
    <cellStyle name="Obično 2 2 10" xfId="717" xr:uid="{00000000-0005-0000-0000-00000C120000}"/>
    <cellStyle name="Obično 2 2 10 2" xfId="718" xr:uid="{00000000-0005-0000-0000-00000D120000}"/>
    <cellStyle name="Obično 2 2 10 3" xfId="719" xr:uid="{00000000-0005-0000-0000-00000E120000}"/>
    <cellStyle name="Obično 2 2 11" xfId="720" xr:uid="{00000000-0005-0000-0000-00000F120000}"/>
    <cellStyle name="Obično 2 2 11 2" xfId="721" xr:uid="{00000000-0005-0000-0000-000010120000}"/>
    <cellStyle name="Obično 2 2 11 3" xfId="722" xr:uid="{00000000-0005-0000-0000-000011120000}"/>
    <cellStyle name="Obično 2 2 12" xfId="723" xr:uid="{00000000-0005-0000-0000-000012120000}"/>
    <cellStyle name="Obično 2 2 12 2" xfId="724" xr:uid="{00000000-0005-0000-0000-000013120000}"/>
    <cellStyle name="Obično 2 2 12 3" xfId="725" xr:uid="{00000000-0005-0000-0000-000014120000}"/>
    <cellStyle name="Obično 2 2 13" xfId="726" xr:uid="{00000000-0005-0000-0000-000015120000}"/>
    <cellStyle name="Obično 2 2 13 2" xfId="727" xr:uid="{00000000-0005-0000-0000-000016120000}"/>
    <cellStyle name="Obično 2 2 13 3" xfId="728" xr:uid="{00000000-0005-0000-0000-000017120000}"/>
    <cellStyle name="Obično 2 2 14" xfId="729" xr:uid="{00000000-0005-0000-0000-000018120000}"/>
    <cellStyle name="Obično 2 2 14 2" xfId="730" xr:uid="{00000000-0005-0000-0000-000019120000}"/>
    <cellStyle name="Obično 2 2 14 3" xfId="731" xr:uid="{00000000-0005-0000-0000-00001A120000}"/>
    <cellStyle name="Obično 2 2 15" xfId="732" xr:uid="{00000000-0005-0000-0000-00001B120000}"/>
    <cellStyle name="Obično 2 2 15 2" xfId="733" xr:uid="{00000000-0005-0000-0000-00001C120000}"/>
    <cellStyle name="Obično 2 2 15 3" xfId="734" xr:uid="{00000000-0005-0000-0000-00001D120000}"/>
    <cellStyle name="Obično 2 2 16" xfId="735" xr:uid="{00000000-0005-0000-0000-00001E120000}"/>
    <cellStyle name="Obično 2 2 16 2" xfId="736" xr:uid="{00000000-0005-0000-0000-00001F120000}"/>
    <cellStyle name="Obično 2 2 16 3" xfId="737" xr:uid="{00000000-0005-0000-0000-000020120000}"/>
    <cellStyle name="Obično 2 2 17" xfId="738" xr:uid="{00000000-0005-0000-0000-000021120000}"/>
    <cellStyle name="Obično 2 2 17 2" xfId="739" xr:uid="{00000000-0005-0000-0000-000022120000}"/>
    <cellStyle name="Obično 2 2 17 3" xfId="740" xr:uid="{00000000-0005-0000-0000-000023120000}"/>
    <cellStyle name="Obično 2 2 18" xfId="741" xr:uid="{00000000-0005-0000-0000-000024120000}"/>
    <cellStyle name="Obično 2 2 18 2" xfId="742" xr:uid="{00000000-0005-0000-0000-000025120000}"/>
    <cellStyle name="Obično 2 2 18 3" xfId="743" xr:uid="{00000000-0005-0000-0000-000026120000}"/>
    <cellStyle name="Obično 2 2 19" xfId="744" xr:uid="{00000000-0005-0000-0000-000027120000}"/>
    <cellStyle name="Obično 2 2 19 2" xfId="745" xr:uid="{00000000-0005-0000-0000-000028120000}"/>
    <cellStyle name="Obično 2 2 19 3" xfId="746" xr:uid="{00000000-0005-0000-0000-000029120000}"/>
    <cellStyle name="Obično 2 2 2" xfId="747" xr:uid="{00000000-0005-0000-0000-00002A120000}"/>
    <cellStyle name="Obično 2 2 2 10" xfId="748" xr:uid="{00000000-0005-0000-0000-00002B120000}"/>
    <cellStyle name="Obično 2 2 2 11" xfId="749" xr:uid="{00000000-0005-0000-0000-00002C120000}"/>
    <cellStyle name="Obično 2 2 2 12" xfId="750" xr:uid="{00000000-0005-0000-0000-00002D120000}"/>
    <cellStyle name="Obično 2 2 2 13" xfId="751" xr:uid="{00000000-0005-0000-0000-00002E120000}"/>
    <cellStyle name="Obično 2 2 2 14" xfId="752" xr:uid="{00000000-0005-0000-0000-00002F120000}"/>
    <cellStyle name="Obično 2 2 2 15" xfId="753" xr:uid="{00000000-0005-0000-0000-000030120000}"/>
    <cellStyle name="Obično 2 2 2 16" xfId="754" xr:uid="{00000000-0005-0000-0000-000031120000}"/>
    <cellStyle name="Obično 2 2 2 17" xfId="755" xr:uid="{00000000-0005-0000-0000-000032120000}"/>
    <cellStyle name="Obično 2 2 2 18" xfId="756" xr:uid="{00000000-0005-0000-0000-000033120000}"/>
    <cellStyle name="Obično 2 2 2 2" xfId="757" xr:uid="{00000000-0005-0000-0000-000034120000}"/>
    <cellStyle name="Obično 2 2 2 2 10" xfId="758" xr:uid="{00000000-0005-0000-0000-000035120000}"/>
    <cellStyle name="Obično 2 2 2 2 10 2" xfId="759" xr:uid="{00000000-0005-0000-0000-000036120000}"/>
    <cellStyle name="Obično 2 2 2 2 10 3" xfId="760" xr:uid="{00000000-0005-0000-0000-000037120000}"/>
    <cellStyle name="Obično 2 2 2 2 11" xfId="761" xr:uid="{00000000-0005-0000-0000-000038120000}"/>
    <cellStyle name="Obično 2 2 2 2 11 2" xfId="762" xr:uid="{00000000-0005-0000-0000-000039120000}"/>
    <cellStyle name="Obično 2 2 2 2 11 3" xfId="763" xr:uid="{00000000-0005-0000-0000-00003A120000}"/>
    <cellStyle name="Obično 2 2 2 2 12" xfId="764" xr:uid="{00000000-0005-0000-0000-00003B120000}"/>
    <cellStyle name="Obično 2 2 2 2 12 2" xfId="765" xr:uid="{00000000-0005-0000-0000-00003C120000}"/>
    <cellStyle name="Obično 2 2 2 2 12 3" xfId="766" xr:uid="{00000000-0005-0000-0000-00003D120000}"/>
    <cellStyle name="Obično 2 2 2 2 13" xfId="767" xr:uid="{00000000-0005-0000-0000-00003E120000}"/>
    <cellStyle name="Obično 2 2 2 2 13 2" xfId="768" xr:uid="{00000000-0005-0000-0000-00003F120000}"/>
    <cellStyle name="Obično 2 2 2 2 13 3" xfId="769" xr:uid="{00000000-0005-0000-0000-000040120000}"/>
    <cellStyle name="Obično 2 2 2 2 14" xfId="770" xr:uid="{00000000-0005-0000-0000-000041120000}"/>
    <cellStyle name="Obično 2 2 2 2 14 2" xfId="771" xr:uid="{00000000-0005-0000-0000-000042120000}"/>
    <cellStyle name="Obično 2 2 2 2 14 3" xfId="772" xr:uid="{00000000-0005-0000-0000-000043120000}"/>
    <cellStyle name="Obično 2 2 2 2 15" xfId="773" xr:uid="{00000000-0005-0000-0000-000044120000}"/>
    <cellStyle name="Obično 2 2 2 2 15 2" xfId="774" xr:uid="{00000000-0005-0000-0000-000045120000}"/>
    <cellStyle name="Obično 2 2 2 2 15 3" xfId="775" xr:uid="{00000000-0005-0000-0000-000046120000}"/>
    <cellStyle name="Obično 2 2 2 2 16" xfId="776" xr:uid="{00000000-0005-0000-0000-000047120000}"/>
    <cellStyle name="Obično 2 2 2 2 2" xfId="777" xr:uid="{00000000-0005-0000-0000-000048120000}"/>
    <cellStyle name="Obično 2 2 2 2 2 2" xfId="778" xr:uid="{00000000-0005-0000-0000-000049120000}"/>
    <cellStyle name="Obično 2 2 2 2 2 3" xfId="779" xr:uid="{00000000-0005-0000-0000-00004A120000}"/>
    <cellStyle name="Obično 2 2 2 2 3" xfId="780" xr:uid="{00000000-0005-0000-0000-00004B120000}"/>
    <cellStyle name="Obično 2 2 2 2 3 2" xfId="781" xr:uid="{00000000-0005-0000-0000-00004C120000}"/>
    <cellStyle name="Obično 2 2 2 2 3 3" xfId="782" xr:uid="{00000000-0005-0000-0000-00004D120000}"/>
    <cellStyle name="Obično 2 2 2 2 4" xfId="783" xr:uid="{00000000-0005-0000-0000-00004E120000}"/>
    <cellStyle name="Obično 2 2 2 2 4 2" xfId="784" xr:uid="{00000000-0005-0000-0000-00004F120000}"/>
    <cellStyle name="Obično 2 2 2 2 4 3" xfId="785" xr:uid="{00000000-0005-0000-0000-000050120000}"/>
    <cellStyle name="Obično 2 2 2 2 5" xfId="786" xr:uid="{00000000-0005-0000-0000-000051120000}"/>
    <cellStyle name="Obično 2 2 2 2 5 2" xfId="787" xr:uid="{00000000-0005-0000-0000-000052120000}"/>
    <cellStyle name="Obično 2 2 2 2 5 3" xfId="788" xr:uid="{00000000-0005-0000-0000-000053120000}"/>
    <cellStyle name="Obično 2 2 2 2 6" xfId="789" xr:uid="{00000000-0005-0000-0000-000054120000}"/>
    <cellStyle name="Obično 2 2 2 2 6 2" xfId="790" xr:uid="{00000000-0005-0000-0000-000055120000}"/>
    <cellStyle name="Obično 2 2 2 2 6 3" xfId="791" xr:uid="{00000000-0005-0000-0000-000056120000}"/>
    <cellStyle name="Obično 2 2 2 2 7" xfId="792" xr:uid="{00000000-0005-0000-0000-000057120000}"/>
    <cellStyle name="Obično 2 2 2 2 7 2" xfId="793" xr:uid="{00000000-0005-0000-0000-000058120000}"/>
    <cellStyle name="Obično 2 2 2 2 7 3" xfId="794" xr:uid="{00000000-0005-0000-0000-000059120000}"/>
    <cellStyle name="Obično 2 2 2 2 8" xfId="795" xr:uid="{00000000-0005-0000-0000-00005A120000}"/>
    <cellStyle name="Obično 2 2 2 2 8 2" xfId="796" xr:uid="{00000000-0005-0000-0000-00005B120000}"/>
    <cellStyle name="Obično 2 2 2 2 8 3" xfId="797" xr:uid="{00000000-0005-0000-0000-00005C120000}"/>
    <cellStyle name="Obično 2 2 2 2 9" xfId="798" xr:uid="{00000000-0005-0000-0000-00005D120000}"/>
    <cellStyle name="Obično 2 2 2 2 9 2" xfId="799" xr:uid="{00000000-0005-0000-0000-00005E120000}"/>
    <cellStyle name="Obično 2 2 2 2 9 3" xfId="800" xr:uid="{00000000-0005-0000-0000-00005F120000}"/>
    <cellStyle name="Obično 2 2 2 3" xfId="801" xr:uid="{00000000-0005-0000-0000-000060120000}"/>
    <cellStyle name="Obično 2 2 2 3 2" xfId="802" xr:uid="{00000000-0005-0000-0000-000061120000}"/>
    <cellStyle name="Obično 2 2 2 3 3" xfId="803" xr:uid="{00000000-0005-0000-0000-000062120000}"/>
    <cellStyle name="Obično 2 2 2 4" xfId="804" xr:uid="{00000000-0005-0000-0000-000063120000}"/>
    <cellStyle name="Obično 2 2 2 5" xfId="805" xr:uid="{00000000-0005-0000-0000-000064120000}"/>
    <cellStyle name="Obično 2 2 2 6" xfId="806" xr:uid="{00000000-0005-0000-0000-000065120000}"/>
    <cellStyle name="Obično 2 2 2 7" xfId="807" xr:uid="{00000000-0005-0000-0000-000066120000}"/>
    <cellStyle name="Obično 2 2 2 8" xfId="808" xr:uid="{00000000-0005-0000-0000-000067120000}"/>
    <cellStyle name="Obično 2 2 2 9" xfId="809" xr:uid="{00000000-0005-0000-0000-000068120000}"/>
    <cellStyle name="Obično 2 2 20" xfId="810" xr:uid="{00000000-0005-0000-0000-000069120000}"/>
    <cellStyle name="Obično 2 2 20 2" xfId="811" xr:uid="{00000000-0005-0000-0000-00006A120000}"/>
    <cellStyle name="Obično 2 2 20 3" xfId="812" xr:uid="{00000000-0005-0000-0000-00006B120000}"/>
    <cellStyle name="Obično 2 2 21" xfId="813" xr:uid="{00000000-0005-0000-0000-00006C120000}"/>
    <cellStyle name="Obično 2 2 22" xfId="814" xr:uid="{00000000-0005-0000-0000-00006D120000}"/>
    <cellStyle name="Obično 2 2 23" xfId="815" xr:uid="{00000000-0005-0000-0000-00006E120000}"/>
    <cellStyle name="Obično 2 2 3" xfId="816" xr:uid="{00000000-0005-0000-0000-00006F120000}"/>
    <cellStyle name="Obično 2 2 3 2" xfId="817" xr:uid="{00000000-0005-0000-0000-000070120000}"/>
    <cellStyle name="Obično 2 2 3 3" xfId="818" xr:uid="{00000000-0005-0000-0000-000071120000}"/>
    <cellStyle name="Obično 2 2 4" xfId="819" xr:uid="{00000000-0005-0000-0000-000072120000}"/>
    <cellStyle name="Obično 2 2 4 2" xfId="820" xr:uid="{00000000-0005-0000-0000-000073120000}"/>
    <cellStyle name="Obično 2 2 4 3" xfId="821" xr:uid="{00000000-0005-0000-0000-000074120000}"/>
    <cellStyle name="Obično 2 2 5" xfId="822" xr:uid="{00000000-0005-0000-0000-000075120000}"/>
    <cellStyle name="Obično 2 2 5 2" xfId="823" xr:uid="{00000000-0005-0000-0000-000076120000}"/>
    <cellStyle name="Obično 2 2 5 3" xfId="824" xr:uid="{00000000-0005-0000-0000-000077120000}"/>
    <cellStyle name="Obično 2 2 6" xfId="825" xr:uid="{00000000-0005-0000-0000-000078120000}"/>
    <cellStyle name="Obično 2 2 6 2" xfId="826" xr:uid="{00000000-0005-0000-0000-000079120000}"/>
    <cellStyle name="Obično 2 2 6 3" xfId="827" xr:uid="{00000000-0005-0000-0000-00007A120000}"/>
    <cellStyle name="Obično 2 2 7" xfId="828" xr:uid="{00000000-0005-0000-0000-00007B120000}"/>
    <cellStyle name="Obično 2 2 8" xfId="829" xr:uid="{00000000-0005-0000-0000-00007C120000}"/>
    <cellStyle name="Obično 2 2 8 2" xfId="830" xr:uid="{00000000-0005-0000-0000-00007D120000}"/>
    <cellStyle name="Obično 2 2 8 3" xfId="831" xr:uid="{00000000-0005-0000-0000-00007E120000}"/>
    <cellStyle name="Obično 2 2 9" xfId="832" xr:uid="{00000000-0005-0000-0000-00007F120000}"/>
    <cellStyle name="Obično 2 2 9 2" xfId="833" xr:uid="{00000000-0005-0000-0000-000080120000}"/>
    <cellStyle name="Obično 2 2 9 3" xfId="834" xr:uid="{00000000-0005-0000-0000-000081120000}"/>
    <cellStyle name="Obično 2 20" xfId="835" xr:uid="{00000000-0005-0000-0000-000082120000}"/>
    <cellStyle name="Obično 2 21" xfId="836" xr:uid="{00000000-0005-0000-0000-000083120000}"/>
    <cellStyle name="Obično 2 22" xfId="837" xr:uid="{00000000-0005-0000-0000-000084120000}"/>
    <cellStyle name="Obično 2 23" xfId="838" xr:uid="{00000000-0005-0000-0000-000085120000}"/>
    <cellStyle name="Obično 2 24" xfId="839" xr:uid="{00000000-0005-0000-0000-000086120000}"/>
    <cellStyle name="Obično 2 25" xfId="1348" xr:uid="{00000000-0005-0000-0000-000087120000}"/>
    <cellStyle name="Obično 2 3" xfId="840" xr:uid="{00000000-0005-0000-0000-000088120000}"/>
    <cellStyle name="Obično 2 3 2" xfId="841" xr:uid="{00000000-0005-0000-0000-000089120000}"/>
    <cellStyle name="Obično 2 4" xfId="842" xr:uid="{00000000-0005-0000-0000-00008A120000}"/>
    <cellStyle name="Obično 2 4 2" xfId="1349" xr:uid="{00000000-0005-0000-0000-00008B120000}"/>
    <cellStyle name="Obično 2 5" xfId="843" xr:uid="{00000000-0005-0000-0000-00008C120000}"/>
    <cellStyle name="Obično 2 6" xfId="844" xr:uid="{00000000-0005-0000-0000-00008D120000}"/>
    <cellStyle name="Obično 2 7" xfId="845" xr:uid="{00000000-0005-0000-0000-00008E120000}"/>
    <cellStyle name="Obično 2 7 2" xfId="846" xr:uid="{00000000-0005-0000-0000-00008F120000}"/>
    <cellStyle name="Obično 2 7 3" xfId="847" xr:uid="{00000000-0005-0000-0000-000090120000}"/>
    <cellStyle name="Obično 2 8" xfId="848" xr:uid="{00000000-0005-0000-0000-000091120000}"/>
    <cellStyle name="Obično 2 9" xfId="849" xr:uid="{00000000-0005-0000-0000-000092120000}"/>
    <cellStyle name="Obično 2_Copy of Troškovnik_PS_elektro_proj" xfId="4557" xr:uid="{00000000-0005-0000-0000-000093120000}"/>
    <cellStyle name="Obično 20" xfId="850" xr:uid="{00000000-0005-0000-0000-000094120000}"/>
    <cellStyle name="Obično 20 2" xfId="851" xr:uid="{00000000-0005-0000-0000-000095120000}"/>
    <cellStyle name="Obično 20 2 2" xfId="1350" xr:uid="{00000000-0005-0000-0000-000096120000}"/>
    <cellStyle name="Obično 20_- - - ITU SOL Garden Istra - KERAMIKA var.2" xfId="852" xr:uid="{00000000-0005-0000-0000-000097120000}"/>
    <cellStyle name="Obično 21" xfId="853" xr:uid="{00000000-0005-0000-0000-000098120000}"/>
    <cellStyle name="Obično 21 2" xfId="854" xr:uid="{00000000-0005-0000-0000-000099120000}"/>
    <cellStyle name="Obično 21 2 2" xfId="1395" xr:uid="{00000000-0005-0000-0000-00009A120000}"/>
    <cellStyle name="Obično 21 2 2 2" xfId="5241" xr:uid="{00000000-0005-0000-0000-00009B120000}"/>
    <cellStyle name="Obično 21 2 3" xfId="5229" xr:uid="{00000000-0005-0000-0000-00009C120000}"/>
    <cellStyle name="Obično 21 2 4" xfId="1352" xr:uid="{00000000-0005-0000-0000-00009D120000}"/>
    <cellStyle name="Obično 21 3" xfId="855" xr:uid="{00000000-0005-0000-0000-00009E120000}"/>
    <cellStyle name="Obično 21 3 2" xfId="1396" xr:uid="{00000000-0005-0000-0000-00009F120000}"/>
    <cellStyle name="Obično 21 3 2 2" xfId="5242" xr:uid="{00000000-0005-0000-0000-0000A0120000}"/>
    <cellStyle name="Obično 21 3 3" xfId="5230" xr:uid="{00000000-0005-0000-0000-0000A1120000}"/>
    <cellStyle name="Obično 21 3 4" xfId="1353" xr:uid="{00000000-0005-0000-0000-0000A2120000}"/>
    <cellStyle name="Obično 21 4" xfId="1354" xr:uid="{00000000-0005-0000-0000-0000A3120000}"/>
    <cellStyle name="Obično 21 4 2" xfId="1397" xr:uid="{00000000-0005-0000-0000-0000A4120000}"/>
    <cellStyle name="Obično 21 4 2 2" xfId="5243" xr:uid="{00000000-0005-0000-0000-0000A5120000}"/>
    <cellStyle name="Obično 21 4 3" xfId="5231" xr:uid="{00000000-0005-0000-0000-0000A6120000}"/>
    <cellStyle name="Obično 21 5" xfId="1355" xr:uid="{00000000-0005-0000-0000-0000A7120000}"/>
    <cellStyle name="Obično 21 5 2" xfId="1398" xr:uid="{00000000-0005-0000-0000-0000A8120000}"/>
    <cellStyle name="Obično 21 5 2 2" xfId="5244" xr:uid="{00000000-0005-0000-0000-0000A9120000}"/>
    <cellStyle name="Obično 21 5 3" xfId="5232" xr:uid="{00000000-0005-0000-0000-0000AA120000}"/>
    <cellStyle name="Obično 21 6" xfId="1356" xr:uid="{00000000-0005-0000-0000-0000AB120000}"/>
    <cellStyle name="Obično 21 6 2" xfId="1399" xr:uid="{00000000-0005-0000-0000-0000AC120000}"/>
    <cellStyle name="Obično 21 6 2 2" xfId="5245" xr:uid="{00000000-0005-0000-0000-0000AD120000}"/>
    <cellStyle name="Obično 21 6 3" xfId="5233" xr:uid="{00000000-0005-0000-0000-0000AE120000}"/>
    <cellStyle name="Obično 21 7" xfId="1394" xr:uid="{00000000-0005-0000-0000-0000AF120000}"/>
    <cellStyle name="Obično 21 7 2" xfId="5240" xr:uid="{00000000-0005-0000-0000-0000B0120000}"/>
    <cellStyle name="Obično 21 8" xfId="5228" xr:uid="{00000000-0005-0000-0000-0000B1120000}"/>
    <cellStyle name="Obično 21 9" xfId="1351" xr:uid="{00000000-0005-0000-0000-0000B2120000}"/>
    <cellStyle name="Obično 22" xfId="856" xr:uid="{00000000-0005-0000-0000-0000B3120000}"/>
    <cellStyle name="Obično 22 2" xfId="857" xr:uid="{00000000-0005-0000-0000-0000B4120000}"/>
    <cellStyle name="Obično 25" xfId="858" xr:uid="{00000000-0005-0000-0000-0000B5120000}"/>
    <cellStyle name="Obično 3" xfId="859" xr:uid="{00000000-0005-0000-0000-0000B6120000}"/>
    <cellStyle name="Obično 3 2" xfId="860" xr:uid="{00000000-0005-0000-0000-0000B7120000}"/>
    <cellStyle name="Obično 3 2 2" xfId="861" xr:uid="{00000000-0005-0000-0000-0000B8120000}"/>
    <cellStyle name="Obično 3 2 2 2" xfId="862" xr:uid="{00000000-0005-0000-0000-0000B9120000}"/>
    <cellStyle name="Obično 3 2 2 2 2" xfId="863" xr:uid="{00000000-0005-0000-0000-0000BA120000}"/>
    <cellStyle name="Obično 3 2 2 2 3" xfId="864" xr:uid="{00000000-0005-0000-0000-0000BB120000}"/>
    <cellStyle name="Obično 3 2 2 3" xfId="865" xr:uid="{00000000-0005-0000-0000-0000BC120000}"/>
    <cellStyle name="Obično 3 2 2 3 2" xfId="866" xr:uid="{00000000-0005-0000-0000-0000BD120000}"/>
    <cellStyle name="Obično 3 2 2 3 3" xfId="867" xr:uid="{00000000-0005-0000-0000-0000BE120000}"/>
    <cellStyle name="Obično 3 2 2 4" xfId="868" xr:uid="{00000000-0005-0000-0000-0000BF120000}"/>
    <cellStyle name="Obično 3 2 2 4 2" xfId="869" xr:uid="{00000000-0005-0000-0000-0000C0120000}"/>
    <cellStyle name="Obično 3 2 2 5" xfId="870" xr:uid="{00000000-0005-0000-0000-0000C1120000}"/>
    <cellStyle name="Obično 3 2 2 6" xfId="871" xr:uid="{00000000-0005-0000-0000-0000C2120000}"/>
    <cellStyle name="Obično 3 2 3" xfId="872" xr:uid="{00000000-0005-0000-0000-0000C3120000}"/>
    <cellStyle name="Obično 3 2 3 2" xfId="873" xr:uid="{00000000-0005-0000-0000-0000C4120000}"/>
    <cellStyle name="Obično 3 2 3 2 2" xfId="874" xr:uid="{00000000-0005-0000-0000-0000C5120000}"/>
    <cellStyle name="Obično 3 2 3 2 3" xfId="875" xr:uid="{00000000-0005-0000-0000-0000C6120000}"/>
    <cellStyle name="Obično 3 2 3 3" xfId="876" xr:uid="{00000000-0005-0000-0000-0000C7120000}"/>
    <cellStyle name="Obično 3 2 3 3 2" xfId="877" xr:uid="{00000000-0005-0000-0000-0000C8120000}"/>
    <cellStyle name="Obično 3 2 3 4" xfId="878" xr:uid="{00000000-0005-0000-0000-0000C9120000}"/>
    <cellStyle name="Obično 3 2 3 5" xfId="879" xr:uid="{00000000-0005-0000-0000-0000CA120000}"/>
    <cellStyle name="Obično 3 2 4" xfId="880" xr:uid="{00000000-0005-0000-0000-0000CB120000}"/>
    <cellStyle name="Obično 3 2 4 2" xfId="881" xr:uid="{00000000-0005-0000-0000-0000CC120000}"/>
    <cellStyle name="Obično 3 2 4 3" xfId="882" xr:uid="{00000000-0005-0000-0000-0000CD120000}"/>
    <cellStyle name="Obično 3 2 5" xfId="883" xr:uid="{00000000-0005-0000-0000-0000CE120000}"/>
    <cellStyle name="Obično 3 2 5 2" xfId="884" xr:uid="{00000000-0005-0000-0000-0000CF120000}"/>
    <cellStyle name="Obično 3 2 6" xfId="885" xr:uid="{00000000-0005-0000-0000-0000D0120000}"/>
    <cellStyle name="Obično 3 2 7" xfId="886" xr:uid="{00000000-0005-0000-0000-0000D1120000}"/>
    <cellStyle name="Obično 3 2 8" xfId="887" xr:uid="{00000000-0005-0000-0000-0000D2120000}"/>
    <cellStyle name="Obično 3 3" xfId="888" xr:uid="{00000000-0005-0000-0000-0000D3120000}"/>
    <cellStyle name="Obično 3 3 2" xfId="889" xr:uid="{00000000-0005-0000-0000-0000D4120000}"/>
    <cellStyle name="Obično 3 3 2 2" xfId="890" xr:uid="{00000000-0005-0000-0000-0000D5120000}"/>
    <cellStyle name="Obično 3 3 2 2 2" xfId="891" xr:uid="{00000000-0005-0000-0000-0000D6120000}"/>
    <cellStyle name="Obično 3 3 2 2 3" xfId="892" xr:uid="{00000000-0005-0000-0000-0000D7120000}"/>
    <cellStyle name="Obično 3 3 2 3" xfId="893" xr:uid="{00000000-0005-0000-0000-0000D8120000}"/>
    <cellStyle name="Obično 3 3 2 3 2" xfId="894" xr:uid="{00000000-0005-0000-0000-0000D9120000}"/>
    <cellStyle name="Obično 3 3 2 3 3" xfId="895" xr:uid="{00000000-0005-0000-0000-0000DA120000}"/>
    <cellStyle name="Obično 3 3 2 4" xfId="896" xr:uid="{00000000-0005-0000-0000-0000DB120000}"/>
    <cellStyle name="Obično 3 3 2 4 2" xfId="897" xr:uid="{00000000-0005-0000-0000-0000DC120000}"/>
    <cellStyle name="Obično 3 3 2 5" xfId="898" xr:uid="{00000000-0005-0000-0000-0000DD120000}"/>
    <cellStyle name="Obično 3 3 2 6" xfId="899" xr:uid="{00000000-0005-0000-0000-0000DE120000}"/>
    <cellStyle name="Obično 3 3 3" xfId="900" xr:uid="{00000000-0005-0000-0000-0000DF120000}"/>
    <cellStyle name="Obično 3 3 3 2" xfId="901" xr:uid="{00000000-0005-0000-0000-0000E0120000}"/>
    <cellStyle name="Obično 3 3 3 2 2" xfId="902" xr:uid="{00000000-0005-0000-0000-0000E1120000}"/>
    <cellStyle name="Obično 3 3 3 2 3" xfId="903" xr:uid="{00000000-0005-0000-0000-0000E2120000}"/>
    <cellStyle name="Obično 3 3 3 3" xfId="904" xr:uid="{00000000-0005-0000-0000-0000E3120000}"/>
    <cellStyle name="Obično 3 3 3 3 2" xfId="905" xr:uid="{00000000-0005-0000-0000-0000E4120000}"/>
    <cellStyle name="Obično 3 3 3 4" xfId="906" xr:uid="{00000000-0005-0000-0000-0000E5120000}"/>
    <cellStyle name="Obično 3 3 3 5" xfId="907" xr:uid="{00000000-0005-0000-0000-0000E6120000}"/>
    <cellStyle name="Obično 3 3 4" xfId="908" xr:uid="{00000000-0005-0000-0000-0000E7120000}"/>
    <cellStyle name="Obično 3 3 4 2" xfId="909" xr:uid="{00000000-0005-0000-0000-0000E8120000}"/>
    <cellStyle name="Obično 3 3 4 3" xfId="910" xr:uid="{00000000-0005-0000-0000-0000E9120000}"/>
    <cellStyle name="Obično 3 3 5" xfId="911" xr:uid="{00000000-0005-0000-0000-0000EA120000}"/>
    <cellStyle name="Obično 3 3 5 2" xfId="912" xr:uid="{00000000-0005-0000-0000-0000EB120000}"/>
    <cellStyle name="Obično 3 3 6" xfId="913" xr:uid="{00000000-0005-0000-0000-0000EC120000}"/>
    <cellStyle name="Obično 3 3 7" xfId="914" xr:uid="{00000000-0005-0000-0000-0000ED120000}"/>
    <cellStyle name="Obično 3 3 8" xfId="1358" xr:uid="{00000000-0005-0000-0000-0000EE120000}"/>
    <cellStyle name="Obično 3 4" xfId="915" xr:uid="{00000000-0005-0000-0000-0000EF120000}"/>
    <cellStyle name="Obično 3 5" xfId="916" xr:uid="{00000000-0005-0000-0000-0000F0120000}"/>
    <cellStyle name="Obično 3 6" xfId="917" xr:uid="{00000000-0005-0000-0000-0000F1120000}"/>
    <cellStyle name="Obično 3 7" xfId="918" xr:uid="{00000000-0005-0000-0000-0000F2120000}"/>
    <cellStyle name="Obično 3 8" xfId="1357" xr:uid="{00000000-0005-0000-0000-0000F3120000}"/>
    <cellStyle name="Obično 39" xfId="1387" xr:uid="{00000000-0005-0000-0000-0000F4120000}"/>
    <cellStyle name="Obično 4" xfId="919" xr:uid="{00000000-0005-0000-0000-0000F5120000}"/>
    <cellStyle name="Obično 4 2" xfId="920" xr:uid="{00000000-0005-0000-0000-0000F6120000}"/>
    <cellStyle name="Obično 4 2 2" xfId="921" xr:uid="{00000000-0005-0000-0000-0000F7120000}"/>
    <cellStyle name="Obično 4 3" xfId="922" xr:uid="{00000000-0005-0000-0000-0000F8120000}"/>
    <cellStyle name="Obično 4 3 2" xfId="1360" xr:uid="{00000000-0005-0000-0000-0000F9120000}"/>
    <cellStyle name="Obično 4 4" xfId="1361" xr:uid="{00000000-0005-0000-0000-0000FA120000}"/>
    <cellStyle name="Obično 4 5" xfId="1359" xr:uid="{00000000-0005-0000-0000-0000FB120000}"/>
    <cellStyle name="Obično 5" xfId="923" xr:uid="{00000000-0005-0000-0000-0000FC120000}"/>
    <cellStyle name="Obično 5 2" xfId="924" xr:uid="{00000000-0005-0000-0000-0000FD120000}"/>
    <cellStyle name="Obično 5 2 2" xfId="925" xr:uid="{00000000-0005-0000-0000-0000FE120000}"/>
    <cellStyle name="Obično 5 2 2 2" xfId="5344" xr:uid="{00000000-0005-0000-0000-0000FF120000}"/>
    <cellStyle name="Obično 5 2 2 3" xfId="5207" xr:uid="{00000000-0005-0000-0000-000000130000}"/>
    <cellStyle name="Obično 5 3" xfId="926" xr:uid="{00000000-0005-0000-0000-000001130000}"/>
    <cellStyle name="Obično 5 3 2" xfId="5208" xr:uid="{00000000-0005-0000-0000-000002130000}"/>
    <cellStyle name="Obično 5 3 2 2" xfId="5345" xr:uid="{00000000-0005-0000-0000-000003130000}"/>
    <cellStyle name="Obično 5 3 3" xfId="1363" xr:uid="{00000000-0005-0000-0000-000004130000}"/>
    <cellStyle name="Obično 5 4" xfId="927" xr:uid="{00000000-0005-0000-0000-000005130000}"/>
    <cellStyle name="Obično 5 4 2" xfId="5346" xr:uid="{00000000-0005-0000-0000-000006130000}"/>
    <cellStyle name="Obično 5 4 3" xfId="5209" xr:uid="{00000000-0005-0000-0000-000007130000}"/>
    <cellStyle name="Obično 5 5" xfId="1362" xr:uid="{00000000-0005-0000-0000-000008130000}"/>
    <cellStyle name="Obično 6" xfId="928" xr:uid="{00000000-0005-0000-0000-000009130000}"/>
    <cellStyle name="Obično 6 2" xfId="929" xr:uid="{00000000-0005-0000-0000-00000A130000}"/>
    <cellStyle name="Obično 6 2 2" xfId="5211" xr:uid="{00000000-0005-0000-0000-00000B130000}"/>
    <cellStyle name="Obično 6 2 2 2" xfId="5348" xr:uid="{00000000-0005-0000-0000-00000C130000}"/>
    <cellStyle name="Obično 6 3" xfId="1364" xr:uid="{00000000-0005-0000-0000-00000D130000}"/>
    <cellStyle name="Obično 6 3 2" xfId="5212" xr:uid="{00000000-0005-0000-0000-00000E130000}"/>
    <cellStyle name="Obično 6 3 2 2" xfId="5349" xr:uid="{00000000-0005-0000-0000-00000F130000}"/>
    <cellStyle name="Obično 6 4" xfId="5213" xr:uid="{00000000-0005-0000-0000-000010130000}"/>
    <cellStyle name="Obično 6 4 2" xfId="5350" xr:uid="{00000000-0005-0000-0000-000011130000}"/>
    <cellStyle name="Obično 6 5" xfId="5347" xr:uid="{00000000-0005-0000-0000-000012130000}"/>
    <cellStyle name="Obično 6 6" xfId="5210" xr:uid="{00000000-0005-0000-0000-000013130000}"/>
    <cellStyle name="Obično 7" xfId="930" xr:uid="{00000000-0005-0000-0000-000014130000}"/>
    <cellStyle name="Obično 7 2" xfId="931" xr:uid="{00000000-0005-0000-0000-000015130000}"/>
    <cellStyle name="Obično 7 2 2" xfId="932" xr:uid="{00000000-0005-0000-0000-000016130000}"/>
    <cellStyle name="Obično 7 3" xfId="933" xr:uid="{00000000-0005-0000-0000-000017130000}"/>
    <cellStyle name="Obično 7 3 2" xfId="1365" xr:uid="{00000000-0005-0000-0000-000018130000}"/>
    <cellStyle name="Obično 8" xfId="934" xr:uid="{00000000-0005-0000-0000-000019130000}"/>
    <cellStyle name="Obično 8 2" xfId="935" xr:uid="{00000000-0005-0000-0000-00001A130000}"/>
    <cellStyle name="Obično 8 2 2" xfId="1366" xr:uid="{00000000-0005-0000-0000-00001B130000}"/>
    <cellStyle name="Obično 8 3" xfId="936" xr:uid="{00000000-0005-0000-0000-00001C130000}"/>
    <cellStyle name="Obično 8 4" xfId="937" xr:uid="{00000000-0005-0000-0000-00001D130000}"/>
    <cellStyle name="Obično 9" xfId="938" xr:uid="{00000000-0005-0000-0000-00001E130000}"/>
    <cellStyle name="Obično 9 2" xfId="939" xr:uid="{00000000-0005-0000-0000-00001F130000}"/>
    <cellStyle name="Obično 9 3" xfId="1367" xr:uid="{00000000-0005-0000-0000-000020130000}"/>
    <cellStyle name="Output 1" xfId="940" xr:uid="{00000000-0005-0000-0000-000021130000}"/>
    <cellStyle name="Output 1 1" xfId="941" xr:uid="{00000000-0005-0000-0000-000022130000}"/>
    <cellStyle name="Output 2" xfId="942" xr:uid="{00000000-0005-0000-0000-000023130000}"/>
    <cellStyle name="Output 2 2" xfId="943" xr:uid="{00000000-0005-0000-0000-000024130000}"/>
    <cellStyle name="Output 2 2 2" xfId="4558" xr:uid="{00000000-0005-0000-0000-000025130000}"/>
    <cellStyle name="Output 3" xfId="4559" xr:uid="{00000000-0005-0000-0000-000026130000}"/>
    <cellStyle name="Output 3 10" xfId="4560" xr:uid="{00000000-0005-0000-0000-000027130000}"/>
    <cellStyle name="Output 3 11" xfId="4561" xr:uid="{00000000-0005-0000-0000-000028130000}"/>
    <cellStyle name="Output 3 12" xfId="4562" xr:uid="{00000000-0005-0000-0000-000029130000}"/>
    <cellStyle name="Output 3 13" xfId="4563" xr:uid="{00000000-0005-0000-0000-00002A130000}"/>
    <cellStyle name="Output 3 14" xfId="4564" xr:uid="{00000000-0005-0000-0000-00002B130000}"/>
    <cellStyle name="Output 3 15" xfId="4565" xr:uid="{00000000-0005-0000-0000-00002C130000}"/>
    <cellStyle name="Output 3 16" xfId="4566" xr:uid="{00000000-0005-0000-0000-00002D130000}"/>
    <cellStyle name="Output 3 17" xfId="4567" xr:uid="{00000000-0005-0000-0000-00002E130000}"/>
    <cellStyle name="Output 3 18" xfId="4568" xr:uid="{00000000-0005-0000-0000-00002F130000}"/>
    <cellStyle name="Output 3 19" xfId="4569" xr:uid="{00000000-0005-0000-0000-000030130000}"/>
    <cellStyle name="Output 3 2" xfId="4570" xr:uid="{00000000-0005-0000-0000-000031130000}"/>
    <cellStyle name="Output 3 20" xfId="4571" xr:uid="{00000000-0005-0000-0000-000032130000}"/>
    <cellStyle name="Output 3 21" xfId="4572" xr:uid="{00000000-0005-0000-0000-000033130000}"/>
    <cellStyle name="Output 3 22" xfId="4573" xr:uid="{00000000-0005-0000-0000-000034130000}"/>
    <cellStyle name="Output 3 23" xfId="4574" xr:uid="{00000000-0005-0000-0000-000035130000}"/>
    <cellStyle name="Output 3 24" xfId="4575" xr:uid="{00000000-0005-0000-0000-000036130000}"/>
    <cellStyle name="Output 3 25" xfId="4576" xr:uid="{00000000-0005-0000-0000-000037130000}"/>
    <cellStyle name="Output 3 26" xfId="4577" xr:uid="{00000000-0005-0000-0000-000038130000}"/>
    <cellStyle name="Output 3 27" xfId="4578" xr:uid="{00000000-0005-0000-0000-000039130000}"/>
    <cellStyle name="Output 3 28" xfId="4579" xr:uid="{00000000-0005-0000-0000-00003A130000}"/>
    <cellStyle name="Output 3 3" xfId="4580" xr:uid="{00000000-0005-0000-0000-00003B130000}"/>
    <cellStyle name="Output 3 4" xfId="4581" xr:uid="{00000000-0005-0000-0000-00003C130000}"/>
    <cellStyle name="Output 3 5" xfId="4582" xr:uid="{00000000-0005-0000-0000-00003D130000}"/>
    <cellStyle name="Output 3 6" xfId="4583" xr:uid="{00000000-0005-0000-0000-00003E130000}"/>
    <cellStyle name="Output 3 7" xfId="4584" xr:uid="{00000000-0005-0000-0000-00003F130000}"/>
    <cellStyle name="Output 3 8" xfId="4585" xr:uid="{00000000-0005-0000-0000-000040130000}"/>
    <cellStyle name="Output 3 9" xfId="4586" xr:uid="{00000000-0005-0000-0000-000041130000}"/>
    <cellStyle name="Output 4" xfId="4587" xr:uid="{00000000-0005-0000-0000-000042130000}"/>
    <cellStyle name="Output 4 10" xfId="4588" xr:uid="{00000000-0005-0000-0000-000043130000}"/>
    <cellStyle name="Output 4 11" xfId="4589" xr:uid="{00000000-0005-0000-0000-000044130000}"/>
    <cellStyle name="Output 4 12" xfId="4590" xr:uid="{00000000-0005-0000-0000-000045130000}"/>
    <cellStyle name="Output 4 13" xfId="4591" xr:uid="{00000000-0005-0000-0000-000046130000}"/>
    <cellStyle name="Output 4 14" xfId="4592" xr:uid="{00000000-0005-0000-0000-000047130000}"/>
    <cellStyle name="Output 4 15" xfId="4593" xr:uid="{00000000-0005-0000-0000-000048130000}"/>
    <cellStyle name="Output 4 16" xfId="4594" xr:uid="{00000000-0005-0000-0000-000049130000}"/>
    <cellStyle name="Output 4 17" xfId="4595" xr:uid="{00000000-0005-0000-0000-00004A130000}"/>
    <cellStyle name="Output 4 18" xfId="4596" xr:uid="{00000000-0005-0000-0000-00004B130000}"/>
    <cellStyle name="Output 4 19" xfId="4597" xr:uid="{00000000-0005-0000-0000-00004C130000}"/>
    <cellStyle name="Output 4 2" xfId="4598" xr:uid="{00000000-0005-0000-0000-00004D130000}"/>
    <cellStyle name="Output 4 20" xfId="4599" xr:uid="{00000000-0005-0000-0000-00004E130000}"/>
    <cellStyle name="Output 4 21" xfId="4600" xr:uid="{00000000-0005-0000-0000-00004F130000}"/>
    <cellStyle name="Output 4 22" xfId="4601" xr:uid="{00000000-0005-0000-0000-000050130000}"/>
    <cellStyle name="Output 4 23" xfId="4602" xr:uid="{00000000-0005-0000-0000-000051130000}"/>
    <cellStyle name="Output 4 24" xfId="4603" xr:uid="{00000000-0005-0000-0000-000052130000}"/>
    <cellStyle name="Output 4 25" xfId="4604" xr:uid="{00000000-0005-0000-0000-000053130000}"/>
    <cellStyle name="Output 4 3" xfId="4605" xr:uid="{00000000-0005-0000-0000-000054130000}"/>
    <cellStyle name="Output 4 4" xfId="4606" xr:uid="{00000000-0005-0000-0000-000055130000}"/>
    <cellStyle name="Output 4 5" xfId="4607" xr:uid="{00000000-0005-0000-0000-000056130000}"/>
    <cellStyle name="Output 4 6" xfId="4608" xr:uid="{00000000-0005-0000-0000-000057130000}"/>
    <cellStyle name="Output 4 7" xfId="4609" xr:uid="{00000000-0005-0000-0000-000058130000}"/>
    <cellStyle name="Output 4 8" xfId="4610" xr:uid="{00000000-0005-0000-0000-000059130000}"/>
    <cellStyle name="Output 4 9" xfId="4611" xr:uid="{00000000-0005-0000-0000-00005A130000}"/>
    <cellStyle name="Percent [0]" xfId="4612" xr:uid="{00000000-0005-0000-0000-00005B130000}"/>
    <cellStyle name="Percent [00]" xfId="4613" xr:uid="{00000000-0005-0000-0000-00005C130000}"/>
    <cellStyle name="Percent [2]" xfId="4614" xr:uid="{00000000-0005-0000-0000-00005D130000}"/>
    <cellStyle name="Percent 2" xfId="944" xr:uid="{00000000-0005-0000-0000-00005E130000}"/>
    <cellStyle name="Percent 2 2" xfId="945" xr:uid="{00000000-0005-0000-0000-00005F130000}"/>
    <cellStyle name="Percent 2 2 2" xfId="946" xr:uid="{00000000-0005-0000-0000-000060130000}"/>
    <cellStyle name="Percent 2 2 2 2" xfId="947" xr:uid="{00000000-0005-0000-0000-000061130000}"/>
    <cellStyle name="Percent 2 2 2 3" xfId="948" xr:uid="{00000000-0005-0000-0000-000062130000}"/>
    <cellStyle name="Percent 2 2 3" xfId="5214" xr:uid="{00000000-0005-0000-0000-000063130000}"/>
    <cellStyle name="Percent 2 3" xfId="949" xr:uid="{00000000-0005-0000-0000-000064130000}"/>
    <cellStyle name="Percent 2 4" xfId="950" xr:uid="{00000000-0005-0000-0000-000065130000}"/>
    <cellStyle name="Percent 2 4 2" xfId="951" xr:uid="{00000000-0005-0000-0000-000066130000}"/>
    <cellStyle name="Percent 2 5" xfId="952" xr:uid="{00000000-0005-0000-0000-000067130000}"/>
    <cellStyle name="Percent 2 5 2" xfId="953" xr:uid="{00000000-0005-0000-0000-000068130000}"/>
    <cellStyle name="Percent 2 6" xfId="954" xr:uid="{00000000-0005-0000-0000-000069130000}"/>
    <cellStyle name="Percent 3" xfId="955" xr:uid="{00000000-0005-0000-0000-00006A130000}"/>
    <cellStyle name="Percent 3 2" xfId="956" xr:uid="{00000000-0005-0000-0000-00006B130000}"/>
    <cellStyle name="Percent 3 3" xfId="957" xr:uid="{00000000-0005-0000-0000-00006C130000}"/>
    <cellStyle name="Postotak 2 2" xfId="958" xr:uid="{00000000-0005-0000-0000-00006D130000}"/>
    <cellStyle name="Postotak 2 3" xfId="1368" xr:uid="{00000000-0005-0000-0000-00006E130000}"/>
    <cellStyle name="Povezana ćelija 1" xfId="959" xr:uid="{00000000-0005-0000-0000-00006F130000}"/>
    <cellStyle name="Povezana ćelija 2" xfId="960" xr:uid="{00000000-0005-0000-0000-000070130000}"/>
    <cellStyle name="Povezana ćelija 2 2" xfId="1371" xr:uid="{00000000-0005-0000-0000-000071130000}"/>
    <cellStyle name="Povezana ćelija 2 3" xfId="1370" xr:uid="{00000000-0005-0000-0000-000072130000}"/>
    <cellStyle name="Povezana ćelija 3" xfId="1369" xr:uid="{00000000-0005-0000-0000-000073130000}"/>
    <cellStyle name="PrePop Currency (0)" xfId="4615" xr:uid="{00000000-0005-0000-0000-000074130000}"/>
    <cellStyle name="PrePop Currency (2)" xfId="4616" xr:uid="{00000000-0005-0000-0000-000075130000}"/>
    <cellStyle name="PrePop Units (0)" xfId="4617" xr:uid="{00000000-0005-0000-0000-000076130000}"/>
    <cellStyle name="PrePop Units (1)" xfId="4618" xr:uid="{00000000-0005-0000-0000-000077130000}"/>
    <cellStyle name="PrePop Units (2)" xfId="4619" xr:uid="{00000000-0005-0000-0000-000078130000}"/>
    <cellStyle name="Provjera ćelije 1" xfId="961" xr:uid="{00000000-0005-0000-0000-000079130000}"/>
    <cellStyle name="Provjera ćelije 2" xfId="962" xr:uid="{00000000-0005-0000-0000-00007A130000}"/>
    <cellStyle name="Provjera ćelije 2 2" xfId="1373" xr:uid="{00000000-0005-0000-0000-00007B130000}"/>
    <cellStyle name="Provjera ćelije 3" xfId="1372" xr:uid="{00000000-0005-0000-0000-00007C130000}"/>
    <cellStyle name="redni brojevi" xfId="963" xr:uid="{00000000-0005-0000-0000-00007D130000}"/>
    <cellStyle name="Result" xfId="964" xr:uid="{00000000-0005-0000-0000-00007E130000}"/>
    <cellStyle name="Result2" xfId="965" xr:uid="{00000000-0005-0000-0000-00007F130000}"/>
    <cellStyle name="RO" xfId="966" xr:uid="{00000000-0005-0000-0000-000080130000}"/>
    <cellStyle name="SADRŽAJ" xfId="967" xr:uid="{00000000-0005-0000-0000-000081130000}"/>
    <cellStyle name="Schlecht" xfId="968" xr:uid="{00000000-0005-0000-0000-000082130000}"/>
    <cellStyle name="Sheet Title" xfId="4620" xr:uid="{00000000-0005-0000-0000-000083130000}"/>
    <cellStyle name="Standard" xfId="969" xr:uid="{00000000-0005-0000-0000-000084130000}"/>
    <cellStyle name="Standard 2" xfId="970" xr:uid="{00000000-0005-0000-0000-000085130000}"/>
    <cellStyle name="Status" xfId="5359" xr:uid="{00000000-0005-0000-0000-000086130000}"/>
    <cellStyle name="Stavka" xfId="971" xr:uid="{00000000-0005-0000-0000-000087130000}"/>
    <cellStyle name="Stil 1" xfId="972" xr:uid="{00000000-0005-0000-0000-000088130000}"/>
    <cellStyle name="Stil 1 2" xfId="973" xr:uid="{00000000-0005-0000-0000-000089130000}"/>
    <cellStyle name="Style 1" xfId="974" xr:uid="{00000000-0005-0000-0000-00008A130000}"/>
    <cellStyle name="Style 1 2" xfId="975" xr:uid="{00000000-0005-0000-0000-00008B130000}"/>
    <cellStyle name="Style 1 2 2" xfId="1374" xr:uid="{00000000-0005-0000-0000-00008C130000}"/>
    <cellStyle name="Style 1 3" xfId="976" xr:uid="{00000000-0005-0000-0000-00008D130000}"/>
    <cellStyle name="Style 1 3 2" xfId="1390" xr:uid="{00000000-0005-0000-0000-00008E130000}"/>
    <cellStyle name="Style 1 4" xfId="977" xr:uid="{00000000-0005-0000-0000-00008F130000}"/>
    <cellStyle name="Style 1 5" xfId="978" xr:uid="{00000000-0005-0000-0000-000090130000}"/>
    <cellStyle name="TEKST" xfId="979" xr:uid="{00000000-0005-0000-0000-000091130000}"/>
    <cellStyle name="Tekst objašnjenja 1" xfId="980" xr:uid="{00000000-0005-0000-0000-000092130000}"/>
    <cellStyle name="Tekst objašnjenja 2" xfId="981" xr:uid="{00000000-0005-0000-0000-000093130000}"/>
    <cellStyle name="Tekst objašnjenja 2 2" xfId="982" xr:uid="{00000000-0005-0000-0000-000094130000}"/>
    <cellStyle name="Tekst objašnjenja 2 3" xfId="1376" xr:uid="{00000000-0005-0000-0000-000095130000}"/>
    <cellStyle name="Tekst objašnjenja 3" xfId="1375" xr:uid="{00000000-0005-0000-0000-000096130000}"/>
    <cellStyle name="Tekst upozorenja" xfId="983" xr:uid="{00000000-0005-0000-0000-000097130000}"/>
    <cellStyle name="Tekst upozorenja 1" xfId="984" xr:uid="{00000000-0005-0000-0000-000098130000}"/>
    <cellStyle name="Tekst upozorenja 2" xfId="985" xr:uid="{00000000-0005-0000-0000-000099130000}"/>
    <cellStyle name="Tekst upozorenja 2 2" xfId="986" xr:uid="{00000000-0005-0000-0000-00009A130000}"/>
    <cellStyle name="Tekst upozorenja 3" xfId="1377" xr:uid="{00000000-0005-0000-0000-00009B130000}"/>
    <cellStyle name="Text" xfId="5360" xr:uid="{00000000-0005-0000-0000-00009C130000}"/>
    <cellStyle name="Text Indent A" xfId="4621" xr:uid="{00000000-0005-0000-0000-00009D130000}"/>
    <cellStyle name="Text Indent B" xfId="4622" xr:uid="{00000000-0005-0000-0000-00009E130000}"/>
    <cellStyle name="Text Indent C" xfId="4623" xr:uid="{00000000-0005-0000-0000-00009F130000}"/>
    <cellStyle name="Title 1" xfId="987" xr:uid="{00000000-0005-0000-0000-0000A0130000}"/>
    <cellStyle name="Title 1 1" xfId="988" xr:uid="{00000000-0005-0000-0000-0000A1130000}"/>
    <cellStyle name="Title 2" xfId="989" xr:uid="{00000000-0005-0000-0000-0000A2130000}"/>
    <cellStyle name="Title 2 2" xfId="4624" xr:uid="{00000000-0005-0000-0000-0000A3130000}"/>
    <cellStyle name="Title 3" xfId="4625" xr:uid="{00000000-0005-0000-0000-0000A4130000}"/>
    <cellStyle name="Title 3 10" xfId="4626" xr:uid="{00000000-0005-0000-0000-0000A5130000}"/>
    <cellStyle name="Title 3 11" xfId="4627" xr:uid="{00000000-0005-0000-0000-0000A6130000}"/>
    <cellStyle name="Title 3 12" xfId="4628" xr:uid="{00000000-0005-0000-0000-0000A7130000}"/>
    <cellStyle name="Title 3 13" xfId="4629" xr:uid="{00000000-0005-0000-0000-0000A8130000}"/>
    <cellStyle name="Title 3 14" xfId="4630" xr:uid="{00000000-0005-0000-0000-0000A9130000}"/>
    <cellStyle name="Title 3 15" xfId="4631" xr:uid="{00000000-0005-0000-0000-0000AA130000}"/>
    <cellStyle name="Title 3 16" xfId="4632" xr:uid="{00000000-0005-0000-0000-0000AB130000}"/>
    <cellStyle name="Title 3 17" xfId="4633" xr:uid="{00000000-0005-0000-0000-0000AC130000}"/>
    <cellStyle name="Title 3 18" xfId="4634" xr:uid="{00000000-0005-0000-0000-0000AD130000}"/>
    <cellStyle name="Title 3 19" xfId="4635" xr:uid="{00000000-0005-0000-0000-0000AE130000}"/>
    <cellStyle name="Title 3 2" xfId="4636" xr:uid="{00000000-0005-0000-0000-0000AF130000}"/>
    <cellStyle name="Title 3 20" xfId="4637" xr:uid="{00000000-0005-0000-0000-0000B0130000}"/>
    <cellStyle name="Title 3 21" xfId="4638" xr:uid="{00000000-0005-0000-0000-0000B1130000}"/>
    <cellStyle name="Title 3 22" xfId="4639" xr:uid="{00000000-0005-0000-0000-0000B2130000}"/>
    <cellStyle name="Title 3 23" xfId="4640" xr:uid="{00000000-0005-0000-0000-0000B3130000}"/>
    <cellStyle name="Title 3 24" xfId="4641" xr:uid="{00000000-0005-0000-0000-0000B4130000}"/>
    <cellStyle name="Title 3 25" xfId="4642" xr:uid="{00000000-0005-0000-0000-0000B5130000}"/>
    <cellStyle name="Title 3 26" xfId="4643" xr:uid="{00000000-0005-0000-0000-0000B6130000}"/>
    <cellStyle name="Title 3 27" xfId="4644" xr:uid="{00000000-0005-0000-0000-0000B7130000}"/>
    <cellStyle name="Title 3 28" xfId="4645" xr:uid="{00000000-0005-0000-0000-0000B8130000}"/>
    <cellStyle name="Title 3 3" xfId="4646" xr:uid="{00000000-0005-0000-0000-0000B9130000}"/>
    <cellStyle name="Title 3 4" xfId="4647" xr:uid="{00000000-0005-0000-0000-0000BA130000}"/>
    <cellStyle name="Title 3 5" xfId="4648" xr:uid="{00000000-0005-0000-0000-0000BB130000}"/>
    <cellStyle name="Title 3 6" xfId="4649" xr:uid="{00000000-0005-0000-0000-0000BC130000}"/>
    <cellStyle name="Title 3 7" xfId="4650" xr:uid="{00000000-0005-0000-0000-0000BD130000}"/>
    <cellStyle name="Title 3 8" xfId="4651" xr:uid="{00000000-0005-0000-0000-0000BE130000}"/>
    <cellStyle name="Title 3 9" xfId="4652" xr:uid="{00000000-0005-0000-0000-0000BF130000}"/>
    <cellStyle name="Title 4" xfId="4653" xr:uid="{00000000-0005-0000-0000-0000C0130000}"/>
    <cellStyle name="Title 4 10" xfId="4654" xr:uid="{00000000-0005-0000-0000-0000C1130000}"/>
    <cellStyle name="Title 4 11" xfId="4655" xr:uid="{00000000-0005-0000-0000-0000C2130000}"/>
    <cellStyle name="Title 4 12" xfId="4656" xr:uid="{00000000-0005-0000-0000-0000C3130000}"/>
    <cellStyle name="Title 4 13" xfId="4657" xr:uid="{00000000-0005-0000-0000-0000C4130000}"/>
    <cellStyle name="Title 4 14" xfId="4658" xr:uid="{00000000-0005-0000-0000-0000C5130000}"/>
    <cellStyle name="Title 4 15" xfId="4659" xr:uid="{00000000-0005-0000-0000-0000C6130000}"/>
    <cellStyle name="Title 4 16" xfId="4660" xr:uid="{00000000-0005-0000-0000-0000C7130000}"/>
    <cellStyle name="Title 4 17" xfId="4661" xr:uid="{00000000-0005-0000-0000-0000C8130000}"/>
    <cellStyle name="Title 4 18" xfId="4662" xr:uid="{00000000-0005-0000-0000-0000C9130000}"/>
    <cellStyle name="Title 4 19" xfId="4663" xr:uid="{00000000-0005-0000-0000-0000CA130000}"/>
    <cellStyle name="Title 4 2" xfId="4664" xr:uid="{00000000-0005-0000-0000-0000CB130000}"/>
    <cellStyle name="Title 4 20" xfId="4665" xr:uid="{00000000-0005-0000-0000-0000CC130000}"/>
    <cellStyle name="Title 4 21" xfId="4666" xr:uid="{00000000-0005-0000-0000-0000CD130000}"/>
    <cellStyle name="Title 4 22" xfId="4667" xr:uid="{00000000-0005-0000-0000-0000CE130000}"/>
    <cellStyle name="Title 4 23" xfId="4668" xr:uid="{00000000-0005-0000-0000-0000CF130000}"/>
    <cellStyle name="Title 4 24" xfId="4669" xr:uid="{00000000-0005-0000-0000-0000D0130000}"/>
    <cellStyle name="Title 4 25" xfId="4670" xr:uid="{00000000-0005-0000-0000-0000D1130000}"/>
    <cellStyle name="Title 4 3" xfId="4671" xr:uid="{00000000-0005-0000-0000-0000D2130000}"/>
    <cellStyle name="Title 4 4" xfId="4672" xr:uid="{00000000-0005-0000-0000-0000D3130000}"/>
    <cellStyle name="Title 4 5" xfId="4673" xr:uid="{00000000-0005-0000-0000-0000D4130000}"/>
    <cellStyle name="Title 4 6" xfId="4674" xr:uid="{00000000-0005-0000-0000-0000D5130000}"/>
    <cellStyle name="Title 4 7" xfId="4675" xr:uid="{00000000-0005-0000-0000-0000D6130000}"/>
    <cellStyle name="Title 4 8" xfId="4676" xr:uid="{00000000-0005-0000-0000-0000D7130000}"/>
    <cellStyle name="Title 4 9" xfId="4677" xr:uid="{00000000-0005-0000-0000-0000D8130000}"/>
    <cellStyle name="Total 1" xfId="990" xr:uid="{00000000-0005-0000-0000-0000D9130000}"/>
    <cellStyle name="Total 1 1" xfId="991" xr:uid="{00000000-0005-0000-0000-0000DA130000}"/>
    <cellStyle name="Total 1 1 2" xfId="992" xr:uid="{00000000-0005-0000-0000-0000DB130000}"/>
    <cellStyle name="Total 1 2" xfId="993" xr:uid="{00000000-0005-0000-0000-0000DC130000}"/>
    <cellStyle name="Total 10" xfId="5215" xr:uid="{00000000-0005-0000-0000-0000DD130000}"/>
    <cellStyle name="Total 2" xfId="994" xr:uid="{00000000-0005-0000-0000-0000DE130000}"/>
    <cellStyle name="Total 2 2" xfId="995" xr:uid="{00000000-0005-0000-0000-0000DF130000}"/>
    <cellStyle name="Total 2 2 2" xfId="4678" xr:uid="{00000000-0005-0000-0000-0000E0130000}"/>
    <cellStyle name="Total 2 3" xfId="5216" xr:uid="{00000000-0005-0000-0000-0000E1130000}"/>
    <cellStyle name="Total 3" xfId="4679" xr:uid="{00000000-0005-0000-0000-0000E2130000}"/>
    <cellStyle name="Total 3 10" xfId="4680" xr:uid="{00000000-0005-0000-0000-0000E3130000}"/>
    <cellStyle name="Total 3 11" xfId="4681" xr:uid="{00000000-0005-0000-0000-0000E4130000}"/>
    <cellStyle name="Total 3 12" xfId="4682" xr:uid="{00000000-0005-0000-0000-0000E5130000}"/>
    <cellStyle name="Total 3 13" xfId="4683" xr:uid="{00000000-0005-0000-0000-0000E6130000}"/>
    <cellStyle name="Total 3 14" xfId="4684" xr:uid="{00000000-0005-0000-0000-0000E7130000}"/>
    <cellStyle name="Total 3 15" xfId="4685" xr:uid="{00000000-0005-0000-0000-0000E8130000}"/>
    <cellStyle name="Total 3 16" xfId="4686" xr:uid="{00000000-0005-0000-0000-0000E9130000}"/>
    <cellStyle name="Total 3 17" xfId="4687" xr:uid="{00000000-0005-0000-0000-0000EA130000}"/>
    <cellStyle name="Total 3 18" xfId="4688" xr:uid="{00000000-0005-0000-0000-0000EB130000}"/>
    <cellStyle name="Total 3 19" xfId="4689" xr:uid="{00000000-0005-0000-0000-0000EC130000}"/>
    <cellStyle name="Total 3 2" xfId="4690" xr:uid="{00000000-0005-0000-0000-0000ED130000}"/>
    <cellStyle name="Total 3 20" xfId="4691" xr:uid="{00000000-0005-0000-0000-0000EE130000}"/>
    <cellStyle name="Total 3 21" xfId="4692" xr:uid="{00000000-0005-0000-0000-0000EF130000}"/>
    <cellStyle name="Total 3 22" xfId="4693" xr:uid="{00000000-0005-0000-0000-0000F0130000}"/>
    <cellStyle name="Total 3 23" xfId="4694" xr:uid="{00000000-0005-0000-0000-0000F1130000}"/>
    <cellStyle name="Total 3 24" xfId="4695" xr:uid="{00000000-0005-0000-0000-0000F2130000}"/>
    <cellStyle name="Total 3 25" xfId="4696" xr:uid="{00000000-0005-0000-0000-0000F3130000}"/>
    <cellStyle name="Total 3 26" xfId="4697" xr:uid="{00000000-0005-0000-0000-0000F4130000}"/>
    <cellStyle name="Total 3 27" xfId="4698" xr:uid="{00000000-0005-0000-0000-0000F5130000}"/>
    <cellStyle name="Total 3 28" xfId="4699" xr:uid="{00000000-0005-0000-0000-0000F6130000}"/>
    <cellStyle name="Total 3 3" xfId="4700" xr:uid="{00000000-0005-0000-0000-0000F7130000}"/>
    <cellStyle name="Total 3 4" xfId="4701" xr:uid="{00000000-0005-0000-0000-0000F8130000}"/>
    <cellStyle name="Total 3 5" xfId="4702" xr:uid="{00000000-0005-0000-0000-0000F9130000}"/>
    <cellStyle name="Total 3 6" xfId="4703" xr:uid="{00000000-0005-0000-0000-0000FA130000}"/>
    <cellStyle name="Total 3 7" xfId="4704" xr:uid="{00000000-0005-0000-0000-0000FB130000}"/>
    <cellStyle name="Total 3 8" xfId="4705" xr:uid="{00000000-0005-0000-0000-0000FC130000}"/>
    <cellStyle name="Total 3 9" xfId="4706" xr:uid="{00000000-0005-0000-0000-0000FD130000}"/>
    <cellStyle name="Total 4" xfId="4707" xr:uid="{00000000-0005-0000-0000-0000FE130000}"/>
    <cellStyle name="Total 4 10" xfId="4708" xr:uid="{00000000-0005-0000-0000-0000FF130000}"/>
    <cellStyle name="Total 4 11" xfId="4709" xr:uid="{00000000-0005-0000-0000-000000140000}"/>
    <cellStyle name="Total 4 12" xfId="4710" xr:uid="{00000000-0005-0000-0000-000001140000}"/>
    <cellStyle name="Total 4 13" xfId="4711" xr:uid="{00000000-0005-0000-0000-000002140000}"/>
    <cellStyle name="Total 4 14" xfId="4712" xr:uid="{00000000-0005-0000-0000-000003140000}"/>
    <cellStyle name="Total 4 15" xfId="4713" xr:uid="{00000000-0005-0000-0000-000004140000}"/>
    <cellStyle name="Total 4 16" xfId="4714" xr:uid="{00000000-0005-0000-0000-000005140000}"/>
    <cellStyle name="Total 4 17" xfId="4715" xr:uid="{00000000-0005-0000-0000-000006140000}"/>
    <cellStyle name="Total 4 18" xfId="4716" xr:uid="{00000000-0005-0000-0000-000007140000}"/>
    <cellStyle name="Total 4 19" xfId="4717" xr:uid="{00000000-0005-0000-0000-000008140000}"/>
    <cellStyle name="Total 4 2" xfId="4718" xr:uid="{00000000-0005-0000-0000-000009140000}"/>
    <cellStyle name="Total 4 20" xfId="4719" xr:uid="{00000000-0005-0000-0000-00000A140000}"/>
    <cellStyle name="Total 4 21" xfId="4720" xr:uid="{00000000-0005-0000-0000-00000B140000}"/>
    <cellStyle name="Total 4 22" xfId="4721" xr:uid="{00000000-0005-0000-0000-00000C140000}"/>
    <cellStyle name="Total 4 23" xfId="4722" xr:uid="{00000000-0005-0000-0000-00000D140000}"/>
    <cellStyle name="Total 4 24" xfId="4723" xr:uid="{00000000-0005-0000-0000-00000E140000}"/>
    <cellStyle name="Total 4 25" xfId="4724" xr:uid="{00000000-0005-0000-0000-00000F140000}"/>
    <cellStyle name="Total 4 3" xfId="4725" xr:uid="{00000000-0005-0000-0000-000010140000}"/>
    <cellStyle name="Total 4 4" xfId="4726" xr:uid="{00000000-0005-0000-0000-000011140000}"/>
    <cellStyle name="Total 4 5" xfId="4727" xr:uid="{00000000-0005-0000-0000-000012140000}"/>
    <cellStyle name="Total 4 6" xfId="4728" xr:uid="{00000000-0005-0000-0000-000013140000}"/>
    <cellStyle name="Total 4 7" xfId="4729" xr:uid="{00000000-0005-0000-0000-000014140000}"/>
    <cellStyle name="Total 4 8" xfId="4730" xr:uid="{00000000-0005-0000-0000-000015140000}"/>
    <cellStyle name="Total 4 9" xfId="4731" xr:uid="{00000000-0005-0000-0000-000016140000}"/>
    <cellStyle name="Total 5" xfId="5217" xr:uid="{00000000-0005-0000-0000-000017140000}"/>
    <cellStyle name="Total 6" xfId="5218" xr:uid="{00000000-0005-0000-0000-000018140000}"/>
    <cellStyle name="Total 7" xfId="5219" xr:uid="{00000000-0005-0000-0000-000019140000}"/>
    <cellStyle name="Total 8" xfId="5220" xr:uid="{00000000-0005-0000-0000-00001A140000}"/>
    <cellStyle name="Total 9" xfId="5221" xr:uid="{00000000-0005-0000-0000-00001B140000}"/>
    <cellStyle name="TRO©KOVNIK" xfId="996" xr:uid="{00000000-0005-0000-0000-00001C140000}"/>
    <cellStyle name="TROSKOVNIK 1" xfId="997" xr:uid="{00000000-0005-0000-0000-00001D140000}"/>
    <cellStyle name="TROSKOVNIK 2" xfId="998" xr:uid="{00000000-0005-0000-0000-00001E140000}"/>
    <cellStyle name="Überschrift" xfId="999" xr:uid="{00000000-0005-0000-0000-00001F140000}"/>
    <cellStyle name="Überschrift 1" xfId="1000" xr:uid="{00000000-0005-0000-0000-000020140000}"/>
    <cellStyle name="Überschrift 2" xfId="1001" xr:uid="{00000000-0005-0000-0000-000021140000}"/>
    <cellStyle name="Überschrift 3" xfId="1002" xr:uid="{00000000-0005-0000-0000-000022140000}"/>
    <cellStyle name="Überschrift 4" xfId="1003" xr:uid="{00000000-0005-0000-0000-000023140000}"/>
    <cellStyle name="Ukupni zbroj 1" xfId="1004" xr:uid="{00000000-0005-0000-0000-000024140000}"/>
    <cellStyle name="Ukupni zbroj 1 2" xfId="1005" xr:uid="{00000000-0005-0000-0000-000025140000}"/>
    <cellStyle name="Ukupni zbroj 2" xfId="1006" xr:uid="{00000000-0005-0000-0000-000026140000}"/>
    <cellStyle name="Ukupni zbroj 2 2" xfId="1007" xr:uid="{00000000-0005-0000-0000-000027140000}"/>
    <cellStyle name="Ukupni zbroj 2 2 2" xfId="1380" xr:uid="{00000000-0005-0000-0000-000028140000}"/>
    <cellStyle name="Ukupni zbroj 2 3" xfId="1379" xr:uid="{00000000-0005-0000-0000-000029140000}"/>
    <cellStyle name="Ukupni zbroj 3" xfId="1378" xr:uid="{00000000-0005-0000-0000-00002A140000}"/>
    <cellStyle name="Ukupno" xfId="1008" xr:uid="{00000000-0005-0000-0000-00002B140000}"/>
    <cellStyle name="UKUPNO 2" xfId="1009" xr:uid="{00000000-0005-0000-0000-00002C140000}"/>
    <cellStyle name="Unos 1" xfId="1010" xr:uid="{00000000-0005-0000-0000-00002D140000}"/>
    <cellStyle name="Unos 1 2" xfId="1011" xr:uid="{00000000-0005-0000-0000-00002E140000}"/>
    <cellStyle name="Unos 2" xfId="1012" xr:uid="{00000000-0005-0000-0000-00002F140000}"/>
    <cellStyle name="Unos 2 2" xfId="1013" xr:uid="{00000000-0005-0000-0000-000030140000}"/>
    <cellStyle name="Unos 2 2 2" xfId="1383" xr:uid="{00000000-0005-0000-0000-000031140000}"/>
    <cellStyle name="Unos 2 3" xfId="1382" xr:uid="{00000000-0005-0000-0000-000032140000}"/>
    <cellStyle name="Unos 3" xfId="1381" xr:uid="{00000000-0005-0000-0000-000033140000}"/>
    <cellStyle name="Valuta 2" xfId="1014" xr:uid="{00000000-0005-0000-0000-000034140000}"/>
    <cellStyle name="Valuta 2 2" xfId="1015" xr:uid="{00000000-0005-0000-0000-000035140000}"/>
    <cellStyle name="Valuta 2 2 2" xfId="1016" xr:uid="{00000000-0005-0000-0000-000036140000}"/>
    <cellStyle name="Valuta 2 2 2 2" xfId="1170" xr:uid="{00000000-0005-0000-0000-000037140000}"/>
    <cellStyle name="Valuta 2 2 3" xfId="1017" xr:uid="{00000000-0005-0000-0000-000038140000}"/>
    <cellStyle name="Valuta 2 2 4" xfId="1169" xr:uid="{00000000-0005-0000-0000-000039140000}"/>
    <cellStyle name="Valuta 2 3" xfId="1168" xr:uid="{00000000-0005-0000-0000-00003A140000}"/>
    <cellStyle name="Valuta 2 3 2" xfId="5234" xr:uid="{00000000-0005-0000-0000-00003B140000}"/>
    <cellStyle name="Valuta 2 3 3" xfId="1384" xr:uid="{00000000-0005-0000-0000-00003C140000}"/>
    <cellStyle name="Verknüpfte Zelle" xfId="1018" xr:uid="{00000000-0005-0000-0000-00003D140000}"/>
    <cellStyle name="Währung [0]_RESULTS" xfId="4732" xr:uid="{00000000-0005-0000-0000-00003E140000}"/>
    <cellStyle name="Währung_RESULTS" xfId="4733" xr:uid="{00000000-0005-0000-0000-00003F140000}"/>
    <cellStyle name="Warnender Text" xfId="1019" xr:uid="{00000000-0005-0000-0000-000040140000}"/>
    <cellStyle name="Warning" xfId="5361" xr:uid="{00000000-0005-0000-0000-000041140000}"/>
    <cellStyle name="Warning Text 1" xfId="1020" xr:uid="{00000000-0005-0000-0000-000042140000}"/>
    <cellStyle name="Warning Text 1 1" xfId="1021" xr:uid="{00000000-0005-0000-0000-000043140000}"/>
    <cellStyle name="Warning Text 2" xfId="1022" xr:uid="{00000000-0005-0000-0000-000044140000}"/>
    <cellStyle name="Warning Text 3" xfId="4734" xr:uid="{00000000-0005-0000-0000-000045140000}"/>
    <cellStyle name="Warning Text 3 10" xfId="4735" xr:uid="{00000000-0005-0000-0000-000046140000}"/>
    <cellStyle name="Warning Text 3 11" xfId="4736" xr:uid="{00000000-0005-0000-0000-000047140000}"/>
    <cellStyle name="Warning Text 3 12" xfId="4737" xr:uid="{00000000-0005-0000-0000-000048140000}"/>
    <cellStyle name="Warning Text 3 13" xfId="4738" xr:uid="{00000000-0005-0000-0000-000049140000}"/>
    <cellStyle name="Warning Text 3 14" xfId="4739" xr:uid="{00000000-0005-0000-0000-00004A140000}"/>
    <cellStyle name="Warning Text 3 15" xfId="4740" xr:uid="{00000000-0005-0000-0000-00004B140000}"/>
    <cellStyle name="Warning Text 3 16" xfId="4741" xr:uid="{00000000-0005-0000-0000-00004C140000}"/>
    <cellStyle name="Warning Text 3 17" xfId="4742" xr:uid="{00000000-0005-0000-0000-00004D140000}"/>
    <cellStyle name="Warning Text 3 18" xfId="4743" xr:uid="{00000000-0005-0000-0000-00004E140000}"/>
    <cellStyle name="Warning Text 3 19" xfId="4744" xr:uid="{00000000-0005-0000-0000-00004F140000}"/>
    <cellStyle name="Warning Text 3 2" xfId="4745" xr:uid="{00000000-0005-0000-0000-000050140000}"/>
    <cellStyle name="Warning Text 3 20" xfId="4746" xr:uid="{00000000-0005-0000-0000-000051140000}"/>
    <cellStyle name="Warning Text 3 21" xfId="4747" xr:uid="{00000000-0005-0000-0000-000052140000}"/>
    <cellStyle name="Warning Text 3 22" xfId="4748" xr:uid="{00000000-0005-0000-0000-000053140000}"/>
    <cellStyle name="Warning Text 3 23" xfId="4749" xr:uid="{00000000-0005-0000-0000-000054140000}"/>
    <cellStyle name="Warning Text 3 24" xfId="4750" xr:uid="{00000000-0005-0000-0000-000055140000}"/>
    <cellStyle name="Warning Text 3 25" xfId="4751" xr:uid="{00000000-0005-0000-0000-000056140000}"/>
    <cellStyle name="Warning Text 3 26" xfId="4752" xr:uid="{00000000-0005-0000-0000-000057140000}"/>
    <cellStyle name="Warning Text 3 27" xfId="4753" xr:uid="{00000000-0005-0000-0000-000058140000}"/>
    <cellStyle name="Warning Text 3 28" xfId="4754" xr:uid="{00000000-0005-0000-0000-000059140000}"/>
    <cellStyle name="Warning Text 3 3" xfId="4755" xr:uid="{00000000-0005-0000-0000-00005A140000}"/>
    <cellStyle name="Warning Text 3 4" xfId="4756" xr:uid="{00000000-0005-0000-0000-00005B140000}"/>
    <cellStyle name="Warning Text 3 5" xfId="4757" xr:uid="{00000000-0005-0000-0000-00005C140000}"/>
    <cellStyle name="Warning Text 3 6" xfId="4758" xr:uid="{00000000-0005-0000-0000-00005D140000}"/>
    <cellStyle name="Warning Text 3 7" xfId="4759" xr:uid="{00000000-0005-0000-0000-00005E140000}"/>
    <cellStyle name="Warning Text 3 8" xfId="4760" xr:uid="{00000000-0005-0000-0000-00005F140000}"/>
    <cellStyle name="Warning Text 3 9" xfId="4761" xr:uid="{00000000-0005-0000-0000-000060140000}"/>
    <cellStyle name="Warning Text 4" xfId="4762" xr:uid="{00000000-0005-0000-0000-000061140000}"/>
    <cellStyle name="Warning Text 4 10" xfId="4763" xr:uid="{00000000-0005-0000-0000-000062140000}"/>
    <cellStyle name="Warning Text 4 11" xfId="4764" xr:uid="{00000000-0005-0000-0000-000063140000}"/>
    <cellStyle name="Warning Text 4 12" xfId="4765" xr:uid="{00000000-0005-0000-0000-000064140000}"/>
    <cellStyle name="Warning Text 4 13" xfId="4766" xr:uid="{00000000-0005-0000-0000-000065140000}"/>
    <cellStyle name="Warning Text 4 14" xfId="4767" xr:uid="{00000000-0005-0000-0000-000066140000}"/>
    <cellStyle name="Warning Text 4 15" xfId="4768" xr:uid="{00000000-0005-0000-0000-000067140000}"/>
    <cellStyle name="Warning Text 4 16" xfId="4769" xr:uid="{00000000-0005-0000-0000-000068140000}"/>
    <cellStyle name="Warning Text 4 17" xfId="4770" xr:uid="{00000000-0005-0000-0000-000069140000}"/>
    <cellStyle name="Warning Text 4 18" xfId="4771" xr:uid="{00000000-0005-0000-0000-00006A140000}"/>
    <cellStyle name="Warning Text 4 19" xfId="4772" xr:uid="{00000000-0005-0000-0000-00006B140000}"/>
    <cellStyle name="Warning Text 4 2" xfId="4773" xr:uid="{00000000-0005-0000-0000-00006C140000}"/>
    <cellStyle name="Warning Text 4 20" xfId="4774" xr:uid="{00000000-0005-0000-0000-00006D140000}"/>
    <cellStyle name="Warning Text 4 21" xfId="4775" xr:uid="{00000000-0005-0000-0000-00006E140000}"/>
    <cellStyle name="Warning Text 4 22" xfId="4776" xr:uid="{00000000-0005-0000-0000-00006F140000}"/>
    <cellStyle name="Warning Text 4 23" xfId="4777" xr:uid="{00000000-0005-0000-0000-000070140000}"/>
    <cellStyle name="Warning Text 4 24" xfId="4778" xr:uid="{00000000-0005-0000-0000-000071140000}"/>
    <cellStyle name="Warning Text 4 25" xfId="4779" xr:uid="{00000000-0005-0000-0000-000072140000}"/>
    <cellStyle name="Warning Text 4 3" xfId="4780" xr:uid="{00000000-0005-0000-0000-000073140000}"/>
    <cellStyle name="Warning Text 4 4" xfId="4781" xr:uid="{00000000-0005-0000-0000-000074140000}"/>
    <cellStyle name="Warning Text 4 5" xfId="4782" xr:uid="{00000000-0005-0000-0000-000075140000}"/>
    <cellStyle name="Warning Text 4 6" xfId="4783" xr:uid="{00000000-0005-0000-0000-000076140000}"/>
    <cellStyle name="Warning Text 4 7" xfId="4784" xr:uid="{00000000-0005-0000-0000-000077140000}"/>
    <cellStyle name="Warning Text 4 8" xfId="4785" xr:uid="{00000000-0005-0000-0000-000078140000}"/>
    <cellStyle name="Warning Text 4 9" xfId="4786" xr:uid="{00000000-0005-0000-0000-000079140000}"/>
    <cellStyle name="zadnja" xfId="1023" xr:uid="{00000000-0005-0000-0000-00007A140000}"/>
    <cellStyle name="Zarez 10" xfId="1024" xr:uid="{00000000-0005-0000-0000-00007B140000}"/>
    <cellStyle name="Zarez 10 2" xfId="1025" xr:uid="{00000000-0005-0000-0000-00007C140000}"/>
    <cellStyle name="Zarez 10 2 2" xfId="1026" xr:uid="{00000000-0005-0000-0000-00007D140000}"/>
    <cellStyle name="Zarez 10 3" xfId="1027" xr:uid="{00000000-0005-0000-0000-00007E140000}"/>
    <cellStyle name="Zarez 10 3 2" xfId="1028" xr:uid="{00000000-0005-0000-0000-00007F140000}"/>
    <cellStyle name="Zarez 10 4" xfId="1029" xr:uid="{00000000-0005-0000-0000-000080140000}"/>
    <cellStyle name="Zarez 18" xfId="1030" xr:uid="{00000000-0005-0000-0000-000081140000}"/>
    <cellStyle name="Zarez 18 2" xfId="1031" xr:uid="{00000000-0005-0000-0000-000082140000}"/>
    <cellStyle name="Zarez 18 2 2" xfId="1032" xr:uid="{00000000-0005-0000-0000-000083140000}"/>
    <cellStyle name="Zarez 18 3" xfId="1033" xr:uid="{00000000-0005-0000-0000-000084140000}"/>
    <cellStyle name="Zarez 2" xfId="1034" xr:uid="{00000000-0005-0000-0000-000085140000}"/>
    <cellStyle name="Zarez 2 10" xfId="1035" xr:uid="{00000000-0005-0000-0000-000086140000}"/>
    <cellStyle name="Zarez 2 10 2" xfId="1036" xr:uid="{00000000-0005-0000-0000-000087140000}"/>
    <cellStyle name="Zarez 2 10 2 2" xfId="1037" xr:uid="{00000000-0005-0000-0000-000088140000}"/>
    <cellStyle name="Zarez 2 10 3" xfId="1038" xr:uid="{00000000-0005-0000-0000-000089140000}"/>
    <cellStyle name="Zarez 2 10 3 2" xfId="1039" xr:uid="{00000000-0005-0000-0000-00008A140000}"/>
    <cellStyle name="Zarez 2 10 4" xfId="1040" xr:uid="{00000000-0005-0000-0000-00008B140000}"/>
    <cellStyle name="Zarez 2 11" xfId="1041" xr:uid="{00000000-0005-0000-0000-00008C140000}"/>
    <cellStyle name="Zarez 2 11 2" xfId="1042" xr:uid="{00000000-0005-0000-0000-00008D140000}"/>
    <cellStyle name="Zarez 2 11 2 2" xfId="1043" xr:uid="{00000000-0005-0000-0000-00008E140000}"/>
    <cellStyle name="Zarez 2 11 3" xfId="1044" xr:uid="{00000000-0005-0000-0000-00008F140000}"/>
    <cellStyle name="Zarez 2 11 3 2" xfId="1045" xr:uid="{00000000-0005-0000-0000-000090140000}"/>
    <cellStyle name="Zarez 2 11 4" xfId="1046" xr:uid="{00000000-0005-0000-0000-000091140000}"/>
    <cellStyle name="Zarez 2 12" xfId="1047" xr:uid="{00000000-0005-0000-0000-000092140000}"/>
    <cellStyle name="Zarez 2 12 2" xfId="1048" xr:uid="{00000000-0005-0000-0000-000093140000}"/>
    <cellStyle name="Zarez 2 12 2 2" xfId="1049" xr:uid="{00000000-0005-0000-0000-000094140000}"/>
    <cellStyle name="Zarez 2 12 3" xfId="1050" xr:uid="{00000000-0005-0000-0000-000095140000}"/>
    <cellStyle name="Zarez 2 12 3 2" xfId="1051" xr:uid="{00000000-0005-0000-0000-000096140000}"/>
    <cellStyle name="Zarez 2 12 4" xfId="1052" xr:uid="{00000000-0005-0000-0000-000097140000}"/>
    <cellStyle name="Zarez 2 13" xfId="1053" xr:uid="{00000000-0005-0000-0000-000098140000}"/>
    <cellStyle name="Zarez 2 13 2" xfId="1054" xr:uid="{00000000-0005-0000-0000-000099140000}"/>
    <cellStyle name="Zarez 2 13 2 2" xfId="1055" xr:uid="{00000000-0005-0000-0000-00009A140000}"/>
    <cellStyle name="Zarez 2 13 3" xfId="1056" xr:uid="{00000000-0005-0000-0000-00009B140000}"/>
    <cellStyle name="Zarez 2 13 3 2" xfId="1057" xr:uid="{00000000-0005-0000-0000-00009C140000}"/>
    <cellStyle name="Zarez 2 13 4" xfId="1058" xr:uid="{00000000-0005-0000-0000-00009D140000}"/>
    <cellStyle name="Zarez 2 14" xfId="1059" xr:uid="{00000000-0005-0000-0000-00009E140000}"/>
    <cellStyle name="Zarez 2 14 2" xfId="1060" xr:uid="{00000000-0005-0000-0000-00009F140000}"/>
    <cellStyle name="Zarez 2 14 2 2" xfId="1061" xr:uid="{00000000-0005-0000-0000-0000A0140000}"/>
    <cellStyle name="Zarez 2 14 3" xfId="1062" xr:uid="{00000000-0005-0000-0000-0000A1140000}"/>
    <cellStyle name="Zarez 2 14 3 2" xfId="1063" xr:uid="{00000000-0005-0000-0000-0000A2140000}"/>
    <cellStyle name="Zarez 2 14 4" xfId="1064" xr:uid="{00000000-0005-0000-0000-0000A3140000}"/>
    <cellStyle name="Zarez 2 15" xfId="1065" xr:uid="{00000000-0005-0000-0000-0000A4140000}"/>
    <cellStyle name="Zarez 2 15 2" xfId="1066" xr:uid="{00000000-0005-0000-0000-0000A5140000}"/>
    <cellStyle name="Zarez 2 15 2 2" xfId="1067" xr:uid="{00000000-0005-0000-0000-0000A6140000}"/>
    <cellStyle name="Zarez 2 15 3" xfId="1068" xr:uid="{00000000-0005-0000-0000-0000A7140000}"/>
    <cellStyle name="Zarez 2 15 3 2" xfId="1069" xr:uid="{00000000-0005-0000-0000-0000A8140000}"/>
    <cellStyle name="Zarez 2 15 4" xfId="1070" xr:uid="{00000000-0005-0000-0000-0000A9140000}"/>
    <cellStyle name="Zarez 2 16" xfId="1071" xr:uid="{00000000-0005-0000-0000-0000AA140000}"/>
    <cellStyle name="Zarez 2 16 2" xfId="1072" xr:uid="{00000000-0005-0000-0000-0000AB140000}"/>
    <cellStyle name="Zarez 2 17" xfId="1073" xr:uid="{00000000-0005-0000-0000-0000AC140000}"/>
    <cellStyle name="Zarez 2 17 2" xfId="1074" xr:uid="{00000000-0005-0000-0000-0000AD140000}"/>
    <cellStyle name="Zarez 2 17 3" xfId="1171" xr:uid="{00000000-0005-0000-0000-0000AE140000}"/>
    <cellStyle name="Zarez 2 17 3 2" xfId="1189" xr:uid="{00000000-0005-0000-0000-0000AF140000}"/>
    <cellStyle name="Zarez 2 18" xfId="1075" xr:uid="{00000000-0005-0000-0000-0000B0140000}"/>
    <cellStyle name="Zarez 2 19" xfId="1076" xr:uid="{00000000-0005-0000-0000-0000B1140000}"/>
    <cellStyle name="Zarez 2 2" xfId="1077" xr:uid="{00000000-0005-0000-0000-0000B2140000}"/>
    <cellStyle name="Zarez 2 2 2" xfId="1078" xr:uid="{00000000-0005-0000-0000-0000B3140000}"/>
    <cellStyle name="Zarez 2 2 2 2" xfId="1079" xr:uid="{00000000-0005-0000-0000-0000B4140000}"/>
    <cellStyle name="Zarez 2 2 2 3" xfId="5236" xr:uid="{00000000-0005-0000-0000-0000B5140000}"/>
    <cellStyle name="Zarez 2 2 3" xfId="1080" xr:uid="{00000000-0005-0000-0000-0000B6140000}"/>
    <cellStyle name="Zarez 2 2 3 2" xfId="1081" xr:uid="{00000000-0005-0000-0000-0000B7140000}"/>
    <cellStyle name="Zarez 2 2 4" xfId="1082" xr:uid="{00000000-0005-0000-0000-0000B8140000}"/>
    <cellStyle name="Zarez 2 2 4 2" xfId="1083" xr:uid="{00000000-0005-0000-0000-0000B9140000}"/>
    <cellStyle name="Zarez 2 2 5" xfId="1084" xr:uid="{00000000-0005-0000-0000-0000BA140000}"/>
    <cellStyle name="Zarez 2 2 6" xfId="1385" xr:uid="{00000000-0005-0000-0000-0000BB140000}"/>
    <cellStyle name="Zarez 2 3" xfId="1085" xr:uid="{00000000-0005-0000-0000-0000BC140000}"/>
    <cellStyle name="Zarez 2 3 2" xfId="1086" xr:uid="{00000000-0005-0000-0000-0000BD140000}"/>
    <cellStyle name="Zarez 2 3 2 2" xfId="1087" xr:uid="{00000000-0005-0000-0000-0000BE140000}"/>
    <cellStyle name="Zarez 2 3 2 3" xfId="5275" xr:uid="{00000000-0005-0000-0000-0000BF140000}"/>
    <cellStyle name="Zarez 2 3 3" xfId="1088" xr:uid="{00000000-0005-0000-0000-0000C0140000}"/>
    <cellStyle name="Zarez 2 3 3 2" xfId="1089" xr:uid="{00000000-0005-0000-0000-0000C1140000}"/>
    <cellStyle name="Zarez 2 3 4" xfId="1090" xr:uid="{00000000-0005-0000-0000-0000C2140000}"/>
    <cellStyle name="Zarez 2 3 5" xfId="4789" xr:uid="{00000000-0005-0000-0000-0000C3140000}"/>
    <cellStyle name="Zarez 2 4" xfId="1091" xr:uid="{00000000-0005-0000-0000-0000C4140000}"/>
    <cellStyle name="Zarez 2 4 2" xfId="1092" xr:uid="{00000000-0005-0000-0000-0000C5140000}"/>
    <cellStyle name="Zarez 2 4 2 2" xfId="1093" xr:uid="{00000000-0005-0000-0000-0000C6140000}"/>
    <cellStyle name="Zarez 2 4 3" xfId="1094" xr:uid="{00000000-0005-0000-0000-0000C7140000}"/>
    <cellStyle name="Zarez 2 4 3 2" xfId="1095" xr:uid="{00000000-0005-0000-0000-0000C8140000}"/>
    <cellStyle name="Zarez 2 4 4" xfId="1096" xr:uid="{00000000-0005-0000-0000-0000C9140000}"/>
    <cellStyle name="Zarez 2 4 5" xfId="5235" xr:uid="{00000000-0005-0000-0000-0000CA140000}"/>
    <cellStyle name="Zarez 2 5" xfId="1097" xr:uid="{00000000-0005-0000-0000-0000CB140000}"/>
    <cellStyle name="Zarez 2 5 2" xfId="1098" xr:uid="{00000000-0005-0000-0000-0000CC140000}"/>
    <cellStyle name="Zarez 2 5 2 2" xfId="1099" xr:uid="{00000000-0005-0000-0000-0000CD140000}"/>
    <cellStyle name="Zarez 2 5 3" xfId="1100" xr:uid="{00000000-0005-0000-0000-0000CE140000}"/>
    <cellStyle name="Zarez 2 5 3 2" xfId="1101" xr:uid="{00000000-0005-0000-0000-0000CF140000}"/>
    <cellStyle name="Zarez 2 5 4" xfId="1102" xr:uid="{00000000-0005-0000-0000-0000D0140000}"/>
    <cellStyle name="Zarez 2 6" xfId="1103" xr:uid="{00000000-0005-0000-0000-0000D1140000}"/>
    <cellStyle name="Zarez 2 6 2" xfId="1104" xr:uid="{00000000-0005-0000-0000-0000D2140000}"/>
    <cellStyle name="Zarez 2 6 2 2" xfId="1105" xr:uid="{00000000-0005-0000-0000-0000D3140000}"/>
    <cellStyle name="Zarez 2 6 3" xfId="1106" xr:uid="{00000000-0005-0000-0000-0000D4140000}"/>
    <cellStyle name="Zarez 2 6 3 2" xfId="1107" xr:uid="{00000000-0005-0000-0000-0000D5140000}"/>
    <cellStyle name="Zarez 2 6 4" xfId="1108" xr:uid="{00000000-0005-0000-0000-0000D6140000}"/>
    <cellStyle name="Zarez 2 7" xfId="1109" xr:uid="{00000000-0005-0000-0000-0000D7140000}"/>
    <cellStyle name="Zarez 2 7 2" xfId="1110" xr:uid="{00000000-0005-0000-0000-0000D8140000}"/>
    <cellStyle name="Zarez 2 7 2 2" xfId="1111" xr:uid="{00000000-0005-0000-0000-0000D9140000}"/>
    <cellStyle name="Zarez 2 7 3" xfId="1112" xr:uid="{00000000-0005-0000-0000-0000DA140000}"/>
    <cellStyle name="Zarez 2 7 3 2" xfId="1113" xr:uid="{00000000-0005-0000-0000-0000DB140000}"/>
    <cellStyle name="Zarez 2 7 4" xfId="1114" xr:uid="{00000000-0005-0000-0000-0000DC140000}"/>
    <cellStyle name="Zarez 2 8" xfId="1115" xr:uid="{00000000-0005-0000-0000-0000DD140000}"/>
    <cellStyle name="Zarez 2 8 2" xfId="1116" xr:uid="{00000000-0005-0000-0000-0000DE140000}"/>
    <cellStyle name="Zarez 2 8 2 2" xfId="1117" xr:uid="{00000000-0005-0000-0000-0000DF140000}"/>
    <cellStyle name="Zarez 2 8 3" xfId="1118" xr:uid="{00000000-0005-0000-0000-0000E0140000}"/>
    <cellStyle name="Zarez 2 8 3 2" xfId="1119" xr:uid="{00000000-0005-0000-0000-0000E1140000}"/>
    <cellStyle name="Zarez 2 8 4" xfId="1120" xr:uid="{00000000-0005-0000-0000-0000E2140000}"/>
    <cellStyle name="Zarez 2 9" xfId="1121" xr:uid="{00000000-0005-0000-0000-0000E3140000}"/>
    <cellStyle name="Zarez 2 9 2" xfId="1122" xr:uid="{00000000-0005-0000-0000-0000E4140000}"/>
    <cellStyle name="Zarez 2 9 2 2" xfId="1123" xr:uid="{00000000-0005-0000-0000-0000E5140000}"/>
    <cellStyle name="Zarez 2 9 3" xfId="1124" xr:uid="{00000000-0005-0000-0000-0000E6140000}"/>
    <cellStyle name="Zarez 2 9 3 2" xfId="1125" xr:uid="{00000000-0005-0000-0000-0000E7140000}"/>
    <cellStyle name="Zarez 2 9 4" xfId="1126" xr:uid="{00000000-0005-0000-0000-0000E8140000}"/>
    <cellStyle name="Zarez 3" xfId="1127" xr:uid="{00000000-0005-0000-0000-0000E9140000}"/>
    <cellStyle name="Zarez 3 2" xfId="1128" xr:uid="{00000000-0005-0000-0000-0000EA140000}"/>
    <cellStyle name="Zarez 3 2 2" xfId="1129" xr:uid="{00000000-0005-0000-0000-0000EB140000}"/>
    <cellStyle name="Zarez 3 3" xfId="1172" xr:uid="{00000000-0005-0000-0000-0000EC140000}"/>
    <cellStyle name="Zarez 3 3 2" xfId="1190" xr:uid="{00000000-0005-0000-0000-0000ED140000}"/>
    <cellStyle name="Zarez 4" xfId="1130" xr:uid="{00000000-0005-0000-0000-0000EE140000}"/>
    <cellStyle name="Zarez 5" xfId="1131" xr:uid="{00000000-0005-0000-0000-0000EF140000}"/>
    <cellStyle name="Zarez 5 2" xfId="1132" xr:uid="{00000000-0005-0000-0000-0000F0140000}"/>
    <cellStyle name="Zelle überprüfen" xfId="1133" xr:uid="{00000000-0005-0000-0000-0000F1140000}"/>
  </cellStyles>
  <dxfs count="5">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s>
  <tableStyles count="0" defaultTableStyle="TableStyleMedium9" defaultPivotStyle="PivotStyleLight16"/>
  <colors>
    <mruColors>
      <color rgb="FFF7F1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10</xdr:row>
      <xdr:rowOff>104775</xdr:rowOff>
    </xdr:from>
    <xdr:to>
      <xdr:col>4</xdr:col>
      <xdr:colOff>529530</xdr:colOff>
      <xdr:row>16</xdr:row>
      <xdr:rowOff>95250</xdr:rowOff>
    </xdr:to>
    <xdr:pic>
      <xdr:nvPicPr>
        <xdr:cNvPr id="2" name="Picture 1">
          <a:extLst>
            <a:ext uri="{FF2B5EF4-FFF2-40B4-BE49-F238E27FC236}">
              <a16:creationId xmlns:a16="http://schemas.microsoft.com/office/drawing/2014/main" id="{335225E0-EEFC-A7B5-AA0B-9AC5C5D57CB6}"/>
            </a:ext>
          </a:extLst>
        </xdr:cNvPr>
        <xdr:cNvPicPr>
          <a:picLocks noChangeAspect="1"/>
        </xdr:cNvPicPr>
      </xdr:nvPicPr>
      <xdr:blipFill>
        <a:blip xmlns:r="http://schemas.openxmlformats.org/officeDocument/2006/relationships" r:embed="rId1" cstate="print"/>
        <a:stretch>
          <a:fillRect/>
        </a:stretch>
      </xdr:blipFill>
      <xdr:spPr>
        <a:xfrm>
          <a:off x="5153025" y="2409825"/>
          <a:ext cx="1101030" cy="1666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209551</xdr:colOff>
      <xdr:row>8</xdr:row>
      <xdr:rowOff>76200</xdr:rowOff>
    </xdr:from>
    <xdr:to>
      <xdr:col>4</xdr:col>
      <xdr:colOff>490740</xdr:colOff>
      <xdr:row>14</xdr:row>
      <xdr:rowOff>123825</xdr:rowOff>
    </xdr:to>
    <xdr:pic>
      <xdr:nvPicPr>
        <xdr:cNvPr id="2" name="Picture 1">
          <a:extLst>
            <a:ext uri="{FF2B5EF4-FFF2-40B4-BE49-F238E27FC236}">
              <a16:creationId xmlns:a16="http://schemas.microsoft.com/office/drawing/2014/main" id="{FF01F9B1-1735-64E7-9C8C-11E21FB4A30B}"/>
            </a:ext>
          </a:extLst>
        </xdr:cNvPr>
        <xdr:cNvPicPr>
          <a:picLocks noChangeAspect="1"/>
        </xdr:cNvPicPr>
      </xdr:nvPicPr>
      <xdr:blipFill>
        <a:blip xmlns:r="http://schemas.openxmlformats.org/officeDocument/2006/relationships" r:embed="rId1"/>
        <a:stretch>
          <a:fillRect/>
        </a:stretch>
      </xdr:blipFill>
      <xdr:spPr>
        <a:xfrm>
          <a:off x="5219701" y="1962150"/>
          <a:ext cx="995564" cy="1724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sheetPr>
  <dimension ref="B2:I45"/>
  <sheetViews>
    <sheetView view="pageBreakPreview" topLeftCell="A106" zoomScaleSheetLayoutView="100" workbookViewId="0">
      <selection activeCell="B2" sqref="B2"/>
    </sheetView>
  </sheetViews>
  <sheetFormatPr defaultColWidth="9.140625" defaultRowHeight="12.75"/>
  <cols>
    <col min="1" max="1" width="3.7109375" style="7" customWidth="1"/>
    <col min="2" max="2" width="10.7109375" style="48" customWidth="1"/>
    <col min="3" max="3" width="23.140625" style="49" customWidth="1"/>
    <col min="4" max="4" width="80.7109375" style="50" customWidth="1"/>
    <col min="5" max="5" width="10.7109375" style="4" customWidth="1"/>
    <col min="6" max="6" width="39.5703125" style="5" customWidth="1"/>
    <col min="7" max="7" width="9.140625" style="5"/>
    <col min="8" max="8" width="9.140625" style="6"/>
    <col min="9" max="16384" width="9.140625" style="7"/>
  </cols>
  <sheetData>
    <row r="2" spans="2:9" ht="84.75" customHeight="1">
      <c r="B2" s="1"/>
      <c r="C2" s="2"/>
      <c r="D2" s="3"/>
      <c r="F2" s="136"/>
    </row>
    <row r="3" spans="2:9" ht="16.5">
      <c r="B3" s="8"/>
      <c r="C3" s="9"/>
      <c r="D3" s="10"/>
    </row>
    <row r="4" spans="2:9" ht="16.5">
      <c r="B4" s="11"/>
      <c r="C4" s="12"/>
      <c r="D4" s="13"/>
      <c r="E4" s="7"/>
      <c r="F4" s="7"/>
      <c r="G4" s="7"/>
    </row>
    <row r="5" spans="2:9" ht="16.5">
      <c r="B5" s="8"/>
      <c r="C5" s="12"/>
      <c r="D5" s="13"/>
      <c r="F5" s="7"/>
    </row>
    <row r="6" spans="2:9" ht="16.5">
      <c r="B6" s="8"/>
      <c r="C6" s="12"/>
      <c r="D6" s="13"/>
      <c r="E6" s="7"/>
      <c r="F6" s="7"/>
    </row>
    <row r="7" spans="2:9" ht="18.75">
      <c r="B7" s="8"/>
      <c r="C7" s="14" t="s">
        <v>0</v>
      </c>
      <c r="D7" s="15" t="s">
        <v>216</v>
      </c>
      <c r="E7" s="7"/>
      <c r="F7" s="7"/>
    </row>
    <row r="8" spans="2:9" ht="18">
      <c r="B8" s="11"/>
      <c r="C8" s="14"/>
      <c r="D8" s="150"/>
      <c r="E8" s="7"/>
    </row>
    <row r="9" spans="2:9" ht="18">
      <c r="B9" s="11"/>
      <c r="C9" s="16"/>
      <c r="D9" s="137"/>
      <c r="E9" s="7"/>
    </row>
    <row r="10" spans="2:9" ht="18">
      <c r="B10" s="11"/>
      <c r="C10" s="16"/>
      <c r="D10" s="18"/>
      <c r="E10" s="7"/>
    </row>
    <row r="11" spans="2:9" ht="18.75">
      <c r="B11" s="8"/>
      <c r="C11" s="19" t="s">
        <v>1</v>
      </c>
      <c r="D11" s="20" t="s">
        <v>215</v>
      </c>
    </row>
    <row r="12" spans="2:9" ht="18.75">
      <c r="B12" s="8"/>
      <c r="C12" s="14"/>
      <c r="D12" s="18"/>
      <c r="E12" s="7"/>
    </row>
    <row r="13" spans="2:9" ht="18.75" customHeight="1">
      <c r="B13" s="11"/>
      <c r="C13" s="19" t="s">
        <v>2</v>
      </c>
      <c r="D13" s="151" t="s">
        <v>214</v>
      </c>
      <c r="E13" s="7"/>
    </row>
    <row r="14" spans="2:9" ht="18">
      <c r="B14" s="11"/>
      <c r="C14" s="14"/>
      <c r="D14" s="40"/>
      <c r="E14" s="7"/>
      <c r="I14" s="21"/>
    </row>
    <row r="15" spans="2:9" ht="18">
      <c r="B15" s="11"/>
      <c r="C15" s="14" t="s">
        <v>3</v>
      </c>
      <c r="D15" s="22" t="s">
        <v>4</v>
      </c>
    </row>
    <row r="16" spans="2:9" ht="18">
      <c r="B16" s="11"/>
      <c r="C16" s="14"/>
      <c r="D16" s="22" t="s">
        <v>17</v>
      </c>
    </row>
    <row r="17" spans="2:4" ht="18">
      <c r="B17" s="11"/>
      <c r="C17" s="14"/>
      <c r="D17" s="22" t="s">
        <v>18</v>
      </c>
    </row>
    <row r="18" spans="2:4" ht="18">
      <c r="B18" s="11"/>
      <c r="D18" s="22" t="s">
        <v>91</v>
      </c>
    </row>
    <row r="19" spans="2:4" ht="16.5">
      <c r="B19" s="11"/>
      <c r="D19" s="73"/>
    </row>
    <row r="20" spans="2:4" ht="18">
      <c r="B20" s="11"/>
      <c r="C20" s="14" t="s">
        <v>5</v>
      </c>
      <c r="D20" s="17" t="s">
        <v>6</v>
      </c>
    </row>
    <row r="21" spans="2:4" ht="18">
      <c r="B21" s="11"/>
      <c r="C21" s="24"/>
      <c r="D21" s="25"/>
    </row>
    <row r="22" spans="2:4" ht="16.5" customHeight="1">
      <c r="B22" s="11"/>
      <c r="C22" s="14" t="s">
        <v>7</v>
      </c>
      <c r="D22" s="26" t="s">
        <v>213</v>
      </c>
    </row>
    <row r="23" spans="2:4" ht="16.5" customHeight="1">
      <c r="B23" s="11"/>
      <c r="C23" s="27"/>
      <c r="D23" s="26"/>
    </row>
    <row r="24" spans="2:4" ht="18">
      <c r="B24" s="11"/>
      <c r="C24" s="14"/>
      <c r="D24" s="23"/>
    </row>
    <row r="25" spans="2:4" ht="18">
      <c r="B25" s="11"/>
      <c r="C25" s="14"/>
      <c r="D25" s="17"/>
    </row>
    <row r="26" spans="2:4" ht="18">
      <c r="B26" s="28"/>
      <c r="C26" s="29"/>
      <c r="D26" s="30"/>
    </row>
    <row r="27" spans="2:4" ht="18">
      <c r="B27" s="28"/>
      <c r="C27" s="29"/>
      <c r="D27" s="31"/>
    </row>
    <row r="28" spans="2:4" ht="18">
      <c r="B28" s="28"/>
      <c r="C28" s="29"/>
      <c r="D28" s="31"/>
    </row>
    <row r="29" spans="2:4" ht="18">
      <c r="B29" s="28"/>
      <c r="C29" s="32"/>
      <c r="D29" s="31"/>
    </row>
    <row r="30" spans="2:4" ht="18">
      <c r="B30" s="28"/>
      <c r="C30" s="32"/>
      <c r="D30" s="31"/>
    </row>
    <row r="31" spans="2:4" ht="18">
      <c r="B31" s="33"/>
      <c r="C31" s="32"/>
      <c r="D31" s="31"/>
    </row>
    <row r="32" spans="2:4" ht="18.75">
      <c r="B32" s="33"/>
      <c r="C32" s="34"/>
      <c r="D32" s="35"/>
    </row>
    <row r="33" spans="2:5" ht="18.75">
      <c r="B33" s="33"/>
      <c r="C33" s="29"/>
      <c r="D33" s="36"/>
    </row>
    <row r="34" spans="2:5" ht="15.75" customHeight="1">
      <c r="B34" s="33"/>
      <c r="C34" s="34"/>
      <c r="D34" s="36"/>
    </row>
    <row r="35" spans="2:5" ht="18">
      <c r="B35" s="33"/>
      <c r="C35" s="37"/>
      <c r="D35" s="36"/>
    </row>
    <row r="36" spans="2:5" ht="18.75">
      <c r="B36" s="33"/>
      <c r="C36" s="34"/>
      <c r="D36" s="35"/>
    </row>
    <row r="37" spans="2:5" ht="18.75">
      <c r="B37" s="33"/>
      <c r="C37" s="34"/>
      <c r="D37" s="35"/>
    </row>
    <row r="38" spans="2:5" ht="18.75">
      <c r="B38" s="33"/>
      <c r="C38" s="34"/>
      <c r="D38" s="35"/>
    </row>
    <row r="39" spans="2:5" ht="18">
      <c r="B39" s="33"/>
      <c r="C39" s="32"/>
      <c r="D39" s="38"/>
      <c r="E39" s="39"/>
    </row>
    <row r="40" spans="2:5" ht="18.75">
      <c r="B40" s="33"/>
      <c r="C40" s="34"/>
      <c r="D40" s="40"/>
      <c r="E40" s="7"/>
    </row>
    <row r="41" spans="2:5" ht="18">
      <c r="B41" s="28"/>
      <c r="C41" s="41"/>
      <c r="D41" s="30"/>
    </row>
    <row r="42" spans="2:5" ht="18">
      <c r="B42" s="28"/>
      <c r="C42" s="41"/>
      <c r="D42" s="30"/>
    </row>
    <row r="43" spans="2:5" ht="18">
      <c r="B43" s="28"/>
      <c r="C43" s="34" t="s">
        <v>413</v>
      </c>
      <c r="D43" s="30"/>
    </row>
    <row r="44" spans="2:5" ht="16.5">
      <c r="B44" s="42"/>
      <c r="C44" s="43"/>
      <c r="D44" s="44"/>
    </row>
    <row r="45" spans="2:5" ht="16.5">
      <c r="B45" s="45"/>
      <c r="C45" s="46"/>
      <c r="D45" s="47"/>
    </row>
  </sheetData>
  <printOptions horizontalCentered="1"/>
  <pageMargins left="0.78740157480314965" right="0" top="0.70866141732283472" bottom="0.70866141732283472" header="0" footer="0.19685039370078741"/>
  <pageSetup paperSize="9" scale="7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9" tint="0.59999389629810485"/>
  </sheetPr>
  <dimension ref="B2:H19"/>
  <sheetViews>
    <sheetView view="pageBreakPreview" zoomScaleSheetLayoutView="100" workbookViewId="0">
      <selection activeCell="D11" sqref="D11"/>
    </sheetView>
  </sheetViews>
  <sheetFormatPr defaultColWidth="9.140625" defaultRowHeight="12.75"/>
  <cols>
    <col min="1" max="1" width="3.7109375" style="7" customWidth="1"/>
    <col min="2" max="2" width="10.7109375" style="48" customWidth="1"/>
    <col min="3" max="3" width="60.7109375" style="49" customWidth="1"/>
    <col min="4" max="4" width="40.7109375" style="50" customWidth="1"/>
    <col min="5" max="5" width="43.85546875" style="56" customWidth="1"/>
    <col min="6" max="6" width="10.7109375" style="5" customWidth="1"/>
    <col min="7" max="7" width="9.140625" style="5"/>
    <col min="8" max="8" width="9.140625" style="6"/>
    <col min="9" max="16384" width="9.140625" style="7"/>
  </cols>
  <sheetData>
    <row r="2" spans="2:7" ht="33" customHeight="1">
      <c r="B2" s="154" t="s">
        <v>8</v>
      </c>
      <c r="C2" s="155" t="s">
        <v>9</v>
      </c>
      <c r="D2" s="156" t="s">
        <v>10</v>
      </c>
    </row>
    <row r="3" spans="2:7" ht="16.5">
      <c r="B3" s="157"/>
      <c r="C3" s="158"/>
      <c r="D3" s="159"/>
    </row>
    <row r="4" spans="2:7" ht="15" customHeight="1">
      <c r="B4" s="153"/>
      <c r="C4" s="160" t="s">
        <v>11</v>
      </c>
      <c r="D4" s="161"/>
      <c r="E4" s="59"/>
      <c r="F4" s="7"/>
      <c r="G4" s="7"/>
    </row>
    <row r="5" spans="2:7" ht="16.5">
      <c r="B5" s="224"/>
      <c r="C5" s="162"/>
      <c r="D5" s="225"/>
      <c r="F5" s="7"/>
    </row>
    <row r="6" spans="2:7" ht="15.75" customHeight="1">
      <c r="B6" s="235" t="str">
        <f>'S.0.'!B4</f>
        <v>S.</v>
      </c>
      <c r="C6" s="236" t="str">
        <f>'S.0.'!C4</f>
        <v>STUBIŠTE</v>
      </c>
      <c r="D6" s="237"/>
      <c r="F6" s="7"/>
    </row>
    <row r="7" spans="2:7" ht="15.75" customHeight="1">
      <c r="B7" s="61" t="str">
        <f>'S.1.PRIPREMNI'!B12</f>
        <v>S.1.</v>
      </c>
      <c r="C7" s="62" t="str">
        <f>'S.1.PRIPREMNI'!C12</f>
        <v>PRIPREMNI I ZAVRŠNI RADOVI</v>
      </c>
      <c r="D7" s="60">
        <f>'S.1.PRIPREMNI'!G64</f>
        <v>8340</v>
      </c>
      <c r="E7" s="59"/>
      <c r="F7" s="7"/>
    </row>
    <row r="8" spans="2:7" ht="15.75" customHeight="1">
      <c r="B8" s="61" t="str">
        <f>'S.2.ZIDARSKI'!B6</f>
        <v>S.2.</v>
      </c>
      <c r="C8" s="64" t="str">
        <f>'S.2.ZIDARSKI'!C6</f>
        <v>ZIDARSKI RADOVI</v>
      </c>
      <c r="D8" s="65">
        <f>'S.2.ZIDARSKI'!G71</f>
        <v>9760</v>
      </c>
      <c r="E8" s="59"/>
      <c r="F8" s="7"/>
    </row>
    <row r="9" spans="2:7" ht="17.25" customHeight="1">
      <c r="B9" s="63" t="str">
        <f>'S.3.LIČILAČKI'!B8</f>
        <v>S.3.</v>
      </c>
      <c r="C9" s="64" t="str">
        <f>'S.3.LIČILAČKI'!C8</f>
        <v>LIČILAČKI RADOVI</v>
      </c>
      <c r="D9" s="65">
        <f>'S.3.LIČILAČKI'!G151</f>
        <v>17740</v>
      </c>
      <c r="E9" s="59"/>
    </row>
    <row r="10" spans="2:7" ht="17.25" customHeight="1">
      <c r="B10" s="63" t="str">
        <f>'S.4.STOLARSKI'!B8</f>
        <v>S.4.</v>
      </c>
      <c r="C10" s="64" t="str">
        <f>'S.4.STOLARSKI'!C8</f>
        <v>STOLARSKI RADOVI</v>
      </c>
      <c r="D10" s="65">
        <f>'S.4.STOLARSKI'!G20</f>
        <v>2000</v>
      </c>
      <c r="E10" s="59"/>
    </row>
    <row r="11" spans="2:7" ht="16.5">
      <c r="B11" s="203" t="str">
        <f>B6</f>
        <v>S.</v>
      </c>
      <c r="C11" s="204" t="str">
        <f>C6&amp;" UKUPNO"</f>
        <v>STUBIŠTE UKUPNO</v>
      </c>
      <c r="D11" s="205">
        <f>SUM(D7:D10)</f>
        <v>37840</v>
      </c>
    </row>
    <row r="12" spans="2:7" ht="17.25" customHeight="1">
      <c r="B12" s="63"/>
      <c r="C12" s="64"/>
      <c r="D12" s="65"/>
      <c r="E12" s="59"/>
    </row>
    <row r="13" spans="2:7" ht="17.25" customHeight="1">
      <c r="B13" s="235" t="str">
        <f>'F.0.'!B4</f>
        <v>F.</v>
      </c>
      <c r="C13" s="236" t="str">
        <f>'F.0.'!C4</f>
        <v>FASADA</v>
      </c>
      <c r="D13" s="237"/>
      <c r="E13" s="59"/>
    </row>
    <row r="14" spans="2:7" ht="17.25" customHeight="1">
      <c r="B14" s="61" t="str">
        <f>'F.1.PRIPREMNI'!B6</f>
        <v>F.1.</v>
      </c>
      <c r="C14" s="62" t="str">
        <f>'F.1.PRIPREMNI'!C6</f>
        <v>PRIPREMNI I ZAVRŠNI RADOVI</v>
      </c>
      <c r="D14" s="60">
        <f>'F.1.PRIPREMNI'!G46</f>
        <v>0</v>
      </c>
      <c r="E14" s="59"/>
    </row>
    <row r="15" spans="2:7" ht="17.25" customHeight="1">
      <c r="B15" s="61" t="str">
        <f>'F.2.FASADERSKI'!B8</f>
        <v>F.2.</v>
      </c>
      <c r="C15" s="64" t="str">
        <f>'F.2.FASADERSKI'!C8</f>
        <v>FASADERSKI RADOVI</v>
      </c>
      <c r="D15" s="65">
        <f>'F.2.FASADERSKI'!G46</f>
        <v>4530</v>
      </c>
      <c r="E15" s="59"/>
    </row>
    <row r="16" spans="2:7" ht="17.25" customHeight="1">
      <c r="B16" s="61" t="str">
        <f>'F.3.STOLARSKI'!B6</f>
        <v>F.3.</v>
      </c>
      <c r="C16" s="64" t="str">
        <f>'F.3.STOLARSKI'!C6</f>
        <v>STOLARSKI RADOVI</v>
      </c>
      <c r="D16" s="65">
        <f>'F.3.STOLARSKI'!G18</f>
        <v>2000</v>
      </c>
      <c r="E16" s="59"/>
    </row>
    <row r="17" spans="2:5" ht="17.25" customHeight="1">
      <c r="B17" s="203" t="str">
        <f>B13</f>
        <v>F.</v>
      </c>
      <c r="C17" s="204" t="str">
        <f>C13&amp;" UKUPNO"</f>
        <v>FASADA UKUPNO</v>
      </c>
      <c r="D17" s="205">
        <f>SUM(D13:D16)</f>
        <v>6530</v>
      </c>
      <c r="E17" s="59"/>
    </row>
    <row r="18" spans="2:5" ht="17.25" customHeight="1">
      <c r="B18" s="63"/>
      <c r="C18" s="64"/>
      <c r="D18" s="65"/>
      <c r="E18" s="59"/>
    </row>
    <row r="19" spans="2:5" ht="16.5">
      <c r="B19" s="203"/>
      <c r="C19" s="204" t="s">
        <v>10</v>
      </c>
      <c r="D19" s="205">
        <f>D11+D17</f>
        <v>44370</v>
      </c>
    </row>
  </sheetData>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B2:I47"/>
  <sheetViews>
    <sheetView view="pageBreakPreview" zoomScaleSheetLayoutView="100" workbookViewId="0">
      <selection activeCell="B2" sqref="B2"/>
    </sheetView>
  </sheetViews>
  <sheetFormatPr defaultColWidth="9.140625" defaultRowHeight="12.75"/>
  <cols>
    <col min="1" max="1" width="3.7109375" style="7" customWidth="1"/>
    <col min="2" max="2" width="10.7109375" style="48" customWidth="1"/>
    <col min="3" max="3" width="20.7109375" style="49" customWidth="1"/>
    <col min="4" max="4" width="80.7109375" style="50" customWidth="1"/>
    <col min="5" max="5" width="43.85546875" style="56" customWidth="1"/>
    <col min="6" max="6" width="10.7109375" style="5" customWidth="1"/>
    <col min="7" max="7" width="9.140625" style="5"/>
    <col min="8" max="8" width="9.140625" style="6"/>
    <col min="9" max="16384" width="9.140625" style="7"/>
  </cols>
  <sheetData>
    <row r="2" spans="2:9" ht="33" customHeight="1">
      <c r="B2" s="70"/>
      <c r="C2" s="263" t="str">
        <f>PROJEKT_NAZIV</f>
        <v>Stambena zgrada - obnova fasade i stubišnog prostora</v>
      </c>
      <c r="D2" s="264"/>
    </row>
    <row r="3" spans="2:9" ht="16.5">
      <c r="B3" s="163"/>
      <c r="C3" s="164"/>
      <c r="D3" s="165"/>
    </row>
    <row r="4" spans="2:9" ht="16.5">
      <c r="B4" s="57" t="s">
        <v>12</v>
      </c>
      <c r="C4" s="72" t="s">
        <v>217</v>
      </c>
      <c r="D4" s="58"/>
      <c r="E4" s="59"/>
      <c r="F4" s="7"/>
      <c r="G4" s="7"/>
    </row>
    <row r="5" spans="2:9" ht="16.5">
      <c r="B5" s="57" t="str">
        <f>B4&amp;"0."</f>
        <v>A.0.</v>
      </c>
      <c r="C5" s="72" t="s">
        <v>14</v>
      </c>
      <c r="D5" s="58"/>
      <c r="F5" s="7"/>
    </row>
    <row r="6" spans="2:9" ht="16.5">
      <c r="B6" s="163"/>
      <c r="C6" s="166"/>
      <c r="D6" s="167"/>
      <c r="F6" s="7"/>
    </row>
    <row r="7" spans="2:9" ht="16.5">
      <c r="B7" s="74"/>
      <c r="C7" s="75"/>
      <c r="D7" s="76"/>
      <c r="E7" s="59"/>
      <c r="F7" s="7"/>
    </row>
    <row r="8" spans="2:9" ht="16.5">
      <c r="B8" s="28"/>
      <c r="C8" s="67"/>
      <c r="D8" s="77"/>
      <c r="E8" s="59"/>
      <c r="F8" s="7"/>
    </row>
    <row r="9" spans="2:9" ht="16.5">
      <c r="B9" s="33"/>
      <c r="C9" s="78" t="s">
        <v>0</v>
      </c>
      <c r="D9" s="79" t="str">
        <f>INVESTITOR_NAZIV</f>
        <v>Suvlasnici stambene zgrade</v>
      </c>
      <c r="E9" s="59"/>
      <c r="F9" s="7"/>
    </row>
    <row r="10" spans="2:9" ht="16.5">
      <c r="B10" s="28"/>
      <c r="C10" s="66"/>
      <c r="D10" s="80"/>
      <c r="E10" s="59"/>
    </row>
    <row r="11" spans="2:9" ht="16.5">
      <c r="B11" s="33"/>
      <c r="C11" s="67"/>
      <c r="D11" s="79"/>
      <c r="E11" s="59"/>
    </row>
    <row r="12" spans="2:9" ht="16.5">
      <c r="B12" s="28"/>
      <c r="C12" s="67"/>
      <c r="D12" s="77"/>
      <c r="E12" s="59"/>
    </row>
    <row r="13" spans="2:9" ht="16.5">
      <c r="B13" s="33"/>
      <c r="C13" s="81" t="s">
        <v>1</v>
      </c>
      <c r="D13" s="82" t="str">
        <f>PROJEKT_NAZIV</f>
        <v>Stambena zgrada - obnova fasade i stubišnog prostora</v>
      </c>
    </row>
    <row r="14" spans="2:9" ht="16.5">
      <c r="B14" s="33"/>
      <c r="C14" s="66"/>
      <c r="D14" s="77"/>
      <c r="E14" s="59"/>
    </row>
    <row r="15" spans="2:9" ht="16.5">
      <c r="B15" s="28"/>
      <c r="C15" s="66" t="s">
        <v>2</v>
      </c>
      <c r="D15" s="79" t="str">
        <f>PROJEKT_LOKACIJA</f>
        <v>Tratinska 13, 10000 Zagreb</v>
      </c>
      <c r="E15" s="59"/>
    </row>
    <row r="16" spans="2:9" ht="16.5">
      <c r="B16" s="28"/>
      <c r="C16" s="78"/>
      <c r="D16" s="77"/>
      <c r="E16" s="59"/>
      <c r="I16" s="21"/>
    </row>
    <row r="17" spans="2:4" ht="16.5">
      <c r="B17" s="28"/>
      <c r="C17" s="78"/>
      <c r="D17" s="77"/>
    </row>
    <row r="18" spans="2:4" ht="16.5">
      <c r="B18" s="28"/>
      <c r="C18" s="78" t="s">
        <v>15</v>
      </c>
      <c r="D18" s="83" t="s">
        <v>13</v>
      </c>
    </row>
    <row r="19" spans="2:4" ht="16.5">
      <c r="B19" s="28"/>
      <c r="C19" s="66"/>
      <c r="D19" s="84"/>
    </row>
    <row r="20" spans="2:4" ht="16.5">
      <c r="B20" s="28"/>
      <c r="C20" s="67"/>
      <c r="D20" s="233"/>
    </row>
    <row r="21" spans="2:4" ht="16.5">
      <c r="B21" s="28"/>
      <c r="C21" s="67"/>
      <c r="D21" s="79"/>
    </row>
    <row r="22" spans="2:4" ht="16.5">
      <c r="B22" s="28"/>
      <c r="C22" s="67"/>
      <c r="D22" s="79"/>
    </row>
    <row r="23" spans="2:4" ht="16.5">
      <c r="B23" s="28"/>
      <c r="C23" s="67"/>
      <c r="D23" s="79"/>
    </row>
    <row r="24" spans="2:4" ht="16.5">
      <c r="B24" s="28"/>
      <c r="C24" s="66"/>
      <c r="D24" s="85"/>
    </row>
    <row r="25" spans="2:4" ht="16.5">
      <c r="B25" s="28"/>
      <c r="C25" s="66"/>
      <c r="D25" s="84"/>
    </row>
    <row r="26" spans="2:4" ht="16.5">
      <c r="B26" s="28"/>
      <c r="C26" s="66" t="s">
        <v>16</v>
      </c>
      <c r="D26" s="86"/>
    </row>
    <row r="27" spans="2:4" ht="16.5">
      <c r="B27" s="28"/>
      <c r="C27" s="67" t="str">
        <f>AUTOR_NAZIV</f>
        <v>NFO d.o.o.</v>
      </c>
      <c r="D27" s="71"/>
    </row>
    <row r="28" spans="2:4" ht="16.5">
      <c r="B28" s="28"/>
      <c r="C28" s="67" t="str">
        <f>AUTOR_ADRESA</f>
        <v>Ksaver 152</v>
      </c>
      <c r="D28" s="73"/>
    </row>
    <row r="29" spans="2:4" ht="16.5">
      <c r="B29" s="28"/>
      <c r="C29" s="67" t="str">
        <f>AUTOR_GRAD</f>
        <v>10000 Zagreb</v>
      </c>
      <c r="D29" s="73"/>
    </row>
    <row r="30" spans="2:4" ht="16.5">
      <c r="B30" s="28"/>
      <c r="D30" s="73"/>
    </row>
    <row r="31" spans="2:4" ht="16.5">
      <c r="B31" s="28"/>
      <c r="D31" s="73"/>
    </row>
    <row r="32" spans="2:4" ht="16.5">
      <c r="B32" s="33"/>
      <c r="D32" s="73"/>
    </row>
    <row r="33" spans="2:5" ht="16.5">
      <c r="B33" s="33"/>
      <c r="C33" s="66" t="s">
        <v>19</v>
      </c>
      <c r="D33" s="87"/>
    </row>
    <row r="34" spans="2:5" ht="16.5">
      <c r="B34" s="33"/>
      <c r="C34" s="67" t="str">
        <f>AUTOR_PROJEKTANT</f>
        <v>Nenad Ravnić, dipl.ing.arh.</v>
      </c>
      <c r="D34" s="86"/>
    </row>
    <row r="35" spans="2:5" ht="15.75" customHeight="1">
      <c r="B35" s="33"/>
      <c r="C35" s="66"/>
      <c r="D35" s="86"/>
    </row>
    <row r="36" spans="2:5" ht="16.5">
      <c r="B36" s="33"/>
      <c r="C36" s="68"/>
      <c r="D36" s="86"/>
    </row>
    <row r="37" spans="2:5" ht="16.5">
      <c r="B37" s="33"/>
      <c r="C37" s="66"/>
      <c r="D37" s="87"/>
    </row>
    <row r="38" spans="2:5" ht="16.5">
      <c r="B38" s="33"/>
      <c r="C38" s="66"/>
      <c r="D38" s="87"/>
    </row>
    <row r="39" spans="2:5" ht="16.5">
      <c r="B39" s="33"/>
      <c r="C39" s="66"/>
      <c r="D39" s="87"/>
    </row>
    <row r="40" spans="2:5" ht="16.5">
      <c r="B40" s="33"/>
      <c r="D40" s="84"/>
      <c r="E40" s="69"/>
    </row>
    <row r="41" spans="2:5" ht="16.5">
      <c r="B41" s="33"/>
      <c r="C41" s="66"/>
      <c r="D41" s="77"/>
      <c r="E41" s="59"/>
    </row>
    <row r="42" spans="2:5" ht="16.5">
      <c r="B42" s="28"/>
      <c r="C42" s="46"/>
      <c r="D42" s="71"/>
    </row>
    <row r="43" spans="2:5" ht="16.5">
      <c r="B43" s="28"/>
      <c r="C43" s="46"/>
      <c r="D43" s="71"/>
    </row>
    <row r="44" spans="2:5" ht="16.5">
      <c r="B44" s="28"/>
      <c r="C44" s="66" t="str">
        <f>DATUM</f>
        <v>Zagreb, studeni 2025.</v>
      </c>
      <c r="D44" s="71"/>
    </row>
    <row r="45" spans="2:5" ht="16.5">
      <c r="B45" s="28"/>
      <c r="C45" s="66"/>
      <c r="D45" s="71"/>
    </row>
    <row r="46" spans="2:5" ht="16.5">
      <c r="B46" s="88"/>
      <c r="C46" s="89"/>
      <c r="D46" s="90"/>
    </row>
    <row r="47" spans="2:5" ht="16.5">
      <c r="B47" s="45"/>
      <c r="C47" s="46"/>
      <c r="D47" s="47"/>
    </row>
  </sheetData>
  <mergeCells count="1">
    <mergeCell ref="C2:D2"/>
  </mergeCell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9" tint="0.59999389629810485"/>
  </sheetPr>
  <dimension ref="B2:H42"/>
  <sheetViews>
    <sheetView view="pageBreakPreview" zoomScaleSheetLayoutView="100" workbookViewId="0">
      <selection activeCell="C29" sqref="C29"/>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91" t="s">
        <v>25</v>
      </c>
    </row>
    <row r="3" spans="2:8">
      <c r="B3" s="169"/>
      <c r="C3" s="170"/>
      <c r="D3" s="171"/>
      <c r="E3" s="171"/>
      <c r="F3" s="172"/>
      <c r="G3" s="173"/>
    </row>
    <row r="4" spans="2:8">
      <c r="B4" s="177" t="str">
        <f>'A.0.'!B4</f>
        <v>A.</v>
      </c>
      <c r="C4" s="178" t="str">
        <f>'A.0.'!C4</f>
        <v>OPĆI TEHNIČKI UVJETI</v>
      </c>
      <c r="D4" s="179"/>
      <c r="E4" s="180"/>
      <c r="F4" s="181"/>
      <c r="G4" s="182"/>
    </row>
    <row r="5" spans="2:8">
      <c r="B5" s="170"/>
      <c r="C5" s="170"/>
      <c r="D5" s="171"/>
      <c r="E5" s="171"/>
      <c r="F5" s="172"/>
      <c r="G5" s="219"/>
    </row>
    <row r="6" spans="2:8">
      <c r="B6" s="191"/>
      <c r="C6" s="209" t="s">
        <v>26</v>
      </c>
      <c r="D6" s="207"/>
      <c r="E6" s="208"/>
      <c r="F6" s="194"/>
      <c r="G6" s="200"/>
      <c r="H6" s="226"/>
    </row>
    <row r="7" spans="2:8">
      <c r="B7" s="92"/>
      <c r="D7" s="97"/>
      <c r="E7" s="98"/>
      <c r="F7" s="99"/>
      <c r="G7" s="100"/>
      <c r="H7" s="54"/>
    </row>
    <row r="8" spans="2:8" ht="66">
      <c r="B8" s="92"/>
      <c r="C8" s="101" t="s">
        <v>27</v>
      </c>
      <c r="D8" s="97"/>
      <c r="E8" s="93"/>
      <c r="F8" s="99"/>
      <c r="G8" s="100"/>
      <c r="H8" s="54"/>
    </row>
    <row r="9" spans="2:8" ht="82.5">
      <c r="B9" s="92"/>
      <c r="C9" s="101" t="s">
        <v>28</v>
      </c>
      <c r="D9" s="97"/>
      <c r="E9" s="93"/>
      <c r="F9" s="99"/>
      <c r="G9" s="100"/>
      <c r="H9" s="54"/>
    </row>
    <row r="10" spans="2:8" ht="82.5">
      <c r="B10" s="92"/>
      <c r="C10" s="101" t="s">
        <v>94</v>
      </c>
      <c r="D10" s="97"/>
      <c r="E10" s="98"/>
      <c r="F10" s="99"/>
      <c r="G10" s="100"/>
      <c r="H10" s="54"/>
    </row>
    <row r="11" spans="2:8">
      <c r="B11" s="92"/>
      <c r="D11" s="97"/>
      <c r="E11" s="98"/>
      <c r="F11" s="99"/>
      <c r="G11" s="100"/>
      <c r="H11" s="227"/>
    </row>
    <row r="12" spans="2:8">
      <c r="B12" s="92"/>
      <c r="C12" s="114" t="s">
        <v>29</v>
      </c>
      <c r="D12" s="97"/>
      <c r="E12" s="98"/>
      <c r="F12" s="99"/>
      <c r="G12" s="100"/>
      <c r="H12" s="227"/>
    </row>
    <row r="13" spans="2:8" ht="66">
      <c r="B13" s="92"/>
      <c r="C13" s="101" t="s">
        <v>95</v>
      </c>
      <c r="D13" s="97"/>
      <c r="E13" s="98"/>
      <c r="F13" s="99"/>
      <c r="G13" s="100"/>
      <c r="H13" s="227"/>
    </row>
    <row r="14" spans="2:8">
      <c r="B14" s="92"/>
      <c r="D14" s="97"/>
      <c r="E14" s="98"/>
      <c r="F14" s="99"/>
      <c r="G14" s="100"/>
      <c r="H14" s="227"/>
    </row>
    <row r="15" spans="2:8">
      <c r="B15" s="92"/>
      <c r="C15" s="114" t="s">
        <v>30</v>
      </c>
      <c r="D15" s="97"/>
      <c r="E15" s="98"/>
      <c r="F15" s="99"/>
      <c r="G15" s="100"/>
      <c r="H15" s="227"/>
    </row>
    <row r="16" spans="2:8" ht="49.5">
      <c r="B16" s="92"/>
      <c r="C16" s="101" t="s">
        <v>31</v>
      </c>
      <c r="D16" s="97"/>
      <c r="E16" s="98"/>
      <c r="F16" s="99"/>
      <c r="G16" s="100"/>
      <c r="H16" s="227"/>
    </row>
    <row r="17" spans="2:8" ht="66">
      <c r="B17" s="92"/>
      <c r="C17" s="101" t="s">
        <v>92</v>
      </c>
      <c r="D17" s="97"/>
      <c r="E17" s="98"/>
      <c r="F17" s="99"/>
      <c r="G17" s="100"/>
      <c r="H17" s="227"/>
    </row>
    <row r="18" spans="2:8" ht="82.5">
      <c r="B18" s="92"/>
      <c r="C18" s="101" t="s">
        <v>93</v>
      </c>
      <c r="D18" s="97"/>
      <c r="E18" s="98"/>
      <c r="F18" s="99"/>
      <c r="G18" s="100"/>
      <c r="H18" s="227"/>
    </row>
    <row r="19" spans="2:8">
      <c r="B19" s="92"/>
      <c r="D19" s="97"/>
      <c r="E19" s="98"/>
      <c r="F19" s="99"/>
      <c r="G19" s="100"/>
      <c r="H19" s="227"/>
    </row>
    <row r="20" spans="2:8">
      <c r="B20" s="92"/>
      <c r="C20" s="114" t="s">
        <v>97</v>
      </c>
      <c r="D20" s="97"/>
      <c r="E20" s="98"/>
      <c r="F20" s="99"/>
      <c r="G20" s="100"/>
      <c r="H20" s="227"/>
    </row>
    <row r="21" spans="2:8">
      <c r="B21" s="92"/>
      <c r="C21" s="115" t="s">
        <v>99</v>
      </c>
      <c r="D21" s="97"/>
      <c r="E21" s="98"/>
      <c r="F21" s="99"/>
      <c r="G21" s="100"/>
      <c r="H21" s="227"/>
    </row>
    <row r="22" spans="2:8" ht="66">
      <c r="B22" s="92"/>
      <c r="C22" s="101" t="s">
        <v>98</v>
      </c>
      <c r="D22" s="97"/>
      <c r="E22" s="98"/>
      <c r="F22" s="99"/>
      <c r="G22" s="100"/>
      <c r="H22" s="227"/>
    </row>
    <row r="23" spans="2:8" ht="66">
      <c r="B23" s="92"/>
      <c r="C23" s="101" t="s">
        <v>100</v>
      </c>
      <c r="D23" s="97"/>
      <c r="E23" s="98"/>
      <c r="F23" s="99"/>
      <c r="G23" s="100"/>
      <c r="H23" s="227"/>
    </row>
    <row r="24" spans="2:8" ht="49.5">
      <c r="B24" s="92"/>
      <c r="C24" s="101" t="s">
        <v>101</v>
      </c>
      <c r="D24" s="97"/>
      <c r="E24" s="98"/>
      <c r="F24" s="99"/>
      <c r="G24" s="100"/>
      <c r="H24" s="227"/>
    </row>
    <row r="25" spans="2:8">
      <c r="B25" s="92"/>
      <c r="D25" s="97"/>
      <c r="E25" s="98"/>
      <c r="F25" s="99"/>
      <c r="G25" s="100"/>
      <c r="H25" s="227"/>
    </row>
    <row r="26" spans="2:8">
      <c r="B26" s="92"/>
      <c r="C26" s="114" t="s">
        <v>23</v>
      </c>
      <c r="D26" s="97"/>
      <c r="E26" s="98"/>
      <c r="F26" s="99"/>
      <c r="G26" s="100"/>
      <c r="H26" s="227"/>
    </row>
    <row r="27" spans="2:8">
      <c r="B27" s="92"/>
      <c r="C27" s="101"/>
      <c r="D27" s="97"/>
      <c r="E27" s="98"/>
      <c r="F27" s="99"/>
      <c r="G27" s="100"/>
      <c r="H27" s="227"/>
    </row>
    <row r="28" spans="2:8">
      <c r="B28" s="92"/>
      <c r="C28" s="101" t="s">
        <v>32</v>
      </c>
      <c r="D28" s="97"/>
      <c r="E28" s="98"/>
      <c r="F28" s="99"/>
      <c r="G28" s="100"/>
      <c r="H28" s="227"/>
    </row>
    <row r="29" spans="2:8" ht="49.5">
      <c r="B29" s="92"/>
      <c r="C29" s="206" t="s">
        <v>160</v>
      </c>
      <c r="D29" s="97"/>
      <c r="E29" s="98"/>
      <c r="F29" s="99"/>
      <c r="G29" s="100"/>
      <c r="H29" s="227"/>
    </row>
    <row r="30" spans="2:8">
      <c r="B30" s="92"/>
      <c r="C30" s="206" t="s">
        <v>161</v>
      </c>
      <c r="D30" s="97"/>
      <c r="E30" s="98"/>
      <c r="F30" s="99"/>
      <c r="G30" s="100"/>
      <c r="H30" s="227"/>
    </row>
    <row r="31" spans="2:8">
      <c r="B31" s="92"/>
      <c r="C31" s="206" t="s">
        <v>162</v>
      </c>
      <c r="D31" s="97"/>
      <c r="E31" s="98"/>
      <c r="F31" s="99"/>
      <c r="G31" s="100"/>
      <c r="H31" s="227"/>
    </row>
    <row r="32" spans="2:8">
      <c r="B32" s="92"/>
      <c r="C32" s="206" t="s">
        <v>163</v>
      </c>
      <c r="D32" s="97"/>
      <c r="E32" s="98"/>
      <c r="F32" s="99"/>
      <c r="G32" s="100"/>
      <c r="H32" s="227"/>
    </row>
    <row r="33" spans="2:8">
      <c r="B33" s="92"/>
      <c r="C33" s="206" t="s">
        <v>164</v>
      </c>
      <c r="D33" s="97"/>
      <c r="E33" s="98"/>
      <c r="F33" s="99"/>
      <c r="G33" s="100"/>
      <c r="H33" s="227"/>
    </row>
    <row r="34" spans="2:8">
      <c r="B34" s="92"/>
      <c r="C34" s="206" t="s">
        <v>165</v>
      </c>
      <c r="D34" s="97"/>
      <c r="E34" s="98"/>
      <c r="F34" s="99"/>
      <c r="G34" s="100"/>
      <c r="H34" s="227"/>
    </row>
    <row r="35" spans="2:8">
      <c r="B35" s="92"/>
      <c r="C35" s="206" t="s">
        <v>166</v>
      </c>
      <c r="D35" s="97"/>
      <c r="E35" s="98"/>
      <c r="F35" s="99"/>
      <c r="G35" s="100"/>
      <c r="H35" s="227"/>
    </row>
    <row r="36" spans="2:8">
      <c r="B36" s="92"/>
      <c r="D36" s="97"/>
      <c r="E36" s="98"/>
      <c r="F36" s="99"/>
      <c r="G36" s="100"/>
      <c r="H36" s="227"/>
    </row>
    <row r="37" spans="2:8" ht="33">
      <c r="B37" s="92"/>
      <c r="C37" s="101" t="s">
        <v>96</v>
      </c>
      <c r="D37" s="97"/>
      <c r="E37" s="98"/>
      <c r="F37" s="99"/>
      <c r="G37" s="100"/>
      <c r="H37" s="227"/>
    </row>
    <row r="38" spans="2:8">
      <c r="B38" s="92"/>
      <c r="C38" s="101"/>
      <c r="D38" s="97"/>
      <c r="E38" s="98"/>
      <c r="F38" s="98"/>
      <c r="G38" s="100"/>
      <c r="H38" s="227"/>
    </row>
    <row r="39" spans="2:8">
      <c r="B39" s="183"/>
      <c r="C39" s="184"/>
      <c r="D39" s="185"/>
      <c r="E39" s="186"/>
      <c r="F39" s="187"/>
      <c r="G39" s="188"/>
      <c r="H39" s="228"/>
    </row>
    <row r="42" spans="2:8">
      <c r="E42" s="108"/>
    </row>
  </sheetData>
  <protectedRanges>
    <protectedRange sqref="F4:G4" name="Range1_2"/>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1" manualBreakCount="1">
    <brk id="25" min="1"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9" tint="0.59999389629810485"/>
  </sheetPr>
  <dimension ref="B2:H88"/>
  <sheetViews>
    <sheetView view="pageBreakPreview" topLeftCell="A52" zoomScaleSheetLayoutView="100" workbookViewId="0">
      <selection activeCell="B2" sqref="B2"/>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132" t="s">
        <v>25</v>
      </c>
    </row>
    <row r="3" spans="2:8" s="51" customFormat="1">
      <c r="B3" s="169"/>
      <c r="C3" s="170"/>
      <c r="D3" s="171"/>
      <c r="E3" s="171"/>
      <c r="F3" s="172"/>
      <c r="G3" s="173"/>
      <c r="H3" s="229"/>
    </row>
    <row r="4" spans="2:8" s="51" customFormat="1">
      <c r="B4" s="177" t="str">
        <f>'A.0.'!B4</f>
        <v>A.</v>
      </c>
      <c r="C4" s="178" t="str">
        <f>'A.0.'!C4</f>
        <v>OPĆI TEHNIČKI UVJETI</v>
      </c>
      <c r="D4" s="179"/>
      <c r="E4" s="180"/>
      <c r="F4" s="181"/>
      <c r="G4" s="182"/>
      <c r="H4" s="229"/>
    </row>
    <row r="5" spans="2:8">
      <c r="B5" s="170"/>
      <c r="C5" s="170"/>
      <c r="D5" s="171"/>
      <c r="E5" s="171"/>
      <c r="F5" s="172"/>
      <c r="G5" s="219"/>
    </row>
    <row r="6" spans="2:8">
      <c r="B6" s="198"/>
      <c r="C6" s="199" t="s">
        <v>41</v>
      </c>
      <c r="D6" s="192"/>
      <c r="E6" s="193"/>
      <c r="F6" s="194"/>
      <c r="G6" s="200"/>
      <c r="H6" s="230"/>
    </row>
    <row r="7" spans="2:8">
      <c r="B7" s="92"/>
      <c r="D7" s="97"/>
      <c r="E7" s="98"/>
      <c r="F7" s="99"/>
      <c r="G7" s="100"/>
      <c r="H7" s="223"/>
    </row>
    <row r="8" spans="2:8">
      <c r="B8" s="92"/>
      <c r="C8" s="103" t="s">
        <v>35</v>
      </c>
      <c r="D8" s="97"/>
      <c r="E8" s="98"/>
      <c r="F8" s="99"/>
      <c r="G8" s="100"/>
      <c r="H8" s="223"/>
    </row>
    <row r="9" spans="2:8">
      <c r="B9" s="92"/>
      <c r="C9" s="101" t="s">
        <v>145</v>
      </c>
      <c r="D9" s="97"/>
      <c r="E9" s="98"/>
      <c r="F9" s="99"/>
      <c r="G9" s="100"/>
      <c r="H9" s="231"/>
    </row>
    <row r="10" spans="2:8">
      <c r="B10" s="92"/>
      <c r="C10" s="101" t="s">
        <v>146</v>
      </c>
      <c r="D10" s="265" t="s">
        <v>140</v>
      </c>
      <c r="E10" s="265"/>
      <c r="F10" s="216"/>
      <c r="G10" s="100"/>
      <c r="H10" s="231"/>
    </row>
    <row r="11" spans="2:8">
      <c r="B11" s="92"/>
      <c r="C11" s="101" t="s">
        <v>148</v>
      </c>
      <c r="D11" s="265" t="s">
        <v>140</v>
      </c>
      <c r="E11" s="265"/>
      <c r="F11" s="216"/>
      <c r="G11" s="100"/>
      <c r="H11" s="231"/>
    </row>
    <row r="12" spans="2:8" ht="33">
      <c r="B12" s="92"/>
      <c r="C12" s="101" t="s">
        <v>147</v>
      </c>
      <c r="D12" s="97"/>
      <c r="E12" s="98"/>
      <c r="F12" s="99"/>
      <c r="G12" s="100"/>
      <c r="H12" s="231"/>
    </row>
    <row r="13" spans="2:8">
      <c r="B13" s="92"/>
      <c r="C13" s="101"/>
      <c r="D13" s="97"/>
      <c r="E13" s="98"/>
      <c r="F13" s="99"/>
      <c r="G13" s="100"/>
      <c r="H13" s="231"/>
    </row>
    <row r="14" spans="2:8" ht="66">
      <c r="B14" s="92"/>
      <c r="C14" s="101" t="s">
        <v>106</v>
      </c>
      <c r="D14" s="97"/>
      <c r="E14" s="98"/>
      <c r="F14" s="99"/>
      <c r="G14" s="100"/>
      <c r="H14" s="223"/>
    </row>
    <row r="15" spans="2:8">
      <c r="B15" s="92"/>
      <c r="C15" s="101"/>
      <c r="D15" s="97"/>
      <c r="E15" s="98"/>
      <c r="F15" s="99"/>
      <c r="G15" s="100"/>
      <c r="H15" s="223"/>
    </row>
    <row r="16" spans="2:8">
      <c r="B16" s="92"/>
      <c r="C16" s="101" t="s">
        <v>149</v>
      </c>
      <c r="D16" s="97"/>
      <c r="E16" s="98"/>
      <c r="F16" s="99"/>
      <c r="G16" s="100"/>
      <c r="H16" s="223"/>
    </row>
    <row r="17" spans="2:8">
      <c r="B17" s="92"/>
      <c r="C17" s="101" t="s">
        <v>152</v>
      </c>
      <c r="D17" s="265" t="s">
        <v>140</v>
      </c>
      <c r="E17" s="265"/>
      <c r="F17" s="216"/>
      <c r="G17" s="100"/>
      <c r="H17" s="223"/>
    </row>
    <row r="18" spans="2:8">
      <c r="B18" s="92"/>
      <c r="C18" s="101"/>
      <c r="D18" s="97"/>
      <c r="E18" s="98"/>
      <c r="F18" s="99"/>
      <c r="G18" s="100"/>
      <c r="H18" s="223"/>
    </row>
    <row r="19" spans="2:8">
      <c r="B19" s="92"/>
      <c r="C19" s="101" t="s">
        <v>150</v>
      </c>
      <c r="D19" s="97"/>
      <c r="E19" s="98"/>
      <c r="F19" s="99"/>
      <c r="G19" s="100"/>
      <c r="H19" s="223"/>
    </row>
    <row r="20" spans="2:8">
      <c r="B20" s="92"/>
      <c r="C20" s="101" t="s">
        <v>153</v>
      </c>
      <c r="D20" s="265" t="s">
        <v>140</v>
      </c>
      <c r="E20" s="265"/>
      <c r="F20" s="216"/>
      <c r="G20" s="100"/>
      <c r="H20" s="223"/>
    </row>
    <row r="21" spans="2:8">
      <c r="B21" s="92"/>
      <c r="C21" s="101"/>
      <c r="D21" s="97"/>
      <c r="E21" s="98"/>
      <c r="F21" s="99"/>
      <c r="G21" s="100"/>
      <c r="H21" s="223"/>
    </row>
    <row r="22" spans="2:8">
      <c r="B22" s="92"/>
      <c r="C22" s="101" t="s">
        <v>151</v>
      </c>
      <c r="D22" s="97"/>
      <c r="E22" s="98"/>
      <c r="F22" s="99"/>
      <c r="G22" s="100"/>
      <c r="H22" s="223"/>
    </row>
    <row r="23" spans="2:8">
      <c r="B23" s="92"/>
      <c r="C23" s="101" t="s">
        <v>159</v>
      </c>
      <c r="D23" s="265" t="s">
        <v>140</v>
      </c>
      <c r="E23" s="265"/>
      <c r="F23" s="216"/>
      <c r="G23" s="100"/>
      <c r="H23" s="223"/>
    </row>
    <row r="24" spans="2:8">
      <c r="B24" s="92"/>
      <c r="C24" s="101" t="s">
        <v>154</v>
      </c>
      <c r="D24" s="265" t="s">
        <v>140</v>
      </c>
      <c r="E24" s="265"/>
      <c r="F24" s="216"/>
      <c r="G24" s="100"/>
      <c r="H24" s="223"/>
    </row>
    <row r="25" spans="2:8">
      <c r="B25" s="92"/>
      <c r="C25" s="101" t="s">
        <v>155</v>
      </c>
      <c r="D25" s="265" t="s">
        <v>140</v>
      </c>
      <c r="E25" s="265"/>
      <c r="F25" s="216"/>
      <c r="G25" s="100"/>
      <c r="H25" s="223"/>
    </row>
    <row r="26" spans="2:8">
      <c r="B26" s="92"/>
      <c r="C26" s="101"/>
      <c r="D26" s="97"/>
      <c r="E26" s="98"/>
      <c r="F26" s="99"/>
      <c r="G26" s="100"/>
      <c r="H26" s="223"/>
    </row>
    <row r="27" spans="2:8">
      <c r="B27" s="92"/>
      <c r="C27" s="101" t="s">
        <v>156</v>
      </c>
      <c r="D27" s="97"/>
      <c r="E27" s="98"/>
      <c r="F27" s="99"/>
      <c r="G27" s="100"/>
      <c r="H27" s="223"/>
    </row>
    <row r="28" spans="2:8">
      <c r="B28" s="92"/>
      <c r="C28" s="101" t="s">
        <v>157</v>
      </c>
      <c r="D28" s="265" t="s">
        <v>140</v>
      </c>
      <c r="E28" s="265"/>
      <c r="F28" s="216"/>
      <c r="G28" s="100"/>
      <c r="H28" s="223"/>
    </row>
    <row r="29" spans="2:8">
      <c r="B29" s="92"/>
      <c r="C29" s="101"/>
      <c r="D29" s="97"/>
      <c r="E29" s="98"/>
      <c r="F29" s="99"/>
      <c r="G29" s="100"/>
      <c r="H29" s="223"/>
    </row>
    <row r="30" spans="2:8">
      <c r="B30" s="92"/>
      <c r="C30" s="101" t="s">
        <v>158</v>
      </c>
      <c r="D30" s="97"/>
      <c r="E30" s="98"/>
      <c r="F30" s="99"/>
      <c r="G30" s="100"/>
      <c r="H30" s="223"/>
    </row>
    <row r="31" spans="2:8">
      <c r="B31" s="92"/>
      <c r="C31" s="101" t="s">
        <v>143</v>
      </c>
      <c r="D31" s="265" t="s">
        <v>140</v>
      </c>
      <c r="E31" s="265"/>
      <c r="F31" s="216"/>
      <c r="G31" s="100"/>
      <c r="H31" s="223"/>
    </row>
    <row r="32" spans="2:8">
      <c r="B32" s="92"/>
      <c r="D32" s="97"/>
      <c r="E32" s="98"/>
      <c r="F32" s="99"/>
      <c r="G32" s="100"/>
      <c r="H32" s="223"/>
    </row>
    <row r="33" spans="2:8">
      <c r="B33" s="92"/>
      <c r="C33" s="103" t="s">
        <v>36</v>
      </c>
      <c r="D33" s="97"/>
      <c r="E33" s="98"/>
      <c r="F33" s="99"/>
      <c r="G33" s="100"/>
      <c r="H33" s="223"/>
    </row>
    <row r="34" spans="2:8">
      <c r="B34" s="92"/>
      <c r="C34" s="101"/>
      <c r="D34" s="97"/>
      <c r="E34" s="98"/>
      <c r="F34" s="99"/>
      <c r="G34" s="100"/>
      <c r="H34" s="223"/>
    </row>
    <row r="35" spans="2:8">
      <c r="B35" s="92"/>
      <c r="C35" s="103" t="s">
        <v>42</v>
      </c>
      <c r="D35" s="97"/>
      <c r="E35" s="98"/>
      <c r="F35" s="99"/>
      <c r="G35" s="100"/>
      <c r="H35" s="223"/>
    </row>
    <row r="36" spans="2:8" ht="33">
      <c r="B36" s="92"/>
      <c r="C36" s="101" t="s">
        <v>43</v>
      </c>
      <c r="D36" s="97"/>
      <c r="E36" s="98"/>
      <c r="F36" s="99"/>
      <c r="G36" s="100"/>
      <c r="H36" s="223"/>
    </row>
    <row r="37" spans="2:8" ht="49.5">
      <c r="B37" s="92"/>
      <c r="C37" s="101" t="s">
        <v>44</v>
      </c>
      <c r="D37" s="97"/>
      <c r="E37" s="98"/>
      <c r="F37" s="99"/>
      <c r="G37" s="100"/>
      <c r="H37" s="223"/>
    </row>
    <row r="38" spans="2:8" ht="82.5">
      <c r="B38" s="92"/>
      <c r="C38" s="101" t="s">
        <v>107</v>
      </c>
      <c r="D38" s="97"/>
      <c r="E38" s="98"/>
      <c r="F38" s="99"/>
      <c r="G38" s="100"/>
      <c r="H38" s="223"/>
    </row>
    <row r="39" spans="2:8" ht="83.25" customHeight="1">
      <c r="B39" s="92"/>
      <c r="C39" s="107" t="s">
        <v>45</v>
      </c>
      <c r="D39" s="97"/>
      <c r="E39" s="98"/>
      <c r="F39" s="99"/>
      <c r="G39" s="100"/>
      <c r="H39" s="223"/>
    </row>
    <row r="40" spans="2:8" ht="33">
      <c r="B40" s="92"/>
      <c r="C40" s="101" t="s">
        <v>46</v>
      </c>
      <c r="D40" s="97"/>
      <c r="E40" s="98"/>
      <c r="F40" s="99"/>
      <c r="G40" s="100"/>
      <c r="H40" s="223"/>
    </row>
    <row r="41" spans="2:8">
      <c r="B41" s="92"/>
      <c r="C41" s="101" t="s">
        <v>47</v>
      </c>
      <c r="D41" s="97"/>
      <c r="E41" s="98"/>
      <c r="F41" s="99"/>
      <c r="G41" s="100"/>
      <c r="H41" s="223"/>
    </row>
    <row r="42" spans="2:8" ht="69" customHeight="1">
      <c r="B42" s="92"/>
      <c r="C42" s="107" t="s">
        <v>48</v>
      </c>
      <c r="D42" s="97"/>
      <c r="E42" s="98"/>
      <c r="F42" s="99"/>
      <c r="G42" s="100"/>
      <c r="H42" s="223"/>
    </row>
    <row r="43" spans="2:8">
      <c r="B43" s="92"/>
      <c r="C43" s="101" t="s">
        <v>49</v>
      </c>
      <c r="D43" s="97"/>
      <c r="E43" s="98"/>
      <c r="F43" s="99"/>
      <c r="G43" s="100"/>
      <c r="H43" s="223"/>
    </row>
    <row r="44" spans="2:8" ht="33">
      <c r="B44" s="92"/>
      <c r="C44" s="101" t="s">
        <v>50</v>
      </c>
      <c r="D44" s="97"/>
      <c r="E44" s="98"/>
      <c r="F44" s="99"/>
      <c r="G44" s="100"/>
      <c r="H44" s="223"/>
    </row>
    <row r="45" spans="2:8">
      <c r="B45" s="92"/>
      <c r="C45" s="126"/>
      <c r="D45" s="97"/>
      <c r="E45" s="98"/>
      <c r="F45" s="99"/>
      <c r="G45" s="100"/>
      <c r="H45" s="223"/>
    </row>
    <row r="46" spans="2:8" ht="82.5">
      <c r="B46" s="92"/>
      <c r="C46" s="119" t="s">
        <v>105</v>
      </c>
      <c r="D46" s="97"/>
      <c r="E46" s="98"/>
      <c r="F46" s="99"/>
      <c r="G46" s="100"/>
      <c r="H46" s="223"/>
    </row>
    <row r="47" spans="2:8">
      <c r="B47" s="92"/>
      <c r="C47" s="126"/>
      <c r="D47" s="97"/>
      <c r="E47" s="98"/>
      <c r="F47" s="99"/>
      <c r="G47" s="100"/>
      <c r="H47" s="223"/>
    </row>
    <row r="48" spans="2:8">
      <c r="B48" s="92"/>
      <c r="C48" s="126" t="s">
        <v>40</v>
      </c>
      <c r="D48" s="97"/>
      <c r="E48" s="98"/>
      <c r="F48" s="99"/>
      <c r="G48" s="100"/>
      <c r="H48" s="223"/>
    </row>
    <row r="49" spans="2:8">
      <c r="B49" s="92"/>
      <c r="C49" s="126" t="s">
        <v>51</v>
      </c>
      <c r="D49" s="97"/>
      <c r="E49" s="98"/>
      <c r="F49" s="99"/>
      <c r="G49" s="100"/>
      <c r="H49" s="223"/>
    </row>
    <row r="50" spans="2:8" ht="33">
      <c r="B50" s="92"/>
      <c r="C50" s="133" t="s">
        <v>52</v>
      </c>
      <c r="D50" s="97"/>
      <c r="E50" s="98"/>
      <c r="F50" s="99"/>
      <c r="G50" s="100"/>
      <c r="H50" s="223"/>
    </row>
    <row r="51" spans="2:8">
      <c r="B51" s="92"/>
      <c r="C51" s="133" t="s">
        <v>53</v>
      </c>
      <c r="D51" s="97"/>
      <c r="E51" s="98"/>
      <c r="F51" s="99"/>
      <c r="G51" s="100"/>
      <c r="H51" s="223"/>
    </row>
    <row r="52" spans="2:8">
      <c r="B52" s="92"/>
      <c r="C52" s="133" t="s">
        <v>54</v>
      </c>
      <c r="D52" s="97"/>
      <c r="E52" s="98"/>
      <c r="F52" s="99"/>
      <c r="G52" s="100"/>
      <c r="H52" s="223"/>
    </row>
    <row r="53" spans="2:8">
      <c r="B53" s="92"/>
      <c r="C53" s="133" t="s">
        <v>55</v>
      </c>
      <c r="D53" s="97"/>
      <c r="E53" s="98"/>
      <c r="F53" s="99"/>
      <c r="G53" s="100"/>
      <c r="H53" s="223"/>
    </row>
    <row r="54" spans="2:8">
      <c r="B54" s="92"/>
      <c r="C54" s="133" t="s">
        <v>103</v>
      </c>
      <c r="D54" s="97"/>
      <c r="E54" s="98"/>
      <c r="F54" s="99"/>
      <c r="G54" s="100"/>
      <c r="H54" s="223"/>
    </row>
    <row r="55" spans="2:8">
      <c r="B55" s="92"/>
      <c r="C55" s="133" t="s">
        <v>119</v>
      </c>
      <c r="D55" s="97"/>
      <c r="E55" s="98"/>
      <c r="F55" s="99"/>
      <c r="G55" s="100"/>
      <c r="H55" s="223"/>
    </row>
    <row r="56" spans="2:8">
      <c r="B56" s="92"/>
      <c r="C56" s="133" t="s">
        <v>56</v>
      </c>
      <c r="D56" s="97"/>
      <c r="E56" s="98"/>
      <c r="F56" s="99"/>
      <c r="G56" s="100"/>
      <c r="H56" s="223"/>
    </row>
    <row r="57" spans="2:8" ht="33">
      <c r="B57" s="92"/>
      <c r="C57" s="133" t="s">
        <v>108</v>
      </c>
      <c r="D57" s="97"/>
      <c r="E57" s="98"/>
      <c r="F57" s="99"/>
      <c r="G57" s="100"/>
      <c r="H57" s="223"/>
    </row>
    <row r="58" spans="2:8" ht="49.5">
      <c r="B58" s="92"/>
      <c r="C58" s="126" t="s">
        <v>109</v>
      </c>
      <c r="D58" s="97"/>
      <c r="E58" s="98"/>
      <c r="F58" s="99"/>
      <c r="G58" s="100"/>
      <c r="H58" s="223"/>
    </row>
    <row r="59" spans="2:8" ht="33">
      <c r="B59" s="92"/>
      <c r="C59" s="126" t="s">
        <v>104</v>
      </c>
      <c r="D59" s="97"/>
      <c r="E59" s="98"/>
      <c r="F59" s="99"/>
      <c r="G59" s="100"/>
      <c r="H59" s="223"/>
    </row>
    <row r="60" spans="2:8" ht="54" customHeight="1">
      <c r="B60" s="92"/>
      <c r="C60" s="126" t="s">
        <v>57</v>
      </c>
      <c r="D60" s="97"/>
      <c r="E60" s="98"/>
      <c r="F60" s="99"/>
      <c r="G60" s="100"/>
      <c r="H60" s="223"/>
    </row>
    <row r="61" spans="2:8">
      <c r="B61" s="92"/>
      <c r="C61" s="126" t="s">
        <v>58</v>
      </c>
      <c r="D61" s="97"/>
      <c r="E61" s="98"/>
      <c r="F61" s="99"/>
      <c r="G61" s="100"/>
      <c r="H61" s="223"/>
    </row>
    <row r="62" spans="2:8" ht="49.5">
      <c r="B62" s="92"/>
      <c r="C62" s="126" t="s">
        <v>59</v>
      </c>
      <c r="D62" s="97"/>
      <c r="E62" s="98"/>
      <c r="F62" s="99"/>
      <c r="G62" s="100"/>
      <c r="H62" s="223"/>
    </row>
    <row r="63" spans="2:8" ht="15.75" customHeight="1">
      <c r="B63" s="92"/>
      <c r="C63" s="133"/>
      <c r="D63" s="97"/>
      <c r="E63" s="98"/>
      <c r="F63" s="99"/>
      <c r="G63" s="100"/>
      <c r="H63" s="223"/>
    </row>
    <row r="64" spans="2:8" ht="82.5">
      <c r="B64" s="92"/>
      <c r="C64" s="114" t="s">
        <v>102</v>
      </c>
      <c r="D64" s="97"/>
      <c r="E64" s="98"/>
      <c r="F64" s="99"/>
      <c r="G64" s="100"/>
      <c r="H64" s="223"/>
    </row>
    <row r="65" spans="2:8">
      <c r="B65" s="92"/>
      <c r="C65" s="133"/>
      <c r="D65" s="97"/>
      <c r="E65" s="98"/>
      <c r="F65" s="99"/>
      <c r="G65" s="100"/>
      <c r="H65" s="223"/>
    </row>
    <row r="66" spans="2:8" ht="33">
      <c r="B66" s="92"/>
      <c r="C66" s="119" t="s">
        <v>110</v>
      </c>
      <c r="D66" s="97"/>
      <c r="E66" s="98"/>
      <c r="F66" s="99"/>
      <c r="G66" s="100"/>
      <c r="H66" s="223"/>
    </row>
    <row r="67" spans="2:8" ht="33">
      <c r="B67" s="92"/>
      <c r="C67" s="133" t="s">
        <v>111</v>
      </c>
      <c r="D67" s="97"/>
      <c r="E67" s="98"/>
      <c r="F67" s="99"/>
      <c r="G67" s="100"/>
      <c r="H67" s="223"/>
    </row>
    <row r="68" spans="2:8" ht="33">
      <c r="B68" s="92"/>
      <c r="C68" s="206" t="s">
        <v>112</v>
      </c>
      <c r="D68" s="97"/>
      <c r="E68" s="98"/>
      <c r="F68" s="99"/>
      <c r="G68" s="100"/>
      <c r="H68" s="223"/>
    </row>
    <row r="69" spans="2:8">
      <c r="B69" s="92"/>
      <c r="C69" s="168"/>
      <c r="D69" s="201"/>
      <c r="E69" s="220"/>
      <c r="F69" s="220"/>
      <c r="G69" s="152"/>
      <c r="H69" s="223"/>
    </row>
    <row r="70" spans="2:8">
      <c r="B70" s="147"/>
      <c r="C70" s="148" t="s">
        <v>90</v>
      </c>
      <c r="D70" s="140"/>
      <c r="E70" s="141"/>
      <c r="F70" s="142"/>
      <c r="G70" s="143"/>
      <c r="H70" s="223"/>
    </row>
    <row r="71" spans="2:8">
      <c r="B71" s="92"/>
      <c r="D71" s="97"/>
      <c r="E71" s="98"/>
      <c r="F71" s="99"/>
      <c r="G71" s="100"/>
      <c r="H71" s="223"/>
    </row>
    <row r="72" spans="2:8" ht="66">
      <c r="B72" s="92"/>
      <c r="C72" s="101" t="s">
        <v>116</v>
      </c>
      <c r="D72" s="97"/>
      <c r="E72" s="98"/>
      <c r="F72" s="99"/>
      <c r="G72" s="100"/>
      <c r="H72" s="223"/>
    </row>
    <row r="73" spans="2:8" ht="33">
      <c r="B73" s="92"/>
      <c r="C73" s="101" t="s">
        <v>118</v>
      </c>
      <c r="D73" s="97"/>
      <c r="E73" s="98"/>
      <c r="F73" s="99"/>
      <c r="G73" s="100"/>
      <c r="H73" s="223"/>
    </row>
    <row r="74" spans="2:8" ht="33">
      <c r="B74" s="92"/>
      <c r="C74" s="101" t="s">
        <v>113</v>
      </c>
      <c r="D74" s="97"/>
      <c r="E74" s="98"/>
      <c r="F74" s="99"/>
      <c r="G74" s="100"/>
      <c r="H74" s="223"/>
    </row>
    <row r="75" spans="2:8" ht="33">
      <c r="B75" s="92"/>
      <c r="C75" s="101" t="s">
        <v>114</v>
      </c>
      <c r="D75" s="97"/>
      <c r="E75" s="98"/>
      <c r="F75" s="99"/>
      <c r="G75" s="100"/>
      <c r="H75" s="223"/>
    </row>
    <row r="76" spans="2:8" ht="49.5">
      <c r="B76" s="92"/>
      <c r="C76" s="125" t="s">
        <v>117</v>
      </c>
      <c r="D76" s="97"/>
      <c r="E76" s="98"/>
      <c r="F76" s="99"/>
      <c r="G76" s="100"/>
      <c r="H76" s="223"/>
    </row>
    <row r="77" spans="2:8" ht="49.5">
      <c r="B77" s="92"/>
      <c r="C77" s="101" t="s">
        <v>115</v>
      </c>
      <c r="D77" s="97"/>
      <c r="E77" s="98"/>
      <c r="F77" s="99"/>
      <c r="G77" s="100"/>
      <c r="H77" s="223"/>
    </row>
    <row r="78" spans="2:8" ht="66">
      <c r="B78" s="92"/>
      <c r="C78" s="101" t="s">
        <v>138</v>
      </c>
      <c r="D78" s="97"/>
      <c r="E78" s="98"/>
      <c r="F78" s="99"/>
      <c r="G78" s="100"/>
      <c r="H78" s="223"/>
    </row>
    <row r="79" spans="2:8">
      <c r="B79" s="92"/>
      <c r="C79" s="101" t="s">
        <v>60</v>
      </c>
      <c r="D79" s="97"/>
      <c r="E79" s="98"/>
      <c r="F79" s="99"/>
      <c r="G79" s="100"/>
      <c r="H79" s="223"/>
    </row>
    <row r="80" spans="2:8">
      <c r="B80" s="92"/>
      <c r="G80" s="96"/>
      <c r="H80" s="223"/>
    </row>
    <row r="81" spans="2:8">
      <c r="B81" s="183"/>
      <c r="C81" s="184"/>
      <c r="D81" s="185"/>
      <c r="E81" s="186"/>
      <c r="F81" s="187"/>
      <c r="G81" s="188"/>
      <c r="H81" s="232"/>
    </row>
    <row r="83" spans="2:8">
      <c r="C83" s="134"/>
    </row>
    <row r="84" spans="2:8">
      <c r="C84" s="135"/>
    </row>
    <row r="85" spans="2:8">
      <c r="C85" s="123"/>
    </row>
    <row r="86" spans="2:8">
      <c r="C86" s="125"/>
    </row>
    <row r="87" spans="2:8">
      <c r="C87" s="125"/>
    </row>
    <row r="88" spans="2:8">
      <c r="C88" s="125"/>
    </row>
  </sheetData>
  <protectedRanges>
    <protectedRange sqref="F4:G4" name="Range1_2_2"/>
  </protectedRanges>
  <mergeCells count="9">
    <mergeCell ref="D10:E10"/>
    <mergeCell ref="D11:E11"/>
    <mergeCell ref="D17:E17"/>
    <mergeCell ref="D31:E31"/>
    <mergeCell ref="D20:E20"/>
    <mergeCell ref="D23:E23"/>
    <mergeCell ref="D24:E24"/>
    <mergeCell ref="D25:E25"/>
    <mergeCell ref="D28:E28"/>
  </mergeCell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2" manualBreakCount="2">
    <brk id="32" min="1" max="6" man="1"/>
    <brk id="60" min="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2:H152"/>
  <sheetViews>
    <sheetView view="pageBreakPreview" zoomScaleSheetLayoutView="100" workbookViewId="0">
      <selection activeCell="B2" sqref="B2"/>
    </sheetView>
  </sheetViews>
  <sheetFormatPr defaultColWidth="9.140625" defaultRowHeight="16.5"/>
  <cols>
    <col min="1" max="1" width="3.7109375" style="53" customWidth="1"/>
    <col min="2" max="2" width="10.7109375" style="111" customWidth="1"/>
    <col min="3" max="3" width="60.7109375" style="111" customWidth="1"/>
    <col min="4" max="5" width="10.7109375" style="118" customWidth="1"/>
    <col min="6" max="6" width="10.7109375" style="127" customWidth="1"/>
    <col min="7" max="7" width="10.7109375" style="94" customWidth="1"/>
    <col min="8" max="8" width="100.7109375" style="52" customWidth="1"/>
    <col min="9" max="16384" width="9.140625" style="53"/>
  </cols>
  <sheetData>
    <row r="2" spans="2:8" s="51" customFormat="1" ht="33">
      <c r="B2" s="174" t="s">
        <v>8</v>
      </c>
      <c r="C2" s="189" t="s">
        <v>20</v>
      </c>
      <c r="D2" s="175" t="s">
        <v>21</v>
      </c>
      <c r="E2" s="175" t="s">
        <v>22</v>
      </c>
      <c r="F2" s="176" t="s">
        <v>23</v>
      </c>
      <c r="G2" s="190" t="s">
        <v>24</v>
      </c>
      <c r="H2" s="132" t="s">
        <v>25</v>
      </c>
    </row>
    <row r="3" spans="2:8" s="51" customFormat="1">
      <c r="B3" s="169"/>
      <c r="C3" s="170"/>
      <c r="D3" s="171"/>
      <c r="E3" s="171"/>
      <c r="F3" s="172"/>
      <c r="G3" s="173"/>
      <c r="H3" s="120"/>
    </row>
    <row r="4" spans="2:8" s="51" customFormat="1">
      <c r="B4" s="177" t="str">
        <f>'A.0.'!B4</f>
        <v>A.</v>
      </c>
      <c r="C4" s="178" t="str">
        <f>'A.0.'!C4</f>
        <v>OPĆI TEHNIČKI UVJETI</v>
      </c>
      <c r="D4" s="179"/>
      <c r="E4" s="180"/>
      <c r="F4" s="181"/>
      <c r="G4" s="182"/>
      <c r="H4" s="120"/>
    </row>
    <row r="5" spans="2:8">
      <c r="B5" s="170"/>
      <c r="C5" s="170"/>
      <c r="D5" s="171"/>
      <c r="E5" s="171"/>
      <c r="F5" s="172"/>
      <c r="G5" s="219"/>
    </row>
    <row r="6" spans="2:8">
      <c r="B6" s="198"/>
      <c r="C6" s="210" t="s">
        <v>64</v>
      </c>
      <c r="D6" s="192"/>
      <c r="E6" s="193"/>
      <c r="F6" s="211"/>
      <c r="G6" s="195"/>
      <c r="H6" s="121"/>
    </row>
    <row r="7" spans="2:8">
      <c r="B7" s="110"/>
      <c r="D7" s="112"/>
      <c r="E7" s="217"/>
      <c r="F7" s="113"/>
      <c r="G7" s="100"/>
      <c r="H7" s="122"/>
    </row>
    <row r="8" spans="2:8">
      <c r="B8" s="110"/>
      <c r="C8" s="128" t="s">
        <v>62</v>
      </c>
      <c r="D8" s="112"/>
      <c r="E8" s="217"/>
      <c r="F8" s="113"/>
      <c r="G8" s="100"/>
      <c r="H8" s="122"/>
    </row>
    <row r="9" spans="2:8" ht="66">
      <c r="B9" s="110"/>
      <c r="C9" s="129" t="s">
        <v>144</v>
      </c>
      <c r="D9" s="112"/>
      <c r="E9" s="217"/>
      <c r="F9" s="113"/>
      <c r="G9" s="100"/>
      <c r="H9" s="122"/>
    </row>
    <row r="10" spans="2:8">
      <c r="B10" s="110"/>
      <c r="C10" s="129"/>
      <c r="D10" s="112"/>
      <c r="E10" s="217"/>
      <c r="F10" s="113"/>
      <c r="G10" s="100"/>
      <c r="H10" s="122"/>
    </row>
    <row r="11" spans="2:8">
      <c r="B11" s="110"/>
      <c r="C11" s="128" t="s">
        <v>36</v>
      </c>
      <c r="D11" s="112"/>
      <c r="E11" s="217"/>
      <c r="F11" s="113"/>
      <c r="G11" s="100"/>
      <c r="H11" s="122"/>
    </row>
    <row r="12" spans="2:8">
      <c r="B12" s="110"/>
      <c r="C12" s="128"/>
      <c r="D12" s="112"/>
      <c r="E12" s="217"/>
      <c r="F12" s="113"/>
      <c r="G12" s="100"/>
      <c r="H12" s="122"/>
    </row>
    <row r="13" spans="2:8">
      <c r="B13" s="110"/>
      <c r="C13" s="128" t="s">
        <v>65</v>
      </c>
      <c r="D13" s="112"/>
      <c r="E13" s="217"/>
      <c r="F13" s="113"/>
      <c r="G13" s="100"/>
      <c r="H13" s="122"/>
    </row>
    <row r="14" spans="2:8" ht="66">
      <c r="B14" s="110"/>
      <c r="C14" s="129" t="s">
        <v>66</v>
      </c>
      <c r="D14" s="112"/>
      <c r="E14" s="217"/>
      <c r="F14" s="113"/>
      <c r="G14" s="100"/>
      <c r="H14" s="122"/>
    </row>
    <row r="15" spans="2:8" ht="82.5">
      <c r="B15" s="110"/>
      <c r="C15" s="129" t="s">
        <v>121</v>
      </c>
      <c r="D15" s="112"/>
      <c r="E15" s="217"/>
      <c r="F15" s="113"/>
      <c r="G15" s="100"/>
      <c r="H15" s="122"/>
    </row>
    <row r="16" spans="2:8" ht="66">
      <c r="B16" s="110"/>
      <c r="C16" s="129" t="s">
        <v>67</v>
      </c>
      <c r="D16" s="112"/>
      <c r="E16" s="217"/>
      <c r="F16" s="113"/>
      <c r="G16" s="100"/>
      <c r="H16" s="122"/>
    </row>
    <row r="17" spans="2:8" ht="33">
      <c r="B17" s="110"/>
      <c r="C17" s="129" t="s">
        <v>68</v>
      </c>
      <c r="D17" s="112"/>
      <c r="E17" s="217"/>
      <c r="F17" s="113"/>
      <c r="G17" s="100"/>
      <c r="H17" s="122"/>
    </row>
    <row r="18" spans="2:8" ht="49.5">
      <c r="B18" s="110"/>
      <c r="C18" s="129" t="s">
        <v>122</v>
      </c>
      <c r="D18" s="112"/>
      <c r="E18" s="217"/>
      <c r="F18" s="113"/>
      <c r="G18" s="100"/>
      <c r="H18" s="122"/>
    </row>
    <row r="19" spans="2:8" ht="33">
      <c r="B19" s="110"/>
      <c r="C19" s="129" t="s">
        <v>69</v>
      </c>
      <c r="D19" s="112"/>
      <c r="E19" s="217"/>
      <c r="F19" s="113"/>
      <c r="G19" s="100"/>
      <c r="H19" s="122"/>
    </row>
    <row r="20" spans="2:8">
      <c r="B20" s="110"/>
      <c r="C20" s="129" t="s">
        <v>70</v>
      </c>
      <c r="D20" s="112"/>
      <c r="E20" s="217"/>
      <c r="F20" s="113"/>
      <c r="G20" s="100"/>
      <c r="H20" s="122"/>
    </row>
    <row r="21" spans="2:8" ht="49.5">
      <c r="B21" s="110"/>
      <c r="C21" s="129" t="s">
        <v>71</v>
      </c>
      <c r="D21" s="112"/>
      <c r="E21" s="217"/>
      <c r="F21" s="113"/>
      <c r="G21" s="100"/>
      <c r="H21" s="122"/>
    </row>
    <row r="22" spans="2:8">
      <c r="B22" s="110"/>
      <c r="C22" s="129" t="s">
        <v>72</v>
      </c>
      <c r="D22" s="112"/>
      <c r="E22" s="217"/>
      <c r="F22" s="113"/>
      <c r="G22" s="100"/>
      <c r="H22" s="122"/>
    </row>
    <row r="23" spans="2:8" ht="49.5">
      <c r="B23" s="110"/>
      <c r="C23" s="129" t="s">
        <v>73</v>
      </c>
      <c r="D23" s="112"/>
      <c r="E23" s="217"/>
      <c r="F23" s="113"/>
      <c r="G23" s="100"/>
      <c r="H23" s="122"/>
    </row>
    <row r="24" spans="2:8" ht="82.5">
      <c r="B24" s="110"/>
      <c r="C24" s="129" t="s">
        <v>74</v>
      </c>
      <c r="D24" s="112"/>
      <c r="E24" s="217"/>
      <c r="F24" s="113"/>
      <c r="G24" s="100"/>
      <c r="H24" s="122"/>
    </row>
    <row r="25" spans="2:8" ht="66">
      <c r="B25" s="110"/>
      <c r="C25" s="129" t="s">
        <v>123</v>
      </c>
      <c r="D25" s="112"/>
      <c r="E25" s="217"/>
      <c r="F25" s="113"/>
      <c r="G25" s="100"/>
      <c r="H25" s="122"/>
    </row>
    <row r="26" spans="2:8" ht="49.5">
      <c r="B26" s="110"/>
      <c r="C26" s="129" t="s">
        <v>75</v>
      </c>
      <c r="D26" s="112"/>
      <c r="E26" s="217"/>
      <c r="F26" s="113"/>
      <c r="G26" s="100"/>
      <c r="H26" s="122"/>
    </row>
    <row r="27" spans="2:8" ht="66">
      <c r="B27" s="110"/>
      <c r="C27" s="129" t="s">
        <v>76</v>
      </c>
      <c r="D27" s="112"/>
      <c r="E27" s="217"/>
      <c r="F27" s="113"/>
      <c r="G27" s="100"/>
      <c r="H27" s="122"/>
    </row>
    <row r="28" spans="2:8" ht="49.5">
      <c r="B28" s="110"/>
      <c r="C28" s="129" t="s">
        <v>77</v>
      </c>
      <c r="D28" s="112"/>
      <c r="E28" s="217"/>
      <c r="F28" s="113"/>
      <c r="G28" s="100"/>
      <c r="H28" s="122"/>
    </row>
    <row r="29" spans="2:8">
      <c r="B29" s="110"/>
      <c r="C29" s="129"/>
      <c r="D29" s="112"/>
      <c r="E29" s="217"/>
      <c r="F29" s="113"/>
      <c r="G29" s="100"/>
      <c r="H29" s="122"/>
    </row>
    <row r="30" spans="2:8">
      <c r="B30" s="110"/>
      <c r="C30" s="128" t="s">
        <v>37</v>
      </c>
      <c r="D30" s="112"/>
      <c r="E30" s="217"/>
      <c r="F30" s="113"/>
      <c r="G30" s="100"/>
      <c r="H30" s="122"/>
    </row>
    <row r="31" spans="2:8" ht="33">
      <c r="B31" s="110"/>
      <c r="C31" s="129" t="s">
        <v>78</v>
      </c>
      <c r="D31" s="112"/>
      <c r="E31" s="217"/>
      <c r="F31" s="113"/>
      <c r="G31" s="100"/>
      <c r="H31" s="122"/>
    </row>
    <row r="32" spans="2:8">
      <c r="B32" s="110"/>
      <c r="C32" s="129"/>
      <c r="D32" s="112"/>
      <c r="E32" s="217"/>
      <c r="F32" s="113"/>
      <c r="G32" s="100"/>
      <c r="H32" s="122"/>
    </row>
    <row r="33" spans="2:8">
      <c r="B33" s="110"/>
      <c r="C33" s="128" t="s">
        <v>39</v>
      </c>
      <c r="D33" s="112"/>
      <c r="E33" s="217"/>
      <c r="F33" s="113"/>
      <c r="G33" s="100"/>
      <c r="H33" s="122"/>
    </row>
    <row r="34" spans="2:8" ht="66">
      <c r="B34" s="110"/>
      <c r="C34" s="129" t="s">
        <v>61</v>
      </c>
      <c r="D34" s="112"/>
      <c r="E34" s="217"/>
      <c r="F34" s="113"/>
      <c r="G34" s="100"/>
      <c r="H34" s="122"/>
    </row>
    <row r="35" spans="2:8">
      <c r="B35" s="110"/>
      <c r="C35" s="129" t="s">
        <v>79</v>
      </c>
      <c r="D35" s="112"/>
      <c r="E35" s="217"/>
      <c r="F35" s="113"/>
      <c r="G35" s="100"/>
      <c r="H35" s="122"/>
    </row>
    <row r="36" spans="2:8">
      <c r="B36" s="110"/>
      <c r="C36" s="129" t="s">
        <v>186</v>
      </c>
      <c r="D36" s="112"/>
      <c r="E36" s="217"/>
      <c r="F36" s="113"/>
      <c r="G36" s="100"/>
      <c r="H36" s="122"/>
    </row>
    <row r="37" spans="2:8">
      <c r="B37" s="110"/>
      <c r="C37" s="129" t="s">
        <v>187</v>
      </c>
      <c r="D37" s="265" t="s">
        <v>140</v>
      </c>
      <c r="E37" s="265"/>
      <c r="F37" s="216"/>
      <c r="G37" s="100"/>
      <c r="H37" s="122"/>
    </row>
    <row r="38" spans="2:8">
      <c r="B38" s="110"/>
      <c r="C38" s="129"/>
      <c r="D38" s="112"/>
      <c r="E38" s="217"/>
      <c r="F38" s="113"/>
      <c r="G38" s="100"/>
      <c r="H38" s="122"/>
    </row>
    <row r="39" spans="2:8">
      <c r="B39" s="110"/>
      <c r="C39" s="128" t="s">
        <v>63</v>
      </c>
      <c r="D39" s="112"/>
      <c r="E39" s="217"/>
      <c r="F39" s="113"/>
      <c r="G39" s="100"/>
      <c r="H39" s="122"/>
    </row>
    <row r="40" spans="2:8" ht="82.5">
      <c r="B40" s="110"/>
      <c r="C40" s="129" t="s">
        <v>80</v>
      </c>
      <c r="D40" s="112"/>
      <c r="E40" s="217"/>
      <c r="F40" s="113"/>
      <c r="G40" s="100"/>
      <c r="H40" s="122"/>
    </row>
    <row r="41" spans="2:8">
      <c r="B41" s="110"/>
      <c r="C41" s="129"/>
      <c r="D41" s="112"/>
      <c r="E41" s="217"/>
      <c r="F41" s="113"/>
      <c r="G41" s="100"/>
      <c r="H41" s="122"/>
    </row>
    <row r="42" spans="2:8" ht="82.5">
      <c r="B42" s="110"/>
      <c r="C42" s="114" t="s">
        <v>102</v>
      </c>
      <c r="D42" s="112"/>
      <c r="E42" s="217"/>
      <c r="F42" s="113"/>
      <c r="G42" s="100"/>
      <c r="H42" s="122"/>
    </row>
    <row r="43" spans="2:8">
      <c r="B43" s="110"/>
      <c r="C43" s="133"/>
      <c r="D43" s="112"/>
      <c r="E43" s="217"/>
      <c r="F43" s="113"/>
      <c r="G43" s="100"/>
      <c r="H43" s="122"/>
    </row>
    <row r="44" spans="2:8" ht="33">
      <c r="B44" s="110"/>
      <c r="C44" s="119" t="s">
        <v>110</v>
      </c>
      <c r="D44" s="112"/>
      <c r="E44" s="217"/>
      <c r="F44" s="113"/>
      <c r="G44" s="100"/>
      <c r="H44" s="122"/>
    </row>
    <row r="45" spans="2:8" ht="33">
      <c r="B45" s="110"/>
      <c r="C45" s="133" t="s">
        <v>120</v>
      </c>
      <c r="D45" s="112"/>
      <c r="E45" s="217"/>
      <c r="F45" s="113"/>
      <c r="G45" s="100"/>
      <c r="H45" s="122"/>
    </row>
    <row r="46" spans="2:8" ht="33">
      <c r="B46" s="110"/>
      <c r="C46" s="206" t="s">
        <v>112</v>
      </c>
      <c r="D46" s="112"/>
      <c r="E46" s="217"/>
      <c r="F46" s="113"/>
      <c r="G46" s="100"/>
      <c r="H46" s="122"/>
    </row>
    <row r="47" spans="2:8">
      <c r="B47" s="110"/>
      <c r="C47" s="129"/>
      <c r="D47" s="112"/>
      <c r="E47" s="217"/>
      <c r="F47" s="113"/>
      <c r="G47" s="100"/>
      <c r="H47" s="122"/>
    </row>
    <row r="48" spans="2:8">
      <c r="B48" s="138"/>
      <c r="C48" s="149" t="s">
        <v>87</v>
      </c>
      <c r="D48" s="144"/>
      <c r="E48" s="145"/>
      <c r="F48" s="146"/>
      <c r="G48" s="143"/>
      <c r="H48" s="122"/>
    </row>
    <row r="49" spans="2:8">
      <c r="B49" s="110"/>
      <c r="C49" s="115"/>
      <c r="D49" s="112"/>
      <c r="E49" s="217"/>
      <c r="F49" s="113"/>
      <c r="G49" s="100"/>
      <c r="H49" s="122"/>
    </row>
    <row r="50" spans="2:8" ht="33">
      <c r="B50" s="110"/>
      <c r="C50" s="115" t="s">
        <v>188</v>
      </c>
      <c r="D50" s="112"/>
      <c r="E50" s="217"/>
      <c r="F50" s="113"/>
      <c r="G50" s="100"/>
      <c r="H50" s="122"/>
    </row>
    <row r="51" spans="2:8" ht="33">
      <c r="B51" s="110"/>
      <c r="C51" s="115" t="s">
        <v>210</v>
      </c>
      <c r="D51" s="112"/>
      <c r="E51" s="217"/>
      <c r="F51" s="113"/>
      <c r="G51" s="100"/>
      <c r="H51" s="122"/>
    </row>
    <row r="52" spans="2:8" ht="33">
      <c r="B52" s="110"/>
      <c r="C52" s="114" t="s">
        <v>127</v>
      </c>
      <c r="D52" s="112"/>
      <c r="E52" s="217"/>
      <c r="F52" s="113"/>
      <c r="G52" s="100"/>
      <c r="H52" s="122"/>
    </row>
    <row r="53" spans="2:8" ht="49.5">
      <c r="B53" s="110"/>
      <c r="C53" s="115" t="s">
        <v>189</v>
      </c>
      <c r="D53" s="112"/>
      <c r="E53" s="217"/>
      <c r="F53" s="113"/>
      <c r="G53" s="100"/>
      <c r="H53" s="122"/>
    </row>
    <row r="54" spans="2:8" ht="82.5">
      <c r="B54" s="110"/>
      <c r="C54" s="115" t="s">
        <v>124</v>
      </c>
      <c r="D54" s="112"/>
      <c r="E54" s="217"/>
      <c r="F54" s="113"/>
      <c r="G54" s="100"/>
      <c r="H54" s="122"/>
    </row>
    <row r="55" spans="2:8" ht="33">
      <c r="B55" s="110"/>
      <c r="C55" s="115" t="s">
        <v>88</v>
      </c>
      <c r="D55" s="112"/>
      <c r="E55" s="217"/>
      <c r="F55" s="113"/>
      <c r="G55" s="100"/>
      <c r="H55" s="122"/>
    </row>
    <row r="56" spans="2:8">
      <c r="B56" s="110"/>
      <c r="C56" s="115" t="s">
        <v>89</v>
      </c>
      <c r="D56" s="112"/>
      <c r="E56" s="217"/>
      <c r="F56" s="113"/>
      <c r="G56" s="100"/>
      <c r="H56" s="122"/>
    </row>
    <row r="57" spans="2:8">
      <c r="B57" s="110"/>
      <c r="C57" s="115"/>
      <c r="D57" s="112"/>
      <c r="E57" s="217"/>
      <c r="F57" s="113"/>
      <c r="G57" s="100"/>
      <c r="H57" s="122"/>
    </row>
    <row r="58" spans="2:8" ht="82.5">
      <c r="B58" s="110"/>
      <c r="C58" s="206" t="s">
        <v>137</v>
      </c>
      <c r="D58" s="112"/>
      <c r="E58" s="217"/>
      <c r="F58" s="113"/>
      <c r="G58" s="100"/>
      <c r="H58" s="122"/>
    </row>
    <row r="59" spans="2:8">
      <c r="B59" s="110"/>
      <c r="C59" s="130"/>
      <c r="D59" s="112"/>
      <c r="E59" s="217"/>
      <c r="F59" s="113"/>
      <c r="G59" s="100"/>
      <c r="H59" s="122"/>
    </row>
    <row r="60" spans="2:8">
      <c r="B60" s="138"/>
      <c r="C60" s="149" t="s">
        <v>128</v>
      </c>
      <c r="D60" s="144"/>
      <c r="E60" s="145"/>
      <c r="F60" s="146"/>
      <c r="G60" s="143"/>
      <c r="H60" s="122"/>
    </row>
    <row r="61" spans="2:8">
      <c r="B61" s="110"/>
      <c r="C61" s="130"/>
      <c r="D61" s="112"/>
      <c r="E61" s="217"/>
      <c r="F61" s="113"/>
      <c r="G61" s="100"/>
      <c r="H61" s="122"/>
    </row>
    <row r="62" spans="2:8" ht="49.5">
      <c r="B62" s="110"/>
      <c r="C62" s="206" t="s">
        <v>132</v>
      </c>
      <c r="D62" s="112"/>
      <c r="E62" s="217"/>
      <c r="F62" s="113"/>
      <c r="G62" s="100"/>
      <c r="H62" s="122"/>
    </row>
    <row r="63" spans="2:8" ht="33">
      <c r="B63" s="110"/>
      <c r="C63" s="206" t="s">
        <v>134</v>
      </c>
      <c r="D63" s="112"/>
      <c r="E63" s="217"/>
      <c r="F63" s="113"/>
      <c r="G63" s="100"/>
      <c r="H63" s="122"/>
    </row>
    <row r="64" spans="2:8" ht="82.5">
      <c r="B64" s="110"/>
      <c r="C64" s="206" t="s">
        <v>133</v>
      </c>
      <c r="D64" s="112"/>
      <c r="E64" s="217"/>
      <c r="F64" s="113"/>
      <c r="G64" s="100"/>
      <c r="H64" s="122"/>
    </row>
    <row r="65" spans="2:8" ht="33">
      <c r="B65" s="110"/>
      <c r="C65" s="206" t="s">
        <v>129</v>
      </c>
      <c r="D65" s="112"/>
      <c r="E65" s="217"/>
      <c r="F65" s="113"/>
      <c r="G65" s="100"/>
      <c r="H65" s="122"/>
    </row>
    <row r="66" spans="2:8" ht="33">
      <c r="B66" s="110"/>
      <c r="C66" s="206" t="s">
        <v>130</v>
      </c>
      <c r="D66" s="112"/>
      <c r="E66" s="217"/>
      <c r="F66" s="113"/>
      <c r="G66" s="100"/>
      <c r="H66" s="122"/>
    </row>
    <row r="67" spans="2:8" ht="33">
      <c r="B67" s="110"/>
      <c r="C67" s="206" t="s">
        <v>131</v>
      </c>
      <c r="D67" s="112"/>
      <c r="E67" s="217"/>
      <c r="F67" s="113"/>
      <c r="G67" s="100"/>
      <c r="H67" s="122"/>
    </row>
    <row r="68" spans="2:8">
      <c r="B68" s="110"/>
      <c r="C68" s="130"/>
      <c r="D68" s="112"/>
      <c r="E68" s="217"/>
      <c r="F68" s="113"/>
      <c r="G68" s="100"/>
      <c r="H68" s="122"/>
    </row>
    <row r="69" spans="2:8" ht="33">
      <c r="B69" s="110"/>
      <c r="C69" s="114" t="s">
        <v>191</v>
      </c>
      <c r="D69" s="112"/>
      <c r="E69" s="217"/>
      <c r="F69" s="113"/>
      <c r="G69" s="100"/>
      <c r="H69" s="122"/>
    </row>
    <row r="70" spans="2:8">
      <c r="B70" s="110"/>
      <c r="C70" s="114" t="s">
        <v>190</v>
      </c>
      <c r="D70" s="112"/>
      <c r="E70" s="217"/>
      <c r="F70" s="113"/>
      <c r="G70" s="100"/>
      <c r="H70" s="122"/>
    </row>
    <row r="71" spans="2:8">
      <c r="B71" s="110"/>
      <c r="C71" s="115"/>
      <c r="D71" s="112"/>
      <c r="E71" s="217"/>
      <c r="F71" s="113"/>
      <c r="G71" s="100"/>
      <c r="H71" s="122"/>
    </row>
    <row r="72" spans="2:8">
      <c r="B72" s="110"/>
      <c r="C72" s="116" t="s">
        <v>81</v>
      </c>
      <c r="D72" s="112"/>
      <c r="E72" s="217"/>
      <c r="F72" s="113"/>
      <c r="G72" s="100"/>
      <c r="H72" s="122"/>
    </row>
    <row r="73" spans="2:8" ht="49.5">
      <c r="B73" s="110"/>
      <c r="C73" s="129" t="s">
        <v>198</v>
      </c>
      <c r="D73" s="112"/>
      <c r="E73" s="217"/>
      <c r="F73" s="113"/>
      <c r="G73" s="100"/>
      <c r="H73" s="122"/>
    </row>
    <row r="74" spans="2:8" ht="49.5">
      <c r="B74" s="110"/>
      <c r="C74" s="129" t="s">
        <v>82</v>
      </c>
      <c r="D74" s="112"/>
      <c r="E74" s="217"/>
      <c r="F74" s="113"/>
      <c r="G74" s="100"/>
      <c r="H74" s="122"/>
    </row>
    <row r="75" spans="2:8">
      <c r="B75" s="110"/>
      <c r="C75" s="129"/>
      <c r="D75" s="112"/>
      <c r="E75" s="217"/>
      <c r="F75" s="113"/>
      <c r="G75" s="100"/>
      <c r="H75" s="122"/>
    </row>
    <row r="76" spans="2:8">
      <c r="B76" s="110"/>
      <c r="C76" s="129" t="s">
        <v>38</v>
      </c>
      <c r="D76" s="267" t="s">
        <v>167</v>
      </c>
      <c r="E76" s="267"/>
      <c r="F76" s="267"/>
      <c r="G76" s="100"/>
      <c r="H76" s="122"/>
    </row>
    <row r="77" spans="2:8">
      <c r="B77" s="110"/>
      <c r="C77" s="129" t="s">
        <v>169</v>
      </c>
      <c r="D77" s="112"/>
      <c r="E77" s="217"/>
      <c r="F77" s="113"/>
      <c r="G77" s="100"/>
      <c r="H77" s="122"/>
    </row>
    <row r="78" spans="2:8">
      <c r="B78" s="110"/>
      <c r="C78" s="129" t="s">
        <v>83</v>
      </c>
      <c r="D78" s="112"/>
      <c r="E78" s="217"/>
      <c r="F78" s="113"/>
      <c r="G78" s="100"/>
      <c r="H78" s="122"/>
    </row>
    <row r="79" spans="2:8">
      <c r="B79" s="110"/>
      <c r="C79" s="129" t="s">
        <v>168</v>
      </c>
      <c r="D79" s="112"/>
      <c r="E79" s="217"/>
      <c r="F79" s="113"/>
      <c r="G79" s="100"/>
      <c r="H79" s="122"/>
    </row>
    <row r="80" spans="2:8">
      <c r="B80" s="110"/>
      <c r="C80" s="129" t="s">
        <v>207</v>
      </c>
      <c r="D80" s="112"/>
      <c r="E80" s="217"/>
      <c r="F80" s="113"/>
      <c r="G80" s="100"/>
      <c r="H80" s="122"/>
    </row>
    <row r="81" spans="2:8">
      <c r="B81" s="110"/>
      <c r="C81" s="129" t="s">
        <v>203</v>
      </c>
      <c r="D81" s="112"/>
      <c r="E81" s="217"/>
      <c r="F81" s="113"/>
      <c r="G81" s="100"/>
      <c r="H81" s="122"/>
    </row>
    <row r="82" spans="2:8">
      <c r="B82" s="110"/>
      <c r="C82" s="111" t="s">
        <v>85</v>
      </c>
      <c r="D82" s="112"/>
      <c r="E82" s="217"/>
      <c r="F82" s="113"/>
      <c r="G82" s="100"/>
      <c r="H82" s="122"/>
    </row>
    <row r="83" spans="2:8">
      <c r="B83" s="110"/>
      <c r="D83" s="112"/>
      <c r="E83" s="217"/>
      <c r="F83" s="113"/>
      <c r="G83" s="100"/>
      <c r="H83" s="122"/>
    </row>
    <row r="84" spans="2:8">
      <c r="B84" s="110"/>
      <c r="C84" s="129" t="s">
        <v>204</v>
      </c>
      <c r="D84" s="266" t="s">
        <v>141</v>
      </c>
      <c r="E84" s="266"/>
      <c r="F84" s="266"/>
      <c r="G84" s="100"/>
      <c r="H84" s="122"/>
    </row>
    <row r="85" spans="2:8">
      <c r="B85" s="110"/>
      <c r="C85" s="129"/>
      <c r="D85" s="112"/>
      <c r="E85" s="217"/>
      <c r="F85" s="113"/>
      <c r="G85" s="100"/>
      <c r="H85" s="122"/>
    </row>
    <row r="86" spans="2:8">
      <c r="B86" s="110"/>
      <c r="C86" s="116" t="s">
        <v>86</v>
      </c>
      <c r="D86" s="112"/>
      <c r="E86" s="217"/>
      <c r="F86" s="113"/>
      <c r="G86" s="100"/>
      <c r="H86" s="122"/>
    </row>
    <row r="87" spans="2:8" ht="33">
      <c r="B87" s="110"/>
      <c r="C87" s="129" t="s">
        <v>125</v>
      </c>
      <c r="D87" s="112"/>
      <c r="E87" s="217"/>
      <c r="F87" s="113"/>
      <c r="G87" s="100"/>
      <c r="H87" s="122"/>
    </row>
    <row r="88" spans="2:8" ht="82.5">
      <c r="B88" s="110"/>
      <c r="C88" s="221" t="s">
        <v>126</v>
      </c>
      <c r="D88" s="112"/>
      <c r="E88" s="217"/>
      <c r="F88" s="113"/>
      <c r="G88" s="100"/>
      <c r="H88" s="122"/>
    </row>
    <row r="89" spans="2:8">
      <c r="B89" s="110"/>
      <c r="C89" s="116"/>
      <c r="D89" s="112"/>
      <c r="E89" s="217"/>
      <c r="F89" s="113"/>
      <c r="G89" s="100"/>
      <c r="H89" s="122"/>
    </row>
    <row r="90" spans="2:8">
      <c r="B90" s="110"/>
      <c r="C90" s="221" t="s">
        <v>38</v>
      </c>
      <c r="D90" s="267" t="s">
        <v>167</v>
      </c>
      <c r="E90" s="267"/>
      <c r="F90" s="267"/>
      <c r="G90" s="100"/>
      <c r="H90" s="122"/>
    </row>
    <row r="91" spans="2:8">
      <c r="B91" s="110"/>
      <c r="C91" s="221" t="s">
        <v>206</v>
      </c>
      <c r="D91" s="112"/>
      <c r="E91" s="217"/>
      <c r="F91" s="113"/>
      <c r="G91" s="100"/>
      <c r="H91" s="122"/>
    </row>
    <row r="92" spans="2:8">
      <c r="B92" s="110"/>
      <c r="C92" s="221" t="s">
        <v>83</v>
      </c>
      <c r="D92" s="112"/>
      <c r="E92" s="217"/>
      <c r="F92" s="113"/>
      <c r="G92" s="100"/>
      <c r="H92" s="122"/>
    </row>
    <row r="93" spans="2:8">
      <c r="B93" s="110"/>
      <c r="C93" s="129" t="s">
        <v>168</v>
      </c>
      <c r="D93" s="112"/>
      <c r="E93" s="217"/>
      <c r="F93" s="113"/>
      <c r="G93" s="100"/>
      <c r="H93" s="122"/>
    </row>
    <row r="94" spans="2:8">
      <c r="B94" s="110"/>
      <c r="C94" s="221" t="s">
        <v>202</v>
      </c>
      <c r="D94" s="112"/>
      <c r="E94" s="217"/>
      <c r="F94" s="113"/>
      <c r="G94" s="100"/>
      <c r="H94" s="122"/>
    </row>
    <row r="95" spans="2:8">
      <c r="B95" s="110"/>
      <c r="C95" s="221" t="s">
        <v>203</v>
      </c>
      <c r="D95" s="112"/>
      <c r="E95" s="217"/>
      <c r="F95" s="113"/>
      <c r="G95" s="100"/>
      <c r="H95" s="122"/>
    </row>
    <row r="96" spans="2:8">
      <c r="B96" s="110"/>
      <c r="C96" s="53" t="s">
        <v>85</v>
      </c>
      <c r="D96" s="112"/>
      <c r="E96" s="217"/>
      <c r="F96" s="113"/>
      <c r="G96" s="100"/>
      <c r="H96" s="122"/>
    </row>
    <row r="97" spans="2:8">
      <c r="B97" s="110"/>
      <c r="C97" s="221" t="s">
        <v>204</v>
      </c>
      <c r="D97" s="266" t="s">
        <v>141</v>
      </c>
      <c r="E97" s="266"/>
      <c r="F97" s="266"/>
      <c r="G97" s="100"/>
      <c r="H97" s="122"/>
    </row>
    <row r="98" spans="2:8">
      <c r="B98" s="110"/>
      <c r="D98" s="112"/>
      <c r="E98" s="217"/>
      <c r="F98" s="113"/>
      <c r="G98" s="100"/>
      <c r="H98" s="122"/>
    </row>
    <row r="99" spans="2:8">
      <c r="B99" s="110"/>
      <c r="C99" s="116" t="s">
        <v>192</v>
      </c>
      <c r="D99" s="112"/>
      <c r="E99" s="217"/>
      <c r="F99" s="113"/>
      <c r="G99" s="100"/>
      <c r="H99" s="122"/>
    </row>
    <row r="100" spans="2:8" ht="49.5">
      <c r="B100" s="110"/>
      <c r="C100" s="221" t="s">
        <v>194</v>
      </c>
      <c r="D100" s="112"/>
      <c r="E100" s="217"/>
      <c r="F100" s="113"/>
      <c r="G100" s="100"/>
      <c r="H100" s="122"/>
    </row>
    <row r="101" spans="2:8" ht="49.5">
      <c r="B101" s="110"/>
      <c r="C101" s="221" t="s">
        <v>196</v>
      </c>
      <c r="D101" s="112"/>
      <c r="E101" s="217"/>
      <c r="F101" s="113"/>
      <c r="G101" s="100"/>
      <c r="H101" s="122"/>
    </row>
    <row r="102" spans="2:8" ht="33">
      <c r="B102" s="110"/>
      <c r="C102" s="221" t="s">
        <v>195</v>
      </c>
      <c r="D102" s="112"/>
      <c r="E102" s="217"/>
      <c r="F102" s="113"/>
      <c r="G102" s="100"/>
      <c r="H102" s="122"/>
    </row>
    <row r="103" spans="2:8">
      <c r="B103" s="110"/>
      <c r="C103" s="221"/>
      <c r="D103" s="112"/>
      <c r="E103" s="217"/>
      <c r="F103" s="113"/>
      <c r="G103" s="100"/>
      <c r="H103" s="122"/>
    </row>
    <row r="104" spans="2:8">
      <c r="B104" s="110"/>
      <c r="C104" s="221" t="s">
        <v>38</v>
      </c>
      <c r="D104" s="267" t="s">
        <v>167</v>
      </c>
      <c r="E104" s="267"/>
      <c r="F104" s="267"/>
      <c r="G104" s="100"/>
      <c r="H104" s="122"/>
    </row>
    <row r="105" spans="2:8">
      <c r="B105" s="110"/>
      <c r="C105" s="221" t="s">
        <v>201</v>
      </c>
      <c r="D105" s="112"/>
      <c r="E105" s="217"/>
      <c r="F105" s="113"/>
      <c r="G105" s="100"/>
      <c r="H105" s="122"/>
    </row>
    <row r="106" spans="2:8">
      <c r="B106" s="110"/>
      <c r="C106" s="221" t="s">
        <v>83</v>
      </c>
      <c r="D106" s="112"/>
      <c r="E106" s="217"/>
      <c r="F106" s="113"/>
      <c r="G106" s="100"/>
      <c r="H106" s="122"/>
    </row>
    <row r="107" spans="2:8">
      <c r="B107" s="110"/>
      <c r="C107" s="221" t="s">
        <v>197</v>
      </c>
      <c r="D107" s="112"/>
      <c r="E107" s="217"/>
      <c r="F107" s="113"/>
      <c r="G107" s="100"/>
      <c r="H107" s="122"/>
    </row>
    <row r="108" spans="2:8">
      <c r="B108" s="110"/>
      <c r="C108" s="221" t="s">
        <v>200</v>
      </c>
      <c r="D108" s="112"/>
      <c r="E108" s="217"/>
      <c r="F108" s="113"/>
      <c r="G108" s="100"/>
      <c r="H108" s="122"/>
    </row>
    <row r="109" spans="2:8">
      <c r="B109" s="110"/>
      <c r="C109" s="221" t="s">
        <v>203</v>
      </c>
      <c r="D109" s="112"/>
      <c r="E109" s="217"/>
      <c r="F109" s="113"/>
      <c r="G109" s="100"/>
      <c r="H109" s="122"/>
    </row>
    <row r="110" spans="2:8">
      <c r="B110" s="110"/>
      <c r="C110" s="222" t="s">
        <v>193</v>
      </c>
      <c r="D110" s="112"/>
      <c r="E110" s="217"/>
      <c r="F110" s="113"/>
      <c r="G110" s="100"/>
      <c r="H110" s="122"/>
    </row>
    <row r="111" spans="2:8">
      <c r="B111" s="110"/>
      <c r="C111" s="222"/>
      <c r="D111" s="112"/>
      <c r="E111" s="217"/>
      <c r="F111" s="113"/>
      <c r="G111" s="100"/>
      <c r="H111" s="122"/>
    </row>
    <row r="112" spans="2:8">
      <c r="B112" s="110"/>
      <c r="C112" s="221" t="s">
        <v>205</v>
      </c>
      <c r="D112" s="266" t="s">
        <v>141</v>
      </c>
      <c r="E112" s="266"/>
      <c r="F112" s="266"/>
      <c r="G112" s="100"/>
      <c r="H112" s="122"/>
    </row>
    <row r="113" spans="2:8">
      <c r="B113" s="110"/>
      <c r="D113" s="112"/>
      <c r="E113" s="217"/>
      <c r="F113" s="113"/>
      <c r="G113" s="100"/>
      <c r="H113" s="122"/>
    </row>
    <row r="114" spans="2:8" ht="33">
      <c r="B114" s="110"/>
      <c r="C114" s="129" t="s">
        <v>208</v>
      </c>
      <c r="D114" s="112"/>
      <c r="E114" s="217"/>
      <c r="F114" s="113"/>
      <c r="G114" s="100"/>
      <c r="H114" s="122"/>
    </row>
    <row r="115" spans="2:8">
      <c r="B115" s="110"/>
      <c r="C115" s="215"/>
      <c r="D115" s="112"/>
      <c r="E115" s="217"/>
      <c r="F115" s="217"/>
      <c r="G115" s="100"/>
      <c r="H115" s="122"/>
    </row>
    <row r="116" spans="2:8">
      <c r="B116" s="138"/>
      <c r="C116" s="149" t="s">
        <v>170</v>
      </c>
      <c r="D116" s="144"/>
      <c r="E116" s="145"/>
      <c r="F116" s="146"/>
      <c r="G116" s="143"/>
      <c r="H116" s="122"/>
    </row>
    <row r="117" spans="2:8">
      <c r="B117" s="110"/>
      <c r="C117" s="130"/>
      <c r="D117" s="112"/>
      <c r="E117" s="217"/>
      <c r="F117" s="113"/>
      <c r="G117" s="100"/>
      <c r="H117" s="122"/>
    </row>
    <row r="118" spans="2:8" ht="66">
      <c r="B118" s="110"/>
      <c r="C118" s="115" t="s">
        <v>171</v>
      </c>
      <c r="D118" s="112"/>
      <c r="E118" s="217"/>
      <c r="F118" s="113"/>
      <c r="G118" s="100"/>
      <c r="H118" s="122"/>
    </row>
    <row r="119" spans="2:8">
      <c r="B119" s="110"/>
      <c r="C119" s="130"/>
      <c r="D119" s="112"/>
      <c r="E119" s="217"/>
      <c r="F119" s="113"/>
      <c r="G119" s="100"/>
      <c r="H119" s="122"/>
    </row>
    <row r="120" spans="2:8">
      <c r="B120" s="110"/>
      <c r="C120" s="116" t="s">
        <v>172</v>
      </c>
      <c r="D120" s="112"/>
      <c r="E120" s="217"/>
      <c r="F120" s="113"/>
      <c r="G120" s="100"/>
      <c r="H120" s="122"/>
    </row>
    <row r="121" spans="2:8">
      <c r="B121" s="110"/>
      <c r="C121" s="130"/>
      <c r="D121" s="112"/>
      <c r="E121" s="217"/>
      <c r="F121" s="113"/>
      <c r="G121" s="100"/>
      <c r="H121" s="122"/>
    </row>
    <row r="122" spans="2:8" ht="66">
      <c r="B122" s="110"/>
      <c r="C122" s="129" t="s">
        <v>173</v>
      </c>
      <c r="D122" s="112"/>
      <c r="E122" s="217"/>
      <c r="F122" s="113"/>
      <c r="G122" s="100"/>
      <c r="H122" s="122"/>
    </row>
    <row r="123" spans="2:8" ht="66">
      <c r="B123" s="110"/>
      <c r="C123" s="129" t="s">
        <v>174</v>
      </c>
      <c r="D123" s="112"/>
      <c r="E123" s="217"/>
      <c r="F123" s="113"/>
      <c r="G123" s="100"/>
      <c r="H123" s="122"/>
    </row>
    <row r="124" spans="2:8">
      <c r="B124" s="110"/>
      <c r="C124" s="130"/>
      <c r="D124" s="112"/>
      <c r="E124" s="217"/>
      <c r="F124" s="113"/>
      <c r="G124" s="100"/>
      <c r="H124" s="122"/>
    </row>
    <row r="125" spans="2:8">
      <c r="B125" s="110"/>
      <c r="C125" s="129" t="s">
        <v>38</v>
      </c>
      <c r="D125" s="267" t="s">
        <v>167</v>
      </c>
      <c r="E125" s="267"/>
      <c r="F125" s="267"/>
      <c r="G125" s="100"/>
      <c r="H125" s="122"/>
    </row>
    <row r="126" spans="2:8">
      <c r="B126" s="110"/>
      <c r="C126" s="129" t="s">
        <v>176</v>
      </c>
      <c r="D126" s="53"/>
      <c r="E126" s="53"/>
      <c r="F126" s="53"/>
      <c r="G126" s="100"/>
      <c r="H126" s="122"/>
    </row>
    <row r="127" spans="2:8">
      <c r="B127" s="110"/>
      <c r="C127" s="129" t="s">
        <v>181</v>
      </c>
      <c r="D127" s="53"/>
      <c r="E127" s="53"/>
      <c r="F127" s="53"/>
      <c r="G127" s="100"/>
      <c r="H127" s="122"/>
    </row>
    <row r="128" spans="2:8">
      <c r="B128" s="110"/>
      <c r="C128" s="129" t="s">
        <v>175</v>
      </c>
      <c r="D128" s="112"/>
      <c r="E128" s="217"/>
      <c r="F128" s="113"/>
      <c r="G128" s="100"/>
      <c r="H128" s="122"/>
    </row>
    <row r="129" spans="2:8">
      <c r="B129" s="110"/>
      <c r="C129" s="129" t="s">
        <v>84</v>
      </c>
      <c r="D129" s="112"/>
      <c r="E129" s="217"/>
      <c r="F129" s="113"/>
      <c r="G129" s="100"/>
      <c r="H129" s="122"/>
    </row>
    <row r="130" spans="2:8">
      <c r="B130" s="110"/>
      <c r="C130" s="129" t="s">
        <v>177</v>
      </c>
      <c r="D130" s="112"/>
      <c r="E130" s="217"/>
      <c r="F130" s="113"/>
      <c r="G130" s="100"/>
      <c r="H130" s="122"/>
    </row>
    <row r="131" spans="2:8">
      <c r="B131" s="110"/>
      <c r="C131" s="129"/>
      <c r="D131" s="112"/>
      <c r="E131" s="217"/>
      <c r="F131" s="113"/>
      <c r="G131" s="100"/>
      <c r="H131" s="122"/>
    </row>
    <row r="132" spans="2:8">
      <c r="B132" s="110"/>
      <c r="C132" s="129" t="s">
        <v>182</v>
      </c>
      <c r="D132" s="267" t="s">
        <v>183</v>
      </c>
      <c r="E132" s="267"/>
      <c r="F132" s="267"/>
      <c r="G132" s="100"/>
      <c r="H132" s="122"/>
    </row>
    <row r="133" spans="2:8">
      <c r="B133" s="110"/>
      <c r="C133" s="129"/>
      <c r="D133" s="218"/>
      <c r="E133" s="218"/>
      <c r="F133" s="218"/>
      <c r="G133" s="100"/>
      <c r="H133" s="122"/>
    </row>
    <row r="134" spans="2:8">
      <c r="B134" s="110"/>
      <c r="C134" s="129" t="s">
        <v>178</v>
      </c>
      <c r="D134" s="268" t="s">
        <v>142</v>
      </c>
      <c r="E134" s="268"/>
      <c r="F134" s="268"/>
      <c r="G134" s="100"/>
      <c r="H134" s="122"/>
    </row>
    <row r="135" spans="2:8">
      <c r="B135" s="110"/>
      <c r="C135" s="129" t="s">
        <v>179</v>
      </c>
      <c r="D135" s="266" t="s">
        <v>139</v>
      </c>
      <c r="E135" s="266"/>
      <c r="F135" s="266"/>
      <c r="G135" s="100"/>
      <c r="H135" s="122"/>
    </row>
    <row r="136" spans="2:8">
      <c r="B136" s="110"/>
      <c r="C136" s="129" t="s">
        <v>180</v>
      </c>
      <c r="D136" s="266" t="s">
        <v>141</v>
      </c>
      <c r="E136" s="266"/>
      <c r="F136" s="266"/>
      <c r="G136" s="100"/>
      <c r="H136" s="122"/>
    </row>
    <row r="137" spans="2:8">
      <c r="B137" s="110"/>
      <c r="C137" s="130"/>
      <c r="D137" s="112"/>
      <c r="E137" s="217"/>
      <c r="F137" s="113"/>
      <c r="G137" s="100"/>
      <c r="H137" s="122"/>
    </row>
    <row r="138" spans="2:8" ht="82.5">
      <c r="B138" s="110"/>
      <c r="C138" s="129" t="s">
        <v>184</v>
      </c>
      <c r="D138" s="112"/>
      <c r="E138" s="217"/>
      <c r="F138" s="113"/>
      <c r="G138" s="100"/>
      <c r="H138" s="122"/>
    </row>
    <row r="139" spans="2:8" ht="82.5">
      <c r="B139" s="110"/>
      <c r="C139" s="129" t="s">
        <v>185</v>
      </c>
      <c r="D139" s="112"/>
      <c r="E139" s="217"/>
      <c r="F139" s="113"/>
      <c r="G139" s="100"/>
      <c r="H139" s="122"/>
    </row>
    <row r="140" spans="2:8">
      <c r="B140" s="110"/>
      <c r="C140" s="130"/>
      <c r="D140" s="112"/>
      <c r="E140" s="217"/>
      <c r="F140" s="113"/>
      <c r="G140" s="100"/>
      <c r="H140" s="122"/>
    </row>
    <row r="141" spans="2:8" ht="33">
      <c r="B141" s="110"/>
      <c r="C141" s="115" t="s">
        <v>199</v>
      </c>
      <c r="D141" s="112"/>
      <c r="E141" s="217"/>
      <c r="F141" s="113"/>
      <c r="G141" s="100"/>
      <c r="H141" s="122"/>
    </row>
    <row r="142" spans="2:8" ht="49.5">
      <c r="B142" s="110"/>
      <c r="C142" s="115" t="s">
        <v>212</v>
      </c>
      <c r="D142" s="112"/>
      <c r="E142" s="217"/>
      <c r="F142" s="113"/>
      <c r="G142" s="100"/>
      <c r="H142" s="122"/>
    </row>
    <row r="143" spans="2:8" ht="33">
      <c r="B143" s="110"/>
      <c r="C143" s="115" t="s">
        <v>211</v>
      </c>
      <c r="D143" s="112"/>
      <c r="E143" s="217"/>
      <c r="F143" s="113"/>
      <c r="G143" s="100"/>
      <c r="H143" s="122"/>
    </row>
    <row r="144" spans="2:8">
      <c r="B144" s="110"/>
      <c r="C144" s="109"/>
      <c r="F144" s="118"/>
      <c r="G144" s="96"/>
      <c r="H144" s="124"/>
    </row>
    <row r="145" spans="2:8">
      <c r="B145" s="202"/>
      <c r="C145" s="212"/>
      <c r="D145" s="196"/>
      <c r="E145" s="197"/>
      <c r="F145" s="213"/>
      <c r="G145" s="188"/>
      <c r="H145" s="214"/>
    </row>
    <row r="147" spans="2:8">
      <c r="C147" s="131"/>
    </row>
    <row r="148" spans="2:8">
      <c r="C148" s="131"/>
    </row>
    <row r="149" spans="2:8">
      <c r="C149" s="131"/>
    </row>
    <row r="150" spans="2:8">
      <c r="C150" s="131"/>
    </row>
    <row r="151" spans="2:8">
      <c r="C151" s="131"/>
    </row>
    <row r="152" spans="2:8">
      <c r="C152" s="131"/>
    </row>
  </sheetData>
  <protectedRanges>
    <protectedRange sqref="F4:G4" name="Range1_2_2"/>
  </protectedRanges>
  <mergeCells count="12">
    <mergeCell ref="D136:F136"/>
    <mergeCell ref="D37:E37"/>
    <mergeCell ref="D76:F76"/>
    <mergeCell ref="D84:F84"/>
    <mergeCell ref="D90:F90"/>
    <mergeCell ref="D97:F97"/>
    <mergeCell ref="D104:F104"/>
    <mergeCell ref="D112:F112"/>
    <mergeCell ref="D125:F125"/>
    <mergeCell ref="D132:F132"/>
    <mergeCell ref="D134:F134"/>
    <mergeCell ref="D135:F135"/>
  </mergeCells>
  <conditionalFormatting sqref="C147:C152">
    <cfRule type="expression" dxfId="4" priority="1">
      <formula>#REF!&lt;&gt;0</formula>
    </cfRule>
  </conditionalFormatting>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4" manualBreakCount="4">
    <brk id="29" min="1" max="6" man="1"/>
    <brk id="57" min="1" max="6" man="1"/>
    <brk id="71" min="1" max="6" man="1"/>
    <brk id="115" min="1"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2:H30"/>
  <sheetViews>
    <sheetView view="pageBreakPreview" topLeftCell="A7" zoomScaleSheetLayoutView="100" workbookViewId="0">
      <selection activeCell="C21" sqref="C21"/>
    </sheetView>
  </sheetViews>
  <sheetFormatPr defaultColWidth="9.140625" defaultRowHeight="16.5"/>
  <cols>
    <col min="1" max="1" width="3.7109375" style="53" customWidth="1"/>
    <col min="2" max="2" width="10.7109375" style="111" customWidth="1"/>
    <col min="3" max="3" width="60.7109375" style="111" customWidth="1"/>
    <col min="4" max="5" width="10.7109375" style="118" customWidth="1"/>
    <col min="6" max="6" width="10.7109375" style="127" customWidth="1"/>
    <col min="7" max="7" width="10.7109375" style="94" customWidth="1"/>
    <col min="8" max="8" width="100.7109375" style="52" customWidth="1"/>
    <col min="9" max="16384" width="9.140625" style="53"/>
  </cols>
  <sheetData>
    <row r="2" spans="1:8" s="51" customFormat="1" ht="33">
      <c r="B2" s="174" t="s">
        <v>8</v>
      </c>
      <c r="C2" s="189" t="s">
        <v>20</v>
      </c>
      <c r="D2" s="175" t="s">
        <v>21</v>
      </c>
      <c r="E2" s="175" t="s">
        <v>22</v>
      </c>
      <c r="F2" s="176" t="s">
        <v>23</v>
      </c>
      <c r="G2" s="190" t="s">
        <v>24</v>
      </c>
      <c r="H2" s="132" t="s">
        <v>25</v>
      </c>
    </row>
    <row r="3" spans="1:8" s="51" customFormat="1">
      <c r="B3" s="169"/>
      <c r="C3" s="170"/>
      <c r="D3" s="171"/>
      <c r="E3" s="171"/>
      <c r="F3" s="172"/>
      <c r="G3" s="173"/>
      <c r="H3" s="120"/>
    </row>
    <row r="4" spans="1:8" s="51" customFormat="1">
      <c r="B4" s="177" t="str">
        <f>'A.0.'!B4</f>
        <v>A.</v>
      </c>
      <c r="C4" s="178" t="str">
        <f>'A.0.'!C4</f>
        <v>OPĆI TEHNIČKI UVJETI</v>
      </c>
      <c r="D4" s="179"/>
      <c r="E4" s="180"/>
      <c r="F4" s="181"/>
      <c r="G4" s="182"/>
      <c r="H4" s="120"/>
    </row>
    <row r="5" spans="1:8">
      <c r="B5" s="170"/>
      <c r="C5" s="170"/>
      <c r="D5" s="171"/>
      <c r="E5" s="171"/>
      <c r="F5" s="172"/>
      <c r="G5" s="219"/>
    </row>
    <row r="6" spans="1:8">
      <c r="B6" s="198"/>
      <c r="C6" s="210" t="s">
        <v>335</v>
      </c>
      <c r="D6" s="192"/>
      <c r="E6" s="193"/>
      <c r="F6" s="211"/>
      <c r="G6" s="195"/>
      <c r="H6" s="121"/>
    </row>
    <row r="7" spans="1:8">
      <c r="B7" s="110"/>
      <c r="D7" s="112"/>
      <c r="E7" s="217"/>
      <c r="F7" s="113"/>
      <c r="G7" s="100"/>
      <c r="H7" s="122"/>
    </row>
    <row r="8" spans="1:8" ht="186" customHeight="1">
      <c r="A8" s="55"/>
      <c r="B8" s="245"/>
      <c r="C8" s="251" t="s">
        <v>416</v>
      </c>
      <c r="D8" s="253"/>
      <c r="E8" s="254"/>
      <c r="F8" s="254"/>
      <c r="G8" s="152"/>
      <c r="H8" s="122"/>
    </row>
    <row r="9" spans="1:8" ht="49.5">
      <c r="A9" s="55"/>
      <c r="B9" s="245"/>
      <c r="C9" s="251" t="s">
        <v>417</v>
      </c>
      <c r="D9" s="253"/>
      <c r="E9" s="254"/>
      <c r="F9" s="254"/>
      <c r="G9" s="152"/>
      <c r="H9" s="122"/>
    </row>
    <row r="10" spans="1:8" ht="33.75" customHeight="1">
      <c r="A10" s="55"/>
      <c r="B10" s="245"/>
      <c r="C10" s="251" t="s">
        <v>420</v>
      </c>
      <c r="D10" s="253"/>
      <c r="E10" s="254"/>
      <c r="F10" s="254"/>
      <c r="G10" s="152"/>
      <c r="H10" s="122"/>
    </row>
    <row r="11" spans="1:8">
      <c r="A11" s="55"/>
      <c r="B11" s="245"/>
      <c r="C11" s="251"/>
      <c r="D11" s="253"/>
      <c r="E11" s="254"/>
      <c r="F11" s="254"/>
      <c r="G11" s="152"/>
      <c r="H11" s="122"/>
    </row>
    <row r="12" spans="1:8" ht="33">
      <c r="A12" s="55"/>
      <c r="B12" s="245"/>
      <c r="C12" s="255" t="s">
        <v>422</v>
      </c>
      <c r="D12" s="253"/>
      <c r="E12" s="254"/>
      <c r="F12" s="254"/>
      <c r="G12" s="152"/>
      <c r="H12" s="122"/>
    </row>
    <row r="13" spans="1:8">
      <c r="A13" s="55"/>
      <c r="B13" s="245"/>
      <c r="C13" s="251"/>
      <c r="D13" s="253"/>
      <c r="E13" s="254"/>
      <c r="F13" s="254"/>
      <c r="G13" s="152"/>
      <c r="H13" s="122"/>
    </row>
    <row r="14" spans="1:8" ht="33">
      <c r="A14" s="55"/>
      <c r="B14" s="245"/>
      <c r="C14" s="255" t="s">
        <v>421</v>
      </c>
      <c r="D14" s="253"/>
      <c r="E14" s="254"/>
      <c r="F14" s="254"/>
      <c r="G14" s="152"/>
      <c r="H14" s="122"/>
    </row>
    <row r="15" spans="1:8" ht="49.5">
      <c r="A15" s="55"/>
      <c r="B15" s="245"/>
      <c r="C15" s="251" t="s">
        <v>418</v>
      </c>
      <c r="D15" s="253"/>
      <c r="E15" s="254"/>
      <c r="F15" s="254"/>
      <c r="G15" s="152"/>
      <c r="H15" s="122"/>
    </row>
    <row r="16" spans="1:8">
      <c r="A16" s="55"/>
      <c r="B16" s="245"/>
      <c r="C16" s="251"/>
      <c r="D16" s="253"/>
      <c r="E16" s="254"/>
      <c r="F16" s="254"/>
      <c r="G16" s="152"/>
      <c r="H16" s="122"/>
    </row>
    <row r="17" spans="1:8" ht="82.5">
      <c r="A17" s="55"/>
      <c r="B17" s="245"/>
      <c r="C17" s="256" t="s">
        <v>102</v>
      </c>
      <c r="D17" s="253"/>
      <c r="E17" s="254"/>
      <c r="F17" s="254"/>
      <c r="G17" s="152"/>
      <c r="H17" s="122"/>
    </row>
    <row r="18" spans="1:8">
      <c r="A18" s="55"/>
      <c r="B18" s="245"/>
      <c r="C18" s="257"/>
      <c r="D18" s="253"/>
      <c r="E18" s="254"/>
      <c r="F18" s="254"/>
      <c r="G18" s="152"/>
      <c r="H18" s="122"/>
    </row>
    <row r="19" spans="1:8" ht="33">
      <c r="A19" s="55"/>
      <c r="B19" s="245"/>
      <c r="C19" s="255" t="s">
        <v>110</v>
      </c>
      <c r="D19" s="253"/>
      <c r="E19" s="254"/>
      <c r="F19" s="254"/>
      <c r="G19" s="152"/>
      <c r="H19" s="122"/>
    </row>
    <row r="20" spans="1:8" ht="33">
      <c r="A20" s="55"/>
      <c r="B20" s="245"/>
      <c r="C20" s="257" t="s">
        <v>419</v>
      </c>
      <c r="D20" s="253"/>
      <c r="E20" s="254"/>
      <c r="F20" s="254"/>
      <c r="G20" s="152"/>
      <c r="H20" s="122"/>
    </row>
    <row r="21" spans="1:8" ht="33">
      <c r="A21" s="55"/>
      <c r="B21" s="245"/>
      <c r="C21" s="258" t="s">
        <v>112</v>
      </c>
      <c r="D21" s="253"/>
      <c r="E21" s="254"/>
      <c r="F21" s="254"/>
      <c r="G21" s="152"/>
      <c r="H21" s="122"/>
    </row>
    <row r="22" spans="1:8">
      <c r="B22" s="110"/>
      <c r="C22" s="109"/>
      <c r="F22" s="118"/>
      <c r="G22" s="96"/>
      <c r="H22" s="124"/>
    </row>
    <row r="23" spans="1:8">
      <c r="B23" s="202"/>
      <c r="C23" s="212"/>
      <c r="D23" s="196"/>
      <c r="E23" s="197"/>
      <c r="F23" s="213"/>
      <c r="G23" s="188"/>
      <c r="H23" s="214"/>
    </row>
    <row r="25" spans="1:8">
      <c r="C25" s="131"/>
    </row>
    <row r="26" spans="1:8">
      <c r="C26" s="131"/>
    </row>
    <row r="27" spans="1:8">
      <c r="C27" s="131"/>
    </row>
    <row r="28" spans="1:8">
      <c r="C28" s="131"/>
    </row>
    <row r="29" spans="1:8">
      <c r="C29" s="131"/>
    </row>
    <row r="30" spans="1:8">
      <c r="C30" s="131"/>
    </row>
  </sheetData>
  <protectedRanges>
    <protectedRange sqref="F4:G4" name="Range1_2_2"/>
  </protectedRanges>
  <conditionalFormatting sqref="C25:C30">
    <cfRule type="expression" dxfId="3" priority="1">
      <formula>#REF!&lt;&gt;0</formula>
    </cfRule>
  </conditionalFormatting>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1" manualBreakCount="1">
    <brk id="19" min="1"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B2:H51"/>
  <sheetViews>
    <sheetView view="pageBreakPreview" topLeftCell="A19" zoomScaleSheetLayoutView="100" workbookViewId="0">
      <selection activeCell="B2" sqref="B2"/>
    </sheetView>
  </sheetViews>
  <sheetFormatPr defaultColWidth="9.140625" defaultRowHeight="16.5"/>
  <cols>
    <col min="1" max="1" width="3.7109375" style="53" customWidth="1"/>
    <col min="2" max="2" width="10.7109375" style="111" customWidth="1"/>
    <col min="3" max="3" width="60.7109375" style="111" customWidth="1"/>
    <col min="4" max="5" width="10.7109375" style="118" customWidth="1"/>
    <col min="6" max="6" width="10.7109375" style="127" customWidth="1"/>
    <col min="7" max="7" width="10.7109375" style="94" customWidth="1"/>
    <col min="8" max="8" width="100.7109375" style="52" customWidth="1"/>
    <col min="9" max="16384" width="9.140625" style="53"/>
  </cols>
  <sheetData>
    <row r="2" spans="2:8" s="51" customFormat="1" ht="33">
      <c r="B2" s="174" t="s">
        <v>8</v>
      </c>
      <c r="C2" s="189" t="s">
        <v>20</v>
      </c>
      <c r="D2" s="175" t="s">
        <v>21</v>
      </c>
      <c r="E2" s="175" t="s">
        <v>22</v>
      </c>
      <c r="F2" s="176" t="s">
        <v>23</v>
      </c>
      <c r="G2" s="190" t="s">
        <v>24</v>
      </c>
      <c r="H2" s="132" t="s">
        <v>25</v>
      </c>
    </row>
    <row r="3" spans="2:8" s="51" customFormat="1">
      <c r="B3" s="169"/>
      <c r="C3" s="170"/>
      <c r="D3" s="171"/>
      <c r="E3" s="171"/>
      <c r="F3" s="172"/>
      <c r="G3" s="173"/>
      <c r="H3" s="120"/>
    </row>
    <row r="4" spans="2:8" s="51" customFormat="1">
      <c r="B4" s="177" t="str">
        <f>'A.0.'!B4</f>
        <v>A.</v>
      </c>
      <c r="C4" s="178" t="str">
        <f>'A.0.'!C4</f>
        <v>OPĆI TEHNIČKI UVJETI</v>
      </c>
      <c r="D4" s="179"/>
      <c r="E4" s="180"/>
      <c r="F4" s="181"/>
      <c r="G4" s="182"/>
      <c r="H4" s="120"/>
    </row>
    <row r="5" spans="2:8">
      <c r="B5" s="170"/>
      <c r="C5" s="170"/>
      <c r="D5" s="171"/>
      <c r="E5" s="171"/>
      <c r="F5" s="172"/>
      <c r="G5" s="219"/>
    </row>
    <row r="6" spans="2:8">
      <c r="B6" s="198"/>
      <c r="C6" s="210" t="s">
        <v>380</v>
      </c>
      <c r="D6" s="192"/>
      <c r="E6" s="193"/>
      <c r="F6" s="211"/>
      <c r="G6" s="195"/>
      <c r="H6" s="121"/>
    </row>
    <row r="7" spans="2:8">
      <c r="B7" s="110"/>
      <c r="D7" s="112"/>
      <c r="E7" s="217"/>
      <c r="F7" s="113"/>
      <c r="G7" s="100"/>
      <c r="H7" s="122"/>
    </row>
    <row r="8" spans="2:8" s="222" customFormat="1">
      <c r="B8" s="110"/>
      <c r="C8" s="248" t="s">
        <v>35</v>
      </c>
      <c r="D8" s="112"/>
      <c r="E8" s="217"/>
      <c r="F8" s="113"/>
      <c r="G8" s="246"/>
      <c r="H8" s="247"/>
    </row>
    <row r="9" spans="2:8" s="222" customFormat="1" ht="66">
      <c r="B9" s="110"/>
      <c r="C9" s="249" t="s">
        <v>382</v>
      </c>
      <c r="D9" s="112"/>
      <c r="E9" s="217"/>
      <c r="F9" s="113"/>
      <c r="G9" s="246"/>
      <c r="H9" s="247"/>
    </row>
    <row r="10" spans="2:8" s="222" customFormat="1">
      <c r="B10" s="110"/>
      <c r="C10" s="249"/>
      <c r="D10" s="112"/>
      <c r="E10" s="217"/>
      <c r="F10" s="113"/>
      <c r="G10" s="246"/>
      <c r="H10" s="247"/>
    </row>
    <row r="11" spans="2:8" s="222" customFormat="1">
      <c r="B11" s="110"/>
      <c r="C11" s="248" t="s">
        <v>36</v>
      </c>
      <c r="D11" s="112"/>
      <c r="E11" s="217"/>
      <c r="F11" s="113"/>
      <c r="G11" s="246"/>
      <c r="H11" s="247"/>
    </row>
    <row r="12" spans="2:8" s="222" customFormat="1" ht="66">
      <c r="B12" s="110"/>
      <c r="C12" s="249" t="s">
        <v>383</v>
      </c>
      <c r="D12" s="112"/>
      <c r="E12" s="217"/>
      <c r="F12" s="113"/>
      <c r="G12" s="246"/>
      <c r="H12" s="247"/>
    </row>
    <row r="13" spans="2:8" s="222" customFormat="1">
      <c r="B13" s="110"/>
      <c r="C13" s="249" t="s">
        <v>384</v>
      </c>
      <c r="D13" s="112"/>
      <c r="E13" s="217"/>
      <c r="F13" s="113"/>
      <c r="G13" s="246"/>
      <c r="H13" s="247"/>
    </row>
    <row r="14" spans="2:8" s="222" customFormat="1">
      <c r="B14" s="110"/>
      <c r="C14" s="249"/>
      <c r="D14" s="112"/>
      <c r="E14" s="217"/>
      <c r="F14" s="113"/>
      <c r="G14" s="246"/>
      <c r="H14" s="247"/>
    </row>
    <row r="15" spans="2:8" s="222" customFormat="1">
      <c r="B15" s="110"/>
      <c r="C15" s="248" t="s">
        <v>385</v>
      </c>
      <c r="D15" s="112"/>
      <c r="E15" s="217"/>
      <c r="F15" s="113"/>
      <c r="G15" s="246"/>
      <c r="H15" s="247"/>
    </row>
    <row r="16" spans="2:8" s="222" customFormat="1" ht="49.5">
      <c r="B16" s="110"/>
      <c r="C16" s="249" t="s">
        <v>386</v>
      </c>
      <c r="D16" s="112"/>
      <c r="E16" s="217"/>
      <c r="F16" s="113"/>
      <c r="G16" s="246"/>
      <c r="H16" s="247"/>
    </row>
    <row r="17" spans="2:8" s="222" customFormat="1" ht="49.5">
      <c r="B17" s="110"/>
      <c r="C17" s="249" t="s">
        <v>402</v>
      </c>
      <c r="D17" s="112"/>
      <c r="E17" s="217"/>
      <c r="F17" s="113"/>
      <c r="G17" s="246"/>
      <c r="H17" s="247"/>
    </row>
    <row r="18" spans="2:8" s="222" customFormat="1" ht="33">
      <c r="B18" s="110"/>
      <c r="C18" s="249" t="s">
        <v>387</v>
      </c>
      <c r="D18" s="112"/>
      <c r="E18" s="217"/>
      <c r="F18" s="113"/>
      <c r="G18" s="246"/>
      <c r="H18" s="247"/>
    </row>
    <row r="19" spans="2:8" s="222" customFormat="1" ht="33">
      <c r="B19" s="110"/>
      <c r="C19" s="249" t="s">
        <v>388</v>
      </c>
      <c r="D19" s="112"/>
      <c r="E19" s="217"/>
      <c r="F19" s="113"/>
      <c r="G19" s="246"/>
      <c r="H19" s="247"/>
    </row>
    <row r="20" spans="2:8" s="222" customFormat="1" ht="33">
      <c r="B20" s="110"/>
      <c r="C20" s="249" t="s">
        <v>389</v>
      </c>
      <c r="D20" s="112"/>
      <c r="E20" s="217"/>
      <c r="F20" s="113"/>
      <c r="G20" s="246"/>
      <c r="H20" s="247"/>
    </row>
    <row r="21" spans="2:8" s="222" customFormat="1">
      <c r="B21" s="110"/>
      <c r="C21" s="249"/>
      <c r="D21" s="112"/>
      <c r="E21" s="217"/>
      <c r="F21" s="113"/>
      <c r="G21" s="246"/>
      <c r="H21" s="247"/>
    </row>
    <row r="22" spans="2:8" s="222" customFormat="1">
      <c r="B22" s="110"/>
      <c r="C22" s="248" t="s">
        <v>37</v>
      </c>
      <c r="D22" s="112"/>
      <c r="E22" s="217"/>
      <c r="F22" s="113"/>
      <c r="G22" s="246"/>
      <c r="H22" s="247"/>
    </row>
    <row r="23" spans="2:8" s="222" customFormat="1" ht="33">
      <c r="B23" s="110"/>
      <c r="C23" s="249" t="s">
        <v>390</v>
      </c>
      <c r="D23" s="112"/>
      <c r="E23" s="217"/>
      <c r="F23" s="113"/>
      <c r="G23" s="246"/>
      <c r="H23" s="247"/>
    </row>
    <row r="24" spans="2:8" s="222" customFormat="1">
      <c r="B24" s="110"/>
      <c r="C24" s="249"/>
      <c r="D24" s="112"/>
      <c r="E24" s="217"/>
      <c r="F24" s="113"/>
      <c r="G24" s="246"/>
      <c r="H24" s="247"/>
    </row>
    <row r="25" spans="2:8" s="222" customFormat="1">
      <c r="B25" s="110"/>
      <c r="C25" s="248" t="s">
        <v>39</v>
      </c>
      <c r="D25" s="112"/>
      <c r="E25" s="217"/>
      <c r="F25" s="113"/>
      <c r="G25" s="246"/>
      <c r="H25" s="247"/>
    </row>
    <row r="26" spans="2:8" s="222" customFormat="1" ht="66">
      <c r="B26" s="110"/>
      <c r="C26" s="249" t="s">
        <v>61</v>
      </c>
      <c r="D26" s="112"/>
      <c r="E26" s="217"/>
      <c r="F26" s="113"/>
      <c r="G26" s="246"/>
      <c r="H26" s="247"/>
    </row>
    <row r="27" spans="2:8" s="222" customFormat="1">
      <c r="B27" s="110"/>
      <c r="C27" s="249"/>
      <c r="D27" s="112"/>
      <c r="E27" s="217"/>
      <c r="F27" s="113"/>
      <c r="G27" s="246"/>
      <c r="H27" s="247"/>
    </row>
    <row r="28" spans="2:8" s="222" customFormat="1">
      <c r="B28" s="110"/>
      <c r="C28" s="248" t="s">
        <v>391</v>
      </c>
      <c r="D28" s="112"/>
      <c r="E28" s="217"/>
      <c r="F28" s="113"/>
      <c r="G28" s="246"/>
      <c r="H28" s="247"/>
    </row>
    <row r="29" spans="2:8" s="222" customFormat="1" ht="66">
      <c r="B29" s="110"/>
      <c r="C29" s="249" t="s">
        <v>392</v>
      </c>
      <c r="D29" s="112"/>
      <c r="E29" s="217"/>
      <c r="F29" s="113"/>
      <c r="G29" s="246"/>
      <c r="H29" s="247"/>
    </row>
    <row r="30" spans="2:8" s="222" customFormat="1">
      <c r="B30" s="110"/>
      <c r="C30" s="250"/>
      <c r="D30" s="112"/>
      <c r="E30" s="217"/>
      <c r="F30" s="113"/>
      <c r="G30" s="246"/>
      <c r="H30" s="247"/>
    </row>
    <row r="31" spans="2:8" s="222" customFormat="1">
      <c r="B31" s="110"/>
      <c r="C31" s="248" t="s">
        <v>393</v>
      </c>
      <c r="D31" s="112"/>
      <c r="E31" s="217"/>
      <c r="F31" s="113"/>
      <c r="G31" s="246"/>
      <c r="H31" s="247"/>
    </row>
    <row r="32" spans="2:8" s="222" customFormat="1" ht="66">
      <c r="B32" s="110"/>
      <c r="C32" s="249" t="s">
        <v>394</v>
      </c>
      <c r="D32" s="112"/>
      <c r="E32" s="217"/>
      <c r="F32" s="113"/>
      <c r="G32" s="246"/>
      <c r="H32" s="247"/>
    </row>
    <row r="33" spans="2:8" s="222" customFormat="1" ht="49.5">
      <c r="B33" s="110"/>
      <c r="C33" s="249" t="s">
        <v>395</v>
      </c>
      <c r="D33" s="112"/>
      <c r="E33" s="217"/>
      <c r="F33" s="113"/>
      <c r="G33" s="246"/>
      <c r="H33" s="247"/>
    </row>
    <row r="34" spans="2:8" s="222" customFormat="1">
      <c r="B34" s="110"/>
      <c r="C34" s="250"/>
      <c r="D34" s="269"/>
      <c r="E34" s="269"/>
      <c r="F34" s="113"/>
      <c r="G34" s="246"/>
      <c r="H34" s="247"/>
    </row>
    <row r="35" spans="2:8" s="222" customFormat="1">
      <c r="B35" s="110"/>
      <c r="C35" s="248" t="s">
        <v>40</v>
      </c>
      <c r="D35" s="112"/>
      <c r="E35" s="217"/>
      <c r="F35" s="113"/>
      <c r="G35" s="246"/>
      <c r="H35" s="247"/>
    </row>
    <row r="36" spans="2:8" s="222" customFormat="1" ht="33">
      <c r="B36" s="110"/>
      <c r="C36" s="249" t="s">
        <v>396</v>
      </c>
      <c r="D36" s="112"/>
      <c r="E36" s="217"/>
      <c r="F36" s="113"/>
      <c r="G36" s="246"/>
      <c r="H36" s="247"/>
    </row>
    <row r="37" spans="2:8" s="222" customFormat="1">
      <c r="B37" s="110"/>
      <c r="C37" s="249" t="s">
        <v>397</v>
      </c>
      <c r="D37" s="112"/>
      <c r="E37" s="217"/>
      <c r="F37" s="113"/>
      <c r="G37" s="246"/>
      <c r="H37" s="247"/>
    </row>
    <row r="38" spans="2:8" s="222" customFormat="1">
      <c r="B38" s="110"/>
      <c r="C38" s="252" t="s">
        <v>398</v>
      </c>
      <c r="D38" s="112"/>
      <c r="E38" s="217"/>
      <c r="F38" s="113"/>
      <c r="G38" s="246"/>
      <c r="H38" s="247"/>
    </row>
    <row r="39" spans="2:8" s="222" customFormat="1">
      <c r="B39" s="110"/>
      <c r="C39" s="252" t="s">
        <v>399</v>
      </c>
      <c r="D39" s="112"/>
      <c r="E39" s="217"/>
      <c r="F39" s="113"/>
      <c r="G39" s="246"/>
      <c r="H39" s="247"/>
    </row>
    <row r="40" spans="2:8" s="222" customFormat="1">
      <c r="B40" s="110"/>
      <c r="C40" s="252" t="s">
        <v>400</v>
      </c>
      <c r="D40" s="112"/>
      <c r="E40" s="217"/>
      <c r="F40" s="113"/>
      <c r="G40" s="246"/>
      <c r="H40" s="247"/>
    </row>
    <row r="41" spans="2:8" s="222" customFormat="1">
      <c r="B41" s="110"/>
      <c r="C41" s="252" t="s">
        <v>401</v>
      </c>
      <c r="D41" s="112"/>
      <c r="E41" s="217"/>
      <c r="F41" s="113"/>
      <c r="G41" s="246"/>
      <c r="H41" s="247"/>
    </row>
    <row r="42" spans="2:8" s="222" customFormat="1">
      <c r="B42" s="110"/>
      <c r="C42" s="249" t="s">
        <v>403</v>
      </c>
      <c r="D42" s="112"/>
      <c r="E42" s="217"/>
      <c r="F42" s="113"/>
      <c r="G42" s="246"/>
      <c r="H42" s="247"/>
    </row>
    <row r="43" spans="2:8">
      <c r="B43" s="110"/>
      <c r="F43" s="118"/>
      <c r="G43" s="96"/>
      <c r="H43" s="124"/>
    </row>
    <row r="44" spans="2:8">
      <c r="B44" s="202"/>
      <c r="C44" s="212"/>
      <c r="D44" s="196"/>
      <c r="E44" s="197"/>
      <c r="F44" s="213"/>
      <c r="G44" s="188"/>
      <c r="H44" s="214"/>
    </row>
    <row r="46" spans="2:8">
      <c r="C46" s="131"/>
    </row>
    <row r="47" spans="2:8">
      <c r="C47" s="131"/>
    </row>
    <row r="48" spans="2:8">
      <c r="C48" s="131"/>
    </row>
    <row r="49" spans="3:3">
      <c r="C49" s="131"/>
    </row>
    <row r="50" spans="3:3">
      <c r="C50" s="131"/>
    </row>
    <row r="51" spans="3:3">
      <c r="C51" s="131"/>
    </row>
  </sheetData>
  <protectedRanges>
    <protectedRange sqref="F4:G4" name="Range1_2_2"/>
  </protectedRanges>
  <mergeCells count="1">
    <mergeCell ref="D34:E34"/>
  </mergeCells>
  <conditionalFormatting sqref="C46:C51">
    <cfRule type="expression" dxfId="2" priority="1">
      <formula>#REF!&lt;&gt;0</formula>
    </cfRule>
  </conditionalFormatting>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1" manualBreakCount="1">
    <brk id="27" min="1"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B2:I47"/>
  <sheetViews>
    <sheetView view="pageBreakPreview" topLeftCell="A16" zoomScaleSheetLayoutView="100" workbookViewId="0">
      <selection activeCell="B2" sqref="B2"/>
    </sheetView>
  </sheetViews>
  <sheetFormatPr defaultColWidth="9.140625" defaultRowHeight="12.75"/>
  <cols>
    <col min="1" max="1" width="3.7109375" style="7" customWidth="1"/>
    <col min="2" max="2" width="10.7109375" style="48" customWidth="1"/>
    <col min="3" max="3" width="20.7109375" style="49" customWidth="1"/>
    <col min="4" max="4" width="80.7109375" style="50" customWidth="1"/>
    <col min="5" max="5" width="43.85546875" style="56" customWidth="1"/>
    <col min="6" max="6" width="10.7109375" style="5" customWidth="1"/>
    <col min="7" max="7" width="9.140625" style="5"/>
    <col min="8" max="8" width="9.140625" style="6"/>
    <col min="9" max="16384" width="9.140625" style="7"/>
  </cols>
  <sheetData>
    <row r="2" spans="2:9" ht="33" customHeight="1">
      <c r="B2" s="70"/>
      <c r="C2" s="263" t="str">
        <f>PROJEKT_NAZIV</f>
        <v>Stambena zgrada - obnova fasade i stubišnog prostora</v>
      </c>
      <c r="D2" s="264"/>
    </row>
    <row r="3" spans="2:9" ht="16.5">
      <c r="B3" s="163"/>
      <c r="C3" s="164"/>
      <c r="D3" s="165"/>
    </row>
    <row r="4" spans="2:9" ht="16.5">
      <c r="B4" s="57" t="s">
        <v>219</v>
      </c>
      <c r="C4" s="72" t="s">
        <v>218</v>
      </c>
      <c r="D4" s="58"/>
      <c r="E4" s="59"/>
      <c r="F4" s="7"/>
      <c r="G4" s="7"/>
    </row>
    <row r="5" spans="2:9" ht="16.5">
      <c r="B5" s="57" t="str">
        <f>B4&amp;"0."</f>
        <v>S.0.</v>
      </c>
      <c r="C5" s="72" t="s">
        <v>14</v>
      </c>
      <c r="D5" s="58"/>
      <c r="F5" s="7"/>
    </row>
    <row r="6" spans="2:9" ht="16.5">
      <c r="B6" s="163"/>
      <c r="C6" s="166"/>
      <c r="D6" s="167"/>
      <c r="F6" s="7"/>
    </row>
    <row r="7" spans="2:9" ht="16.5">
      <c r="B7" s="74"/>
      <c r="C7" s="75"/>
      <c r="D7" s="76"/>
      <c r="E7" s="59"/>
      <c r="F7" s="7"/>
    </row>
    <row r="8" spans="2:9" ht="16.5">
      <c r="B8" s="28"/>
      <c r="C8" s="67"/>
      <c r="D8" s="77"/>
      <c r="E8" s="59"/>
      <c r="F8" s="7"/>
    </row>
    <row r="9" spans="2:9" ht="16.5">
      <c r="B9" s="33"/>
      <c r="C9" s="78" t="s">
        <v>0</v>
      </c>
      <c r="D9" s="79" t="str">
        <f>INVESTITOR_NAZIV</f>
        <v>Suvlasnici stambene zgrade</v>
      </c>
      <c r="E9" s="59"/>
      <c r="F9" s="7"/>
    </row>
    <row r="10" spans="2:9" ht="16.5">
      <c r="B10" s="28"/>
      <c r="C10" s="66"/>
      <c r="D10" s="80"/>
      <c r="E10" s="59"/>
    </row>
    <row r="11" spans="2:9" ht="16.5">
      <c r="B11" s="33"/>
      <c r="C11" s="67"/>
      <c r="D11" s="79"/>
      <c r="E11" s="59"/>
    </row>
    <row r="12" spans="2:9" ht="16.5">
      <c r="B12" s="28"/>
      <c r="C12" s="67"/>
      <c r="D12" s="77"/>
      <c r="E12" s="59"/>
    </row>
    <row r="13" spans="2:9" ht="16.5">
      <c r="B13" s="33"/>
      <c r="C13" s="81" t="s">
        <v>1</v>
      </c>
      <c r="D13" s="82" t="str">
        <f>PROJEKT_NAZIV</f>
        <v>Stambena zgrada - obnova fasade i stubišnog prostora</v>
      </c>
    </row>
    <row r="14" spans="2:9" ht="16.5">
      <c r="B14" s="33"/>
      <c r="C14" s="66"/>
      <c r="D14" s="77"/>
      <c r="E14" s="59"/>
    </row>
    <row r="15" spans="2:9" ht="16.5">
      <c r="B15" s="28"/>
      <c r="C15" s="66" t="s">
        <v>2</v>
      </c>
      <c r="D15" s="79" t="str">
        <f>PROJEKT_LOKACIJA</f>
        <v>Tratinska 13, 10000 Zagreb</v>
      </c>
      <c r="E15" s="59"/>
    </row>
    <row r="16" spans="2:9" ht="16.5">
      <c r="B16" s="28"/>
      <c r="C16" s="78"/>
      <c r="D16" s="77"/>
      <c r="E16" s="59"/>
      <c r="I16" s="21"/>
    </row>
    <row r="17" spans="2:4" ht="16.5">
      <c r="B17" s="28"/>
      <c r="C17" s="78"/>
      <c r="D17" s="77"/>
    </row>
    <row r="18" spans="2:4" ht="16.5">
      <c r="B18" s="28"/>
      <c r="C18" s="78" t="s">
        <v>15</v>
      </c>
      <c r="D18" s="83" t="s">
        <v>13</v>
      </c>
    </row>
    <row r="19" spans="2:4" ht="16.5">
      <c r="B19" s="28"/>
      <c r="C19" s="66"/>
      <c r="D19" s="84"/>
    </row>
    <row r="20" spans="2:4" ht="16.5">
      <c r="B20" s="28"/>
      <c r="C20" s="67"/>
      <c r="D20" s="233"/>
    </row>
    <row r="21" spans="2:4" ht="16.5">
      <c r="B21" s="28"/>
      <c r="C21" s="67"/>
      <c r="D21" s="79"/>
    </row>
    <row r="22" spans="2:4" ht="16.5">
      <c r="B22" s="28"/>
      <c r="C22" s="67"/>
      <c r="D22" s="79"/>
    </row>
    <row r="23" spans="2:4" ht="16.5">
      <c r="B23" s="28"/>
      <c r="C23" s="67"/>
      <c r="D23" s="79"/>
    </row>
    <row r="24" spans="2:4" ht="16.5">
      <c r="B24" s="28"/>
      <c r="C24" s="66"/>
      <c r="D24" s="85"/>
    </row>
    <row r="25" spans="2:4" ht="16.5">
      <c r="B25" s="28"/>
      <c r="C25" s="66"/>
      <c r="D25" s="84"/>
    </row>
    <row r="26" spans="2:4" ht="16.5">
      <c r="B26" s="28"/>
      <c r="C26" s="66" t="s">
        <v>16</v>
      </c>
      <c r="D26" s="86"/>
    </row>
    <row r="27" spans="2:4" ht="16.5">
      <c r="B27" s="28"/>
      <c r="C27" s="67" t="str">
        <f>AUTOR_NAZIV</f>
        <v>NFO d.o.o.</v>
      </c>
      <c r="D27" s="71"/>
    </row>
    <row r="28" spans="2:4" ht="16.5">
      <c r="B28" s="28"/>
      <c r="C28" s="67" t="str">
        <f>AUTOR_ADRESA</f>
        <v>Ksaver 152</v>
      </c>
      <c r="D28" s="73"/>
    </row>
    <row r="29" spans="2:4" ht="16.5">
      <c r="B29" s="28"/>
      <c r="C29" s="67" t="str">
        <f>AUTOR_GRAD</f>
        <v>10000 Zagreb</v>
      </c>
      <c r="D29" s="73"/>
    </row>
    <row r="30" spans="2:4" ht="16.5">
      <c r="B30" s="28"/>
      <c r="D30" s="73"/>
    </row>
    <row r="31" spans="2:4" ht="16.5">
      <c r="B31" s="28"/>
      <c r="D31" s="73"/>
    </row>
    <row r="32" spans="2:4" ht="16.5">
      <c r="B32" s="33"/>
      <c r="D32" s="73"/>
    </row>
    <row r="33" spans="2:5" ht="16.5">
      <c r="B33" s="33"/>
      <c r="C33" s="66" t="s">
        <v>19</v>
      </c>
      <c r="D33" s="87"/>
    </row>
    <row r="34" spans="2:5" ht="16.5">
      <c r="B34" s="33"/>
      <c r="C34" s="67" t="str">
        <f>AUTOR_PROJEKTANT</f>
        <v>Nenad Ravnić, dipl.ing.arh.</v>
      </c>
      <c r="D34" s="86"/>
    </row>
    <row r="35" spans="2:5" ht="15.75" customHeight="1">
      <c r="B35" s="33"/>
      <c r="C35" s="66"/>
      <c r="D35" s="86"/>
    </row>
    <row r="36" spans="2:5" ht="16.5">
      <c r="B36" s="33"/>
      <c r="C36" s="68"/>
      <c r="D36" s="86"/>
    </row>
    <row r="37" spans="2:5" ht="16.5">
      <c r="B37" s="33"/>
      <c r="C37" s="66"/>
      <c r="D37" s="87"/>
    </row>
    <row r="38" spans="2:5" ht="16.5">
      <c r="B38" s="33"/>
      <c r="C38" s="66"/>
      <c r="D38" s="87"/>
    </row>
    <row r="39" spans="2:5" ht="16.5">
      <c r="B39" s="33"/>
      <c r="C39" s="66"/>
      <c r="D39" s="87"/>
    </row>
    <row r="40" spans="2:5" ht="16.5">
      <c r="B40" s="33"/>
      <c r="D40" s="84"/>
      <c r="E40" s="69"/>
    </row>
    <row r="41" spans="2:5" ht="16.5">
      <c r="B41" s="33"/>
      <c r="C41" s="66"/>
      <c r="D41" s="77"/>
      <c r="E41" s="59"/>
    </row>
    <row r="42" spans="2:5" ht="16.5">
      <c r="B42" s="28"/>
      <c r="C42" s="46"/>
      <c r="D42" s="71"/>
    </row>
    <row r="43" spans="2:5" ht="16.5">
      <c r="B43" s="28"/>
      <c r="C43" s="46"/>
      <c r="D43" s="71"/>
    </row>
    <row r="44" spans="2:5" ht="16.5">
      <c r="B44" s="28"/>
      <c r="C44" s="66" t="str">
        <f>DATUM</f>
        <v>Zagreb, studeni 2025.</v>
      </c>
      <c r="D44" s="71"/>
    </row>
    <row r="45" spans="2:5" ht="16.5">
      <c r="B45" s="28"/>
      <c r="C45" s="66"/>
      <c r="D45" s="71"/>
    </row>
    <row r="46" spans="2:5" ht="16.5">
      <c r="B46" s="88"/>
      <c r="C46" s="89"/>
      <c r="D46" s="90"/>
    </row>
    <row r="47" spans="2:5" ht="16.5">
      <c r="B47" s="45"/>
      <c r="C47" s="46"/>
      <c r="D47" s="47"/>
    </row>
  </sheetData>
  <mergeCells count="1">
    <mergeCell ref="C2:D2"/>
  </mergeCell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B2:H64"/>
  <sheetViews>
    <sheetView view="pageBreakPreview" topLeftCell="A19" zoomScaleSheetLayoutView="100" workbookViewId="0">
      <selection activeCell="F63" sqref="F63"/>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91" t="s">
        <v>25</v>
      </c>
    </row>
    <row r="3" spans="2:8">
      <c r="B3" s="169"/>
      <c r="C3" s="170"/>
      <c r="D3" s="171"/>
      <c r="E3" s="171"/>
      <c r="F3" s="172"/>
      <c r="G3" s="173"/>
    </row>
    <row r="4" spans="2:8">
      <c r="B4" s="177" t="str">
        <f>'S.0.'!B4</f>
        <v>S.</v>
      </c>
      <c r="C4" s="234" t="str">
        <f>'S.0.'!C4</f>
        <v>STUBIŠTE</v>
      </c>
      <c r="D4" s="179"/>
      <c r="E4" s="180"/>
      <c r="F4" s="181"/>
      <c r="G4" s="182"/>
    </row>
    <row r="5" spans="2:8">
      <c r="B5" s="240"/>
      <c r="C5" s="240"/>
      <c r="D5" s="241"/>
      <c r="E5" s="241"/>
      <c r="F5" s="242"/>
      <c r="G5" s="243"/>
    </row>
    <row r="6" spans="2:8">
      <c r="B6" s="106"/>
      <c r="C6" s="111" t="s">
        <v>358</v>
      </c>
      <c r="D6" s="97"/>
      <c r="E6" s="98"/>
      <c r="F6" s="99"/>
      <c r="G6" s="100"/>
    </row>
    <row r="8" spans="2:8" ht="33">
      <c r="C8" s="101" t="s">
        <v>359</v>
      </c>
    </row>
    <row r="9" spans="2:8" ht="33">
      <c r="C9" s="104" t="s">
        <v>232</v>
      </c>
    </row>
    <row r="10" spans="2:8" ht="33">
      <c r="C10" s="244" t="s">
        <v>233</v>
      </c>
    </row>
    <row r="12" spans="2:8">
      <c r="B12" s="191" t="str">
        <f>B4&amp;"1."</f>
        <v>S.1.</v>
      </c>
      <c r="C12" s="209" t="s">
        <v>26</v>
      </c>
      <c r="D12" s="207"/>
      <c r="E12" s="208"/>
      <c r="F12" s="194"/>
      <c r="G12" s="200"/>
      <c r="H12" s="226"/>
    </row>
    <row r="13" spans="2:8">
      <c r="B13" s="92"/>
      <c r="D13" s="97"/>
      <c r="E13" s="98"/>
      <c r="F13" s="99"/>
      <c r="G13" s="100"/>
      <c r="H13" s="54"/>
    </row>
    <row r="14" spans="2:8">
      <c r="B14" s="138" t="str">
        <f>$B$12&amp;COUNTA($B$12:INDEX(B:B,ROW()-1))</f>
        <v>S.1.1</v>
      </c>
      <c r="C14" s="139" t="s">
        <v>222</v>
      </c>
      <c r="D14" s="140"/>
      <c r="E14" s="141"/>
      <c r="F14" s="142"/>
      <c r="G14" s="143"/>
      <c r="H14" s="227"/>
    </row>
    <row r="15" spans="2:8">
      <c r="B15" s="92"/>
      <c r="D15" s="97"/>
      <c r="E15" s="98"/>
      <c r="F15" s="99"/>
      <c r="G15" s="100"/>
      <c r="H15" s="227"/>
    </row>
    <row r="16" spans="2:8" ht="33">
      <c r="B16" s="92"/>
      <c r="C16" s="101" t="s">
        <v>260</v>
      </c>
      <c r="D16" s="97"/>
      <c r="E16" s="98"/>
      <c r="F16" s="99"/>
      <c r="G16" s="100"/>
      <c r="H16" s="227"/>
    </row>
    <row r="17" spans="2:8" ht="33">
      <c r="B17" s="92"/>
      <c r="C17" s="101" t="s">
        <v>223</v>
      </c>
      <c r="D17" s="97"/>
      <c r="E17" s="98"/>
      <c r="F17" s="99"/>
      <c r="G17" s="100"/>
      <c r="H17" s="227"/>
    </row>
    <row r="18" spans="2:8" ht="33">
      <c r="B18" s="92"/>
      <c r="C18" s="101" t="s">
        <v>226</v>
      </c>
      <c r="D18" s="97"/>
      <c r="E18" s="98"/>
      <c r="F18" s="99"/>
      <c r="G18" s="100"/>
      <c r="H18" s="227"/>
    </row>
    <row r="19" spans="2:8" ht="33">
      <c r="B19" s="92"/>
      <c r="C19" s="101" t="s">
        <v>227</v>
      </c>
      <c r="D19" s="97"/>
      <c r="E19" s="98"/>
      <c r="F19" s="99"/>
      <c r="G19" s="100"/>
      <c r="H19" s="227"/>
    </row>
    <row r="20" spans="2:8">
      <c r="B20" s="92"/>
      <c r="D20" s="97"/>
      <c r="E20" s="98"/>
      <c r="F20" s="99"/>
      <c r="G20" s="100"/>
      <c r="H20" s="227"/>
    </row>
    <row r="21" spans="2:8">
      <c r="B21" s="92"/>
      <c r="C21" s="93" t="s">
        <v>224</v>
      </c>
      <c r="D21" s="97" t="s">
        <v>225</v>
      </c>
      <c r="E21" s="98">
        <v>1</v>
      </c>
      <c r="F21" s="105">
        <v>2000</v>
      </c>
      <c r="G21" s="100">
        <f>IF(ISNUMBER(F21),ROUND(E21*ROUND(F21,2),2),"")</f>
        <v>2000</v>
      </c>
      <c r="H21" s="227"/>
    </row>
    <row r="22" spans="2:8">
      <c r="B22" s="92"/>
      <c r="D22" s="97"/>
      <c r="E22" s="98"/>
      <c r="F22" s="99"/>
      <c r="G22" s="100"/>
      <c r="H22" s="227"/>
    </row>
    <row r="23" spans="2:8">
      <c r="B23" s="138" t="str">
        <f>$B$12&amp;COUNTA($B$12:INDEX(B:B,ROW()-1))</f>
        <v>S.1.2</v>
      </c>
      <c r="C23" s="139" t="s">
        <v>261</v>
      </c>
      <c r="D23" s="140"/>
      <c r="E23" s="141"/>
      <c r="F23" s="142"/>
      <c r="G23" s="143"/>
      <c r="H23" s="227"/>
    </row>
    <row r="24" spans="2:8">
      <c r="B24" s="92"/>
      <c r="D24" s="97"/>
      <c r="E24" s="98"/>
      <c r="F24" s="99"/>
      <c r="G24" s="100"/>
      <c r="H24" s="227"/>
    </row>
    <row r="25" spans="2:8">
      <c r="B25" s="92"/>
      <c r="C25" s="93" t="s">
        <v>376</v>
      </c>
      <c r="D25" s="97"/>
      <c r="E25" s="98"/>
      <c r="F25" s="99"/>
      <c r="G25" s="100"/>
      <c r="H25" s="227"/>
    </row>
    <row r="26" spans="2:8" ht="49.5">
      <c r="B26" s="92"/>
      <c r="C26" s="101" t="s">
        <v>377</v>
      </c>
      <c r="D26" s="97"/>
      <c r="E26" s="98"/>
      <c r="F26" s="99"/>
      <c r="G26" s="100"/>
      <c r="H26" s="227"/>
    </row>
    <row r="27" spans="2:8" ht="33">
      <c r="B27" s="92"/>
      <c r="C27" s="101" t="s">
        <v>264</v>
      </c>
      <c r="D27" s="97"/>
      <c r="E27" s="98"/>
      <c r="F27" s="99"/>
      <c r="G27" s="100"/>
      <c r="H27" s="227"/>
    </row>
    <row r="28" spans="2:8" ht="49.5">
      <c r="B28" s="92"/>
      <c r="C28" s="101" t="s">
        <v>414</v>
      </c>
      <c r="D28" s="97"/>
      <c r="E28" s="98"/>
      <c r="F28" s="99"/>
      <c r="G28" s="100"/>
      <c r="H28" s="227"/>
    </row>
    <row r="29" spans="2:8" ht="33">
      <c r="B29" s="92"/>
      <c r="C29" s="101" t="s">
        <v>415</v>
      </c>
      <c r="D29" s="97"/>
      <c r="E29" s="98"/>
      <c r="F29" s="99"/>
      <c r="G29" s="100"/>
      <c r="H29" s="227"/>
    </row>
    <row r="30" spans="2:8">
      <c r="B30" s="92"/>
      <c r="D30" s="97"/>
      <c r="E30" s="98"/>
      <c r="F30" s="99"/>
      <c r="G30" s="100"/>
      <c r="H30" s="227"/>
    </row>
    <row r="31" spans="2:8">
      <c r="B31" s="92"/>
      <c r="C31" s="93" t="s">
        <v>262</v>
      </c>
      <c r="D31" s="97" t="s">
        <v>225</v>
      </c>
      <c r="E31" s="98">
        <v>1</v>
      </c>
      <c r="F31" s="105">
        <v>120</v>
      </c>
      <c r="G31" s="100">
        <f t="shared" ref="G31:G35" si="0">IF(ISNUMBER(F31),ROUND(E31*ROUND(F31,2),2),"")</f>
        <v>120</v>
      </c>
      <c r="H31" s="227"/>
    </row>
    <row r="32" spans="2:8">
      <c r="B32" s="92"/>
      <c r="C32" s="93" t="s">
        <v>369</v>
      </c>
      <c r="D32" s="97" t="s">
        <v>231</v>
      </c>
      <c r="E32" s="98">
        <v>1</v>
      </c>
      <c r="F32" s="105">
        <v>30</v>
      </c>
      <c r="G32" s="100">
        <f t="shared" ref="G32" si="1">IF(ISNUMBER(F32),ROUND(E32*ROUND(F32,2),2),"")</f>
        <v>30</v>
      </c>
      <c r="H32" s="227"/>
    </row>
    <row r="33" spans="2:8">
      <c r="B33" s="92"/>
      <c r="C33" s="93" t="s">
        <v>370</v>
      </c>
      <c r="D33" s="97" t="s">
        <v>231</v>
      </c>
      <c r="E33" s="98">
        <v>10</v>
      </c>
      <c r="F33" s="105">
        <v>45</v>
      </c>
      <c r="G33" s="100">
        <f t="shared" ref="G33:G34" si="2">IF(ISNUMBER(F33),ROUND(E33*ROUND(F33,2),2),"")</f>
        <v>450</v>
      </c>
      <c r="H33" s="227"/>
    </row>
    <row r="34" spans="2:8">
      <c r="B34" s="92"/>
      <c r="C34" s="93" t="s">
        <v>371</v>
      </c>
      <c r="D34" s="97" t="s">
        <v>231</v>
      </c>
      <c r="E34" s="98">
        <v>20</v>
      </c>
      <c r="F34" s="105">
        <v>45</v>
      </c>
      <c r="G34" s="100">
        <f t="shared" si="2"/>
        <v>900</v>
      </c>
      <c r="H34" s="227"/>
    </row>
    <row r="35" spans="2:8">
      <c r="B35" s="92"/>
      <c r="C35" s="93" t="s">
        <v>372</v>
      </c>
      <c r="D35" s="97" t="s">
        <v>231</v>
      </c>
      <c r="E35" s="98">
        <v>20</v>
      </c>
      <c r="F35" s="105">
        <v>45</v>
      </c>
      <c r="G35" s="100">
        <f t="shared" si="0"/>
        <v>900</v>
      </c>
      <c r="H35" s="227"/>
    </row>
    <row r="36" spans="2:8">
      <c r="B36" s="92"/>
      <c r="C36" s="93" t="s">
        <v>373</v>
      </c>
      <c r="D36" s="97" t="s">
        <v>34</v>
      </c>
      <c r="E36" s="98">
        <v>70</v>
      </c>
      <c r="F36" s="105">
        <v>1</v>
      </c>
      <c r="G36" s="100">
        <f>IF(ISNUMBER(F36),ROUND(E36*ROUND(F36,2),2),"")</f>
        <v>70</v>
      </c>
      <c r="H36" s="227"/>
    </row>
    <row r="37" spans="2:8">
      <c r="B37" s="92"/>
      <c r="C37" s="93" t="s">
        <v>374</v>
      </c>
      <c r="D37" s="97" t="s">
        <v>231</v>
      </c>
      <c r="E37" s="98">
        <v>2</v>
      </c>
      <c r="F37" s="105">
        <v>150</v>
      </c>
      <c r="G37" s="100">
        <f t="shared" ref="G37" si="3">IF(ISNUMBER(F37),ROUND(E37*ROUND(F37,2),2),"")</f>
        <v>300</v>
      </c>
      <c r="H37" s="227"/>
    </row>
    <row r="38" spans="2:8">
      <c r="B38" s="92"/>
      <c r="C38" s="93" t="s">
        <v>375</v>
      </c>
      <c r="D38" s="97" t="s">
        <v>231</v>
      </c>
      <c r="E38" s="98">
        <v>2</v>
      </c>
      <c r="F38" s="105">
        <v>150</v>
      </c>
      <c r="G38" s="100">
        <f t="shared" ref="G38" si="4">IF(ISNUMBER(F38),ROUND(E38*ROUND(F38,2),2),"")</f>
        <v>300</v>
      </c>
      <c r="H38" s="227"/>
    </row>
    <row r="39" spans="2:8">
      <c r="B39" s="92"/>
      <c r="D39" s="97"/>
      <c r="E39" s="98"/>
      <c r="F39" s="99"/>
      <c r="G39" s="100"/>
      <c r="H39" s="227"/>
    </row>
    <row r="40" spans="2:8">
      <c r="B40" s="138" t="str">
        <f>$B$12&amp;COUNTA($B$12:INDEX(B:B,ROW()-1))</f>
        <v>S.1.3</v>
      </c>
      <c r="C40" s="139" t="s">
        <v>263</v>
      </c>
      <c r="D40" s="140"/>
      <c r="E40" s="141"/>
      <c r="F40" s="142"/>
      <c r="G40" s="143"/>
      <c r="H40" s="227"/>
    </row>
    <row r="41" spans="2:8">
      <c r="B41" s="92"/>
      <c r="D41" s="97"/>
      <c r="E41" s="98"/>
      <c r="F41" s="99"/>
      <c r="G41" s="100"/>
      <c r="H41" s="227"/>
    </row>
    <row r="42" spans="2:8" ht="33">
      <c r="B42" s="92"/>
      <c r="C42" s="101" t="s">
        <v>267</v>
      </c>
      <c r="D42" s="97"/>
      <c r="E42" s="98"/>
      <c r="F42" s="99"/>
      <c r="G42" s="100"/>
      <c r="H42" s="227"/>
    </row>
    <row r="43" spans="2:8" ht="33">
      <c r="B43" s="92"/>
      <c r="C43" s="101" t="s">
        <v>266</v>
      </c>
      <c r="D43" s="97"/>
      <c r="E43" s="98"/>
      <c r="F43" s="99"/>
      <c r="G43" s="100"/>
      <c r="H43" s="227"/>
    </row>
    <row r="44" spans="2:8" ht="33">
      <c r="B44" s="92"/>
      <c r="C44" s="101" t="s">
        <v>265</v>
      </c>
      <c r="D44" s="97"/>
      <c r="E44" s="98"/>
      <c r="F44" s="99"/>
      <c r="G44" s="100"/>
      <c r="H44" s="227"/>
    </row>
    <row r="45" spans="2:8" ht="33">
      <c r="B45" s="92"/>
      <c r="C45" s="101" t="s">
        <v>357</v>
      </c>
      <c r="D45" s="97"/>
      <c r="E45" s="98"/>
      <c r="F45" s="99"/>
      <c r="G45" s="100"/>
      <c r="H45" s="227"/>
    </row>
    <row r="46" spans="2:8">
      <c r="B46" s="92"/>
      <c r="D46" s="97"/>
      <c r="E46" s="98"/>
      <c r="F46" s="99"/>
      <c r="G46" s="100"/>
      <c r="H46" s="227"/>
    </row>
    <row r="47" spans="2:8">
      <c r="B47" s="92"/>
      <c r="C47" s="93" t="s">
        <v>268</v>
      </c>
      <c r="D47" s="97" t="s">
        <v>34</v>
      </c>
      <c r="E47" s="98">
        <v>70</v>
      </c>
      <c r="F47" s="105">
        <v>20</v>
      </c>
      <c r="G47" s="100">
        <f t="shared" ref="G47" si="5">IF(ISNUMBER(F47),ROUND(E47*ROUND(F47,2),2),"")</f>
        <v>1400</v>
      </c>
      <c r="H47" s="227"/>
    </row>
    <row r="48" spans="2:8">
      <c r="B48" s="92"/>
      <c r="D48" s="97"/>
      <c r="E48" s="98"/>
      <c r="F48" s="99"/>
      <c r="G48" s="100"/>
      <c r="H48" s="227"/>
    </row>
    <row r="49" spans="2:8">
      <c r="B49" s="138" t="str">
        <f>$B$12&amp;COUNTA($B$12:INDEX(B:B,ROW()-1))</f>
        <v>S.1.4</v>
      </c>
      <c r="C49" s="139" t="s">
        <v>228</v>
      </c>
      <c r="D49" s="140"/>
      <c r="E49" s="141"/>
      <c r="F49" s="142"/>
      <c r="G49" s="143"/>
      <c r="H49" s="227"/>
    </row>
    <row r="50" spans="2:8">
      <c r="B50" s="92"/>
      <c r="D50" s="97"/>
      <c r="E50" s="98"/>
      <c r="F50" s="99"/>
      <c r="G50" s="100"/>
      <c r="H50" s="227"/>
    </row>
    <row r="51" spans="2:8">
      <c r="B51" s="92"/>
      <c r="C51" s="93" t="s">
        <v>229</v>
      </c>
      <c r="D51" s="97"/>
      <c r="E51" s="98"/>
      <c r="F51" s="99"/>
      <c r="G51" s="100"/>
      <c r="H51" s="227"/>
    </row>
    <row r="52" spans="2:8" ht="49.5">
      <c r="B52" s="92"/>
      <c r="C52" s="238" t="s">
        <v>248</v>
      </c>
      <c r="D52" s="97"/>
      <c r="E52" s="98"/>
      <c r="F52" s="99"/>
      <c r="G52" s="100"/>
      <c r="H52" s="227"/>
    </row>
    <row r="53" spans="2:8" ht="33">
      <c r="B53" s="92"/>
      <c r="C53" s="238" t="s">
        <v>230</v>
      </c>
      <c r="D53" s="97"/>
      <c r="E53" s="98"/>
      <c r="F53" s="99"/>
      <c r="G53" s="100"/>
      <c r="H53" s="227"/>
    </row>
    <row r="54" spans="2:8">
      <c r="B54" s="92"/>
      <c r="D54" s="97"/>
      <c r="E54" s="98"/>
      <c r="F54" s="99"/>
      <c r="G54" s="100"/>
      <c r="H54" s="227"/>
    </row>
    <row r="55" spans="2:8">
      <c r="B55" s="92"/>
      <c r="C55" s="93" t="s">
        <v>224</v>
      </c>
      <c r="D55" s="97" t="s">
        <v>225</v>
      </c>
      <c r="E55" s="98">
        <v>10</v>
      </c>
      <c r="F55" s="105">
        <v>110</v>
      </c>
      <c r="G55" s="100">
        <f>IF(ISNUMBER(F55),ROUND(E55*ROUND(F55,2),2),"")</f>
        <v>1100</v>
      </c>
      <c r="H55" s="227"/>
    </row>
    <row r="56" spans="2:8">
      <c r="B56" s="92"/>
      <c r="D56" s="97"/>
      <c r="E56" s="98"/>
      <c r="F56" s="99"/>
      <c r="G56" s="100"/>
      <c r="H56" s="227"/>
    </row>
    <row r="57" spans="2:8">
      <c r="B57" s="138" t="str">
        <f>$B$12&amp;COUNTA($B$12:INDEX(B:B,ROW()-1))</f>
        <v>S.1.5</v>
      </c>
      <c r="C57" s="139" t="s">
        <v>236</v>
      </c>
      <c r="D57" s="140"/>
      <c r="E57" s="141"/>
      <c r="F57" s="142"/>
      <c r="G57" s="143"/>
      <c r="H57" s="227"/>
    </row>
    <row r="58" spans="2:8">
      <c r="B58" s="92"/>
      <c r="D58" s="97"/>
      <c r="E58" s="98"/>
      <c r="F58" s="99"/>
      <c r="G58" s="100"/>
      <c r="H58" s="227"/>
    </row>
    <row r="59" spans="2:8" ht="49.5">
      <c r="B59" s="102"/>
      <c r="C59" s="101" t="s">
        <v>237</v>
      </c>
      <c r="D59" s="97"/>
      <c r="E59" s="98"/>
      <c r="F59" s="99"/>
      <c r="G59" s="100"/>
      <c r="H59" s="227"/>
    </row>
    <row r="60" spans="2:8" ht="49.5">
      <c r="B60" s="102"/>
      <c r="C60" s="101" t="s">
        <v>234</v>
      </c>
      <c r="D60" s="97"/>
      <c r="E60" s="98"/>
      <c r="F60" s="99"/>
      <c r="G60" s="100"/>
      <c r="H60" s="227"/>
    </row>
    <row r="61" spans="2:8">
      <c r="B61" s="102"/>
      <c r="C61" s="101"/>
      <c r="D61" s="97"/>
      <c r="E61" s="98"/>
      <c r="F61" s="99"/>
      <c r="G61" s="100"/>
      <c r="H61" s="227"/>
    </row>
    <row r="62" spans="2:8">
      <c r="B62" s="92"/>
      <c r="C62" s="93" t="s">
        <v>235</v>
      </c>
      <c r="D62" s="97" t="s">
        <v>33</v>
      </c>
      <c r="E62" s="98">
        <v>110</v>
      </c>
      <c r="F62" s="105">
        <v>7</v>
      </c>
      <c r="G62" s="100">
        <f>IF(ISNUMBER(F62),ROUND(E62*ROUND(F62,2),2),"")</f>
        <v>770</v>
      </c>
      <c r="H62" s="227"/>
    </row>
    <row r="63" spans="2:8">
      <c r="B63" s="92"/>
      <c r="C63" s="101"/>
      <c r="D63" s="97"/>
      <c r="E63" s="98"/>
      <c r="F63" s="98"/>
      <c r="G63" s="100"/>
      <c r="H63" s="227"/>
    </row>
    <row r="64" spans="2:8">
      <c r="B64" s="183" t="str">
        <f>B12</f>
        <v>S.1.</v>
      </c>
      <c r="C64" s="184" t="str">
        <f>C12&amp;" UKUPNO"</f>
        <v>PRIPREMNI I ZAVRŠNI RADOVI UKUPNO</v>
      </c>
      <c r="D64" s="185"/>
      <c r="E64" s="186"/>
      <c r="F64" s="187"/>
      <c r="G64" s="188">
        <f>SUM($G$12:INDEX(G:G,ROW()-1))</f>
        <v>8340</v>
      </c>
      <c r="H64" s="228"/>
    </row>
  </sheetData>
  <protectedRanges>
    <protectedRange sqref="F4:G4" name="Range1_2"/>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1" manualBreakCount="1">
    <brk id="48" min="1"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B2:H78"/>
  <sheetViews>
    <sheetView view="pageBreakPreview" topLeftCell="A40" zoomScaleSheetLayoutView="100" workbookViewId="0">
      <selection activeCell="F48" sqref="F48"/>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132" t="s">
        <v>25</v>
      </c>
    </row>
    <row r="3" spans="2:8" s="51" customFormat="1">
      <c r="B3" s="169"/>
      <c r="C3" s="170"/>
      <c r="D3" s="171"/>
      <c r="E3" s="171"/>
      <c r="F3" s="172"/>
      <c r="G3" s="173"/>
      <c r="H3" s="229"/>
    </row>
    <row r="4" spans="2:8" s="51" customFormat="1">
      <c r="B4" s="177" t="str">
        <f>'S.0.'!B4</f>
        <v>S.</v>
      </c>
      <c r="C4" s="234" t="str">
        <f>'S.0.'!C4</f>
        <v>STUBIŠTE</v>
      </c>
      <c r="D4" s="179"/>
      <c r="E4" s="180"/>
      <c r="F4" s="181"/>
      <c r="G4" s="182"/>
      <c r="H4" s="229"/>
    </row>
    <row r="5" spans="2:8">
      <c r="B5" s="170"/>
      <c r="C5" s="170"/>
      <c r="D5" s="171"/>
      <c r="E5" s="171"/>
      <c r="F5" s="172"/>
      <c r="G5" s="219"/>
    </row>
    <row r="6" spans="2:8">
      <c r="B6" s="191" t="str">
        <f>B4&amp;"2."</f>
        <v>S.2.</v>
      </c>
      <c r="C6" s="199" t="s">
        <v>41</v>
      </c>
      <c r="D6" s="192"/>
      <c r="E6" s="193"/>
      <c r="F6" s="194"/>
      <c r="G6" s="200"/>
      <c r="H6" s="230"/>
    </row>
    <row r="7" spans="2:8">
      <c r="B7" s="106"/>
      <c r="C7" s="115"/>
      <c r="D7" s="97"/>
      <c r="E7" s="98"/>
      <c r="F7" s="99"/>
      <c r="G7" s="100"/>
      <c r="H7" s="223"/>
    </row>
    <row r="8" spans="2:8">
      <c r="B8" s="106"/>
      <c r="C8" s="111" t="s">
        <v>358</v>
      </c>
      <c r="D8" s="97"/>
      <c r="E8" s="98"/>
      <c r="F8" s="99"/>
      <c r="G8" s="100"/>
      <c r="H8" s="223"/>
    </row>
    <row r="9" spans="2:8">
      <c r="B9" s="106"/>
      <c r="C9" s="115"/>
      <c r="D9" s="97"/>
      <c r="E9" s="98"/>
      <c r="F9" s="99"/>
      <c r="G9" s="100"/>
      <c r="H9" s="223"/>
    </row>
    <row r="10" spans="2:8">
      <c r="B10" s="138" t="str">
        <f>$B$6&amp;COUNTA($B$6:INDEX(B:B,ROW()-1))</f>
        <v>S.2.1</v>
      </c>
      <c r="C10" s="148" t="s">
        <v>251</v>
      </c>
      <c r="D10" s="140"/>
      <c r="E10" s="141"/>
      <c r="F10" s="142"/>
      <c r="G10" s="143"/>
      <c r="H10" s="223"/>
    </row>
    <row r="11" spans="2:8">
      <c r="B11" s="102"/>
      <c r="D11" s="97"/>
      <c r="E11" s="217"/>
      <c r="F11" s="217"/>
      <c r="G11" s="100"/>
      <c r="H11" s="223"/>
    </row>
    <row r="12" spans="2:8">
      <c r="B12" s="102"/>
      <c r="C12" s="101" t="s">
        <v>252</v>
      </c>
      <c r="D12" s="97"/>
      <c r="E12" s="217"/>
      <c r="F12" s="217"/>
      <c r="G12" s="100"/>
      <c r="H12" s="223"/>
    </row>
    <row r="13" spans="2:8" ht="33">
      <c r="B13" s="102"/>
      <c r="C13" s="101" t="s">
        <v>253</v>
      </c>
      <c r="D13" s="97"/>
      <c r="E13" s="217"/>
      <c r="F13" s="217"/>
      <c r="G13" s="100"/>
      <c r="H13" s="223"/>
    </row>
    <row r="14" spans="2:8">
      <c r="B14" s="102"/>
      <c r="C14" s="101" t="s">
        <v>254</v>
      </c>
      <c r="D14" s="97"/>
      <c r="E14" s="217"/>
      <c r="F14" s="217"/>
      <c r="G14" s="100"/>
      <c r="H14" s="223"/>
    </row>
    <row r="15" spans="2:8" ht="33">
      <c r="B15" s="102"/>
      <c r="C15" s="101" t="s">
        <v>255</v>
      </c>
      <c r="D15" s="97"/>
      <c r="E15" s="217"/>
      <c r="F15" s="217"/>
      <c r="G15" s="100"/>
      <c r="H15" s="223"/>
    </row>
    <row r="16" spans="2:8">
      <c r="B16" s="102"/>
      <c r="C16" s="101"/>
      <c r="D16" s="97"/>
      <c r="E16" s="217"/>
      <c r="F16" s="217"/>
      <c r="G16" s="100"/>
      <c r="H16" s="223"/>
    </row>
    <row r="17" spans="2:8">
      <c r="B17" s="102"/>
      <c r="C17" s="101" t="s">
        <v>256</v>
      </c>
      <c r="D17" s="201" t="s">
        <v>33</v>
      </c>
      <c r="E17" s="217">
        <v>130</v>
      </c>
      <c r="F17" s="105">
        <v>15</v>
      </c>
      <c r="G17" s="100">
        <f>IF(ISNUMBER(F17),ROUND(E17*ROUND(F17,2),2),"")</f>
        <v>1950</v>
      </c>
      <c r="H17" s="223"/>
    </row>
    <row r="18" spans="2:8">
      <c r="B18" s="102"/>
      <c r="C18" s="93" t="s">
        <v>274</v>
      </c>
      <c r="D18" s="97"/>
      <c r="E18" s="217"/>
      <c r="F18" s="217"/>
      <c r="G18" s="100"/>
      <c r="H18" s="223"/>
    </row>
    <row r="19" spans="2:8">
      <c r="B19" s="102"/>
      <c r="C19" s="101"/>
      <c r="D19" s="97"/>
      <c r="E19" s="217"/>
      <c r="F19" s="217"/>
      <c r="G19" s="100"/>
      <c r="H19" s="223"/>
    </row>
    <row r="20" spans="2:8">
      <c r="B20" s="102"/>
      <c r="C20" s="101" t="s">
        <v>356</v>
      </c>
      <c r="D20" s="97"/>
      <c r="E20" s="217"/>
      <c r="F20" s="217"/>
      <c r="G20" s="100"/>
      <c r="H20" s="223"/>
    </row>
    <row r="21" spans="2:8">
      <c r="B21" s="102"/>
      <c r="C21" s="111" t="s">
        <v>240</v>
      </c>
      <c r="D21" s="97"/>
      <c r="E21" s="98"/>
      <c r="F21" s="99"/>
      <c r="G21" s="100"/>
      <c r="H21" s="223"/>
    </row>
    <row r="22" spans="2:8">
      <c r="B22" s="102"/>
      <c r="C22" s="111" t="s">
        <v>241</v>
      </c>
      <c r="D22" s="97"/>
      <c r="E22" s="98"/>
      <c r="F22" s="99"/>
      <c r="G22" s="100"/>
      <c r="H22" s="223"/>
    </row>
    <row r="23" spans="2:8">
      <c r="B23" s="102"/>
      <c r="C23" s="111" t="s">
        <v>244</v>
      </c>
      <c r="D23" s="97"/>
      <c r="E23" s="98"/>
      <c r="F23" s="99"/>
      <c r="G23" s="100"/>
      <c r="H23" s="223"/>
    </row>
    <row r="24" spans="2:8" ht="33">
      <c r="B24" s="102"/>
      <c r="C24" s="115" t="s">
        <v>245</v>
      </c>
      <c r="D24" s="97"/>
      <c r="E24" s="98"/>
      <c r="F24" s="99"/>
      <c r="G24" s="100"/>
      <c r="H24" s="223"/>
    </row>
    <row r="25" spans="2:8">
      <c r="B25" s="102"/>
      <c r="C25" s="101"/>
      <c r="D25" s="97"/>
      <c r="E25" s="217"/>
      <c r="F25" s="217"/>
      <c r="G25" s="100"/>
      <c r="H25" s="223"/>
    </row>
    <row r="26" spans="2:8">
      <c r="B26" s="102"/>
      <c r="C26" s="111" t="s">
        <v>242</v>
      </c>
      <c r="D26" s="97" t="s">
        <v>34</v>
      </c>
      <c r="E26" s="217">
        <v>70</v>
      </c>
      <c r="F26" s="105">
        <v>8</v>
      </c>
      <c r="G26" s="100">
        <f t="shared" ref="G26" si="0">IF(ISNUMBER(F26),ROUND(E26*ROUND(F26,2),2),"")</f>
        <v>560</v>
      </c>
      <c r="H26" s="223"/>
    </row>
    <row r="27" spans="2:8">
      <c r="B27" s="102"/>
      <c r="C27" s="93" t="s">
        <v>275</v>
      </c>
      <c r="D27" s="97"/>
      <c r="E27" s="217"/>
      <c r="F27" s="217"/>
      <c r="G27" s="100"/>
      <c r="H27" s="223"/>
    </row>
    <row r="28" spans="2:8">
      <c r="B28" s="102"/>
      <c r="C28" s="111"/>
      <c r="D28" s="97"/>
      <c r="E28" s="98"/>
      <c r="F28" s="99"/>
      <c r="G28" s="100"/>
      <c r="H28" s="223"/>
    </row>
    <row r="29" spans="2:8" ht="33">
      <c r="B29" s="102"/>
      <c r="C29" s="115" t="s">
        <v>246</v>
      </c>
      <c r="D29" s="97"/>
      <c r="E29" s="98"/>
      <c r="F29" s="99"/>
      <c r="G29" s="100"/>
      <c r="H29" s="223"/>
    </row>
    <row r="30" spans="2:8" ht="33">
      <c r="B30" s="102"/>
      <c r="C30" s="115" t="s">
        <v>277</v>
      </c>
      <c r="D30" s="97"/>
      <c r="E30" s="98"/>
      <c r="F30" s="99"/>
      <c r="G30" s="100"/>
      <c r="H30" s="223"/>
    </row>
    <row r="31" spans="2:8">
      <c r="B31" s="102"/>
      <c r="C31" s="115"/>
      <c r="D31" s="97"/>
      <c r="E31" s="98"/>
      <c r="F31" s="99"/>
      <c r="G31" s="100"/>
      <c r="H31" s="223"/>
    </row>
    <row r="32" spans="2:8">
      <c r="B32" s="102"/>
      <c r="C32" s="101" t="s">
        <v>356</v>
      </c>
      <c r="D32" s="97"/>
      <c r="E32" s="217"/>
      <c r="F32" s="217"/>
      <c r="G32" s="100"/>
      <c r="H32" s="223"/>
    </row>
    <row r="33" spans="2:8" customFormat="1">
      <c r="C33" s="93" t="s">
        <v>259</v>
      </c>
      <c r="D33" s="97"/>
      <c r="E33" s="98"/>
      <c r="F33" s="99"/>
      <c r="G33" s="100"/>
    </row>
    <row r="34" spans="2:8">
      <c r="B34" s="102"/>
      <c r="C34" s="93" t="s">
        <v>269</v>
      </c>
      <c r="D34" s="97"/>
      <c r="E34" s="98"/>
      <c r="F34" s="99"/>
      <c r="G34" s="100"/>
      <c r="H34" s="223"/>
    </row>
    <row r="35" spans="2:8">
      <c r="B35" s="102"/>
      <c r="C35" s="93" t="s">
        <v>270</v>
      </c>
      <c r="D35" s="97"/>
      <c r="E35" s="98"/>
      <c r="F35" s="99"/>
      <c r="G35" s="100"/>
      <c r="H35" s="223"/>
    </row>
    <row r="36" spans="2:8">
      <c r="B36" s="102"/>
      <c r="C36" s="93" t="s">
        <v>271</v>
      </c>
      <c r="D36" s="97"/>
      <c r="E36" s="98"/>
      <c r="F36" s="99"/>
      <c r="G36" s="100"/>
      <c r="H36" s="223"/>
    </row>
    <row r="37" spans="2:8">
      <c r="B37" s="102"/>
      <c r="C37" s="93" t="s">
        <v>272</v>
      </c>
      <c r="D37" s="97"/>
      <c r="E37" s="98"/>
      <c r="F37" s="99"/>
      <c r="G37" s="100"/>
      <c r="H37" s="223"/>
    </row>
    <row r="38" spans="2:8">
      <c r="B38" s="102"/>
      <c r="C38" s="93" t="s">
        <v>378</v>
      </c>
      <c r="D38" s="97"/>
      <c r="E38" s="98"/>
      <c r="F38" s="99"/>
      <c r="G38" s="100"/>
      <c r="H38" s="223"/>
    </row>
    <row r="39" spans="2:8">
      <c r="B39" s="102"/>
      <c r="C39" s="101"/>
      <c r="D39" s="97"/>
      <c r="E39" s="217"/>
      <c r="F39" s="217"/>
      <c r="G39" s="100"/>
      <c r="H39" s="223"/>
    </row>
    <row r="40" spans="2:8">
      <c r="B40" s="138" t="str">
        <f>$B$6&amp;COUNTA($B$6:INDEX(B:B,ROW()-1))</f>
        <v>S.2.2</v>
      </c>
      <c r="C40" s="148" t="s">
        <v>238</v>
      </c>
      <c r="D40" s="140"/>
      <c r="E40" s="141"/>
      <c r="F40" s="142"/>
      <c r="G40" s="143"/>
      <c r="H40" s="223"/>
    </row>
    <row r="41" spans="2:8">
      <c r="B41" s="106"/>
      <c r="C41" s="101"/>
      <c r="D41" s="97"/>
      <c r="E41" s="98"/>
      <c r="F41" s="99"/>
      <c r="G41" s="100"/>
      <c r="H41" s="223"/>
    </row>
    <row r="42" spans="2:8" ht="33">
      <c r="B42" s="106"/>
      <c r="C42" s="107" t="s">
        <v>291</v>
      </c>
      <c r="D42" s="97"/>
      <c r="E42" s="98"/>
      <c r="F42" s="99"/>
      <c r="G42" s="100"/>
      <c r="H42" s="223"/>
    </row>
    <row r="43" spans="2:8" ht="33">
      <c r="B43" s="106"/>
      <c r="C43" s="107" t="s">
        <v>292</v>
      </c>
      <c r="D43" s="97"/>
      <c r="E43" s="98"/>
      <c r="F43" s="99"/>
      <c r="G43" s="100"/>
      <c r="H43" s="223"/>
    </row>
    <row r="44" spans="2:8">
      <c r="B44" s="106"/>
      <c r="C44" s="107" t="s">
        <v>250</v>
      </c>
      <c r="D44" s="97"/>
      <c r="E44" s="98"/>
      <c r="F44" s="99"/>
      <c r="G44" s="100"/>
      <c r="H44" s="223"/>
    </row>
    <row r="45" spans="2:8" ht="49.5">
      <c r="B45" s="106"/>
      <c r="C45" s="107" t="s">
        <v>249</v>
      </c>
      <c r="D45" s="97"/>
      <c r="E45" s="98"/>
      <c r="F45" s="99"/>
      <c r="G45" s="100"/>
      <c r="H45" s="223"/>
    </row>
    <row r="46" spans="2:8">
      <c r="B46" s="106"/>
      <c r="C46" s="107"/>
      <c r="D46" s="97"/>
      <c r="E46" s="98"/>
      <c r="F46" s="99"/>
      <c r="G46" s="100"/>
      <c r="H46" s="223"/>
    </row>
    <row r="47" spans="2:8">
      <c r="B47" s="106"/>
      <c r="C47" s="101" t="s">
        <v>239</v>
      </c>
      <c r="D47" s="201" t="s">
        <v>33</v>
      </c>
      <c r="E47" s="217">
        <v>130</v>
      </c>
      <c r="F47" s="105">
        <v>45</v>
      </c>
      <c r="G47" s="100">
        <f>IF(ISNUMBER(F47),ROUND(E47*ROUND(F47,2),2),"")</f>
        <v>5850</v>
      </c>
      <c r="H47" s="223"/>
    </row>
    <row r="48" spans="2:8">
      <c r="B48" s="106"/>
      <c r="C48" s="93" t="s">
        <v>257</v>
      </c>
      <c r="D48" s="97"/>
      <c r="E48" s="98"/>
      <c r="F48" s="99"/>
      <c r="G48" s="100"/>
      <c r="H48" s="223"/>
    </row>
    <row r="49" spans="2:8">
      <c r="B49" s="106"/>
      <c r="D49" s="97"/>
      <c r="E49" s="98"/>
      <c r="F49" s="99"/>
      <c r="G49" s="100"/>
      <c r="H49" s="223"/>
    </row>
    <row r="50" spans="2:8">
      <c r="B50" s="102"/>
      <c r="C50" s="101" t="s">
        <v>356</v>
      </c>
      <c r="D50" s="97"/>
      <c r="E50" s="217"/>
      <c r="F50" s="217"/>
      <c r="G50" s="100"/>
      <c r="H50" s="223"/>
    </row>
    <row r="51" spans="2:8">
      <c r="B51" s="102"/>
      <c r="C51" s="111" t="s">
        <v>240</v>
      </c>
      <c r="D51" s="97"/>
      <c r="E51" s="98"/>
      <c r="F51" s="99"/>
      <c r="G51" s="100"/>
      <c r="H51" s="223"/>
    </row>
    <row r="52" spans="2:8">
      <c r="B52" s="102"/>
      <c r="C52" s="111" t="s">
        <v>241</v>
      </c>
      <c r="D52" s="97"/>
      <c r="E52" s="98"/>
      <c r="F52" s="99"/>
      <c r="G52" s="100"/>
      <c r="H52" s="223"/>
    </row>
    <row r="53" spans="2:8">
      <c r="B53" s="102"/>
      <c r="C53" s="111" t="s">
        <v>244</v>
      </c>
      <c r="D53" s="97"/>
      <c r="E53" s="98"/>
      <c r="F53" s="99"/>
      <c r="G53" s="100"/>
      <c r="H53" s="223"/>
    </row>
    <row r="54" spans="2:8" ht="33">
      <c r="B54" s="102"/>
      <c r="C54" s="115" t="s">
        <v>245</v>
      </c>
      <c r="D54" s="97"/>
      <c r="E54" s="98"/>
      <c r="F54" s="99"/>
      <c r="G54" s="100"/>
      <c r="H54" s="223"/>
    </row>
    <row r="55" spans="2:8">
      <c r="B55" s="102"/>
      <c r="D55" s="97"/>
      <c r="E55" s="98"/>
      <c r="F55" s="99"/>
      <c r="G55" s="100"/>
      <c r="H55" s="223"/>
    </row>
    <row r="56" spans="2:8">
      <c r="B56" s="102"/>
      <c r="C56" s="111" t="s">
        <v>242</v>
      </c>
      <c r="D56" s="97" t="s">
        <v>34</v>
      </c>
      <c r="E56" s="217">
        <v>70</v>
      </c>
      <c r="F56" s="105">
        <v>20</v>
      </c>
      <c r="G56" s="100">
        <f t="shared" ref="G56" si="1">IF(ISNUMBER(F56),ROUND(E56*ROUND(F56,2),2),"")</f>
        <v>1400</v>
      </c>
      <c r="H56" s="223"/>
    </row>
    <row r="57" spans="2:8">
      <c r="B57" s="102"/>
      <c r="C57" s="93" t="s">
        <v>258</v>
      </c>
      <c r="D57" s="97"/>
      <c r="E57" s="98"/>
      <c r="F57" s="99"/>
      <c r="G57" s="100"/>
      <c r="H57" s="223"/>
    </row>
    <row r="58" spans="2:8">
      <c r="B58" s="102"/>
      <c r="C58" s="111"/>
      <c r="D58" s="97"/>
      <c r="E58" s="98"/>
      <c r="F58" s="99"/>
      <c r="G58" s="100"/>
      <c r="H58" s="223"/>
    </row>
    <row r="59" spans="2:8" ht="33">
      <c r="B59" s="102"/>
      <c r="C59" s="115" t="s">
        <v>246</v>
      </c>
      <c r="D59" s="97"/>
      <c r="E59" s="98"/>
      <c r="F59" s="99"/>
      <c r="G59" s="100"/>
      <c r="H59" s="223"/>
    </row>
    <row r="60" spans="2:8" ht="33">
      <c r="B60" s="102"/>
      <c r="C60" s="115" t="s">
        <v>247</v>
      </c>
      <c r="D60" s="97"/>
      <c r="E60" s="98"/>
      <c r="F60" s="99"/>
      <c r="G60" s="100"/>
      <c r="H60" s="223"/>
    </row>
    <row r="61" spans="2:8">
      <c r="B61" s="102"/>
      <c r="C61" s="115" t="s">
        <v>243</v>
      </c>
      <c r="D61" s="97"/>
      <c r="E61" s="98"/>
      <c r="F61" s="99"/>
      <c r="G61" s="100"/>
      <c r="H61" s="223"/>
    </row>
    <row r="62" spans="2:8">
      <c r="B62" s="102"/>
      <c r="C62" s="115"/>
      <c r="D62" s="97"/>
      <c r="E62" s="98"/>
      <c r="F62" s="99"/>
      <c r="G62" s="100"/>
      <c r="H62" s="223"/>
    </row>
    <row r="63" spans="2:8">
      <c r="B63" s="102"/>
      <c r="C63" s="101" t="s">
        <v>356</v>
      </c>
      <c r="D63" s="97"/>
      <c r="E63" s="217"/>
      <c r="F63" s="217"/>
      <c r="G63" s="100"/>
      <c r="H63" s="223"/>
    </row>
    <row r="64" spans="2:8">
      <c r="B64" s="102"/>
      <c r="C64" s="93" t="s">
        <v>259</v>
      </c>
      <c r="D64" s="97"/>
      <c r="E64" s="98"/>
      <c r="F64" s="99"/>
      <c r="G64" s="100"/>
      <c r="H64" s="223"/>
    </row>
    <row r="65" spans="2:8">
      <c r="B65" s="102"/>
      <c r="C65" s="93" t="s">
        <v>269</v>
      </c>
      <c r="D65" s="97"/>
      <c r="E65" s="98"/>
      <c r="F65" s="99"/>
      <c r="G65" s="100"/>
      <c r="H65" s="223"/>
    </row>
    <row r="66" spans="2:8">
      <c r="B66" s="102"/>
      <c r="C66" s="93" t="s">
        <v>270</v>
      </c>
      <c r="D66" s="97"/>
      <c r="E66" s="98"/>
      <c r="F66" s="99"/>
      <c r="G66" s="100"/>
      <c r="H66" s="223"/>
    </row>
    <row r="67" spans="2:8">
      <c r="B67" s="102"/>
      <c r="C67" s="93" t="s">
        <v>271</v>
      </c>
      <c r="D67" s="97"/>
      <c r="E67" s="98"/>
      <c r="F67" s="99"/>
      <c r="G67" s="100"/>
      <c r="H67" s="223"/>
    </row>
    <row r="68" spans="2:8">
      <c r="B68" s="102"/>
      <c r="C68" s="93" t="s">
        <v>272</v>
      </c>
      <c r="D68" s="97"/>
      <c r="E68" s="98"/>
      <c r="F68" s="99"/>
      <c r="G68" s="100"/>
      <c r="H68" s="223"/>
    </row>
    <row r="69" spans="2:8">
      <c r="B69" s="102"/>
      <c r="C69" s="93" t="s">
        <v>273</v>
      </c>
      <c r="D69" s="97"/>
      <c r="E69" s="98"/>
      <c r="F69" s="99"/>
      <c r="G69" s="100"/>
      <c r="H69" s="223"/>
    </row>
    <row r="70" spans="2:8">
      <c r="B70" s="102"/>
      <c r="D70" s="97"/>
      <c r="E70" s="98"/>
      <c r="F70" s="99"/>
      <c r="G70" s="100"/>
      <c r="H70" s="223"/>
    </row>
    <row r="71" spans="2:8">
      <c r="B71" s="183" t="str">
        <f>B6</f>
        <v>S.2.</v>
      </c>
      <c r="C71" s="184" t="str">
        <f>C6&amp;" UKUPNO"</f>
        <v>ZIDARSKI RADOVI UKUPNO</v>
      </c>
      <c r="D71" s="185"/>
      <c r="E71" s="186"/>
      <c r="F71" s="187"/>
      <c r="G71" s="188">
        <f>SUM($G$6:INDEX(G:G,ROW()-1))</f>
        <v>9760</v>
      </c>
      <c r="H71" s="232"/>
    </row>
    <row r="73" spans="2:8">
      <c r="C73" s="134"/>
    </row>
    <row r="74" spans="2:8">
      <c r="C74" s="135"/>
    </row>
    <row r="75" spans="2:8">
      <c r="C75" s="123"/>
    </row>
    <row r="76" spans="2:8">
      <c r="C76" s="125"/>
    </row>
    <row r="77" spans="2:8">
      <c r="C77" s="125"/>
    </row>
    <row r="78" spans="2:8">
      <c r="C78" s="125"/>
    </row>
  </sheetData>
  <protectedRanges>
    <protectedRange sqref="F4:G4" name="Range1_2_2"/>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1" manualBreakCount="1">
    <brk id="54"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FFC000"/>
  </sheetPr>
  <dimension ref="B2:I158"/>
  <sheetViews>
    <sheetView view="pageBreakPreview" topLeftCell="A127" zoomScaleSheetLayoutView="100" workbookViewId="0">
      <selection activeCell="F150" sqref="F150"/>
    </sheetView>
  </sheetViews>
  <sheetFormatPr defaultColWidth="9.140625" defaultRowHeight="16.5"/>
  <cols>
    <col min="1" max="1" width="3.7109375" style="53" customWidth="1"/>
    <col min="2" max="2" width="10.7109375" style="111" customWidth="1"/>
    <col min="3" max="3" width="60.7109375" style="111" customWidth="1"/>
    <col min="4" max="5" width="10.7109375" style="118" customWidth="1"/>
    <col min="6" max="6" width="10.7109375" style="127" customWidth="1"/>
    <col min="7" max="7" width="10.7109375" style="94" customWidth="1"/>
    <col min="8" max="8" width="100.7109375" style="52" customWidth="1"/>
    <col min="9" max="16384" width="9.140625" style="53"/>
  </cols>
  <sheetData>
    <row r="2" spans="2:9" s="51" customFormat="1" ht="33">
      <c r="B2" s="174" t="s">
        <v>8</v>
      </c>
      <c r="C2" s="189" t="s">
        <v>20</v>
      </c>
      <c r="D2" s="175" t="s">
        <v>21</v>
      </c>
      <c r="E2" s="175" t="s">
        <v>22</v>
      </c>
      <c r="F2" s="176" t="s">
        <v>23</v>
      </c>
      <c r="G2" s="190" t="s">
        <v>24</v>
      </c>
      <c r="H2" s="132" t="s">
        <v>25</v>
      </c>
    </row>
    <row r="3" spans="2:9" s="51" customFormat="1">
      <c r="B3" s="169"/>
      <c r="C3" s="170"/>
      <c r="D3" s="171"/>
      <c r="E3" s="171"/>
      <c r="F3" s="172"/>
      <c r="G3" s="173"/>
      <c r="H3" s="120"/>
    </row>
    <row r="4" spans="2:9" s="51" customFormat="1">
      <c r="B4" s="177" t="str">
        <f>'S.0.'!B4</f>
        <v>S.</v>
      </c>
      <c r="C4" s="234" t="str">
        <f>'S.0.'!C4</f>
        <v>STUBIŠTE</v>
      </c>
      <c r="D4" s="179"/>
      <c r="E4" s="180"/>
      <c r="F4" s="181"/>
      <c r="G4" s="182"/>
      <c r="H4" s="120"/>
    </row>
    <row r="5" spans="2:9">
      <c r="B5" s="240"/>
      <c r="C5" s="240"/>
      <c r="D5" s="241"/>
      <c r="E5" s="241"/>
      <c r="F5" s="242"/>
      <c r="G5" s="243"/>
      <c r="I5" s="51"/>
    </row>
    <row r="6" spans="2:9">
      <c r="B6" s="106"/>
      <c r="C6" s="111" t="s">
        <v>358</v>
      </c>
      <c r="D6" s="97"/>
      <c r="E6" s="98"/>
      <c r="F6" s="99"/>
      <c r="G6" s="100"/>
      <c r="H6" s="245"/>
      <c r="I6" s="51"/>
    </row>
    <row r="7" spans="2:9">
      <c r="B7" s="106"/>
      <c r="D7" s="97"/>
      <c r="E7" s="98"/>
      <c r="F7" s="99"/>
      <c r="G7" s="100"/>
      <c r="H7" s="245"/>
      <c r="I7" s="51"/>
    </row>
    <row r="8" spans="2:9">
      <c r="B8" s="191" t="str">
        <f>B4&amp;"3."</f>
        <v>S.3.</v>
      </c>
      <c r="C8" s="210" t="s">
        <v>64</v>
      </c>
      <c r="D8" s="192"/>
      <c r="E8" s="193"/>
      <c r="F8" s="211"/>
      <c r="G8" s="195"/>
      <c r="H8" s="121"/>
    </row>
    <row r="9" spans="2:9">
      <c r="B9" s="110"/>
      <c r="C9" s="129"/>
      <c r="D9" s="112"/>
      <c r="E9" s="217"/>
      <c r="F9" s="113"/>
      <c r="G9" s="100"/>
      <c r="H9" s="122"/>
    </row>
    <row r="10" spans="2:9">
      <c r="B10" s="138" t="str">
        <f>$B$8&amp;COUNTA($B$8:INDEX(B:B,ROW()-1))</f>
        <v>S.3.1</v>
      </c>
      <c r="C10" s="149" t="s">
        <v>283</v>
      </c>
      <c r="D10" s="144"/>
      <c r="E10" s="145"/>
      <c r="F10" s="146"/>
      <c r="G10" s="143"/>
      <c r="H10" s="122"/>
    </row>
    <row r="11" spans="2:9">
      <c r="B11" s="110"/>
      <c r="C11" s="129"/>
      <c r="D11" s="112"/>
      <c r="E11" s="217"/>
      <c r="F11" s="113"/>
      <c r="G11" s="100"/>
      <c r="H11" s="122"/>
    </row>
    <row r="12" spans="2:9" ht="49.5">
      <c r="B12" s="110"/>
      <c r="C12" s="129" t="s">
        <v>284</v>
      </c>
      <c r="D12" s="112"/>
      <c r="E12" s="217"/>
      <c r="F12" s="113"/>
      <c r="G12" s="100"/>
      <c r="H12" s="122"/>
    </row>
    <row r="13" spans="2:9" ht="33">
      <c r="B13" s="110"/>
      <c r="C13" s="129" t="s">
        <v>286</v>
      </c>
      <c r="D13" s="112"/>
      <c r="E13" s="217"/>
      <c r="F13" s="113"/>
      <c r="G13" s="100"/>
      <c r="H13" s="122"/>
    </row>
    <row r="14" spans="2:9">
      <c r="B14" s="110"/>
      <c r="C14" s="129"/>
      <c r="D14" s="112"/>
      <c r="E14" s="217"/>
      <c r="F14" s="113"/>
      <c r="G14" s="100"/>
      <c r="H14" s="122"/>
    </row>
    <row r="15" spans="2:9">
      <c r="B15" s="110"/>
      <c r="C15" s="101" t="s">
        <v>360</v>
      </c>
      <c r="D15" s="201" t="s">
        <v>33</v>
      </c>
      <c r="E15" s="217">
        <v>260</v>
      </c>
      <c r="F15" s="105">
        <v>4</v>
      </c>
      <c r="G15" s="100">
        <f>IF(ISNUMBER(F15),ROUND(E15*ROUND(F15,2),2),"")</f>
        <v>1040</v>
      </c>
      <c r="H15" s="122"/>
    </row>
    <row r="16" spans="2:9">
      <c r="B16" s="110"/>
      <c r="C16" s="111" t="s">
        <v>287</v>
      </c>
      <c r="D16" s="112"/>
      <c r="E16" s="217"/>
      <c r="F16" s="113"/>
      <c r="G16" s="100"/>
      <c r="H16" s="122"/>
    </row>
    <row r="17" spans="2:8">
      <c r="B17" s="110"/>
      <c r="D17" s="112"/>
      <c r="E17" s="217"/>
      <c r="F17" s="113"/>
      <c r="G17" s="100"/>
      <c r="H17" s="122"/>
    </row>
    <row r="18" spans="2:8">
      <c r="B18" s="110"/>
      <c r="C18" s="101" t="s">
        <v>356</v>
      </c>
      <c r="D18" s="112"/>
      <c r="E18" s="217"/>
      <c r="F18" s="113"/>
      <c r="G18" s="100"/>
      <c r="H18" s="122"/>
    </row>
    <row r="19" spans="2:8">
      <c r="B19" s="110"/>
      <c r="C19" s="111" t="s">
        <v>240</v>
      </c>
      <c r="D19" s="112"/>
      <c r="E19" s="217"/>
      <c r="F19" s="113"/>
      <c r="G19" s="100"/>
      <c r="H19" s="122"/>
    </row>
    <row r="20" spans="2:8">
      <c r="B20" s="110"/>
      <c r="C20" s="111" t="s">
        <v>241</v>
      </c>
      <c r="D20" s="112"/>
      <c r="E20" s="217"/>
      <c r="F20" s="113"/>
      <c r="G20" s="100"/>
      <c r="H20" s="122"/>
    </row>
    <row r="21" spans="2:8">
      <c r="B21" s="110"/>
      <c r="C21" s="111" t="s">
        <v>244</v>
      </c>
      <c r="D21" s="112"/>
      <c r="E21" s="217"/>
      <c r="F21" s="113"/>
      <c r="G21" s="100"/>
      <c r="H21" s="122"/>
    </row>
    <row r="22" spans="2:8" ht="33">
      <c r="B22" s="110"/>
      <c r="C22" s="115" t="s">
        <v>245</v>
      </c>
      <c r="D22" s="97"/>
      <c r="E22" s="98"/>
      <c r="F22" s="99"/>
      <c r="G22" s="100"/>
      <c r="H22" s="122"/>
    </row>
    <row r="23" spans="2:8">
      <c r="B23" s="110"/>
      <c r="C23" s="115"/>
      <c r="D23" s="97"/>
      <c r="E23" s="98"/>
      <c r="F23" s="99"/>
      <c r="G23" s="100"/>
      <c r="H23" s="122"/>
    </row>
    <row r="24" spans="2:8">
      <c r="B24" s="102"/>
      <c r="C24" s="111" t="s">
        <v>242</v>
      </c>
      <c r="D24" s="97" t="s">
        <v>34</v>
      </c>
      <c r="E24" s="217">
        <v>140</v>
      </c>
      <c r="F24" s="105">
        <v>2</v>
      </c>
      <c r="G24" s="100">
        <f t="shared" ref="G24" si="0">IF(ISNUMBER(F24),ROUND(E24*ROUND(F24,2),2),"")</f>
        <v>280</v>
      </c>
      <c r="H24" s="223"/>
    </row>
    <row r="25" spans="2:8">
      <c r="B25" s="102"/>
      <c r="C25" s="93" t="s">
        <v>275</v>
      </c>
      <c r="D25" s="97"/>
      <c r="E25" s="217"/>
      <c r="F25" s="217"/>
      <c r="G25" s="100"/>
      <c r="H25" s="223"/>
    </row>
    <row r="26" spans="2:8">
      <c r="B26" s="102"/>
      <c r="D26" s="97"/>
      <c r="E26" s="98"/>
      <c r="F26" s="99"/>
      <c r="G26" s="100"/>
      <c r="H26" s="223"/>
    </row>
    <row r="27" spans="2:8" ht="33">
      <c r="B27" s="102"/>
      <c r="C27" s="115" t="s">
        <v>246</v>
      </c>
      <c r="D27" s="97"/>
      <c r="E27" s="98"/>
      <c r="F27" s="99"/>
      <c r="G27" s="100"/>
      <c r="H27" s="223"/>
    </row>
    <row r="28" spans="2:8" ht="33">
      <c r="B28" s="102"/>
      <c r="C28" s="115" t="s">
        <v>277</v>
      </c>
      <c r="D28" s="97"/>
      <c r="E28" s="98"/>
      <c r="F28" s="99"/>
      <c r="G28" s="100"/>
      <c r="H28" s="223"/>
    </row>
    <row r="29" spans="2:8">
      <c r="B29" s="102"/>
      <c r="C29" s="115"/>
      <c r="D29" s="97"/>
      <c r="E29" s="98"/>
      <c r="F29" s="99"/>
      <c r="G29" s="100"/>
      <c r="H29" s="223"/>
    </row>
    <row r="30" spans="2:8">
      <c r="B30" s="102"/>
      <c r="C30" s="101" t="s">
        <v>356</v>
      </c>
      <c r="D30" s="97"/>
      <c r="E30" s="217"/>
      <c r="F30" s="217"/>
      <c r="G30" s="100"/>
      <c r="H30" s="223"/>
    </row>
    <row r="31" spans="2:8" customFormat="1">
      <c r="C31" s="93" t="s">
        <v>259</v>
      </c>
      <c r="D31" s="97"/>
      <c r="E31" s="98"/>
      <c r="F31" s="99"/>
      <c r="G31" s="100"/>
    </row>
    <row r="32" spans="2:8">
      <c r="B32" s="102"/>
      <c r="C32" s="93" t="s">
        <v>269</v>
      </c>
      <c r="D32" s="97"/>
      <c r="E32" s="98"/>
      <c r="F32" s="99"/>
      <c r="G32" s="100"/>
      <c r="H32" s="223"/>
    </row>
    <row r="33" spans="2:8">
      <c r="B33" s="102"/>
      <c r="C33" s="93" t="s">
        <v>270</v>
      </c>
      <c r="D33" s="97"/>
      <c r="E33" s="98"/>
      <c r="F33" s="99"/>
      <c r="G33" s="100"/>
      <c r="H33" s="223"/>
    </row>
    <row r="34" spans="2:8">
      <c r="B34" s="102"/>
      <c r="C34" s="93" t="s">
        <v>271</v>
      </c>
      <c r="D34" s="97"/>
      <c r="E34" s="98"/>
      <c r="F34" s="99"/>
      <c r="G34" s="100"/>
      <c r="H34" s="223"/>
    </row>
    <row r="35" spans="2:8">
      <c r="B35" s="102"/>
      <c r="C35" s="93" t="s">
        <v>272</v>
      </c>
      <c r="D35" s="97"/>
      <c r="E35" s="98"/>
      <c r="F35" s="99"/>
      <c r="G35" s="100"/>
      <c r="H35" s="223"/>
    </row>
    <row r="36" spans="2:8">
      <c r="B36" s="102"/>
      <c r="C36" s="93" t="s">
        <v>378</v>
      </c>
      <c r="D36" s="97"/>
      <c r="E36" s="98"/>
      <c r="F36" s="99"/>
      <c r="G36" s="100"/>
      <c r="H36" s="223"/>
    </row>
    <row r="37" spans="2:8">
      <c r="B37" s="110"/>
      <c r="C37" s="129"/>
      <c r="D37" s="112"/>
      <c r="E37" s="217"/>
      <c r="F37" s="113"/>
      <c r="G37" s="100"/>
      <c r="H37" s="122"/>
    </row>
    <row r="38" spans="2:8">
      <c r="B38" s="138" t="str">
        <f>$B$8&amp;COUNTA($B$8:INDEX(B:B,ROW()-1))</f>
        <v>S.3.2</v>
      </c>
      <c r="C38" s="149" t="s">
        <v>288</v>
      </c>
      <c r="D38" s="144"/>
      <c r="E38" s="145"/>
      <c r="F38" s="146"/>
      <c r="G38" s="143"/>
      <c r="H38" s="122"/>
    </row>
    <row r="39" spans="2:8">
      <c r="B39" s="110"/>
      <c r="C39" s="129"/>
      <c r="D39" s="112"/>
      <c r="E39" s="217"/>
      <c r="F39" s="113"/>
      <c r="G39" s="100"/>
      <c r="H39" s="122"/>
    </row>
    <row r="40" spans="2:8" ht="66">
      <c r="B40" s="110"/>
      <c r="C40" s="129" t="s">
        <v>294</v>
      </c>
      <c r="D40" s="112"/>
      <c r="E40" s="217"/>
      <c r="F40" s="113"/>
      <c r="G40" s="100"/>
      <c r="H40" s="122"/>
    </row>
    <row r="41" spans="2:8" ht="33">
      <c r="B41" s="110"/>
      <c r="C41" s="129" t="s">
        <v>289</v>
      </c>
      <c r="D41" s="112"/>
      <c r="E41" s="217"/>
      <c r="F41" s="113"/>
      <c r="G41" s="100"/>
      <c r="H41" s="122"/>
    </row>
    <row r="42" spans="2:8" ht="49.5">
      <c r="B42" s="110"/>
      <c r="C42" s="129" t="s">
        <v>290</v>
      </c>
      <c r="D42" s="112"/>
      <c r="E42" s="217"/>
      <c r="F42" s="113"/>
      <c r="G42" s="100"/>
      <c r="H42" s="122"/>
    </row>
    <row r="43" spans="2:8">
      <c r="B43" s="110"/>
      <c r="C43" s="129"/>
      <c r="D43" s="112"/>
      <c r="E43" s="217"/>
      <c r="F43" s="113"/>
      <c r="G43" s="100"/>
      <c r="H43" s="122"/>
    </row>
    <row r="44" spans="2:8">
      <c r="B44" s="110"/>
      <c r="C44" s="129" t="s">
        <v>361</v>
      </c>
      <c r="D44" s="201" t="s">
        <v>33</v>
      </c>
      <c r="E44" s="217">
        <v>20</v>
      </c>
      <c r="F44" s="105">
        <v>8</v>
      </c>
      <c r="G44" s="100">
        <f>IF(ISNUMBER(F44),ROUND(E44*ROUND(F44,2),2),"")</f>
        <v>160</v>
      </c>
      <c r="H44" s="122"/>
    </row>
    <row r="45" spans="2:8">
      <c r="B45" s="110"/>
      <c r="C45" s="111" t="s">
        <v>287</v>
      </c>
      <c r="D45" s="112"/>
      <c r="E45" s="217"/>
      <c r="F45" s="113"/>
      <c r="G45" s="100"/>
      <c r="H45" s="122"/>
    </row>
    <row r="46" spans="2:8">
      <c r="B46" s="110"/>
      <c r="D46" s="112"/>
      <c r="E46" s="217"/>
      <c r="F46" s="113"/>
      <c r="G46" s="100"/>
      <c r="H46" s="122"/>
    </row>
    <row r="47" spans="2:8">
      <c r="B47" s="110"/>
      <c r="C47" s="101" t="s">
        <v>356</v>
      </c>
      <c r="D47" s="112"/>
      <c r="E47" s="217"/>
      <c r="F47" s="113"/>
      <c r="G47" s="100"/>
      <c r="H47" s="122"/>
    </row>
    <row r="48" spans="2:8">
      <c r="B48" s="110"/>
      <c r="C48" s="111" t="s">
        <v>240</v>
      </c>
      <c r="D48" s="112"/>
      <c r="E48" s="217"/>
      <c r="F48" s="113"/>
      <c r="G48" s="100"/>
      <c r="H48" s="122"/>
    </row>
    <row r="49" spans="2:8">
      <c r="B49" s="110"/>
      <c r="C49" s="111" t="s">
        <v>241</v>
      </c>
      <c r="D49" s="112"/>
      <c r="E49" s="217"/>
      <c r="F49" s="113"/>
      <c r="G49" s="100"/>
      <c r="H49" s="122"/>
    </row>
    <row r="50" spans="2:8">
      <c r="B50" s="110"/>
      <c r="C50" s="111" t="s">
        <v>244</v>
      </c>
      <c r="D50" s="112"/>
      <c r="E50" s="217"/>
      <c r="F50" s="113"/>
      <c r="G50" s="100"/>
      <c r="H50" s="122"/>
    </row>
    <row r="51" spans="2:8" ht="33">
      <c r="B51" s="110"/>
      <c r="C51" s="115" t="s">
        <v>245</v>
      </c>
      <c r="D51" s="97"/>
      <c r="E51" s="98"/>
      <c r="F51" s="99"/>
      <c r="G51" s="100"/>
      <c r="H51" s="122"/>
    </row>
    <row r="52" spans="2:8">
      <c r="B52" s="110"/>
      <c r="C52" s="129"/>
      <c r="D52" s="112"/>
      <c r="E52" s="217"/>
      <c r="F52" s="113"/>
      <c r="G52" s="100"/>
      <c r="H52" s="122"/>
    </row>
    <row r="53" spans="2:8">
      <c r="B53" s="138" t="str">
        <f>$B$8&amp;COUNTA($B$8:INDEX(B:B,ROW()-1))</f>
        <v>S.3.3</v>
      </c>
      <c r="C53" s="149" t="s">
        <v>87</v>
      </c>
      <c r="D53" s="144"/>
      <c r="E53" s="145"/>
      <c r="F53" s="146"/>
      <c r="G53" s="143"/>
      <c r="H53" s="122"/>
    </row>
    <row r="54" spans="2:8">
      <c r="B54" s="110"/>
      <c r="C54" s="115"/>
      <c r="D54" s="112"/>
      <c r="E54" s="217"/>
      <c r="F54" s="113"/>
      <c r="G54" s="100"/>
      <c r="H54" s="122"/>
    </row>
    <row r="55" spans="2:8">
      <c r="B55" s="110"/>
      <c r="C55" s="115" t="s">
        <v>293</v>
      </c>
      <c r="D55" s="112"/>
      <c r="E55" s="217"/>
      <c r="F55" s="113"/>
      <c r="G55" s="100"/>
      <c r="H55" s="122"/>
    </row>
    <row r="56" spans="2:8">
      <c r="B56" s="110"/>
      <c r="C56" s="115"/>
      <c r="D56" s="112"/>
      <c r="E56" s="217"/>
      <c r="F56" s="113"/>
      <c r="G56" s="100"/>
      <c r="H56" s="122"/>
    </row>
    <row r="57" spans="2:8">
      <c r="B57" s="110"/>
      <c r="C57" s="215" t="s">
        <v>276</v>
      </c>
      <c r="D57" s="201" t="s">
        <v>33</v>
      </c>
      <c r="E57" s="217">
        <v>390</v>
      </c>
      <c r="F57" s="105">
        <v>12</v>
      </c>
      <c r="G57" s="100">
        <f>IF(ISNUMBER(F57),ROUND(E57*ROUND(F57,2),2),"")</f>
        <v>4680</v>
      </c>
      <c r="H57" s="122"/>
    </row>
    <row r="58" spans="2:8">
      <c r="B58" s="110"/>
      <c r="C58" s="111" t="s">
        <v>285</v>
      </c>
      <c r="D58" s="112"/>
      <c r="E58" s="217"/>
      <c r="F58" s="113"/>
      <c r="G58" s="100"/>
      <c r="H58" s="122"/>
    </row>
    <row r="59" spans="2:8">
      <c r="B59" s="110"/>
      <c r="D59" s="112"/>
      <c r="E59" s="217"/>
      <c r="F59" s="113"/>
      <c r="G59" s="100"/>
      <c r="H59" s="122"/>
    </row>
    <row r="60" spans="2:8">
      <c r="B60" s="110"/>
      <c r="C60" s="101" t="s">
        <v>356</v>
      </c>
      <c r="D60" s="112"/>
      <c r="E60" s="217"/>
      <c r="F60" s="113"/>
      <c r="G60" s="100"/>
      <c r="H60" s="122"/>
    </row>
    <row r="61" spans="2:8">
      <c r="B61" s="110"/>
      <c r="C61" s="111" t="s">
        <v>240</v>
      </c>
      <c r="D61" s="112"/>
      <c r="E61" s="217"/>
      <c r="F61" s="113"/>
      <c r="G61" s="100"/>
      <c r="H61" s="122"/>
    </row>
    <row r="62" spans="2:8">
      <c r="B62" s="110"/>
      <c r="C62" s="111" t="s">
        <v>241</v>
      </c>
      <c r="D62" s="112"/>
      <c r="E62" s="217"/>
      <c r="F62" s="113"/>
      <c r="G62" s="100"/>
      <c r="H62" s="122"/>
    </row>
    <row r="63" spans="2:8">
      <c r="B63" s="110"/>
      <c r="C63" s="111" t="s">
        <v>244</v>
      </c>
      <c r="D63" s="112"/>
      <c r="E63" s="217"/>
      <c r="F63" s="113"/>
      <c r="G63" s="100"/>
      <c r="H63" s="122"/>
    </row>
    <row r="64" spans="2:8" ht="33">
      <c r="B64" s="110"/>
      <c r="C64" s="115" t="s">
        <v>245</v>
      </c>
      <c r="D64" s="97"/>
      <c r="E64" s="98"/>
      <c r="F64" s="99"/>
      <c r="G64" s="100"/>
      <c r="H64" s="122"/>
    </row>
    <row r="65" spans="2:8">
      <c r="B65" s="110"/>
      <c r="C65" s="215"/>
      <c r="D65" s="112"/>
      <c r="E65" s="217"/>
      <c r="F65" s="113"/>
      <c r="G65" s="100"/>
      <c r="H65" s="122"/>
    </row>
    <row r="66" spans="2:8">
      <c r="B66" s="110"/>
      <c r="C66" s="215" t="s">
        <v>242</v>
      </c>
      <c r="D66" s="97" t="s">
        <v>34</v>
      </c>
      <c r="E66" s="217">
        <v>210</v>
      </c>
      <c r="F66" s="105">
        <v>8</v>
      </c>
      <c r="G66" s="100">
        <f t="shared" ref="G66" si="1">IF(ISNUMBER(F66),ROUND(E66*ROUND(F66,2),2),"")</f>
        <v>1680</v>
      </c>
      <c r="H66" s="122"/>
    </row>
    <row r="67" spans="2:8">
      <c r="B67" s="110"/>
      <c r="C67" s="111" t="s">
        <v>346</v>
      </c>
      <c r="D67" s="112"/>
      <c r="E67" s="217"/>
      <c r="F67" s="113"/>
      <c r="G67" s="100"/>
      <c r="H67" s="122"/>
    </row>
    <row r="68" spans="2:8">
      <c r="B68" s="110"/>
      <c r="D68" s="112"/>
      <c r="E68" s="217"/>
      <c r="F68" s="113"/>
      <c r="G68" s="100"/>
      <c r="H68" s="122"/>
    </row>
    <row r="69" spans="2:8" ht="33">
      <c r="B69" s="110"/>
      <c r="C69" s="115" t="s">
        <v>246</v>
      </c>
      <c r="D69" s="112"/>
      <c r="E69" s="217"/>
      <c r="F69" s="113"/>
      <c r="G69" s="100"/>
      <c r="H69" s="122"/>
    </row>
    <row r="70" spans="2:8" ht="33">
      <c r="B70" s="110"/>
      <c r="C70" s="115" t="s">
        <v>247</v>
      </c>
      <c r="D70" s="112"/>
      <c r="E70" s="217"/>
      <c r="F70" s="113"/>
      <c r="G70" s="100"/>
      <c r="H70" s="122"/>
    </row>
    <row r="71" spans="2:8">
      <c r="B71" s="110"/>
      <c r="D71" s="112"/>
      <c r="E71" s="217"/>
      <c r="F71" s="113"/>
      <c r="G71" s="100"/>
      <c r="H71" s="122"/>
    </row>
    <row r="72" spans="2:8">
      <c r="B72" s="110"/>
      <c r="C72" s="101" t="s">
        <v>356</v>
      </c>
      <c r="D72" s="112"/>
      <c r="E72" s="217"/>
      <c r="F72" s="113"/>
      <c r="G72" s="100"/>
      <c r="H72" s="122"/>
    </row>
    <row r="73" spans="2:8">
      <c r="B73" s="110"/>
      <c r="C73" s="93" t="s">
        <v>259</v>
      </c>
      <c r="D73" s="112"/>
      <c r="E73" s="217"/>
      <c r="F73" s="113"/>
      <c r="G73" s="100"/>
      <c r="H73" s="122"/>
    </row>
    <row r="74" spans="2:8">
      <c r="B74" s="110"/>
      <c r="C74" s="93" t="s">
        <v>269</v>
      </c>
      <c r="D74" s="112"/>
      <c r="E74" s="217"/>
      <c r="F74" s="113"/>
      <c r="G74" s="100"/>
      <c r="H74" s="122"/>
    </row>
    <row r="75" spans="2:8">
      <c r="B75" s="110"/>
      <c r="C75" s="93" t="s">
        <v>270</v>
      </c>
      <c r="D75" s="112"/>
      <c r="E75" s="217"/>
      <c r="F75" s="113"/>
      <c r="G75" s="100"/>
      <c r="H75" s="122"/>
    </row>
    <row r="76" spans="2:8">
      <c r="B76" s="110"/>
      <c r="C76" s="93" t="s">
        <v>271</v>
      </c>
      <c r="D76" s="112"/>
      <c r="E76" s="217"/>
      <c r="F76" s="113"/>
      <c r="G76" s="100"/>
      <c r="H76" s="122"/>
    </row>
    <row r="77" spans="2:8">
      <c r="B77" s="110"/>
      <c r="C77" s="93" t="s">
        <v>272</v>
      </c>
      <c r="D77" s="112"/>
      <c r="E77" s="217"/>
      <c r="F77" s="113"/>
      <c r="G77" s="100"/>
      <c r="H77" s="122"/>
    </row>
    <row r="78" spans="2:8">
      <c r="B78" s="110"/>
      <c r="C78" s="93" t="s">
        <v>273</v>
      </c>
      <c r="D78" s="112"/>
      <c r="E78" s="217"/>
      <c r="F78" s="113"/>
      <c r="G78" s="100"/>
      <c r="H78" s="122"/>
    </row>
    <row r="79" spans="2:8">
      <c r="B79" s="110"/>
      <c r="C79" s="130"/>
      <c r="D79" s="112"/>
      <c r="E79" s="217"/>
      <c r="F79" s="113"/>
      <c r="G79" s="100"/>
      <c r="H79" s="122"/>
    </row>
    <row r="80" spans="2:8">
      <c r="B80" s="138" t="str">
        <f>$B$8&amp;COUNTA($B$8:INDEX(B:B,ROW()-1))</f>
        <v>S.3.4</v>
      </c>
      <c r="C80" s="149" t="s">
        <v>128</v>
      </c>
      <c r="D80" s="144"/>
      <c r="E80" s="145"/>
      <c r="F80" s="146"/>
      <c r="G80" s="143"/>
      <c r="H80" s="122"/>
    </row>
    <row r="81" spans="2:8">
      <c r="B81" s="110"/>
      <c r="C81" s="115"/>
      <c r="D81" s="112"/>
      <c r="E81" s="217"/>
      <c r="F81" s="113"/>
      <c r="G81" s="100"/>
      <c r="H81" s="122"/>
    </row>
    <row r="82" spans="2:8">
      <c r="B82" s="110"/>
      <c r="C82" s="115" t="s">
        <v>278</v>
      </c>
      <c r="D82" s="112"/>
      <c r="E82" s="217"/>
      <c r="F82" s="113"/>
      <c r="G82" s="100"/>
      <c r="H82" s="122"/>
    </row>
    <row r="83" spans="2:8">
      <c r="B83" s="110"/>
      <c r="C83" s="111" t="s">
        <v>281</v>
      </c>
      <c r="D83" s="112"/>
      <c r="E83" s="217"/>
      <c r="F83" s="113"/>
      <c r="G83" s="100"/>
      <c r="H83" s="122"/>
    </row>
    <row r="84" spans="2:8">
      <c r="B84" s="110"/>
      <c r="C84" s="111" t="s">
        <v>279</v>
      </c>
      <c r="D84" s="112"/>
      <c r="E84" s="217"/>
      <c r="F84" s="113"/>
      <c r="G84" s="100"/>
      <c r="H84" s="122"/>
    </row>
    <row r="85" spans="2:8">
      <c r="B85" s="110"/>
      <c r="C85" s="111" t="s">
        <v>280</v>
      </c>
      <c r="D85" s="112"/>
      <c r="E85" s="217"/>
      <c r="F85" s="113"/>
      <c r="G85" s="100"/>
      <c r="H85" s="122"/>
    </row>
    <row r="86" spans="2:8">
      <c r="B86" s="110"/>
      <c r="D86" s="112"/>
      <c r="E86" s="217"/>
      <c r="F86" s="113"/>
      <c r="G86" s="100"/>
      <c r="H86" s="122"/>
    </row>
    <row r="87" spans="2:8">
      <c r="B87" s="110"/>
      <c r="C87" s="129" t="s">
        <v>345</v>
      </c>
      <c r="D87" s="112"/>
      <c r="E87" s="217"/>
      <c r="F87" s="113"/>
      <c r="G87" s="100"/>
      <c r="H87" s="122"/>
    </row>
    <row r="88" spans="2:8">
      <c r="B88" s="110"/>
      <c r="C88" s="130"/>
      <c r="D88" s="112"/>
      <c r="E88" s="217"/>
      <c r="F88" s="113"/>
      <c r="G88" s="100"/>
      <c r="H88" s="122"/>
    </row>
    <row r="89" spans="2:8">
      <c r="B89" s="110"/>
      <c r="C89" s="215" t="s">
        <v>362</v>
      </c>
      <c r="D89" s="201" t="s">
        <v>33</v>
      </c>
      <c r="E89" s="217">
        <v>390</v>
      </c>
      <c r="F89" s="105">
        <v>9</v>
      </c>
      <c r="G89" s="100">
        <f>IF(ISNUMBER(F89),ROUND(E89*ROUND(F89,2),2),"")</f>
        <v>3510</v>
      </c>
      <c r="H89" s="122"/>
    </row>
    <row r="90" spans="2:8" ht="33">
      <c r="B90" s="110"/>
      <c r="C90" s="239" t="s">
        <v>363</v>
      </c>
      <c r="D90" s="201"/>
      <c r="E90" s="217"/>
      <c r="F90" s="217"/>
      <c r="G90" s="100"/>
      <c r="H90" s="122"/>
    </row>
    <row r="91" spans="2:8">
      <c r="B91" s="110"/>
      <c r="C91" s="111" t="s">
        <v>136</v>
      </c>
      <c r="D91" s="112"/>
      <c r="E91" s="217"/>
      <c r="F91" s="113"/>
      <c r="G91" s="100"/>
      <c r="H91" s="122"/>
    </row>
    <row r="92" spans="2:8">
      <c r="B92" s="110"/>
      <c r="D92" s="112"/>
      <c r="E92" s="217"/>
      <c r="F92" s="113"/>
      <c r="G92" s="100"/>
      <c r="H92" s="122"/>
    </row>
    <row r="93" spans="2:8">
      <c r="B93" s="110"/>
      <c r="C93" s="101" t="s">
        <v>356</v>
      </c>
      <c r="D93" s="112"/>
      <c r="E93" s="217"/>
      <c r="F93" s="113"/>
      <c r="G93" s="100"/>
      <c r="H93" s="122"/>
    </row>
    <row r="94" spans="2:8">
      <c r="B94" s="110"/>
      <c r="C94" s="111" t="s">
        <v>240</v>
      </c>
      <c r="D94" s="112"/>
      <c r="E94" s="217"/>
      <c r="F94" s="113"/>
      <c r="G94" s="100"/>
      <c r="H94" s="122"/>
    </row>
    <row r="95" spans="2:8">
      <c r="B95" s="110"/>
      <c r="C95" s="111" t="s">
        <v>241</v>
      </c>
      <c r="D95" s="112"/>
      <c r="E95" s="217"/>
      <c r="F95" s="113"/>
      <c r="G95" s="100"/>
      <c r="H95" s="122"/>
    </row>
    <row r="96" spans="2:8">
      <c r="B96" s="110"/>
      <c r="C96" s="111" t="s">
        <v>244</v>
      </c>
      <c r="D96" s="112"/>
      <c r="E96" s="217"/>
      <c r="F96" s="113"/>
      <c r="G96" s="100"/>
      <c r="H96" s="122"/>
    </row>
    <row r="97" spans="2:8" ht="33">
      <c r="B97" s="110"/>
      <c r="C97" s="115" t="s">
        <v>245</v>
      </c>
      <c r="D97" s="97"/>
      <c r="E97" s="98"/>
      <c r="F97" s="99"/>
      <c r="G97" s="100"/>
      <c r="H97" s="122"/>
    </row>
    <row r="98" spans="2:8">
      <c r="B98" s="110"/>
      <c r="C98" s="215"/>
      <c r="D98" s="112"/>
      <c r="E98" s="217"/>
      <c r="F98" s="113"/>
      <c r="G98" s="100"/>
      <c r="H98" s="122"/>
    </row>
    <row r="99" spans="2:8">
      <c r="B99" s="110"/>
      <c r="C99" s="215" t="s">
        <v>209</v>
      </c>
      <c r="D99" s="97" t="s">
        <v>34</v>
      </c>
      <c r="E99" s="217">
        <v>210</v>
      </c>
      <c r="F99" s="105">
        <v>6</v>
      </c>
      <c r="G99" s="100">
        <f t="shared" ref="G99" si="2">IF(ISNUMBER(F99),ROUND(E99*ROUND(F99,2),2),"")</f>
        <v>1260</v>
      </c>
      <c r="H99" s="122"/>
    </row>
    <row r="100" spans="2:8">
      <c r="B100" s="110"/>
      <c r="C100" s="111" t="s">
        <v>135</v>
      </c>
      <c r="D100" s="112"/>
      <c r="E100" s="217"/>
      <c r="F100" s="113"/>
      <c r="G100" s="100"/>
      <c r="H100" s="122"/>
    </row>
    <row r="101" spans="2:8">
      <c r="B101" s="110"/>
      <c r="D101" s="112"/>
      <c r="E101" s="217"/>
      <c r="F101" s="113"/>
      <c r="G101" s="100"/>
      <c r="H101" s="122"/>
    </row>
    <row r="102" spans="2:8" ht="33">
      <c r="B102" s="110"/>
      <c r="C102" s="115" t="s">
        <v>246</v>
      </c>
      <c r="D102" s="112"/>
      <c r="E102" s="217"/>
      <c r="F102" s="113"/>
      <c r="G102" s="100"/>
      <c r="H102" s="122"/>
    </row>
    <row r="103" spans="2:8" ht="33">
      <c r="B103" s="110"/>
      <c r="C103" s="115" t="s">
        <v>282</v>
      </c>
      <c r="D103" s="112"/>
      <c r="E103" s="217"/>
      <c r="F103" s="113"/>
      <c r="G103" s="100"/>
      <c r="H103" s="122"/>
    </row>
    <row r="104" spans="2:8">
      <c r="B104" s="110"/>
      <c r="D104" s="112"/>
      <c r="E104" s="217"/>
      <c r="F104" s="113"/>
      <c r="G104" s="100"/>
      <c r="H104" s="122"/>
    </row>
    <row r="105" spans="2:8">
      <c r="B105" s="110"/>
      <c r="C105" s="101" t="s">
        <v>356</v>
      </c>
      <c r="D105" s="112"/>
      <c r="E105" s="217"/>
      <c r="F105" s="113"/>
      <c r="G105" s="100"/>
      <c r="H105" s="122"/>
    </row>
    <row r="106" spans="2:8">
      <c r="B106" s="110"/>
      <c r="C106" s="93" t="s">
        <v>259</v>
      </c>
      <c r="D106" s="112"/>
      <c r="E106" s="217"/>
      <c r="F106" s="113"/>
      <c r="G106" s="100"/>
      <c r="H106" s="122"/>
    </row>
    <row r="107" spans="2:8">
      <c r="B107" s="110"/>
      <c r="C107" s="93" t="s">
        <v>269</v>
      </c>
      <c r="D107" s="112"/>
      <c r="E107" s="217"/>
      <c r="F107" s="113"/>
      <c r="G107" s="100"/>
      <c r="H107" s="122"/>
    </row>
    <row r="108" spans="2:8">
      <c r="B108" s="110"/>
      <c r="C108" s="93" t="s">
        <v>270</v>
      </c>
      <c r="D108" s="112"/>
      <c r="E108" s="217"/>
      <c r="F108" s="113"/>
      <c r="G108" s="100"/>
      <c r="H108" s="122"/>
    </row>
    <row r="109" spans="2:8">
      <c r="B109" s="110"/>
      <c r="C109" s="93" t="s">
        <v>271</v>
      </c>
      <c r="D109" s="112"/>
      <c r="E109" s="217"/>
      <c r="F109" s="113"/>
      <c r="G109" s="100"/>
      <c r="H109" s="122"/>
    </row>
    <row r="110" spans="2:8">
      <c r="B110" s="110"/>
      <c r="C110" s="93" t="s">
        <v>272</v>
      </c>
      <c r="D110" s="112"/>
      <c r="E110" s="217"/>
      <c r="F110" s="113"/>
      <c r="G110" s="100"/>
      <c r="H110" s="122"/>
    </row>
    <row r="111" spans="2:8">
      <c r="B111" s="110"/>
      <c r="C111" s="93" t="s">
        <v>273</v>
      </c>
      <c r="D111" s="112"/>
      <c r="E111" s="217"/>
      <c r="F111" s="113"/>
      <c r="G111" s="100"/>
      <c r="H111" s="122"/>
    </row>
    <row r="112" spans="2:8">
      <c r="B112" s="110"/>
      <c r="C112" s="215"/>
      <c r="D112" s="112"/>
      <c r="E112" s="217"/>
      <c r="F112" s="217"/>
      <c r="G112" s="100"/>
      <c r="H112" s="122"/>
    </row>
    <row r="113" spans="2:8">
      <c r="B113" s="138" t="str">
        <f>$B$8&amp;COUNTA($B$8:INDEX(B:B,ROW()-1))</f>
        <v>S.3.5</v>
      </c>
      <c r="C113" s="149" t="s">
        <v>295</v>
      </c>
      <c r="D113" s="144"/>
      <c r="E113" s="145"/>
      <c r="F113" s="146"/>
      <c r="G113" s="143"/>
      <c r="H113" s="122"/>
    </row>
    <row r="114" spans="2:8">
      <c r="B114" s="110"/>
      <c r="C114" s="215"/>
      <c r="D114" s="112"/>
      <c r="E114" s="217"/>
      <c r="F114" s="217"/>
      <c r="G114" s="100"/>
      <c r="H114" s="122"/>
    </row>
    <row r="115" spans="2:8">
      <c r="B115" s="110"/>
      <c r="C115" s="215" t="s">
        <v>364</v>
      </c>
      <c r="D115" s="112"/>
      <c r="E115" s="217"/>
      <c r="F115" s="217"/>
      <c r="G115" s="100"/>
      <c r="H115" s="122"/>
    </row>
    <row r="116" spans="2:8" ht="33">
      <c r="B116" s="110"/>
      <c r="C116" s="239" t="s">
        <v>296</v>
      </c>
      <c r="D116" s="112"/>
      <c r="E116" s="217"/>
      <c r="F116" s="217"/>
      <c r="G116" s="100"/>
      <c r="H116" s="122"/>
    </row>
    <row r="117" spans="2:8" ht="33">
      <c r="B117" s="110"/>
      <c r="C117" s="239" t="s">
        <v>298</v>
      </c>
      <c r="D117" s="112"/>
      <c r="E117" s="217"/>
      <c r="F117" s="217"/>
      <c r="G117" s="100"/>
      <c r="H117" s="122"/>
    </row>
    <row r="118" spans="2:8" ht="33">
      <c r="B118" s="110"/>
      <c r="C118" s="239" t="s">
        <v>299</v>
      </c>
      <c r="D118" s="112"/>
      <c r="E118" s="217"/>
      <c r="F118" s="217"/>
      <c r="G118" s="100"/>
      <c r="H118" s="122"/>
    </row>
    <row r="119" spans="2:8" ht="33">
      <c r="B119" s="110"/>
      <c r="C119" s="239" t="s">
        <v>300</v>
      </c>
      <c r="D119" s="112"/>
      <c r="E119" s="217"/>
      <c r="F119" s="217"/>
      <c r="G119" s="100"/>
      <c r="H119" s="122"/>
    </row>
    <row r="120" spans="2:8">
      <c r="B120" s="110"/>
      <c r="C120" s="215"/>
      <c r="D120" s="112"/>
      <c r="E120" s="217"/>
      <c r="F120" s="217"/>
      <c r="G120" s="100"/>
      <c r="H120" s="122"/>
    </row>
    <row r="121" spans="2:8">
      <c r="B121" s="110"/>
      <c r="C121" s="215" t="s">
        <v>297</v>
      </c>
      <c r="D121" s="97" t="s">
        <v>34</v>
      </c>
      <c r="E121" s="217">
        <v>120</v>
      </c>
      <c r="F121" s="105">
        <v>9</v>
      </c>
      <c r="G121" s="100">
        <f t="shared" ref="G121" si="3">IF(ISNUMBER(F121),ROUND(E121*ROUND(F121,2),2),"")</f>
        <v>1080</v>
      </c>
      <c r="H121" s="122"/>
    </row>
    <row r="122" spans="2:8">
      <c r="B122" s="110"/>
      <c r="C122" s="215"/>
      <c r="D122" s="112"/>
      <c r="E122" s="217"/>
      <c r="F122" s="217"/>
      <c r="G122" s="100"/>
      <c r="H122" s="122"/>
    </row>
    <row r="123" spans="2:8">
      <c r="B123" s="110"/>
      <c r="C123" s="101" t="s">
        <v>356</v>
      </c>
      <c r="D123" s="112"/>
      <c r="E123" s="217"/>
      <c r="F123" s="217"/>
      <c r="G123" s="100"/>
      <c r="H123" s="122"/>
    </row>
    <row r="124" spans="2:8">
      <c r="B124" s="110"/>
      <c r="C124" s="215" t="s">
        <v>301</v>
      </c>
      <c r="D124" s="112"/>
      <c r="E124" s="217"/>
      <c r="F124" s="217"/>
      <c r="G124" s="100"/>
      <c r="H124" s="122"/>
    </row>
    <row r="125" spans="2:8">
      <c r="B125" s="110"/>
      <c r="C125" s="215" t="s">
        <v>302</v>
      </c>
      <c r="D125" s="112"/>
      <c r="E125" s="217"/>
      <c r="F125" s="217"/>
      <c r="G125" s="100"/>
      <c r="H125" s="122"/>
    </row>
    <row r="126" spans="2:8">
      <c r="B126" s="110"/>
      <c r="C126" s="215"/>
      <c r="D126" s="112"/>
      <c r="E126" s="217"/>
      <c r="F126" s="217"/>
      <c r="G126" s="100"/>
      <c r="H126" s="122"/>
    </row>
    <row r="127" spans="2:8">
      <c r="B127" s="138" t="str">
        <f>$B$8&amp;COUNTA($B$8:INDEX(B:B,ROW()-1))</f>
        <v>S.3.6</v>
      </c>
      <c r="C127" s="149" t="s">
        <v>303</v>
      </c>
      <c r="D127" s="144"/>
      <c r="E127" s="145"/>
      <c r="F127" s="146"/>
      <c r="G127" s="143"/>
      <c r="H127" s="122"/>
    </row>
    <row r="128" spans="2:8">
      <c r="B128" s="110"/>
      <c r="C128" s="130"/>
      <c r="D128" s="112"/>
      <c r="E128" s="217"/>
      <c r="F128" s="113"/>
      <c r="G128" s="100"/>
      <c r="H128" s="122"/>
    </row>
    <row r="129" spans="2:8">
      <c r="B129" s="110"/>
      <c r="C129" s="115" t="s">
        <v>304</v>
      </c>
      <c r="D129" s="112"/>
      <c r="E129" s="217"/>
      <c r="F129" s="113"/>
      <c r="G129" s="100"/>
      <c r="H129" s="122"/>
    </row>
    <row r="130" spans="2:8" ht="33">
      <c r="B130" s="110"/>
      <c r="C130" s="115" t="s">
        <v>305</v>
      </c>
      <c r="D130" s="112"/>
      <c r="E130" s="217"/>
      <c r="F130" s="113"/>
      <c r="G130" s="100"/>
      <c r="H130" s="122"/>
    </row>
    <row r="131" spans="2:8" ht="33">
      <c r="B131" s="110"/>
      <c r="C131" s="115" t="s">
        <v>312</v>
      </c>
      <c r="D131" s="112"/>
      <c r="E131" s="217"/>
      <c r="F131" s="113"/>
      <c r="G131" s="100"/>
      <c r="H131" s="122"/>
    </row>
    <row r="132" spans="2:8" ht="33">
      <c r="B132" s="110"/>
      <c r="C132" s="115" t="s">
        <v>306</v>
      </c>
      <c r="D132" s="112"/>
      <c r="E132" s="217"/>
      <c r="F132" s="113"/>
      <c r="G132" s="100"/>
      <c r="H132" s="122"/>
    </row>
    <row r="133" spans="2:8" ht="33">
      <c r="B133" s="110"/>
      <c r="C133" s="115" t="s">
        <v>307</v>
      </c>
      <c r="D133" s="112"/>
      <c r="E133" s="217"/>
      <c r="F133" s="113"/>
      <c r="G133" s="100"/>
      <c r="H133" s="122"/>
    </row>
    <row r="134" spans="2:8">
      <c r="B134" s="110"/>
      <c r="C134" s="115"/>
      <c r="D134" s="112"/>
      <c r="E134" s="217"/>
      <c r="F134" s="113"/>
      <c r="G134" s="100"/>
      <c r="H134" s="122"/>
    </row>
    <row r="135" spans="2:8">
      <c r="B135" s="110"/>
      <c r="C135" s="111" t="s">
        <v>308</v>
      </c>
      <c r="D135" s="112"/>
      <c r="E135" s="217"/>
      <c r="F135" s="113"/>
      <c r="G135" s="100"/>
      <c r="H135" s="122"/>
    </row>
    <row r="136" spans="2:8">
      <c r="B136" s="110"/>
      <c r="C136" s="111" t="s">
        <v>365</v>
      </c>
      <c r="D136" s="112" t="s">
        <v>34</v>
      </c>
      <c r="E136" s="217">
        <v>4</v>
      </c>
      <c r="F136" s="117">
        <v>75</v>
      </c>
      <c r="G136" s="100">
        <f t="shared" ref="G136" si="4">IF(ISNUMBER(F136),ROUND(E136*ROUND(F136,2),2),"")</f>
        <v>300</v>
      </c>
      <c r="H136" s="122"/>
    </row>
    <row r="137" spans="2:8">
      <c r="B137" s="110"/>
      <c r="C137" s="111" t="s">
        <v>366</v>
      </c>
      <c r="D137" s="112" t="s">
        <v>34</v>
      </c>
      <c r="E137" s="217">
        <v>40</v>
      </c>
      <c r="F137" s="117">
        <v>75</v>
      </c>
      <c r="G137" s="100">
        <f t="shared" ref="G137" si="5">IF(ISNUMBER(F137),ROUND(E137*ROUND(F137,2),2),"")</f>
        <v>3000</v>
      </c>
      <c r="H137" s="122"/>
    </row>
    <row r="138" spans="2:8">
      <c r="B138" s="110"/>
      <c r="C138" s="215"/>
      <c r="D138" s="112"/>
      <c r="E138" s="217"/>
      <c r="F138" s="217"/>
      <c r="G138" s="100"/>
      <c r="H138" s="122"/>
    </row>
    <row r="139" spans="2:8">
      <c r="B139" s="138" t="str">
        <f>$B$8&amp;COUNTA($B$8:INDEX(B:B,ROW()-1))</f>
        <v>S.3.7</v>
      </c>
      <c r="C139" s="149" t="s">
        <v>310</v>
      </c>
      <c r="D139" s="144"/>
      <c r="E139" s="145"/>
      <c r="F139" s="146"/>
      <c r="G139" s="143"/>
      <c r="H139" s="122"/>
    </row>
    <row r="140" spans="2:8">
      <c r="B140" s="110"/>
      <c r="C140" s="130"/>
      <c r="D140" s="112"/>
      <c r="E140" s="217"/>
      <c r="F140" s="113"/>
      <c r="G140" s="100"/>
      <c r="H140" s="122"/>
    </row>
    <row r="141" spans="2:8">
      <c r="B141" s="110"/>
      <c r="C141" s="115" t="s">
        <v>311</v>
      </c>
      <c r="D141" s="112"/>
      <c r="E141" s="217"/>
      <c r="F141" s="113"/>
      <c r="G141" s="100"/>
      <c r="H141" s="122"/>
    </row>
    <row r="142" spans="2:8">
      <c r="B142" s="110"/>
      <c r="C142" s="115" t="s">
        <v>315</v>
      </c>
      <c r="D142" s="112"/>
      <c r="E142" s="217"/>
      <c r="F142" s="113"/>
      <c r="G142" s="100"/>
      <c r="H142" s="122"/>
    </row>
    <row r="143" spans="2:8" ht="33">
      <c r="B143" s="110"/>
      <c r="C143" s="115" t="s">
        <v>313</v>
      </c>
      <c r="D143" s="112"/>
      <c r="E143" s="217"/>
      <c r="F143" s="113"/>
      <c r="G143" s="100"/>
      <c r="H143" s="122"/>
    </row>
    <row r="144" spans="2:8" ht="33">
      <c r="B144" s="110"/>
      <c r="C144" s="115" t="s">
        <v>316</v>
      </c>
      <c r="D144" s="112"/>
      <c r="E144" s="217"/>
      <c r="F144" s="113"/>
      <c r="G144" s="100"/>
      <c r="H144" s="122"/>
    </row>
    <row r="145" spans="2:8" ht="33">
      <c r="B145" s="110"/>
      <c r="C145" s="115" t="s">
        <v>317</v>
      </c>
      <c r="D145" s="112"/>
      <c r="E145" s="217"/>
      <c r="F145" s="113"/>
      <c r="G145" s="100"/>
      <c r="H145" s="122"/>
    </row>
    <row r="146" spans="2:8" ht="33">
      <c r="B146" s="110"/>
      <c r="C146" s="115" t="s">
        <v>318</v>
      </c>
      <c r="D146" s="112"/>
      <c r="E146" s="217"/>
      <c r="F146" s="113"/>
      <c r="G146" s="100"/>
      <c r="H146" s="122"/>
    </row>
    <row r="147" spans="2:8" ht="33">
      <c r="B147" s="110"/>
      <c r="C147" s="115" t="s">
        <v>314</v>
      </c>
      <c r="D147" s="112"/>
      <c r="E147" s="217"/>
      <c r="F147" s="113"/>
      <c r="G147" s="100"/>
      <c r="H147" s="122"/>
    </row>
    <row r="148" spans="2:8">
      <c r="B148" s="110"/>
      <c r="C148" s="115"/>
      <c r="D148" s="112"/>
      <c r="E148" s="217"/>
      <c r="F148" s="113"/>
      <c r="G148" s="100"/>
      <c r="H148" s="122"/>
    </row>
    <row r="149" spans="2:8">
      <c r="B149" s="110"/>
      <c r="C149" s="111" t="s">
        <v>309</v>
      </c>
      <c r="D149" s="112" t="s">
        <v>34</v>
      </c>
      <c r="E149" s="217">
        <v>10</v>
      </c>
      <c r="F149" s="117">
        <v>75</v>
      </c>
      <c r="G149" s="100">
        <f t="shared" ref="G149" si="6">IF(ISNUMBER(F149),ROUND(E149*ROUND(F149,2),2),"")</f>
        <v>750</v>
      </c>
      <c r="H149" s="122"/>
    </row>
    <row r="150" spans="2:8">
      <c r="B150" s="110"/>
      <c r="C150" s="109"/>
      <c r="F150" s="118"/>
      <c r="G150" s="96"/>
      <c r="H150" s="124"/>
    </row>
    <row r="151" spans="2:8">
      <c r="B151" s="202" t="str">
        <f>B8</f>
        <v>S.3.</v>
      </c>
      <c r="C151" s="212" t="str">
        <f>C8&amp;" UKUPNO"</f>
        <v>LIČILAČKI RADOVI UKUPNO</v>
      </c>
      <c r="D151" s="196"/>
      <c r="E151" s="197"/>
      <c r="F151" s="213"/>
      <c r="G151" s="188">
        <f>SUM($G$8:INDEX(G:G,ROW()-1))</f>
        <v>17740</v>
      </c>
      <c r="H151" s="214"/>
    </row>
    <row r="153" spans="2:8">
      <c r="C153" s="131"/>
    </row>
    <row r="154" spans="2:8">
      <c r="C154" s="131"/>
    </row>
    <row r="155" spans="2:8">
      <c r="C155" s="131"/>
    </row>
    <row r="156" spans="2:8">
      <c r="C156" s="131"/>
    </row>
    <row r="157" spans="2:8">
      <c r="C157" s="131"/>
    </row>
    <row r="158" spans="2:8">
      <c r="C158" s="131"/>
    </row>
  </sheetData>
  <protectedRanges>
    <protectedRange sqref="F4:G4" name="Range1_2_2"/>
  </protectedRanges>
  <conditionalFormatting sqref="C153:C158">
    <cfRule type="expression" dxfId="1" priority="2">
      <formula>#REF!&lt;&gt;0</formula>
    </cfRule>
  </conditionalFormatting>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rowBreaks count="3" manualBreakCount="3">
    <brk id="52" min="1" max="6" man="1"/>
    <brk id="98" min="1" max="6" man="1"/>
    <brk id="138" min="1"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B2:I27"/>
  <sheetViews>
    <sheetView view="pageBreakPreview" topLeftCell="A5" zoomScaleSheetLayoutView="100" workbookViewId="0">
      <selection activeCell="F19" sqref="F19"/>
    </sheetView>
  </sheetViews>
  <sheetFormatPr defaultColWidth="9.140625" defaultRowHeight="16.5"/>
  <cols>
    <col min="1" max="1" width="3.7109375" style="53" customWidth="1"/>
    <col min="2" max="2" width="10.7109375" style="111" customWidth="1"/>
    <col min="3" max="3" width="60.7109375" style="111" customWidth="1"/>
    <col min="4" max="5" width="10.7109375" style="118" customWidth="1"/>
    <col min="6" max="6" width="10.7109375" style="127" customWidth="1"/>
    <col min="7" max="7" width="10.7109375" style="94" customWidth="1"/>
    <col min="8" max="8" width="100.7109375" style="52" customWidth="1"/>
    <col min="9" max="16384" width="9.140625" style="53"/>
  </cols>
  <sheetData>
    <row r="2" spans="2:9" s="51" customFormat="1" ht="33">
      <c r="B2" s="174" t="s">
        <v>8</v>
      </c>
      <c r="C2" s="189" t="s">
        <v>20</v>
      </c>
      <c r="D2" s="175" t="s">
        <v>21</v>
      </c>
      <c r="E2" s="175" t="s">
        <v>22</v>
      </c>
      <c r="F2" s="176" t="s">
        <v>23</v>
      </c>
      <c r="G2" s="190" t="s">
        <v>24</v>
      </c>
      <c r="H2" s="132" t="s">
        <v>25</v>
      </c>
    </row>
    <row r="3" spans="2:9" s="51" customFormat="1">
      <c r="B3" s="169"/>
      <c r="C3" s="170"/>
      <c r="D3" s="171"/>
      <c r="E3" s="171"/>
      <c r="F3" s="172"/>
      <c r="G3" s="173"/>
      <c r="H3" s="120"/>
    </row>
    <row r="4" spans="2:9" s="51" customFormat="1">
      <c r="B4" s="177" t="str">
        <f>'S.0.'!B4</f>
        <v>S.</v>
      </c>
      <c r="C4" s="234" t="str">
        <f>'S.0.'!C4</f>
        <v>STUBIŠTE</v>
      </c>
      <c r="D4" s="179"/>
      <c r="E4" s="180"/>
      <c r="F4" s="181"/>
      <c r="G4" s="182"/>
      <c r="H4" s="120"/>
    </row>
    <row r="5" spans="2:9">
      <c r="B5" s="240"/>
      <c r="C5" s="240"/>
      <c r="D5" s="241"/>
      <c r="E5" s="241"/>
      <c r="F5" s="242"/>
      <c r="G5" s="243"/>
      <c r="I5" s="51"/>
    </row>
    <row r="6" spans="2:9">
      <c r="B6" s="106"/>
      <c r="C6" s="111" t="s">
        <v>358</v>
      </c>
      <c r="D6" s="97"/>
      <c r="E6" s="98"/>
      <c r="F6" s="99"/>
      <c r="G6" s="100"/>
      <c r="H6" s="245"/>
      <c r="I6" s="51"/>
    </row>
    <row r="7" spans="2:9">
      <c r="B7" s="106"/>
      <c r="D7" s="97"/>
      <c r="E7" s="98"/>
      <c r="F7" s="99"/>
      <c r="G7" s="100"/>
      <c r="H7" s="245"/>
      <c r="I7" s="51"/>
    </row>
    <row r="8" spans="2:9">
      <c r="B8" s="191" t="str">
        <f>B4&amp;"4."</f>
        <v>S.4.</v>
      </c>
      <c r="C8" s="210" t="s">
        <v>380</v>
      </c>
      <c r="D8" s="192"/>
      <c r="E8" s="193"/>
      <c r="F8" s="211"/>
      <c r="G8" s="195"/>
      <c r="H8" s="121"/>
    </row>
    <row r="9" spans="2:9">
      <c r="B9" s="110"/>
      <c r="C9" s="129"/>
      <c r="D9" s="112"/>
      <c r="E9" s="217"/>
      <c r="F9" s="113"/>
      <c r="G9" s="100"/>
      <c r="H9" s="122"/>
    </row>
    <row r="10" spans="2:9">
      <c r="B10" s="138" t="str">
        <f>$B$8&amp;COUNTA($B$8:INDEX(B:B,ROW()-1))</f>
        <v>S.4.1</v>
      </c>
      <c r="C10" s="149" t="s">
        <v>381</v>
      </c>
      <c r="D10" s="144"/>
      <c r="E10" s="145"/>
      <c r="F10" s="146"/>
      <c r="G10" s="143"/>
      <c r="H10" s="122"/>
    </row>
    <row r="11" spans="2:9">
      <c r="B11" s="110"/>
      <c r="C11" s="129"/>
      <c r="D11" s="112"/>
      <c r="E11" s="217"/>
      <c r="F11" s="113"/>
      <c r="G11" s="100"/>
      <c r="H11" s="122"/>
    </row>
    <row r="12" spans="2:9" ht="33">
      <c r="B12" s="110"/>
      <c r="C12" s="238" t="s">
        <v>353</v>
      </c>
      <c r="D12" s="112"/>
      <c r="E12" s="217"/>
      <c r="F12" s="113"/>
      <c r="G12" s="100"/>
      <c r="H12" s="122"/>
    </row>
    <row r="13" spans="2:9" ht="33">
      <c r="B13" s="110"/>
      <c r="C13" s="101" t="s">
        <v>354</v>
      </c>
      <c r="D13" s="112"/>
      <c r="E13" s="217"/>
      <c r="F13" s="113"/>
      <c r="G13" s="100"/>
      <c r="H13" s="122"/>
    </row>
    <row r="14" spans="2:9">
      <c r="B14" s="110"/>
      <c r="C14" s="101"/>
      <c r="D14" s="112"/>
      <c r="E14" s="217"/>
      <c r="F14" s="113"/>
      <c r="G14" s="100"/>
      <c r="H14" s="122"/>
    </row>
    <row r="15" spans="2:9">
      <c r="B15" s="110"/>
      <c r="C15" s="93" t="s">
        <v>404</v>
      </c>
      <c r="D15" s="112"/>
      <c r="E15" s="217"/>
      <c r="F15" s="113"/>
      <c r="G15" s="100"/>
      <c r="H15" s="122"/>
    </row>
    <row r="16" spans="2:9">
      <c r="B16" s="110"/>
      <c r="C16" s="93" t="s">
        <v>405</v>
      </c>
      <c r="D16" s="112"/>
      <c r="E16" s="217"/>
      <c r="F16" s="113"/>
      <c r="G16" s="100"/>
      <c r="H16" s="122"/>
    </row>
    <row r="17" spans="2:8">
      <c r="B17" s="110"/>
      <c r="C17" s="129"/>
      <c r="D17" s="112"/>
      <c r="E17" s="217"/>
      <c r="F17" s="113"/>
      <c r="G17" s="100"/>
      <c r="H17" s="122"/>
    </row>
    <row r="18" spans="2:8">
      <c r="B18" s="110"/>
      <c r="C18" s="93" t="s">
        <v>379</v>
      </c>
      <c r="D18" s="201" t="s">
        <v>225</v>
      </c>
      <c r="E18" s="217">
        <v>1</v>
      </c>
      <c r="F18" s="105">
        <v>2000</v>
      </c>
      <c r="G18" s="100">
        <f>IF(ISNUMBER(F18),ROUND(E18*ROUND(F18,2),2),"")</f>
        <v>2000</v>
      </c>
      <c r="H18" s="122"/>
    </row>
    <row r="19" spans="2:8">
      <c r="B19" s="110"/>
      <c r="C19" s="109"/>
      <c r="F19" s="118"/>
      <c r="G19" s="96"/>
      <c r="H19" s="124"/>
    </row>
    <row r="20" spans="2:8">
      <c r="B20" s="202" t="str">
        <f>B8</f>
        <v>S.4.</v>
      </c>
      <c r="C20" s="212" t="str">
        <f>C8&amp;" UKUPNO"</f>
        <v>STOLARSKI RADOVI UKUPNO</v>
      </c>
      <c r="D20" s="196"/>
      <c r="E20" s="197"/>
      <c r="F20" s="213"/>
      <c r="G20" s="188">
        <f>SUM($G$8:INDEX(G:G,ROW()-1))</f>
        <v>2000</v>
      </c>
      <c r="H20" s="214"/>
    </row>
    <row r="22" spans="2:8">
      <c r="C22" s="131"/>
    </row>
    <row r="23" spans="2:8">
      <c r="C23" s="131"/>
    </row>
    <row r="24" spans="2:8">
      <c r="C24" s="131"/>
    </row>
    <row r="25" spans="2:8">
      <c r="C25" s="131"/>
    </row>
    <row r="26" spans="2:8">
      <c r="C26" s="131"/>
    </row>
    <row r="27" spans="2:8">
      <c r="C27" s="131"/>
    </row>
  </sheetData>
  <protectedRanges>
    <protectedRange sqref="F4:G4" name="Range1_2_2"/>
  </protectedRanges>
  <conditionalFormatting sqref="C22:C27">
    <cfRule type="expression" dxfId="0" priority="1">
      <formula>#REF!&lt;&gt;0</formula>
    </cfRule>
  </conditionalFormatting>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B2:I47"/>
  <sheetViews>
    <sheetView view="pageBreakPreview" topLeftCell="A16" zoomScaleSheetLayoutView="100" workbookViewId="0">
      <selection activeCell="D24" sqref="D24"/>
    </sheetView>
  </sheetViews>
  <sheetFormatPr defaultColWidth="9.140625" defaultRowHeight="12.75"/>
  <cols>
    <col min="1" max="1" width="3.7109375" style="7" customWidth="1"/>
    <col min="2" max="2" width="10.7109375" style="48" customWidth="1"/>
    <col min="3" max="3" width="20.7109375" style="49" customWidth="1"/>
    <col min="4" max="4" width="80.7109375" style="50" customWidth="1"/>
    <col min="5" max="5" width="43.85546875" style="56" customWidth="1"/>
    <col min="6" max="6" width="10.7109375" style="5" customWidth="1"/>
    <col min="7" max="7" width="9.140625" style="5"/>
    <col min="8" max="8" width="9.140625" style="6"/>
    <col min="9" max="16384" width="9.140625" style="7"/>
  </cols>
  <sheetData>
    <row r="2" spans="2:9" ht="33" customHeight="1">
      <c r="B2" s="70"/>
      <c r="C2" s="263" t="str">
        <f>PROJEKT_NAZIV</f>
        <v>Stambena zgrada - obnova fasade i stubišnog prostora</v>
      </c>
      <c r="D2" s="264"/>
    </row>
    <row r="3" spans="2:9" ht="16.5">
      <c r="B3" s="163"/>
      <c r="C3" s="164"/>
      <c r="D3" s="165"/>
    </row>
    <row r="4" spans="2:9" ht="16.5">
      <c r="B4" s="57" t="s">
        <v>220</v>
      </c>
      <c r="C4" s="72" t="s">
        <v>221</v>
      </c>
      <c r="D4" s="58"/>
      <c r="E4" s="59"/>
      <c r="F4" s="7"/>
      <c r="G4" s="7"/>
    </row>
    <row r="5" spans="2:9" ht="16.5">
      <c r="B5" s="57" t="str">
        <f>B4&amp;"0."</f>
        <v>F.0.</v>
      </c>
      <c r="C5" s="72" t="s">
        <v>14</v>
      </c>
      <c r="D5" s="58"/>
      <c r="F5" s="7"/>
    </row>
    <row r="6" spans="2:9" ht="16.5">
      <c r="B6" s="163"/>
      <c r="C6" s="166"/>
      <c r="D6" s="167"/>
      <c r="F6" s="7"/>
    </row>
    <row r="7" spans="2:9" ht="16.5">
      <c r="B7" s="74"/>
      <c r="C7" s="75"/>
      <c r="D7" s="76"/>
      <c r="E7" s="59"/>
      <c r="F7" s="7"/>
    </row>
    <row r="8" spans="2:9" ht="16.5">
      <c r="B8" s="28"/>
      <c r="C8" s="67"/>
      <c r="D8" s="77"/>
      <c r="E8" s="59"/>
      <c r="F8" s="7"/>
    </row>
    <row r="9" spans="2:9" ht="16.5">
      <c r="B9" s="33"/>
      <c r="C9" s="78" t="s">
        <v>0</v>
      </c>
      <c r="D9" s="79" t="str">
        <f>INVESTITOR_NAZIV</f>
        <v>Suvlasnici stambene zgrade</v>
      </c>
      <c r="E9" s="59"/>
      <c r="F9" s="7"/>
    </row>
    <row r="10" spans="2:9" ht="16.5">
      <c r="B10" s="28"/>
      <c r="C10" s="66"/>
      <c r="D10" s="80"/>
      <c r="E10" s="59"/>
    </row>
    <row r="11" spans="2:9" ht="16.5">
      <c r="B11" s="33"/>
      <c r="C11" s="67"/>
      <c r="D11" s="79"/>
      <c r="E11" s="59"/>
    </row>
    <row r="12" spans="2:9" ht="16.5">
      <c r="B12" s="28"/>
      <c r="C12" s="67"/>
      <c r="D12" s="77"/>
      <c r="E12" s="59"/>
    </row>
    <row r="13" spans="2:9" ht="16.5">
      <c r="B13" s="33"/>
      <c r="C13" s="81" t="s">
        <v>1</v>
      </c>
      <c r="D13" s="82" t="str">
        <f>PROJEKT_NAZIV</f>
        <v>Stambena zgrada - obnova fasade i stubišnog prostora</v>
      </c>
    </row>
    <row r="14" spans="2:9" ht="16.5">
      <c r="B14" s="33"/>
      <c r="C14" s="66"/>
      <c r="D14" s="77"/>
      <c r="E14" s="59"/>
    </row>
    <row r="15" spans="2:9" ht="16.5">
      <c r="B15" s="28"/>
      <c r="C15" s="66" t="s">
        <v>2</v>
      </c>
      <c r="D15" s="79" t="str">
        <f>PROJEKT_LOKACIJA</f>
        <v>Tratinska 13, 10000 Zagreb</v>
      </c>
      <c r="E15" s="59"/>
    </row>
    <row r="16" spans="2:9" ht="16.5">
      <c r="B16" s="28"/>
      <c r="C16" s="78"/>
      <c r="D16" s="77"/>
      <c r="E16" s="59"/>
      <c r="I16" s="21"/>
    </row>
    <row r="17" spans="2:4" ht="16.5">
      <c r="B17" s="28"/>
      <c r="C17" s="78"/>
      <c r="D17" s="77"/>
    </row>
    <row r="18" spans="2:4" ht="16.5">
      <c r="B18" s="28"/>
      <c r="C18" s="78" t="s">
        <v>15</v>
      </c>
      <c r="D18" s="83" t="s">
        <v>13</v>
      </c>
    </row>
    <row r="19" spans="2:4" ht="16.5">
      <c r="B19" s="28"/>
      <c r="C19" s="66"/>
      <c r="D19" s="84"/>
    </row>
    <row r="20" spans="2:4" ht="16.5">
      <c r="B20" s="28"/>
      <c r="C20" s="67"/>
      <c r="D20" s="233"/>
    </row>
    <row r="21" spans="2:4" ht="16.5">
      <c r="B21" s="28"/>
      <c r="C21" s="67"/>
      <c r="D21" s="79"/>
    </row>
    <row r="22" spans="2:4" ht="16.5">
      <c r="B22" s="28"/>
      <c r="C22" s="67"/>
      <c r="D22" s="79"/>
    </row>
    <row r="23" spans="2:4" ht="16.5">
      <c r="B23" s="28"/>
      <c r="C23" s="67"/>
      <c r="D23" s="79"/>
    </row>
    <row r="24" spans="2:4" ht="16.5">
      <c r="B24" s="28"/>
      <c r="C24" s="66"/>
      <c r="D24" s="85"/>
    </row>
    <row r="25" spans="2:4" ht="16.5">
      <c r="B25" s="28"/>
      <c r="C25" s="66"/>
      <c r="D25" s="84"/>
    </row>
    <row r="26" spans="2:4" ht="16.5">
      <c r="B26" s="28"/>
      <c r="C26" s="66" t="s">
        <v>16</v>
      </c>
      <c r="D26" s="86"/>
    </row>
    <row r="27" spans="2:4" ht="16.5">
      <c r="B27" s="28"/>
      <c r="C27" s="67" t="str">
        <f>AUTOR_NAZIV</f>
        <v>NFO d.o.o.</v>
      </c>
      <c r="D27" s="71"/>
    </row>
    <row r="28" spans="2:4" ht="16.5">
      <c r="B28" s="28"/>
      <c r="C28" s="67" t="str">
        <f>AUTOR_ADRESA</f>
        <v>Ksaver 152</v>
      </c>
      <c r="D28" s="73"/>
    </row>
    <row r="29" spans="2:4" ht="16.5">
      <c r="B29" s="28"/>
      <c r="C29" s="67" t="str">
        <f>AUTOR_GRAD</f>
        <v>10000 Zagreb</v>
      </c>
      <c r="D29" s="73"/>
    </row>
    <row r="30" spans="2:4" ht="16.5">
      <c r="B30" s="28"/>
      <c r="D30" s="73"/>
    </row>
    <row r="31" spans="2:4" ht="16.5">
      <c r="B31" s="28"/>
      <c r="D31" s="73"/>
    </row>
    <row r="32" spans="2:4" ht="16.5">
      <c r="B32" s="33"/>
      <c r="D32" s="73"/>
    </row>
    <row r="33" spans="2:5" ht="16.5">
      <c r="B33" s="33"/>
      <c r="C33" s="66" t="s">
        <v>19</v>
      </c>
      <c r="D33" s="87"/>
    </row>
    <row r="34" spans="2:5" ht="16.5">
      <c r="B34" s="33"/>
      <c r="C34" s="67" t="str">
        <f>AUTOR_PROJEKTANT</f>
        <v>Nenad Ravnić, dipl.ing.arh.</v>
      </c>
      <c r="D34" s="86"/>
    </row>
    <row r="35" spans="2:5" ht="15.75" customHeight="1">
      <c r="B35" s="33"/>
      <c r="C35" s="66"/>
      <c r="D35" s="86"/>
    </row>
    <row r="36" spans="2:5" ht="16.5">
      <c r="B36" s="33"/>
      <c r="C36" s="68"/>
      <c r="D36" s="86"/>
    </row>
    <row r="37" spans="2:5" ht="16.5">
      <c r="B37" s="33"/>
      <c r="C37" s="66"/>
      <c r="D37" s="87"/>
    </row>
    <row r="38" spans="2:5" ht="16.5">
      <c r="B38" s="33"/>
      <c r="C38" s="66"/>
      <c r="D38" s="87"/>
    </row>
    <row r="39" spans="2:5" ht="16.5">
      <c r="B39" s="33"/>
      <c r="C39" s="66"/>
      <c r="D39" s="87"/>
    </row>
    <row r="40" spans="2:5" ht="16.5">
      <c r="B40" s="33"/>
      <c r="D40" s="84"/>
      <c r="E40" s="69"/>
    </row>
    <row r="41" spans="2:5" ht="16.5">
      <c r="B41" s="33"/>
      <c r="C41" s="66"/>
      <c r="D41" s="77"/>
      <c r="E41" s="59"/>
    </row>
    <row r="42" spans="2:5" ht="16.5">
      <c r="B42" s="28"/>
      <c r="C42" s="46"/>
      <c r="D42" s="71"/>
    </row>
    <row r="43" spans="2:5" ht="16.5">
      <c r="B43" s="28"/>
      <c r="C43" s="46"/>
      <c r="D43" s="71"/>
    </row>
    <row r="44" spans="2:5" ht="16.5">
      <c r="B44" s="28"/>
      <c r="C44" s="66" t="str">
        <f>DATUM</f>
        <v>Zagreb, studeni 2025.</v>
      </c>
      <c r="D44" s="71"/>
    </row>
    <row r="45" spans="2:5" ht="16.5">
      <c r="B45" s="28"/>
      <c r="C45" s="66"/>
      <c r="D45" s="71"/>
    </row>
    <row r="46" spans="2:5" ht="16.5">
      <c r="B46" s="88"/>
      <c r="C46" s="89"/>
      <c r="D46" s="90"/>
    </row>
    <row r="47" spans="2:5" ht="16.5">
      <c r="B47" s="45"/>
      <c r="C47" s="46"/>
      <c r="D47" s="47"/>
    </row>
  </sheetData>
  <mergeCells count="1">
    <mergeCell ref="C2:D2"/>
  </mergeCell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B2:H46"/>
  <sheetViews>
    <sheetView view="pageBreakPreview" topLeftCell="A25" zoomScaleSheetLayoutView="100" workbookViewId="0">
      <selection activeCell="B2" sqref="B2"/>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91" t="s">
        <v>25</v>
      </c>
    </row>
    <row r="3" spans="2:8">
      <c r="B3" s="169"/>
      <c r="C3" s="170"/>
      <c r="D3" s="171"/>
      <c r="E3" s="171"/>
      <c r="F3" s="172"/>
      <c r="G3" s="173"/>
    </row>
    <row r="4" spans="2:8">
      <c r="B4" s="177" t="str">
        <f>'F.0.'!B4</f>
        <v>F.</v>
      </c>
      <c r="C4" s="234" t="str">
        <f>'F.0.'!C4</f>
        <v>FASADA</v>
      </c>
      <c r="D4" s="179"/>
      <c r="E4" s="180"/>
      <c r="F4" s="181"/>
      <c r="G4" s="182"/>
    </row>
    <row r="5" spans="2:8">
      <c r="B5" s="170"/>
      <c r="C5" s="170"/>
      <c r="D5" s="171"/>
      <c r="E5" s="171"/>
      <c r="F5" s="172"/>
      <c r="G5" s="219"/>
    </row>
    <row r="6" spans="2:8">
      <c r="B6" s="191" t="str">
        <f>B4&amp;"1."</f>
        <v>F.1.</v>
      </c>
      <c r="C6" s="209" t="s">
        <v>26</v>
      </c>
      <c r="D6" s="207"/>
      <c r="E6" s="208"/>
      <c r="F6" s="194"/>
      <c r="G6" s="200"/>
      <c r="H6" s="226"/>
    </row>
    <row r="7" spans="2:8">
      <c r="B7" s="92"/>
      <c r="D7" s="97"/>
      <c r="E7" s="98"/>
      <c r="F7" s="99"/>
      <c r="G7" s="100"/>
      <c r="H7" s="54"/>
    </row>
    <row r="8" spans="2:8">
      <c r="B8" s="106"/>
      <c r="C8" s="111" t="s">
        <v>358</v>
      </c>
      <c r="D8" s="97"/>
      <c r="E8" s="98"/>
      <c r="F8" s="99"/>
      <c r="G8" s="100"/>
      <c r="H8" s="223"/>
    </row>
    <row r="9" spans="2:8">
      <c r="B9" s="92"/>
      <c r="D9" s="97"/>
      <c r="E9" s="98"/>
      <c r="F9" s="99"/>
      <c r="G9" s="100"/>
      <c r="H9" s="54"/>
    </row>
    <row r="10" spans="2:8" ht="33">
      <c r="C10" s="101" t="s">
        <v>359</v>
      </c>
      <c r="H10" s="54"/>
    </row>
    <row r="11" spans="2:8" ht="49.5">
      <c r="B11" s="92"/>
      <c r="C11" s="104" t="s">
        <v>327</v>
      </c>
      <c r="D11" s="97"/>
      <c r="E11" s="98"/>
      <c r="F11" s="99"/>
      <c r="G11" s="100"/>
      <c r="H11" s="54"/>
    </row>
    <row r="12" spans="2:8" ht="33">
      <c r="B12" s="92"/>
      <c r="C12" s="104" t="s">
        <v>328</v>
      </c>
      <c r="D12" s="97"/>
      <c r="E12" s="98"/>
      <c r="F12" s="99"/>
      <c r="G12" s="100"/>
      <c r="H12" s="54"/>
    </row>
    <row r="13" spans="2:8">
      <c r="B13" s="92"/>
      <c r="D13" s="97"/>
      <c r="E13" s="98"/>
      <c r="F13" s="99"/>
      <c r="G13" s="100"/>
      <c r="H13" s="54"/>
    </row>
    <row r="14" spans="2:8">
      <c r="B14" s="138" t="str">
        <f>$B$6&amp;COUNTA($B$6:INDEX(B:B,ROW()-1))</f>
        <v>F.1.1</v>
      </c>
      <c r="C14" s="139" t="s">
        <v>222</v>
      </c>
      <c r="D14" s="140"/>
      <c r="E14" s="141"/>
      <c r="F14" s="142"/>
      <c r="G14" s="143"/>
      <c r="H14" s="227"/>
    </row>
    <row r="15" spans="2:8">
      <c r="B15" s="92"/>
      <c r="D15" s="97"/>
      <c r="E15" s="98"/>
      <c r="F15" s="99"/>
      <c r="G15" s="100"/>
      <c r="H15" s="227"/>
    </row>
    <row r="16" spans="2:8" ht="66">
      <c r="B16" s="92"/>
      <c r="C16" s="101" t="s">
        <v>319</v>
      </c>
      <c r="D16" s="97"/>
      <c r="E16" s="98"/>
      <c r="F16" s="99"/>
      <c r="G16" s="100"/>
      <c r="H16" s="227"/>
    </row>
    <row r="17" spans="2:8" ht="33">
      <c r="B17" s="92"/>
      <c r="C17" s="101" t="s">
        <v>320</v>
      </c>
      <c r="D17" s="97"/>
      <c r="E17" s="98"/>
      <c r="F17" s="99"/>
      <c r="G17" s="100"/>
      <c r="H17" s="227"/>
    </row>
    <row r="18" spans="2:8" ht="33">
      <c r="B18" s="92"/>
      <c r="C18" s="101" t="s">
        <v>321</v>
      </c>
      <c r="D18" s="97"/>
      <c r="E18" s="98"/>
      <c r="F18" s="99"/>
      <c r="G18" s="100"/>
      <c r="H18" s="227"/>
    </row>
    <row r="19" spans="2:8" ht="33">
      <c r="B19" s="92"/>
      <c r="C19" s="101" t="s">
        <v>227</v>
      </c>
      <c r="D19" s="97"/>
      <c r="E19" s="98"/>
      <c r="F19" s="99"/>
      <c r="G19" s="100"/>
      <c r="H19" s="227"/>
    </row>
    <row r="20" spans="2:8">
      <c r="B20" s="92"/>
      <c r="D20" s="97"/>
      <c r="E20" s="98"/>
      <c r="F20" s="99"/>
      <c r="G20" s="100"/>
      <c r="H20" s="227"/>
    </row>
    <row r="21" spans="2:8">
      <c r="B21" s="92"/>
      <c r="C21" s="93" t="s">
        <v>224</v>
      </c>
      <c r="D21" s="97" t="s">
        <v>225</v>
      </c>
      <c r="E21" s="98">
        <v>1</v>
      </c>
      <c r="F21" s="105"/>
      <c r="G21" s="100" t="str">
        <f>IF(ISNUMBER(F21),ROUND(E21*ROUND(F21,2),2),"")</f>
        <v/>
      </c>
      <c r="H21" s="227"/>
    </row>
    <row r="22" spans="2:8">
      <c r="B22" s="92"/>
      <c r="D22" s="97"/>
      <c r="E22" s="98"/>
      <c r="F22" s="99"/>
      <c r="G22" s="100"/>
      <c r="H22" s="227"/>
    </row>
    <row r="23" spans="2:8">
      <c r="B23" s="138" t="str">
        <f>$B$6&amp;COUNTA($B$6:INDEX(B:B,ROW()-1))</f>
        <v>F.1.2</v>
      </c>
      <c r="C23" s="139" t="s">
        <v>322</v>
      </c>
      <c r="D23" s="140"/>
      <c r="E23" s="141"/>
      <c r="F23" s="142"/>
      <c r="G23" s="143"/>
      <c r="H23" s="227"/>
    </row>
    <row r="24" spans="2:8">
      <c r="B24" s="92"/>
      <c r="D24" s="97"/>
      <c r="E24" s="98"/>
      <c r="F24" s="99"/>
      <c r="G24" s="100"/>
      <c r="H24" s="227"/>
    </row>
    <row r="25" spans="2:8" ht="33">
      <c r="B25" s="92"/>
      <c r="C25" s="101" t="s">
        <v>323</v>
      </c>
      <c r="D25" s="97"/>
      <c r="E25" s="98"/>
      <c r="F25" s="99"/>
      <c r="G25" s="100"/>
      <c r="H25" s="227"/>
    </row>
    <row r="26" spans="2:8" ht="33">
      <c r="B26" s="92"/>
      <c r="C26" s="101" t="s">
        <v>325</v>
      </c>
      <c r="D26" s="97"/>
      <c r="E26" s="98"/>
      <c r="F26" s="99"/>
      <c r="G26" s="100"/>
      <c r="H26" s="227"/>
    </row>
    <row r="27" spans="2:8">
      <c r="B27" s="92"/>
      <c r="C27" s="93" t="s">
        <v>324</v>
      </c>
      <c r="D27" s="97"/>
      <c r="E27" s="98"/>
      <c r="F27" s="99"/>
      <c r="G27" s="100"/>
      <c r="H27" s="227"/>
    </row>
    <row r="28" spans="2:8">
      <c r="B28" s="92"/>
      <c r="C28" s="93" t="s">
        <v>407</v>
      </c>
      <c r="D28" s="97"/>
      <c r="E28" s="98"/>
      <c r="F28" s="99"/>
      <c r="G28" s="100"/>
      <c r="H28" s="227"/>
    </row>
    <row r="29" spans="2:8">
      <c r="B29" s="92"/>
      <c r="D29" s="97"/>
      <c r="E29" s="98"/>
      <c r="F29" s="99"/>
      <c r="G29" s="100"/>
      <c r="H29" s="227"/>
    </row>
    <row r="30" spans="2:8">
      <c r="B30" s="92"/>
      <c r="C30" s="93" t="s">
        <v>326</v>
      </c>
      <c r="D30" s="97" t="s">
        <v>33</v>
      </c>
      <c r="E30" s="98">
        <v>60</v>
      </c>
      <c r="F30" s="105"/>
      <c r="G30" s="100" t="str">
        <f>IF(ISNUMBER(F30),ROUND(E30*ROUND(F30,2),2),"")</f>
        <v/>
      </c>
      <c r="H30" s="227"/>
    </row>
    <row r="31" spans="2:8">
      <c r="B31" s="92"/>
      <c r="D31" s="97"/>
      <c r="E31" s="98"/>
      <c r="F31" s="99"/>
      <c r="G31" s="100"/>
      <c r="H31" s="227"/>
    </row>
    <row r="32" spans="2:8">
      <c r="B32" s="138" t="str">
        <f>$B$6&amp;COUNTA($B$6:INDEX(B:B,ROW()-1))</f>
        <v>F.1.3</v>
      </c>
      <c r="C32" s="139" t="s">
        <v>331</v>
      </c>
      <c r="D32" s="140"/>
      <c r="E32" s="141"/>
      <c r="F32" s="142"/>
      <c r="G32" s="143"/>
      <c r="H32" s="227"/>
    </row>
    <row r="33" spans="2:8">
      <c r="B33" s="92"/>
      <c r="D33" s="97"/>
      <c r="E33" s="98"/>
      <c r="F33" s="99"/>
      <c r="G33" s="100"/>
      <c r="H33" s="227"/>
    </row>
    <row r="34" spans="2:8" ht="33">
      <c r="B34" s="92"/>
      <c r="C34" s="101" t="s">
        <v>332</v>
      </c>
      <c r="D34" s="97"/>
      <c r="E34" s="98"/>
      <c r="F34" s="99"/>
      <c r="G34" s="100"/>
      <c r="H34" s="227"/>
    </row>
    <row r="35" spans="2:8" ht="33">
      <c r="B35" s="92"/>
      <c r="C35" s="238" t="s">
        <v>333</v>
      </c>
      <c r="D35" s="97"/>
      <c r="E35" s="98"/>
      <c r="F35" s="99"/>
      <c r="G35" s="100"/>
      <c r="H35" s="227"/>
    </row>
    <row r="36" spans="2:8">
      <c r="B36" s="92"/>
      <c r="D36" s="97"/>
      <c r="E36" s="98"/>
      <c r="F36" s="99"/>
      <c r="G36" s="100"/>
      <c r="H36" s="227"/>
    </row>
    <row r="37" spans="2:8">
      <c r="B37" s="92"/>
      <c r="C37" s="93" t="s">
        <v>334</v>
      </c>
      <c r="D37" s="97" t="s">
        <v>33</v>
      </c>
      <c r="E37" s="98">
        <v>90</v>
      </c>
      <c r="F37" s="105"/>
      <c r="G37" s="100" t="str">
        <f>IF(ISNUMBER(F37),ROUND(E37*ROUND(F37,2),2),"")</f>
        <v/>
      </c>
      <c r="H37" s="227"/>
    </row>
    <row r="38" spans="2:8">
      <c r="B38" s="92"/>
      <c r="D38" s="97"/>
      <c r="E38" s="98"/>
      <c r="F38" s="99"/>
      <c r="G38" s="100"/>
      <c r="H38" s="227"/>
    </row>
    <row r="39" spans="2:8">
      <c r="B39" s="138" t="str">
        <f>$B$6&amp;COUNTA($B$6:INDEX(B:B,ROW()-1))</f>
        <v>F.1.4</v>
      </c>
      <c r="C39" s="139" t="s">
        <v>236</v>
      </c>
      <c r="D39" s="140"/>
      <c r="E39" s="141"/>
      <c r="F39" s="142"/>
      <c r="G39" s="143"/>
      <c r="H39" s="227"/>
    </row>
    <row r="40" spans="2:8">
      <c r="B40" s="92"/>
      <c r="D40" s="97"/>
      <c r="E40" s="98"/>
      <c r="F40" s="99"/>
      <c r="G40" s="100"/>
      <c r="H40" s="227"/>
    </row>
    <row r="41" spans="2:8" ht="66">
      <c r="B41" s="102"/>
      <c r="C41" s="101" t="s">
        <v>329</v>
      </c>
      <c r="D41" s="97"/>
      <c r="E41" s="98"/>
      <c r="F41" s="99"/>
      <c r="G41" s="100"/>
      <c r="H41" s="227"/>
    </row>
    <row r="42" spans="2:8" ht="49.5">
      <c r="B42" s="102"/>
      <c r="C42" s="101" t="s">
        <v>330</v>
      </c>
      <c r="D42" s="97"/>
      <c r="E42" s="98"/>
      <c r="F42" s="99"/>
      <c r="G42" s="100"/>
      <c r="H42" s="227"/>
    </row>
    <row r="43" spans="2:8">
      <c r="B43" s="102"/>
      <c r="C43" s="101"/>
      <c r="D43" s="97"/>
      <c r="E43" s="98"/>
      <c r="F43" s="99"/>
      <c r="G43" s="100"/>
      <c r="H43" s="227"/>
    </row>
    <row r="44" spans="2:8">
      <c r="B44" s="92"/>
      <c r="C44" s="93" t="s">
        <v>235</v>
      </c>
      <c r="D44" s="97" t="s">
        <v>33</v>
      </c>
      <c r="E44" s="98">
        <v>90</v>
      </c>
      <c r="F44" s="105"/>
      <c r="G44" s="100" t="str">
        <f>IF(ISNUMBER(F44),ROUND(E44*ROUND(F44,2),2),"")</f>
        <v/>
      </c>
      <c r="H44" s="227"/>
    </row>
    <row r="45" spans="2:8">
      <c r="B45" s="92"/>
      <c r="C45" s="101"/>
      <c r="D45" s="97"/>
      <c r="E45" s="98"/>
      <c r="F45" s="98"/>
      <c r="G45" s="100"/>
      <c r="H45" s="227"/>
    </row>
    <row r="46" spans="2:8">
      <c r="B46" s="183" t="str">
        <f>B6</f>
        <v>F.1.</v>
      </c>
      <c r="C46" s="184" t="str">
        <f>C6&amp;" UKUPNO"</f>
        <v>PRIPREMNI I ZAVRŠNI RADOVI UKUPNO</v>
      </c>
      <c r="D46" s="185"/>
      <c r="E46" s="186"/>
      <c r="F46" s="187"/>
      <c r="G46" s="188">
        <f>SUM($G$6:INDEX(G:G,ROW()-1))</f>
        <v>0</v>
      </c>
      <c r="H46" s="228"/>
    </row>
  </sheetData>
  <protectedRanges>
    <protectedRange sqref="F4:G4" name="Range1_2"/>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B2:I49"/>
  <sheetViews>
    <sheetView tabSelected="1" view="pageBreakPreview" topLeftCell="A10" zoomScaleSheetLayoutView="100" workbookViewId="0">
      <selection activeCell="E30" sqref="E30"/>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9" s="51" customFormat="1" ht="33">
      <c r="B2" s="174" t="s">
        <v>8</v>
      </c>
      <c r="C2" s="189" t="s">
        <v>20</v>
      </c>
      <c r="D2" s="175" t="s">
        <v>21</v>
      </c>
      <c r="E2" s="175" t="s">
        <v>22</v>
      </c>
      <c r="F2" s="176" t="s">
        <v>23</v>
      </c>
      <c r="G2" s="190" t="s">
        <v>24</v>
      </c>
      <c r="H2" s="91" t="s">
        <v>25</v>
      </c>
    </row>
    <row r="3" spans="2:9">
      <c r="B3" s="169"/>
      <c r="C3" s="170"/>
      <c r="D3" s="171"/>
      <c r="E3" s="171"/>
      <c r="F3" s="172"/>
      <c r="G3" s="173"/>
    </row>
    <row r="4" spans="2:9">
      <c r="B4" s="177" t="str">
        <f>'F.0.'!B4</f>
        <v>F.</v>
      </c>
      <c r="C4" s="234" t="str">
        <f>'F.0.'!C4</f>
        <v>FASADA</v>
      </c>
      <c r="D4" s="179"/>
      <c r="E4" s="180"/>
      <c r="F4" s="181"/>
      <c r="G4" s="182"/>
    </row>
    <row r="5" spans="2:9">
      <c r="B5" s="240"/>
      <c r="C5" s="240"/>
      <c r="D5" s="241"/>
      <c r="E5" s="241"/>
      <c r="F5" s="242"/>
      <c r="G5" s="243"/>
      <c r="H5" s="52"/>
      <c r="I5" s="51"/>
    </row>
    <row r="6" spans="2:9">
      <c r="B6" s="106"/>
      <c r="C6" s="111" t="s">
        <v>358</v>
      </c>
      <c r="D6" s="97"/>
      <c r="E6" s="98"/>
      <c r="F6" s="99"/>
      <c r="G6" s="100"/>
      <c r="H6" s="245"/>
      <c r="I6" s="51"/>
    </row>
    <row r="7" spans="2:9">
      <c r="B7" s="259"/>
      <c r="C7" s="259"/>
      <c r="D7" s="260"/>
      <c r="E7" s="260"/>
      <c r="F7" s="261"/>
      <c r="G7" s="262"/>
    </row>
    <row r="8" spans="2:9">
      <c r="B8" s="191" t="str">
        <f>B4&amp;"2."</f>
        <v>F.2.</v>
      </c>
      <c r="C8" s="209" t="s">
        <v>335</v>
      </c>
      <c r="D8" s="207"/>
      <c r="E8" s="208"/>
      <c r="F8" s="194"/>
      <c r="G8" s="200"/>
      <c r="H8" s="226"/>
    </row>
    <row r="9" spans="2:9">
      <c r="B9" s="92"/>
      <c r="D9" s="97"/>
      <c r="E9" s="98"/>
      <c r="F9" s="99"/>
      <c r="G9" s="100"/>
      <c r="H9" s="227"/>
    </row>
    <row r="10" spans="2:9">
      <c r="B10" s="138" t="str">
        <f>$B$8&amp;COUNTA($B$8:INDEX(B:B,ROW()-1))</f>
        <v>F.2.1</v>
      </c>
      <c r="C10" s="139" t="s">
        <v>336</v>
      </c>
      <c r="D10" s="140"/>
      <c r="E10" s="141"/>
      <c r="F10" s="142"/>
      <c r="G10" s="143"/>
      <c r="H10" s="227"/>
    </row>
    <row r="11" spans="2:9">
      <c r="B11" s="92"/>
      <c r="D11" s="97"/>
      <c r="E11" s="98"/>
      <c r="F11" s="99"/>
      <c r="G11" s="100"/>
      <c r="H11" s="227"/>
    </row>
    <row r="12" spans="2:9">
      <c r="B12" s="102"/>
      <c r="C12" s="104" t="s">
        <v>339</v>
      </c>
      <c r="D12" s="97"/>
      <c r="E12" s="98"/>
      <c r="F12" s="99"/>
      <c r="G12" s="100"/>
      <c r="H12" s="227"/>
    </row>
    <row r="13" spans="2:9" ht="33">
      <c r="B13" s="102"/>
      <c r="C13" s="104" t="s">
        <v>340</v>
      </c>
      <c r="D13" s="97"/>
      <c r="E13" s="98"/>
      <c r="F13" s="99"/>
      <c r="G13" s="100"/>
      <c r="H13" s="227"/>
    </row>
    <row r="14" spans="2:9">
      <c r="B14" s="102"/>
      <c r="C14" s="104" t="s">
        <v>341</v>
      </c>
      <c r="D14" s="97"/>
      <c r="E14" s="98"/>
      <c r="F14" s="99"/>
      <c r="G14" s="100"/>
      <c r="H14" s="227"/>
    </row>
    <row r="15" spans="2:9">
      <c r="B15" s="102"/>
      <c r="C15" s="104"/>
      <c r="D15" s="97"/>
      <c r="E15" s="98"/>
      <c r="F15" s="99"/>
      <c r="G15" s="100"/>
      <c r="H15" s="227"/>
    </row>
    <row r="16" spans="2:9">
      <c r="B16" s="92"/>
      <c r="C16" s="93" t="s">
        <v>338</v>
      </c>
      <c r="D16" s="97" t="s">
        <v>33</v>
      </c>
      <c r="E16" s="98">
        <v>30</v>
      </c>
      <c r="F16" s="105">
        <v>35</v>
      </c>
      <c r="G16" s="100">
        <f>IF(ISNUMBER(F16),ROUND(E16*ROUND(F16,2),2),"")</f>
        <v>1050</v>
      </c>
      <c r="H16" s="227"/>
    </row>
    <row r="17" spans="2:8">
      <c r="B17" s="92"/>
      <c r="D17" s="97"/>
      <c r="E17" s="98"/>
      <c r="F17" s="99"/>
      <c r="G17" s="100"/>
      <c r="H17" s="227"/>
    </row>
    <row r="18" spans="2:8">
      <c r="B18" s="138" t="str">
        <f>$B$8&amp;COUNTA($B$8:INDEX(B:B,ROW()-1))</f>
        <v>F.2.2</v>
      </c>
      <c r="C18" s="139" t="s">
        <v>337</v>
      </c>
      <c r="D18" s="140"/>
      <c r="E18" s="141"/>
      <c r="F18" s="142"/>
      <c r="G18" s="143"/>
      <c r="H18" s="227"/>
    </row>
    <row r="19" spans="2:8">
      <c r="B19" s="92"/>
      <c r="D19" s="97"/>
      <c r="E19" s="98"/>
      <c r="F19" s="99"/>
      <c r="G19" s="100"/>
      <c r="H19" s="227"/>
    </row>
    <row r="20" spans="2:8">
      <c r="B20" s="102"/>
      <c r="C20" s="101" t="s">
        <v>342</v>
      </c>
      <c r="D20" s="97"/>
      <c r="E20" s="98"/>
      <c r="F20" s="99"/>
      <c r="G20" s="100"/>
      <c r="H20" s="227"/>
    </row>
    <row r="21" spans="2:8">
      <c r="B21" s="102"/>
      <c r="C21" s="101" t="s">
        <v>367</v>
      </c>
      <c r="D21" s="97"/>
      <c r="E21" s="98"/>
      <c r="F21" s="99"/>
      <c r="G21" s="100"/>
      <c r="H21" s="227"/>
    </row>
    <row r="22" spans="2:8">
      <c r="B22" s="102"/>
      <c r="C22" s="101" t="s">
        <v>368</v>
      </c>
      <c r="D22" s="97"/>
      <c r="E22" s="98"/>
      <c r="F22" s="99"/>
      <c r="G22" s="100"/>
      <c r="H22" s="227"/>
    </row>
    <row r="23" spans="2:8" ht="33">
      <c r="B23" s="102"/>
      <c r="C23" s="101" t="s">
        <v>343</v>
      </c>
      <c r="D23" s="97"/>
      <c r="E23" s="98"/>
      <c r="F23" s="99"/>
      <c r="G23" s="100"/>
      <c r="H23" s="227"/>
    </row>
    <row r="24" spans="2:8">
      <c r="B24" s="102"/>
      <c r="C24" s="101"/>
      <c r="D24" s="97"/>
      <c r="E24" s="98"/>
      <c r="F24" s="99"/>
      <c r="G24" s="100"/>
      <c r="H24" s="227"/>
    </row>
    <row r="25" spans="2:8">
      <c r="B25" s="102"/>
      <c r="C25" s="101" t="s">
        <v>423</v>
      </c>
      <c r="D25" s="97"/>
      <c r="E25" s="98"/>
      <c r="F25" s="99"/>
      <c r="G25" s="100"/>
      <c r="H25" s="227"/>
    </row>
    <row r="26" spans="2:8">
      <c r="B26" s="102"/>
      <c r="C26" s="101"/>
      <c r="D26" s="97"/>
      <c r="E26" s="98"/>
      <c r="F26" s="99"/>
      <c r="G26" s="100"/>
      <c r="H26" s="227"/>
    </row>
    <row r="27" spans="2:8">
      <c r="B27" s="102"/>
      <c r="C27" s="101" t="s">
        <v>344</v>
      </c>
      <c r="D27" s="201" t="s">
        <v>33</v>
      </c>
      <c r="E27" s="217">
        <v>60</v>
      </c>
      <c r="F27" s="105">
        <v>25</v>
      </c>
      <c r="G27" s="100">
        <f>IF(ISNUMBER(F27),ROUND(E27*ROUND(F27,2),2),"")</f>
        <v>1500</v>
      </c>
      <c r="H27" s="227"/>
    </row>
    <row r="28" spans="2:8">
      <c r="B28" s="102"/>
      <c r="C28" s="111" t="s">
        <v>347</v>
      </c>
      <c r="D28" s="97"/>
      <c r="E28" s="98"/>
      <c r="F28" s="99"/>
      <c r="G28" s="100"/>
      <c r="H28" s="227"/>
    </row>
    <row r="29" spans="2:8">
      <c r="B29" s="102"/>
      <c r="C29" s="101"/>
      <c r="D29" s="97"/>
      <c r="E29" s="98"/>
      <c r="F29" s="99"/>
      <c r="G29" s="100"/>
      <c r="H29" s="227"/>
    </row>
    <row r="30" spans="2:8">
      <c r="B30" s="102"/>
      <c r="C30" s="101" t="s">
        <v>242</v>
      </c>
      <c r="D30" s="97" t="s">
        <v>34</v>
      </c>
      <c r="E30" s="217">
        <v>110</v>
      </c>
      <c r="F30" s="105">
        <v>18</v>
      </c>
      <c r="G30" s="100">
        <f t="shared" ref="G30" si="0">IF(ISNUMBER(F30),ROUND(E30*ROUND(F30,2),2),"")</f>
        <v>1980</v>
      </c>
      <c r="H30" s="227"/>
    </row>
    <row r="31" spans="2:8">
      <c r="B31" s="102"/>
      <c r="C31" s="111" t="s">
        <v>348</v>
      </c>
      <c r="D31" s="97"/>
      <c r="E31" s="98"/>
      <c r="F31" s="99"/>
      <c r="G31" s="100"/>
      <c r="H31" s="227"/>
    </row>
    <row r="32" spans="2:8">
      <c r="B32" s="102"/>
      <c r="C32" s="101"/>
      <c r="D32" s="97"/>
      <c r="E32" s="98"/>
      <c r="F32" s="99"/>
      <c r="G32" s="100"/>
      <c r="H32" s="227"/>
    </row>
    <row r="33" spans="2:8" ht="33">
      <c r="B33" s="102"/>
      <c r="C33" s="115" t="s">
        <v>246</v>
      </c>
      <c r="D33" s="97"/>
      <c r="E33" s="98"/>
      <c r="F33" s="99"/>
      <c r="G33" s="100"/>
      <c r="H33" s="227"/>
    </row>
    <row r="34" spans="2:8" ht="33">
      <c r="B34" s="102"/>
      <c r="C34" s="115" t="s">
        <v>247</v>
      </c>
      <c r="D34" s="97"/>
      <c r="E34" s="98"/>
      <c r="F34" s="99"/>
      <c r="G34" s="100"/>
      <c r="H34" s="227"/>
    </row>
    <row r="35" spans="2:8">
      <c r="B35" s="102"/>
      <c r="C35" s="101"/>
      <c r="D35" s="97"/>
      <c r="E35" s="98"/>
      <c r="F35" s="99"/>
      <c r="G35" s="100"/>
      <c r="H35" s="227"/>
    </row>
    <row r="36" spans="2:8">
      <c r="B36" s="102"/>
      <c r="C36" s="101" t="s">
        <v>356</v>
      </c>
      <c r="D36" s="97"/>
      <c r="E36" s="98"/>
      <c r="F36" s="99"/>
      <c r="G36" s="100"/>
      <c r="H36" s="227"/>
    </row>
    <row r="37" spans="2:8">
      <c r="B37" s="102"/>
      <c r="C37" s="93" t="s">
        <v>259</v>
      </c>
      <c r="D37" s="97"/>
      <c r="E37" s="98"/>
      <c r="F37" s="99"/>
      <c r="G37" s="100"/>
      <c r="H37" s="227"/>
    </row>
    <row r="38" spans="2:8">
      <c r="B38" s="102"/>
      <c r="C38" s="93" t="s">
        <v>350</v>
      </c>
      <c r="D38" s="97"/>
      <c r="E38" s="98"/>
      <c r="F38" s="99"/>
      <c r="G38" s="100"/>
      <c r="H38" s="227"/>
    </row>
    <row r="39" spans="2:8">
      <c r="B39" s="102"/>
      <c r="C39" s="93" t="s">
        <v>351</v>
      </c>
      <c r="D39" s="97"/>
      <c r="E39" s="98"/>
      <c r="F39" s="99"/>
      <c r="G39" s="100"/>
      <c r="H39" s="227"/>
    </row>
    <row r="40" spans="2:8">
      <c r="B40" s="102"/>
      <c r="C40" s="93" t="s">
        <v>349</v>
      </c>
      <c r="D40" s="97"/>
      <c r="E40" s="98"/>
      <c r="F40" s="99"/>
      <c r="G40" s="100"/>
      <c r="H40" s="227"/>
    </row>
    <row r="41" spans="2:8">
      <c r="B41" s="102"/>
      <c r="C41" s="93" t="s">
        <v>412</v>
      </c>
      <c r="D41" s="97"/>
      <c r="E41" s="98"/>
      <c r="F41" s="99"/>
      <c r="G41" s="100"/>
      <c r="H41" s="227"/>
    </row>
    <row r="42" spans="2:8">
      <c r="B42" s="102"/>
      <c r="C42" s="93" t="s">
        <v>411</v>
      </c>
      <c r="D42" s="97"/>
      <c r="E42" s="98"/>
      <c r="F42" s="99"/>
      <c r="G42" s="100"/>
      <c r="H42" s="227"/>
    </row>
    <row r="43" spans="2:8">
      <c r="B43" s="102"/>
      <c r="C43" s="93" t="s">
        <v>410</v>
      </c>
      <c r="D43" s="97"/>
      <c r="E43" s="98"/>
      <c r="F43" s="99"/>
      <c r="G43" s="100"/>
      <c r="H43" s="227"/>
    </row>
    <row r="44" spans="2:8">
      <c r="B44" s="102"/>
      <c r="C44" s="93" t="s">
        <v>409</v>
      </c>
      <c r="D44" s="97"/>
      <c r="E44" s="98"/>
      <c r="F44" s="99"/>
      <c r="G44" s="100"/>
      <c r="H44" s="227"/>
    </row>
    <row r="45" spans="2:8">
      <c r="B45" s="92"/>
      <c r="C45" s="270" t="s">
        <v>424</v>
      </c>
      <c r="D45" s="97"/>
      <c r="E45" s="98"/>
      <c r="F45" s="98"/>
      <c r="G45" s="100"/>
      <c r="H45" s="227"/>
    </row>
    <row r="46" spans="2:8">
      <c r="B46" s="183" t="str">
        <f>B8</f>
        <v>F.2.</v>
      </c>
      <c r="C46" s="184" t="str">
        <f>C8&amp;" UKUPNO"</f>
        <v>FASADERSKI RADOVI UKUPNO</v>
      </c>
      <c r="D46" s="185"/>
      <c r="E46" s="186"/>
      <c r="F46" s="187"/>
      <c r="G46" s="188">
        <f>SUM($G$8:INDEX(G:G,ROW()-1))</f>
        <v>4530</v>
      </c>
      <c r="H46" s="228"/>
    </row>
    <row r="49" spans="5:5">
      <c r="E49" s="108"/>
    </row>
  </sheetData>
  <protectedRanges>
    <protectedRange sqref="F4:G4" name="Range1_2_1"/>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B2:H21"/>
  <sheetViews>
    <sheetView view="pageBreakPreview" zoomScaleSheetLayoutView="100" workbookViewId="0">
      <selection activeCell="F17" sqref="F17"/>
    </sheetView>
  </sheetViews>
  <sheetFormatPr defaultColWidth="9.140625" defaultRowHeight="16.5"/>
  <cols>
    <col min="1" max="1" width="3.7109375" style="53" customWidth="1"/>
    <col min="2" max="2" width="10.7109375" style="93" customWidth="1"/>
    <col min="3" max="3" width="60.7109375" style="93" customWidth="1"/>
    <col min="4" max="5" width="10.7109375" style="94" customWidth="1"/>
    <col min="6" max="6" width="10.7109375" style="95" customWidth="1"/>
    <col min="7" max="7" width="10.7109375" style="108" customWidth="1"/>
    <col min="8" max="8" width="100.7109375" style="55" customWidth="1"/>
    <col min="9" max="16384" width="9.140625" style="53"/>
  </cols>
  <sheetData>
    <row r="2" spans="2:8" s="51" customFormat="1" ht="33">
      <c r="B2" s="174" t="s">
        <v>8</v>
      </c>
      <c r="C2" s="189" t="s">
        <v>20</v>
      </c>
      <c r="D2" s="175" t="s">
        <v>21</v>
      </c>
      <c r="E2" s="175" t="s">
        <v>22</v>
      </c>
      <c r="F2" s="176" t="s">
        <v>23</v>
      </c>
      <c r="G2" s="190" t="s">
        <v>24</v>
      </c>
      <c r="H2" s="91" t="s">
        <v>25</v>
      </c>
    </row>
    <row r="3" spans="2:8">
      <c r="B3" s="169"/>
      <c r="C3" s="170"/>
      <c r="D3" s="171"/>
      <c r="E3" s="171"/>
      <c r="F3" s="172"/>
      <c r="G3" s="173"/>
    </row>
    <row r="4" spans="2:8">
      <c r="B4" s="177" t="str">
        <f>'F.0.'!B4</f>
        <v>F.</v>
      </c>
      <c r="C4" s="234" t="str">
        <f>'F.0.'!C4</f>
        <v>FASADA</v>
      </c>
      <c r="D4" s="179"/>
      <c r="E4" s="180"/>
      <c r="F4" s="181"/>
      <c r="G4" s="182"/>
    </row>
    <row r="5" spans="2:8">
      <c r="B5" s="170"/>
      <c r="C5" s="170"/>
      <c r="D5" s="171"/>
      <c r="E5" s="171"/>
      <c r="F5" s="172"/>
      <c r="G5" s="219"/>
    </row>
    <row r="6" spans="2:8">
      <c r="B6" s="191" t="str">
        <f>B4&amp;"3."</f>
        <v>F.3.</v>
      </c>
      <c r="C6" s="209" t="s">
        <v>380</v>
      </c>
      <c r="D6" s="207"/>
      <c r="E6" s="208"/>
      <c r="F6" s="194"/>
      <c r="G6" s="200"/>
      <c r="H6" s="226"/>
    </row>
    <row r="7" spans="2:8">
      <c r="B7" s="92"/>
      <c r="D7" s="97"/>
      <c r="E7" s="98"/>
      <c r="F7" s="99"/>
      <c r="G7" s="100"/>
      <c r="H7" s="227"/>
    </row>
    <row r="8" spans="2:8">
      <c r="B8" s="138" t="str">
        <f>$B$6&amp;COUNTA($B$6:INDEX(B:B,ROW()-1))</f>
        <v>F.3.1</v>
      </c>
      <c r="C8" s="139" t="s">
        <v>352</v>
      </c>
      <c r="D8" s="140"/>
      <c r="E8" s="141"/>
      <c r="F8" s="142"/>
      <c r="G8" s="143"/>
      <c r="H8" s="227"/>
    </row>
    <row r="9" spans="2:8">
      <c r="B9" s="92"/>
      <c r="D9" s="97"/>
      <c r="E9" s="98"/>
      <c r="F9" s="99"/>
      <c r="G9" s="100"/>
      <c r="H9" s="227"/>
    </row>
    <row r="10" spans="2:8" ht="33">
      <c r="B10" s="92"/>
      <c r="C10" s="238" t="s">
        <v>353</v>
      </c>
      <c r="D10" s="97"/>
      <c r="E10" s="98"/>
      <c r="F10" s="99"/>
      <c r="G10" s="100"/>
      <c r="H10" s="227"/>
    </row>
    <row r="11" spans="2:8" ht="33">
      <c r="B11" s="92"/>
      <c r="C11" s="101" t="s">
        <v>354</v>
      </c>
      <c r="D11" s="97"/>
      <c r="E11" s="98"/>
      <c r="F11" s="99"/>
      <c r="G11" s="100"/>
      <c r="H11" s="227"/>
    </row>
    <row r="12" spans="2:8">
      <c r="B12" s="92"/>
      <c r="D12" s="97"/>
      <c r="E12" s="98"/>
      <c r="F12" s="99"/>
      <c r="G12" s="100"/>
      <c r="H12" s="227"/>
    </row>
    <row r="13" spans="2:8">
      <c r="B13" s="92"/>
      <c r="C13" s="93" t="s">
        <v>408</v>
      </c>
      <c r="D13" s="97"/>
      <c r="E13" s="98"/>
      <c r="F13" s="99"/>
      <c r="G13" s="100"/>
      <c r="H13" s="227"/>
    </row>
    <row r="14" spans="2:8">
      <c r="B14" s="92"/>
      <c r="C14" s="93" t="s">
        <v>406</v>
      </c>
      <c r="D14" s="97"/>
      <c r="E14" s="98"/>
      <c r="F14" s="99"/>
      <c r="G14" s="100"/>
      <c r="H14" s="227"/>
    </row>
    <row r="15" spans="2:8">
      <c r="B15" s="92"/>
      <c r="D15" s="97"/>
      <c r="E15" s="98"/>
      <c r="F15" s="99"/>
      <c r="G15" s="100"/>
      <c r="H15" s="227"/>
    </row>
    <row r="16" spans="2:8">
      <c r="B16" s="92"/>
      <c r="C16" s="93" t="s">
        <v>355</v>
      </c>
      <c r="D16" s="97" t="s">
        <v>225</v>
      </c>
      <c r="E16" s="217">
        <v>1</v>
      </c>
      <c r="F16" s="105">
        <v>2000</v>
      </c>
      <c r="G16" s="100">
        <f t="shared" ref="G16" si="0">IF(ISNUMBER(F16),ROUND(E16*ROUND(F16,2),2),"")</f>
        <v>2000</v>
      </c>
      <c r="H16" s="227"/>
    </row>
    <row r="17" spans="2:8">
      <c r="B17" s="92"/>
      <c r="C17" s="101"/>
      <c r="D17" s="97"/>
      <c r="E17" s="98"/>
      <c r="F17" s="98"/>
      <c r="G17" s="100"/>
      <c r="H17" s="227"/>
    </row>
    <row r="18" spans="2:8">
      <c r="B18" s="183" t="str">
        <f>B6</f>
        <v>F.3.</v>
      </c>
      <c r="C18" s="184" t="str">
        <f>C6&amp;" UKUPNO"</f>
        <v>STOLARSKI RADOVI UKUPNO</v>
      </c>
      <c r="D18" s="185"/>
      <c r="E18" s="186"/>
      <c r="F18" s="187"/>
      <c r="G18" s="188">
        <f>SUM($G$6:INDEX(G:G,ROW()-1))</f>
        <v>2000</v>
      </c>
      <c r="H18" s="228"/>
    </row>
    <row r="21" spans="2:8">
      <c r="E21" s="108"/>
    </row>
  </sheetData>
  <protectedRanges>
    <protectedRange sqref="F4:G4" name="Range1_2_1"/>
  </protectedRanges>
  <printOptions horizontalCentered="1"/>
  <pageMargins left="0.78740157480314965" right="0" top="0.70866141732283472" bottom="0.70866141732283472" header="0" footer="0.19685039370078741"/>
  <pageSetup paperSize="9" scale="70" orientation="portrait" r:id="rId1"/>
  <headerFooter alignWithMargins="0">
    <oddFooter>&amp;L&amp;"Arial Narrow,Regular"&amp;9Stambena zgrada Tratinska&amp;C&amp;"Arial Narrow,Regular"&amp;9TROŠKOVNIK&amp;R&amp;"Arial Narrow,Regular"&amp;9&amp;P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43</vt:i4>
      </vt:variant>
    </vt:vector>
  </HeadingPairs>
  <TitlesOfParts>
    <vt:vector size="60" baseType="lpstr">
      <vt:lpstr>N</vt:lpstr>
      <vt:lpstr>R</vt:lpstr>
      <vt:lpstr>A.0.</vt:lpstr>
      <vt:lpstr>A.1.PRIPREMNI</vt:lpstr>
      <vt:lpstr>A.2.ZIDARSKI</vt:lpstr>
      <vt:lpstr>A.3.LIČILAČKI</vt:lpstr>
      <vt:lpstr>A.4.FASADERSKI</vt:lpstr>
      <vt:lpstr>A.5.STOLARSKI</vt:lpstr>
      <vt:lpstr>S.0.</vt:lpstr>
      <vt:lpstr>S.1.PRIPREMNI</vt:lpstr>
      <vt:lpstr>S.2.ZIDARSKI</vt:lpstr>
      <vt:lpstr>S.3.LIČILAČKI</vt:lpstr>
      <vt:lpstr>S.4.STOLARSKI</vt:lpstr>
      <vt:lpstr>F.0.</vt:lpstr>
      <vt:lpstr>F.1.PRIPREMNI</vt:lpstr>
      <vt:lpstr>F.2.FASADERSKI</vt:lpstr>
      <vt:lpstr>F.3.STOLARSKI</vt:lpstr>
      <vt:lpstr>AUTOR</vt:lpstr>
      <vt:lpstr>AUTOR_ADRESA</vt:lpstr>
      <vt:lpstr>AUTOR_GRAD</vt:lpstr>
      <vt:lpstr>AUTOR_NAZIV</vt:lpstr>
      <vt:lpstr>AUTOR_OIB</vt:lpstr>
      <vt:lpstr>AUTOR_PROJEKTANT</vt:lpstr>
      <vt:lpstr>DATUM</vt:lpstr>
      <vt:lpstr>INVESTITOR_ADRESA</vt:lpstr>
      <vt:lpstr>INVESTITOR_NAZIV</vt:lpstr>
      <vt:lpstr>INVESTITOR_OIB</vt:lpstr>
      <vt:lpstr>OIB</vt:lpstr>
      <vt:lpstr>A.0.!Print_Area</vt:lpstr>
      <vt:lpstr>A.1.PRIPREMNI!Print_Area</vt:lpstr>
      <vt:lpstr>A.2.ZIDARSKI!Print_Area</vt:lpstr>
      <vt:lpstr>A.3.LIČILAČKI!Print_Area</vt:lpstr>
      <vt:lpstr>A.4.FASADERSKI!Print_Area</vt:lpstr>
      <vt:lpstr>A.5.STOLARSKI!Print_Area</vt:lpstr>
      <vt:lpstr>F.0.!Print_Area</vt:lpstr>
      <vt:lpstr>F.1.PRIPREMNI!Print_Area</vt:lpstr>
      <vt:lpstr>F.2.FASADERSKI!Print_Area</vt:lpstr>
      <vt:lpstr>F.3.STOLARSKI!Print_Area</vt:lpstr>
      <vt:lpstr>N!Print_Area</vt:lpstr>
      <vt:lpstr>'R'!Print_Area</vt:lpstr>
      <vt:lpstr>S.0.!Print_Area</vt:lpstr>
      <vt:lpstr>S.1.PRIPREMNI!Print_Area</vt:lpstr>
      <vt:lpstr>S.2.ZIDARSKI!Print_Area</vt:lpstr>
      <vt:lpstr>S.3.LIČILAČKI!Print_Area</vt:lpstr>
      <vt:lpstr>S.4.STOLARSKI!Print_Area</vt:lpstr>
      <vt:lpstr>A.1.PRIPREMNI!Print_Titles</vt:lpstr>
      <vt:lpstr>A.2.ZIDARSKI!Print_Titles</vt:lpstr>
      <vt:lpstr>A.3.LIČILAČKI!Print_Titles</vt:lpstr>
      <vt:lpstr>A.4.FASADERSKI!Print_Titles</vt:lpstr>
      <vt:lpstr>A.5.STOLARSKI!Print_Titles</vt:lpstr>
      <vt:lpstr>F.1.PRIPREMNI!Print_Titles</vt:lpstr>
      <vt:lpstr>F.2.FASADERSKI!Print_Titles</vt:lpstr>
      <vt:lpstr>F.3.STOLARSKI!Print_Titles</vt:lpstr>
      <vt:lpstr>'R'!Print_Titles</vt:lpstr>
      <vt:lpstr>S.1.PRIPREMNI!Print_Titles</vt:lpstr>
      <vt:lpstr>S.2.ZIDARSKI!Print_Titles</vt:lpstr>
      <vt:lpstr>S.3.LIČILAČKI!Print_Titles</vt:lpstr>
      <vt:lpstr>S.4.STOLARSKI!Print_Titles</vt:lpstr>
      <vt:lpstr>PROJEKT_LOKACIJA</vt:lpstr>
      <vt:lpstr>PROJEKT_NAZIV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Nfo Nfo</dc:creator>
  <cp:lastModifiedBy>Ivan Cakaric</cp:lastModifiedBy>
  <cp:lastPrinted>2025-10-22T14:57:47Z</cp:lastPrinted>
  <dcterms:created xsi:type="dcterms:W3CDTF">2021-04-23T09:20:54Z</dcterms:created>
  <dcterms:modified xsi:type="dcterms:W3CDTF">2026-02-10T16:49:56Z</dcterms:modified>
</cp:coreProperties>
</file>