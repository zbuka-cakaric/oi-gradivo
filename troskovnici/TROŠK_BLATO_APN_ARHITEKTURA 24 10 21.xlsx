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heckCompatibility="1" defaultThemeVersion="124226"/>
  <mc:AlternateContent xmlns:mc="http://schemas.openxmlformats.org/markup-compatibility/2006">
    <mc:Choice Requires="x15">
      <x15ac:absPath xmlns:x15ac="http://schemas.microsoft.com/office/spreadsheetml/2010/11/ac" url="C:\Users\Ponude\AppData\Local\Microsoft\Windows\INetCache\Content.Outlook\LLSHMH45\"/>
    </mc:Choice>
  </mc:AlternateContent>
  <bookViews>
    <workbookView xWindow="-120" yWindow="-120" windowWidth="29040" windowHeight="15720" tabRatio="903" activeTab="5"/>
  </bookViews>
  <sheets>
    <sheet name="OPĆI UVJETI-NASELJE BLATO ZG" sheetId="6" r:id="rId1"/>
    <sheet name="1-GEODETSKI" sheetId="1" r:id="rId2"/>
    <sheet name="2-ZIDARSKI" sheetId="12" r:id="rId3"/>
    <sheet name="3-GIPS RADOVI" sheetId="13" r:id="rId4"/>
    <sheet name="4-IZOLATERSKI" sheetId="14" r:id="rId5"/>
    <sheet name="5-FASADERSKI" sheetId="15" r:id="rId6"/>
    <sheet name="6-BRAVARSKI i ČELIČNI" sheetId="16" r:id="rId7"/>
    <sheet name="7-ALUMINIJSKI" sheetId="17" r:id="rId8"/>
    <sheet name="8-LIMARSKI" sheetId="26" r:id="rId9"/>
    <sheet name="9-STOLARSKI" sheetId="19" r:id="rId10"/>
    <sheet name="10-PVC STOLARIJA i KROVNA KUPOL" sheetId="20" r:id="rId11"/>
    <sheet name="11-SOBOSLIKARSKI LIČILAČKI" sheetId="18" r:id="rId12"/>
    <sheet name="12-KERAMIČARSKI" sheetId="22" r:id="rId13"/>
    <sheet name="13-PODOVI PARKET" sheetId="23" r:id="rId14"/>
    <sheet name="14-RAZNI RADOVI" sheetId="24" r:id="rId15"/>
    <sheet name="M1(R1)-REKAPIT GO RADOVA" sheetId="25" r:id="rId16"/>
    <sheet name="M2-SKLONIŠTE ARHITEKTURA" sheetId="37" r:id="rId17"/>
    <sheet name="T-UREĐENJE TERENA" sheetId="8" r:id="rId18"/>
    <sheet name="M3-KONSTRUKCIJA GRAĐ RAD ZGRADA" sheetId="27" r:id="rId19"/>
    <sheet name="M4-KONSTRUKCIJA GR RA SKLONIŠTE" sheetId="28" r:id="rId20"/>
    <sheet name="M5-ELEKTROINSTALACIJE ZGRADA" sheetId="29" r:id="rId21"/>
    <sheet name="M6-ELEKTROINSTALACIJE SKLONIŠTE" sheetId="30" r:id="rId22"/>
    <sheet name="M8-STROJARSTVO TERMOINSTALACIJE" sheetId="31" r:id="rId23"/>
    <sheet name="M9-STROJARSTVO PLINSKE INSTALAC" sheetId="32" r:id="rId24"/>
    <sheet name="M7_10-ViK ZGRADA i SKLONIŠTE" sheetId="33" r:id="rId25"/>
    <sheet name="M11-STROJARSTVO SKLONIŠTE" sheetId="35" r:id="rId26"/>
    <sheet name="M12-DIZALA" sheetId="11" r:id="rId27"/>
    <sheet name="R-REKAPITULACIJA SVEUKUPNA" sheetId="36" r:id="rId28"/>
  </sheets>
  <definedNames>
    <definedName name="_xlnm.Print_Area" localSheetId="16">'M2-SKLONIŠTE ARHITEKTURA'!$A$1:$G$450</definedName>
    <definedName name="_xlnm.Print_Area" localSheetId="0">'OPĆI UVJETI-NASELJE BLATO ZG'!$A$1:$C$116</definedName>
    <definedName name="_xlnm.Print_Titles" localSheetId="10">'10-PVC STOLARIJA i KROVNA KUPOL'!$1:$2</definedName>
    <definedName name="_xlnm.Print_Titles" localSheetId="11">'11-SOBOSLIKARSKI LIČILAČKI'!$1:$2</definedName>
    <definedName name="_xlnm.Print_Titles" localSheetId="12">'12-KERAMIČARSKI'!$1:$2</definedName>
    <definedName name="_xlnm.Print_Titles" localSheetId="13">'13-PODOVI PARKET'!$1:$2</definedName>
    <definedName name="_xlnm.Print_Titles" localSheetId="14">'14-RAZNI RADOVI'!$1:$2</definedName>
    <definedName name="_xlnm.Print_Titles" localSheetId="1">'1-GEODETSKI'!$46:$47</definedName>
    <definedName name="_xlnm.Print_Titles" localSheetId="2">'2-ZIDARSKI'!$1:$2</definedName>
    <definedName name="_xlnm.Print_Titles" localSheetId="3">'3-GIPS RADOVI'!$1:$2</definedName>
    <definedName name="_xlnm.Print_Titles" localSheetId="4">'4-IZOLATERSKI'!$1:$2</definedName>
    <definedName name="_xlnm.Print_Titles" localSheetId="5">'5-FASADERSKI'!$1:$2</definedName>
    <definedName name="_xlnm.Print_Titles" localSheetId="6">'6-BRAVARSKI i ČELIČNI'!$1:$2</definedName>
    <definedName name="_xlnm.Print_Titles" localSheetId="7">'7-ALUMINIJSKI'!$1:$2</definedName>
    <definedName name="_xlnm.Print_Titles" localSheetId="8">'8-LIMARSKI'!$1:$2</definedName>
    <definedName name="_xlnm.Print_Titles" localSheetId="9">'9-STOLARSKI'!$1:$2</definedName>
    <definedName name="_xlnm.Print_Titles" localSheetId="15">'M1(R1)-REKAPIT GO RADOVA'!#REF!</definedName>
    <definedName name="_xlnm.Print_Titles" localSheetId="25">'M11-STROJARSTVO SKLONIŠTE'!$47:$48</definedName>
    <definedName name="_xlnm.Print_Titles" localSheetId="26">'M12-DIZALA'!#REF!</definedName>
    <definedName name="_xlnm.Print_Titles" localSheetId="16">'M2-SKLONIŠTE ARHITEKTURA'!$52:$52</definedName>
    <definedName name="_xlnm.Print_Titles" localSheetId="18">'M3-KONSTRUKCIJA GRAĐ RAD ZGRADA'!$47:$48</definedName>
    <definedName name="_xlnm.Print_Titles" localSheetId="19">'M4-KONSTRUKCIJA GR RA SKLONIŠTE'!$47:$48</definedName>
    <definedName name="_xlnm.Print_Titles" localSheetId="20">'M5-ELEKTROINSTALACIJE ZGRADA'!$47:$48</definedName>
    <definedName name="_xlnm.Print_Titles" localSheetId="21">'M6-ELEKTROINSTALACIJE SKLONIŠTE'!$47:$48</definedName>
    <definedName name="_xlnm.Print_Titles" localSheetId="24">'M7_10-ViK ZGRADA i SKLONIŠTE'!$52:$53</definedName>
    <definedName name="_xlnm.Print_Titles" localSheetId="22">'M8-STROJARSTVO TERMOINSTALACIJE'!$47:$48</definedName>
    <definedName name="_xlnm.Print_Titles" localSheetId="23">'M9-STROJARSTVO PLINSKE INSTALAC'!$47:$48</definedName>
    <definedName name="_xlnm.Print_Titles" localSheetId="0">'OPĆI UVJETI-NASELJE BLATO ZG'!#REF!</definedName>
    <definedName name="_xlnm.Print_Titles" localSheetId="27">'R-REKAPITULACIJA SVEUKUPNA'!#REF!</definedName>
    <definedName name="_xlnm.Print_Titles" localSheetId="17">'T-UREĐENJE TERENA'!$46:$47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9" i="30" l="1"/>
  <c r="G429" i="37" l="1"/>
  <c r="G427" i="37"/>
  <c r="G426" i="37"/>
  <c r="G425" i="37"/>
  <c r="G422" i="37"/>
  <c r="G420" i="37"/>
  <c r="G418" i="37"/>
  <c r="G416" i="37"/>
  <c r="G414" i="37"/>
  <c r="G412" i="37"/>
  <c r="G411" i="37"/>
  <c r="G410" i="37"/>
  <c r="G408" i="37"/>
  <c r="G406" i="37"/>
  <c r="G404" i="37"/>
  <c r="G402" i="37"/>
  <c r="G400" i="37"/>
  <c r="G398" i="37"/>
  <c r="G396" i="37"/>
  <c r="G395" i="37"/>
  <c r="G393" i="37"/>
  <c r="G392" i="37"/>
  <c r="G431" i="37" s="1"/>
  <c r="G271" i="37"/>
  <c r="G270" i="37"/>
  <c r="G259" i="37"/>
  <c r="G254" i="37"/>
  <c r="G246" i="37"/>
  <c r="G245" i="37"/>
  <c r="G241" i="37"/>
  <c r="G240" i="37"/>
  <c r="I8" i="24"/>
  <c r="I13" i="24"/>
  <c r="I19" i="24"/>
  <c r="G276" i="37" l="1"/>
  <c r="G445" i="37"/>
  <c r="G448" i="37"/>
  <c r="G379" i="37"/>
  <c r="G378" i="37"/>
  <c r="G375" i="37"/>
  <c r="G383" i="37" s="1"/>
  <c r="G346" i="37"/>
  <c r="G341" i="37"/>
  <c r="G332" i="37"/>
  <c r="G328" i="37"/>
  <c r="G325" i="37"/>
  <c r="G322" i="37"/>
  <c r="G321" i="37"/>
  <c r="G318" i="37"/>
  <c r="G315" i="37"/>
  <c r="G310" i="37"/>
  <c r="G306" i="37"/>
  <c r="G193" i="37"/>
  <c r="G196" i="37" s="1"/>
  <c r="G444" i="37" s="1"/>
  <c r="G144" i="37"/>
  <c r="G143" i="37"/>
  <c r="G132" i="37"/>
  <c r="G129" i="37"/>
  <c r="G126" i="37"/>
  <c r="G123" i="37"/>
  <c r="G118" i="37"/>
  <c r="G349" i="37" l="1"/>
  <c r="G446" i="37" s="1"/>
  <c r="G447" i="37"/>
  <c r="G134" i="37"/>
  <c r="G442" i="37" s="1"/>
  <c r="G147" i="37"/>
  <c r="G443" i="37" s="1"/>
  <c r="F114" i="11"/>
  <c r="F116" i="11" s="1"/>
  <c r="I90" i="22"/>
  <c r="G450" i="37" l="1"/>
  <c r="I4" i="36" s="1"/>
  <c r="I14" i="36"/>
  <c r="G197" i="35"/>
  <c r="I13" i="36" s="1"/>
  <c r="G677" i="33" l="1"/>
  <c r="G672" i="33"/>
  <c r="G667" i="33"/>
  <c r="G664" i="33"/>
  <c r="G661" i="33"/>
  <c r="G658" i="33"/>
  <c r="G655" i="33"/>
  <c r="G646" i="33"/>
  <c r="G643" i="33"/>
  <c r="G640" i="33"/>
  <c r="G637" i="33"/>
  <c r="G629" i="33"/>
  <c r="G621" i="33"/>
  <c r="G615" i="33"/>
  <c r="G606" i="33"/>
  <c r="G593" i="33"/>
  <c r="G590" i="33"/>
  <c r="G587" i="33"/>
  <c r="G584" i="33"/>
  <c r="G581" i="33"/>
  <c r="G578" i="33"/>
  <c r="G575" i="33"/>
  <c r="G573" i="33"/>
  <c r="G566" i="33"/>
  <c r="G565" i="33"/>
  <c r="G564" i="33"/>
  <c r="G561" i="33"/>
  <c r="G558" i="33"/>
  <c r="G555" i="33"/>
  <c r="G552" i="33"/>
  <c r="G549" i="33"/>
  <c r="G542" i="33"/>
  <c r="G539" i="33"/>
  <c r="G536" i="33"/>
  <c r="G533" i="33"/>
  <c r="G530" i="33"/>
  <c r="G527" i="33"/>
  <c r="G524" i="33"/>
  <c r="G521" i="33"/>
  <c r="G518" i="33"/>
  <c r="G515" i="33"/>
  <c r="G514" i="33"/>
  <c r="G510" i="33"/>
  <c r="G500" i="33"/>
  <c r="G493" i="33"/>
  <c r="G490" i="33"/>
  <c r="G487" i="33"/>
  <c r="G484" i="33"/>
  <c r="G483" i="33"/>
  <c r="G482" i="33"/>
  <c r="G481" i="33"/>
  <c r="G480" i="33"/>
  <c r="G477" i="33"/>
  <c r="G476" i="33"/>
  <c r="G475" i="33"/>
  <c r="G474" i="33"/>
  <c r="G473" i="33"/>
  <c r="G471" i="33"/>
  <c r="G470" i="33"/>
  <c r="G469" i="33"/>
  <c r="G468" i="33"/>
  <c r="G465" i="33"/>
  <c r="G464" i="33"/>
  <c r="G460" i="33"/>
  <c r="G459" i="33"/>
  <c r="G458" i="33"/>
  <c r="G457" i="33"/>
  <c r="G454" i="33"/>
  <c r="G453" i="33"/>
  <c r="G452" i="33"/>
  <c r="G451" i="33"/>
  <c r="G445" i="33"/>
  <c r="G442" i="33"/>
  <c r="G439" i="33"/>
  <c r="G436" i="33"/>
  <c r="G433" i="33"/>
  <c r="G430" i="33"/>
  <c r="G427" i="33"/>
  <c r="G424" i="33"/>
  <c r="G421" i="33"/>
  <c r="G420" i="33"/>
  <c r="G419" i="33"/>
  <c r="G415" i="33"/>
  <c r="G414" i="33"/>
  <c r="G410" i="33"/>
  <c r="G407" i="33"/>
  <c r="G406" i="33"/>
  <c r="G405" i="33"/>
  <c r="G402" i="33"/>
  <c r="G399" i="33"/>
  <c r="G396" i="33"/>
  <c r="G395" i="33"/>
  <c r="G391" i="33"/>
  <c r="G389" i="33"/>
  <c r="G386" i="33"/>
  <c r="G385" i="33"/>
  <c r="G384" i="33"/>
  <c r="G383" i="33"/>
  <c r="G380" i="33"/>
  <c r="G379" i="33"/>
  <c r="G378" i="33"/>
  <c r="G377" i="33"/>
  <c r="G376" i="33"/>
  <c r="G375" i="33"/>
  <c r="G374" i="33"/>
  <c r="G371" i="33"/>
  <c r="G370" i="33"/>
  <c r="G369" i="33"/>
  <c r="G368" i="33"/>
  <c r="G367" i="33"/>
  <c r="G366" i="33"/>
  <c r="G365" i="33"/>
  <c r="G362" i="33"/>
  <c r="G350" i="33"/>
  <c r="G347" i="33"/>
  <c r="G344" i="33"/>
  <c r="G343" i="33"/>
  <c r="G342" i="33"/>
  <c r="G339" i="33"/>
  <c r="G334" i="33"/>
  <c r="G328" i="33"/>
  <c r="G323" i="33"/>
  <c r="G320" i="33"/>
  <c r="G317" i="33"/>
  <c r="G316" i="33"/>
  <c r="G313" i="33"/>
  <c r="G312" i="33"/>
  <c r="G311" i="33"/>
  <c r="G308" i="33"/>
  <c r="G307" i="33"/>
  <c r="G306" i="33"/>
  <c r="G303" i="33"/>
  <c r="G302" i="33"/>
  <c r="G301" i="33"/>
  <c r="G298" i="33"/>
  <c r="G297" i="33"/>
  <c r="G296" i="33"/>
  <c r="G293" i="33"/>
  <c r="G290" i="33"/>
  <c r="G288" i="33"/>
  <c r="G286" i="33"/>
  <c r="G281" i="33"/>
  <c r="G280" i="33"/>
  <c r="G279" i="33"/>
  <c r="G278" i="33"/>
  <c r="G276" i="33"/>
  <c r="G275" i="33"/>
  <c r="G268" i="33"/>
  <c r="G264" i="33"/>
  <c r="G261" i="33"/>
  <c r="G257" i="33"/>
  <c r="G251" i="33"/>
  <c r="G242" i="33"/>
  <c r="G239" i="33"/>
  <c r="G236" i="33"/>
  <c r="G233" i="33"/>
  <c r="G230" i="33"/>
  <c r="G227" i="33"/>
  <c r="G214" i="33"/>
  <c r="G211" i="33"/>
  <c r="G208" i="33"/>
  <c r="G205" i="33"/>
  <c r="G202" i="33"/>
  <c r="G199" i="33"/>
  <c r="G196" i="33"/>
  <c r="G193" i="33"/>
  <c r="G190" i="33"/>
  <c r="G186" i="33"/>
  <c r="G183" i="33"/>
  <c r="G179" i="33"/>
  <c r="G175" i="33"/>
  <c r="G172" i="33"/>
  <c r="G171" i="33"/>
  <c r="G170" i="33"/>
  <c r="G169" i="33"/>
  <c r="G165" i="33"/>
  <c r="G162" i="33"/>
  <c r="G161" i="33"/>
  <c r="G157" i="33"/>
  <c r="G156" i="33"/>
  <c r="G152" i="33"/>
  <c r="G151" i="33"/>
  <c r="G147" i="33"/>
  <c r="G146" i="33"/>
  <c r="G145" i="33"/>
  <c r="G141" i="33"/>
  <c r="G137" i="33"/>
  <c r="G136" i="33"/>
  <c r="G132" i="33"/>
  <c r="G128" i="33"/>
  <c r="G124" i="33"/>
  <c r="G123" i="33"/>
  <c r="G119" i="33"/>
  <c r="G118" i="33"/>
  <c r="G117" i="33"/>
  <c r="G113" i="33"/>
  <c r="G112" i="33"/>
  <c r="G111" i="33"/>
  <c r="G107" i="33"/>
  <c r="G103" i="33"/>
  <c r="G97" i="33"/>
  <c r="G94" i="33"/>
  <c r="G91" i="33"/>
  <c r="G88" i="33"/>
  <c r="G83" i="33"/>
  <c r="G80" i="33"/>
  <c r="G77" i="33"/>
  <c r="G74" i="33"/>
  <c r="G71" i="33"/>
  <c r="G68" i="33"/>
  <c r="G65" i="33"/>
  <c r="G62" i="33"/>
  <c r="G372" i="32"/>
  <c r="G370" i="32"/>
  <c r="G368" i="32"/>
  <c r="G366" i="32"/>
  <c r="G364" i="32"/>
  <c r="G363" i="32"/>
  <c r="G360" i="32"/>
  <c r="G359" i="32"/>
  <c r="G358" i="32"/>
  <c r="G355" i="32"/>
  <c r="G352" i="32"/>
  <c r="G349" i="32"/>
  <c r="G348" i="32"/>
  <c r="G345" i="32"/>
  <c r="G344" i="32"/>
  <c r="G343" i="32"/>
  <c r="G340" i="32"/>
  <c r="G339" i="32"/>
  <c r="G338" i="32"/>
  <c r="G335" i="32"/>
  <c r="G332" i="32"/>
  <c r="G330" i="32"/>
  <c r="G322" i="32"/>
  <c r="G319" i="32"/>
  <c r="G316" i="32"/>
  <c r="G314" i="32"/>
  <c r="G312" i="32"/>
  <c r="G309" i="32"/>
  <c r="G306" i="32"/>
  <c r="G305" i="32"/>
  <c r="G304" i="32"/>
  <c r="G303" i="32"/>
  <c r="G302" i="32"/>
  <c r="G301" i="32"/>
  <c r="G300" i="32"/>
  <c r="G297" i="32"/>
  <c r="G296" i="32"/>
  <c r="G295" i="32"/>
  <c r="G294" i="32"/>
  <c r="G293" i="32"/>
  <c r="G292" i="32"/>
  <c r="G291" i="32"/>
  <c r="G290" i="32"/>
  <c r="G289" i="32"/>
  <c r="G286" i="32"/>
  <c r="G285" i="32"/>
  <c r="G284" i="32"/>
  <c r="G283" i="32"/>
  <c r="G282" i="32"/>
  <c r="G279" i="32"/>
  <c r="G278" i="32"/>
  <c r="G277" i="32"/>
  <c r="G276" i="32"/>
  <c r="G275" i="32"/>
  <c r="G274" i="32"/>
  <c r="G273" i="32"/>
  <c r="G270" i="32"/>
  <c r="G269" i="32"/>
  <c r="G268" i="32"/>
  <c r="G267" i="32"/>
  <c r="G266" i="32"/>
  <c r="G265" i="32"/>
  <c r="G264" i="32"/>
  <c r="G254" i="32"/>
  <c r="G251" i="32"/>
  <c r="G245" i="32"/>
  <c r="G243" i="32"/>
  <c r="G241" i="32"/>
  <c r="G239" i="32"/>
  <c r="G236" i="32"/>
  <c r="G233" i="32"/>
  <c r="G229" i="32"/>
  <c r="G228" i="32"/>
  <c r="G227" i="32"/>
  <c r="G226" i="32"/>
  <c r="G222" i="32"/>
  <c r="G221" i="32"/>
  <c r="G220" i="32"/>
  <c r="G216" i="32"/>
  <c r="G215" i="32"/>
  <c r="G214" i="32"/>
  <c r="G211" i="32"/>
  <c r="G210" i="32"/>
  <c r="G209" i="32"/>
  <c r="G208" i="32"/>
  <c r="G205" i="32"/>
  <c r="G202" i="32"/>
  <c r="G199" i="32"/>
  <c r="G193" i="32"/>
  <c r="G187" i="32"/>
  <c r="G184" i="32"/>
  <c r="G181" i="32"/>
  <c r="G180" i="32"/>
  <c r="G177" i="32"/>
  <c r="G176" i="32"/>
  <c r="G173" i="32"/>
  <c r="G172" i="32"/>
  <c r="G169" i="32"/>
  <c r="G168" i="32"/>
  <c r="G165" i="32"/>
  <c r="G164" i="32"/>
  <c r="G163" i="32"/>
  <c r="G160" i="32"/>
  <c r="G159" i="32"/>
  <c r="G158" i="32"/>
  <c r="G155" i="32"/>
  <c r="G137" i="32"/>
  <c r="G134" i="32"/>
  <c r="G130" i="32"/>
  <c r="G127" i="32"/>
  <c r="G124" i="32"/>
  <c r="G121" i="32"/>
  <c r="G118" i="32"/>
  <c r="G115" i="32"/>
  <c r="G111" i="32"/>
  <c r="G108" i="32"/>
  <c r="G105" i="32"/>
  <c r="G95" i="32"/>
  <c r="G319" i="31"/>
  <c r="G317" i="31"/>
  <c r="G315" i="31"/>
  <c r="G314" i="31"/>
  <c r="G306" i="31"/>
  <c r="G303" i="31"/>
  <c r="G300" i="31"/>
  <c r="G298" i="31"/>
  <c r="G296" i="31"/>
  <c r="G293" i="31"/>
  <c r="G290" i="31"/>
  <c r="G287" i="31"/>
  <c r="G283" i="31"/>
  <c r="G279" i="31"/>
  <c r="G276" i="31"/>
  <c r="G273" i="31"/>
  <c r="G270" i="31"/>
  <c r="G262" i="31"/>
  <c r="G261" i="31"/>
  <c r="G260" i="31"/>
  <c r="G252" i="31"/>
  <c r="G249" i="31"/>
  <c r="G246" i="31"/>
  <c r="G245" i="31"/>
  <c r="G242" i="31"/>
  <c r="G234" i="31"/>
  <c r="G231" i="31"/>
  <c r="G225" i="31"/>
  <c r="G217" i="31"/>
  <c r="G212" i="31"/>
  <c r="G196" i="31"/>
  <c r="G193" i="31"/>
  <c r="G192" i="31"/>
  <c r="G189" i="31"/>
  <c r="G188" i="31"/>
  <c r="G185" i="31"/>
  <c r="G168" i="31"/>
  <c r="G165" i="31"/>
  <c r="G162" i="31"/>
  <c r="G159" i="31"/>
  <c r="G158" i="31"/>
  <c r="G154" i="31"/>
  <c r="G151" i="31"/>
  <c r="G149" i="31"/>
  <c r="G148" i="31"/>
  <c r="G144" i="31"/>
  <c r="G136" i="31"/>
  <c r="G127" i="31"/>
  <c r="G109" i="31"/>
  <c r="G88" i="31"/>
  <c r="G74" i="31"/>
  <c r="G217" i="30"/>
  <c r="G215" i="30"/>
  <c r="G206" i="30"/>
  <c r="G203" i="30"/>
  <c r="G208" i="30" s="1"/>
  <c r="G238" i="30" s="1"/>
  <c r="G197" i="30"/>
  <c r="G237" i="30" s="1"/>
  <c r="G195" i="30"/>
  <c r="G192" i="30"/>
  <c r="G182" i="30"/>
  <c r="G176" i="30"/>
  <c r="G173" i="30"/>
  <c r="G170" i="30"/>
  <c r="G167" i="30"/>
  <c r="G160" i="30"/>
  <c r="G157" i="30"/>
  <c r="G149" i="30"/>
  <c r="G146" i="30"/>
  <c r="G143" i="30"/>
  <c r="G140" i="30"/>
  <c r="G137" i="30"/>
  <c r="G134" i="30"/>
  <c r="G131" i="30"/>
  <c r="G128" i="30"/>
  <c r="G125" i="30"/>
  <c r="G122" i="30"/>
  <c r="G114" i="30"/>
  <c r="G111" i="30"/>
  <c r="G106" i="30"/>
  <c r="G102" i="30"/>
  <c r="G97" i="30"/>
  <c r="G92" i="30"/>
  <c r="G87" i="30"/>
  <c r="G82" i="30"/>
  <c r="G74" i="30"/>
  <c r="G76" i="30" s="1"/>
  <c r="G232" i="30" s="1"/>
  <c r="G847" i="29"/>
  <c r="G828" i="29"/>
  <c r="G820" i="29"/>
  <c r="G807" i="29"/>
  <c r="G802" i="29"/>
  <c r="G793" i="29"/>
  <c r="G791" i="29"/>
  <c r="G789" i="29"/>
  <c r="G787" i="29"/>
  <c r="G785" i="29"/>
  <c r="G783" i="29"/>
  <c r="G781" i="29"/>
  <c r="G779" i="29"/>
  <c r="G777" i="29"/>
  <c r="G775" i="29"/>
  <c r="G772" i="29"/>
  <c r="G769" i="29"/>
  <c r="G766" i="29"/>
  <c r="G761" i="29"/>
  <c r="G759" i="29"/>
  <c r="G756" i="29"/>
  <c r="G754" i="29"/>
  <c r="G752" i="29"/>
  <c r="G750" i="29"/>
  <c r="G748" i="29"/>
  <c r="G746" i="29"/>
  <c r="G741" i="29"/>
  <c r="G730" i="29"/>
  <c r="G722" i="29"/>
  <c r="G714" i="29"/>
  <c r="G696" i="29"/>
  <c r="G677" i="29"/>
  <c r="G659" i="29"/>
  <c r="G640" i="29"/>
  <c r="G613" i="29"/>
  <c r="G606" i="29"/>
  <c r="G597" i="29"/>
  <c r="G590" i="29"/>
  <c r="G581" i="29"/>
  <c r="G575" i="29"/>
  <c r="G557" i="29"/>
  <c r="G541" i="29"/>
  <c r="G524" i="29"/>
  <c r="G506" i="29"/>
  <c r="G504" i="29"/>
  <c r="G502" i="29"/>
  <c r="G500" i="29"/>
  <c r="G498" i="29"/>
  <c r="G495" i="29"/>
  <c r="G492" i="29"/>
  <c r="G490" i="29"/>
  <c r="G487" i="29"/>
  <c r="G484" i="29"/>
  <c r="G481" i="29"/>
  <c r="G478" i="29"/>
  <c r="G475" i="29"/>
  <c r="G470" i="29"/>
  <c r="G462" i="29"/>
  <c r="G454" i="29"/>
  <c r="G447" i="29"/>
  <c r="G436" i="29"/>
  <c r="G433" i="29"/>
  <c r="G430" i="29"/>
  <c r="G427" i="29"/>
  <c r="G424" i="29"/>
  <c r="G421" i="29"/>
  <c r="G418" i="29"/>
  <c r="G415" i="29"/>
  <c r="G412" i="29"/>
  <c r="G409" i="29"/>
  <c r="G406" i="29"/>
  <c r="G401" i="29"/>
  <c r="G399" i="29"/>
  <c r="G394" i="29"/>
  <c r="G389" i="29"/>
  <c r="G384" i="29"/>
  <c r="G379" i="29"/>
  <c r="G374" i="29"/>
  <c r="G369" i="29"/>
  <c r="G364" i="29"/>
  <c r="G359" i="29"/>
  <c r="G355" i="29"/>
  <c r="G350" i="29"/>
  <c r="G337" i="29"/>
  <c r="G335" i="29"/>
  <c r="G333" i="29"/>
  <c r="G331" i="29"/>
  <c r="G329" i="29"/>
  <c r="G323" i="29"/>
  <c r="G320" i="29"/>
  <c r="G315" i="29"/>
  <c r="G313" i="29"/>
  <c r="G311" i="29"/>
  <c r="G309" i="29"/>
  <c r="G307" i="29"/>
  <c r="G301" i="29"/>
  <c r="G298" i="29"/>
  <c r="G292" i="29"/>
  <c r="G284" i="29"/>
  <c r="G281" i="29"/>
  <c r="G278" i="29"/>
  <c r="G275" i="29"/>
  <c r="G272" i="29"/>
  <c r="G269" i="29"/>
  <c r="G260" i="29"/>
  <c r="G258" i="29"/>
  <c r="G256" i="29"/>
  <c r="G254" i="29"/>
  <c r="G252" i="29"/>
  <c r="G250" i="29"/>
  <c r="G248" i="29"/>
  <c r="G246" i="29"/>
  <c r="G236" i="29"/>
  <c r="G215" i="29"/>
  <c r="G213" i="29"/>
  <c r="G211" i="29"/>
  <c r="G209" i="29"/>
  <c r="G195" i="29"/>
  <c r="G193" i="29"/>
  <c r="G191" i="29"/>
  <c r="G189" i="29"/>
  <c r="G187" i="29"/>
  <c r="G185" i="29"/>
  <c r="G183" i="29"/>
  <c r="G166" i="29"/>
  <c r="G164" i="29"/>
  <c r="G162" i="29"/>
  <c r="G160" i="29"/>
  <c r="G158" i="29"/>
  <c r="G156" i="29"/>
  <c r="G154" i="29"/>
  <c r="G152" i="29"/>
  <c r="G150" i="29"/>
  <c r="G141" i="29"/>
  <c r="G127" i="29"/>
  <c r="G113" i="29"/>
  <c r="G97" i="29"/>
  <c r="G81" i="29"/>
  <c r="G79" i="29"/>
  <c r="G77" i="29"/>
  <c r="G75" i="29"/>
  <c r="G73" i="29"/>
  <c r="G71" i="29"/>
  <c r="G69" i="29"/>
  <c r="G67" i="29"/>
  <c r="G65" i="29"/>
  <c r="G61" i="29"/>
  <c r="G59" i="29"/>
  <c r="G57" i="29"/>
  <c r="G55" i="29"/>
  <c r="G53" i="29"/>
  <c r="G116" i="28"/>
  <c r="G111" i="28"/>
  <c r="G110" i="28"/>
  <c r="G109" i="28"/>
  <c r="G104" i="28"/>
  <c r="G103" i="28"/>
  <c r="G102" i="28"/>
  <c r="G101" i="28"/>
  <c r="G100" i="28"/>
  <c r="G99" i="28"/>
  <c r="G98" i="28"/>
  <c r="G93" i="28"/>
  <c r="G92" i="28"/>
  <c r="G91" i="28"/>
  <c r="G86" i="28"/>
  <c r="G81" i="28"/>
  <c r="J315" i="27"/>
  <c r="J310" i="27"/>
  <c r="J309" i="27"/>
  <c r="J308" i="27"/>
  <c r="J305" i="27"/>
  <c r="J304" i="27"/>
  <c r="J301" i="27"/>
  <c r="J300" i="27"/>
  <c r="J295" i="27"/>
  <c r="J292" i="27"/>
  <c r="J289" i="27"/>
  <c r="J288" i="27"/>
  <c r="J285" i="27"/>
  <c r="J284" i="27"/>
  <c r="J283" i="27"/>
  <c r="J278" i="27"/>
  <c r="J277" i="27"/>
  <c r="J272" i="27"/>
  <c r="J271" i="27"/>
  <c r="H269" i="27"/>
  <c r="G269" i="27"/>
  <c r="E269" i="27"/>
  <c r="E266" i="27"/>
  <c r="J266" i="27" s="1"/>
  <c r="H265" i="27"/>
  <c r="G265" i="27"/>
  <c r="E265" i="27"/>
  <c r="J265" i="27" s="1"/>
  <c r="J261" i="27"/>
  <c r="J260" i="27"/>
  <c r="J259" i="27"/>
  <c r="J258" i="27"/>
  <c r="J257" i="27"/>
  <c r="J256" i="27"/>
  <c r="J255" i="27"/>
  <c r="J254" i="27"/>
  <c r="J253" i="27"/>
  <c r="J250" i="27"/>
  <c r="J249" i="27"/>
  <c r="J248" i="27"/>
  <c r="J247" i="27"/>
  <c r="J246" i="27"/>
  <c r="J245" i="27"/>
  <c r="J244" i="27"/>
  <c r="J243" i="27"/>
  <c r="J240" i="27"/>
  <c r="J239" i="27"/>
  <c r="J238" i="27"/>
  <c r="J237" i="27"/>
  <c r="J236" i="27"/>
  <c r="J231" i="27"/>
  <c r="J230" i="27"/>
  <c r="J229" i="27"/>
  <c r="J228" i="27"/>
  <c r="J227" i="27"/>
  <c r="J226" i="27"/>
  <c r="J225" i="27"/>
  <c r="J224" i="27"/>
  <c r="J223" i="27"/>
  <c r="J222" i="27"/>
  <c r="J221" i="27"/>
  <c r="J216" i="27"/>
  <c r="J215" i="27"/>
  <c r="J214" i="27"/>
  <c r="J213" i="27"/>
  <c r="J212" i="27"/>
  <c r="J209" i="27"/>
  <c r="J208" i="27"/>
  <c r="J207" i="27"/>
  <c r="J206" i="27"/>
  <c r="J205" i="27"/>
  <c r="J204" i="27"/>
  <c r="J203" i="27"/>
  <c r="J202" i="27"/>
  <c r="J201" i="27"/>
  <c r="J200" i="27"/>
  <c r="J199" i="27"/>
  <c r="J198" i="27"/>
  <c r="J197" i="27"/>
  <c r="J196" i="27"/>
  <c r="J195" i="27"/>
  <c r="J194" i="27"/>
  <c r="J193" i="27"/>
  <c r="J192" i="27"/>
  <c r="J191" i="27"/>
  <c r="J190" i="27"/>
  <c r="J189" i="27"/>
  <c r="J188" i="27"/>
  <c r="J187" i="27"/>
  <c r="J186" i="27"/>
  <c r="J185" i="27"/>
  <c r="J184" i="27"/>
  <c r="J179" i="27"/>
  <c r="J178" i="27"/>
  <c r="J177" i="27"/>
  <c r="J176" i="27"/>
  <c r="J175" i="27"/>
  <c r="J174" i="27"/>
  <c r="J169" i="27"/>
  <c r="J168" i="27"/>
  <c r="J165" i="27"/>
  <c r="J164" i="27"/>
  <c r="J159" i="27"/>
  <c r="J158" i="27"/>
  <c r="J155" i="27"/>
  <c r="J154" i="27"/>
  <c r="J153" i="27"/>
  <c r="J117" i="27"/>
  <c r="J114" i="27"/>
  <c r="J113" i="27"/>
  <c r="J110" i="27"/>
  <c r="J105" i="27"/>
  <c r="J104" i="27"/>
  <c r="G103" i="27"/>
  <c r="J103" i="27" s="1"/>
  <c r="G87" i="27"/>
  <c r="F87" i="27"/>
  <c r="E87" i="27"/>
  <c r="J87" i="27" s="1"/>
  <c r="H83" i="27"/>
  <c r="G83" i="27"/>
  <c r="F83" i="27"/>
  <c r="E83" i="27"/>
  <c r="J75" i="27"/>
  <c r="G71" i="27"/>
  <c r="H71" i="27" s="1"/>
  <c r="G170" i="31" l="1"/>
  <c r="G330" i="31" s="1"/>
  <c r="G254" i="31"/>
  <c r="G332" i="31" s="1"/>
  <c r="G184" i="30"/>
  <c r="G236" i="30" s="1"/>
  <c r="G217" i="33"/>
  <c r="G686" i="33" s="1"/>
  <c r="G151" i="30"/>
  <c r="G234" i="30" s="1"/>
  <c r="G119" i="28"/>
  <c r="G132" i="28" s="1"/>
  <c r="I7" i="36" s="1"/>
  <c r="G858" i="29"/>
  <c r="G795" i="29"/>
  <c r="G117" i="30"/>
  <c r="G233" i="30" s="1"/>
  <c r="J83" i="27"/>
  <c r="G198" i="31"/>
  <c r="G331" i="31" s="1"/>
  <c r="G221" i="30"/>
  <c r="G239" i="30" s="1"/>
  <c r="J269" i="27"/>
  <c r="G680" i="33"/>
  <c r="G688" i="33" s="1"/>
  <c r="G340" i="29"/>
  <c r="G857" i="29" s="1"/>
  <c r="G321" i="31"/>
  <c r="G333" i="31" s="1"/>
  <c r="G335" i="31" s="1"/>
  <c r="I10" i="36" s="1"/>
  <c r="G353" i="33"/>
  <c r="G687" i="33" s="1"/>
  <c r="G690" i="33" s="1"/>
  <c r="I12" i="36" s="1"/>
  <c r="G850" i="29"/>
  <c r="G859" i="29" s="1"/>
  <c r="G162" i="30"/>
  <c r="G235" i="30" s="1"/>
  <c r="G139" i="32"/>
  <c r="G400" i="32" s="1"/>
  <c r="G257" i="32"/>
  <c r="G401" i="32" s="1"/>
  <c r="G375" i="32"/>
  <c r="G403" i="32" s="1"/>
  <c r="G325" i="32"/>
  <c r="G402" i="32" s="1"/>
  <c r="J318" i="27"/>
  <c r="I337" i="27" s="1"/>
  <c r="J71" i="27"/>
  <c r="G245" i="8"/>
  <c r="G246" i="8"/>
  <c r="I100" i="22"/>
  <c r="I27" i="26"/>
  <c r="I23" i="26"/>
  <c r="G241" i="30" l="1"/>
  <c r="I9" i="36" s="1"/>
  <c r="J119" i="27"/>
  <c r="I336" i="27" s="1"/>
  <c r="I339" i="27" s="1"/>
  <c r="I6" i="36" s="1"/>
  <c r="G861" i="29"/>
  <c r="G405" i="32"/>
  <c r="I11" i="36" s="1"/>
  <c r="I62" i="15"/>
  <c r="F107" i="12" l="1"/>
  <c r="I107" i="12" s="1"/>
  <c r="F104" i="12"/>
  <c r="I104" i="12" s="1"/>
  <c r="I78" i="12" l="1"/>
  <c r="I60" i="12"/>
  <c r="I86" i="17" l="1"/>
  <c r="G125" i="8"/>
  <c r="G62" i="8" l="1"/>
  <c r="G145" i="8" l="1"/>
  <c r="I102" i="17"/>
  <c r="I98" i="17"/>
  <c r="I94" i="17"/>
  <c r="I68" i="17" l="1"/>
  <c r="I131" i="16"/>
  <c r="I37" i="20"/>
  <c r="I30" i="24" l="1"/>
  <c r="I29" i="24"/>
  <c r="G173" i="8" l="1"/>
  <c r="I169" i="16" l="1"/>
  <c r="I170" i="16"/>
  <c r="G183" i="8"/>
  <c r="G182" i="8" l="1"/>
  <c r="G172" i="8"/>
  <c r="I43" i="18" l="1"/>
  <c r="I44" i="18"/>
  <c r="I45" i="18"/>
  <c r="I42" i="18"/>
  <c r="I38" i="18"/>
  <c r="I37" i="18"/>
  <c r="I36" i="18"/>
  <c r="I35" i="18"/>
  <c r="I34" i="18"/>
  <c r="I31" i="18"/>
  <c r="I30" i="18"/>
  <c r="I29" i="18"/>
  <c r="I28" i="18"/>
  <c r="I60" i="15"/>
  <c r="I64" i="15"/>
  <c r="I48" i="18" l="1"/>
  <c r="I14" i="23"/>
  <c r="I199" i="16" l="1"/>
  <c r="I181" i="14"/>
  <c r="I75" i="15"/>
  <c r="I61" i="15"/>
  <c r="I128" i="14" l="1"/>
  <c r="I81" i="13"/>
  <c r="I29" i="26" l="1"/>
  <c r="I194" i="16"/>
  <c r="I55" i="20" l="1"/>
  <c r="I65" i="13" l="1"/>
  <c r="I63" i="13"/>
  <c r="I130" i="12"/>
  <c r="I129" i="12"/>
  <c r="I128" i="12"/>
  <c r="I127" i="12"/>
  <c r="I137" i="12"/>
  <c r="I136" i="12"/>
  <c r="I135" i="12"/>
  <c r="I134" i="12"/>
  <c r="I133" i="12"/>
  <c r="I22" i="26" l="1"/>
  <c r="I15" i="26"/>
  <c r="I31" i="26" s="1"/>
  <c r="I10" i="25" s="1"/>
  <c r="A17" i="26"/>
  <c r="A25" i="26" s="1"/>
  <c r="I150" i="14"/>
  <c r="I141" i="14"/>
  <c r="I177" i="14" l="1"/>
  <c r="G56" i="8" l="1"/>
  <c r="G68" i="8"/>
  <c r="G102" i="8"/>
  <c r="G112" i="8"/>
  <c r="G117" i="8"/>
  <c r="G140" i="8"/>
  <c r="G151" i="8"/>
  <c r="G159" i="8"/>
  <c r="G171" i="8"/>
  <c r="G170" i="8"/>
  <c r="G169" i="8"/>
  <c r="G184" i="8"/>
  <c r="G181" i="8"/>
  <c r="G180" i="8"/>
  <c r="G179" i="8"/>
  <c r="G178" i="8"/>
  <c r="G177" i="8"/>
  <c r="G191" i="8"/>
  <c r="G203" i="8"/>
  <c r="G210" i="8" s="1"/>
  <c r="G260" i="8" s="1"/>
  <c r="G208" i="8"/>
  <c r="G225" i="8"/>
  <c r="G222" i="8"/>
  <c r="G221" i="8"/>
  <c r="G235" i="8"/>
  <c r="G239" i="8"/>
  <c r="G243" i="8"/>
  <c r="G242" i="8"/>
  <c r="G251" i="8"/>
  <c r="G250" i="8"/>
  <c r="G244" i="8"/>
  <c r="G128" i="8" l="1"/>
  <c r="G257" i="8" s="1"/>
  <c r="G153" i="8"/>
  <c r="G258" i="8" s="1"/>
  <c r="G253" i="8"/>
  <c r="G261" i="8" s="1"/>
  <c r="G71" i="8"/>
  <c r="G256" i="8" s="1"/>
  <c r="G263" i="8" s="1"/>
  <c r="G194" i="8"/>
  <c r="G259" i="8" s="1"/>
  <c r="I204" i="16"/>
  <c r="A119" i="16" l="1"/>
  <c r="I174" i="16"/>
  <c r="A144" i="16" l="1"/>
  <c r="I190" i="16"/>
  <c r="A149" i="16" l="1"/>
  <c r="I24" i="24"/>
  <c r="I34" i="24" s="1"/>
  <c r="A10" i="24"/>
  <c r="I16" i="25"/>
  <c r="I17" i="23"/>
  <c r="I19" i="23" s="1"/>
  <c r="A161" i="16" l="1"/>
  <c r="A172" i="16" s="1"/>
  <c r="A176" i="16" s="1"/>
  <c r="A188" i="16" l="1"/>
  <c r="A21" i="24" l="1"/>
  <c r="A26" i="24" s="1"/>
  <c r="A192" i="16"/>
  <c r="A196" i="16" s="1"/>
  <c r="A201" i="16" s="1"/>
  <c r="A206" i="16" l="1"/>
  <c r="I76" i="22" l="1"/>
  <c r="I80" i="22"/>
  <c r="I86" i="22"/>
  <c r="I109" i="22"/>
  <c r="I105" i="22"/>
  <c r="I104" i="22"/>
  <c r="I96" i="22"/>
  <c r="I112" i="22" l="1"/>
  <c r="I15" i="25"/>
  <c r="I67" i="17" l="1"/>
  <c r="I66" i="17"/>
  <c r="I79" i="17"/>
  <c r="I78" i="17"/>
  <c r="I55" i="17"/>
  <c r="I104" i="17" s="1"/>
  <c r="I208" i="16"/>
  <c r="I46" i="19"/>
  <c r="I45" i="19"/>
  <c r="I44" i="19"/>
  <c r="A39" i="19"/>
  <c r="A48" i="19" s="1"/>
  <c r="I43" i="19"/>
  <c r="A92" i="22"/>
  <c r="I14" i="25" l="1"/>
  <c r="I46" i="20" l="1"/>
  <c r="I45" i="20"/>
  <c r="I44" i="20"/>
  <c r="I43" i="20"/>
  <c r="A39" i="20"/>
  <c r="A48" i="20" s="1"/>
  <c r="I36" i="20"/>
  <c r="I35" i="20"/>
  <c r="I57" i="20" s="1"/>
  <c r="I52" i="19"/>
  <c r="I37" i="19"/>
  <c r="I36" i="19"/>
  <c r="I35" i="19"/>
  <c r="I56" i="19" s="1"/>
  <c r="I12" i="25" l="1"/>
  <c r="I11" i="25"/>
  <c r="I117" i="16" l="1"/>
  <c r="A57" i="17" l="1"/>
  <c r="I186" i="16"/>
  <c r="I185" i="16"/>
  <c r="I184" i="16"/>
  <c r="I183" i="16"/>
  <c r="I182" i="16"/>
  <c r="I181" i="16"/>
  <c r="I168" i="16"/>
  <c r="I167" i="16"/>
  <c r="I159" i="16"/>
  <c r="I158" i="16"/>
  <c r="I157" i="16"/>
  <c r="I156" i="16"/>
  <c r="I155" i="16"/>
  <c r="A70" i="17" l="1"/>
  <c r="I13" i="25"/>
  <c r="I9" i="25"/>
  <c r="A88" i="17" l="1"/>
  <c r="I147" i="16"/>
  <c r="I142" i="16" l="1"/>
  <c r="I141" i="16"/>
  <c r="I140" i="16"/>
  <c r="I139" i="16"/>
  <c r="I138" i="16" l="1"/>
  <c r="I137" i="16"/>
  <c r="I136" i="16"/>
  <c r="I135" i="16"/>
  <c r="I126" i="16"/>
  <c r="I125" i="16"/>
  <c r="I113" i="16"/>
  <c r="I109" i="16"/>
  <c r="I105" i="16"/>
  <c r="I101" i="16"/>
  <c r="I97" i="16"/>
  <c r="I74" i="15" l="1"/>
  <c r="I59" i="15"/>
  <c r="I58" i="15"/>
  <c r="I57" i="15"/>
  <c r="I211" i="16" l="1"/>
  <c r="I8" i="25" s="1"/>
  <c r="I79" i="12"/>
  <c r="I77" i="12"/>
  <c r="A74" i="12"/>
  <c r="A81" i="12" l="1"/>
  <c r="A92" i="12" s="1"/>
  <c r="I78" i="15"/>
  <c r="A109" i="12" l="1"/>
  <c r="I7" i="25"/>
  <c r="I6" i="25"/>
  <c r="I135" i="14"/>
  <c r="I120" i="14"/>
  <c r="I117" i="14"/>
  <c r="G118" i="14"/>
  <c r="F118" i="14"/>
  <c r="E118" i="14"/>
  <c r="D118" i="14"/>
  <c r="I91" i="14"/>
  <c r="I90" i="14"/>
  <c r="I89" i="14"/>
  <c r="I109" i="14"/>
  <c r="I102" i="14"/>
  <c r="I100" i="13"/>
  <c r="I92" i="14"/>
  <c r="I88" i="14"/>
  <c r="I87" i="14"/>
  <c r="A94" i="14"/>
  <c r="I183" i="14" l="1"/>
  <c r="A104" i="14"/>
  <c r="A113" i="14" s="1"/>
  <c r="I118" i="14"/>
  <c r="A122" i="14" l="1"/>
  <c r="I103" i="13"/>
  <c r="I5" i="25" s="1"/>
  <c r="I155" i="12"/>
  <c r="I151" i="12"/>
  <c r="I147" i="12"/>
  <c r="I66" i="12"/>
  <c r="I65" i="12"/>
  <c r="I64" i="12"/>
  <c r="I72" i="12"/>
  <c r="I69" i="12"/>
  <c r="I68" i="12"/>
  <c r="I67" i="12"/>
  <c r="A139" i="12"/>
  <c r="I90" i="12"/>
  <c r="I89" i="12"/>
  <c r="I61" i="12"/>
  <c r="I59" i="12"/>
  <c r="I143" i="12"/>
  <c r="I58" i="1"/>
  <c r="I54" i="1"/>
  <c r="A133" i="14" l="1"/>
  <c r="A137" i="14" s="1"/>
  <c r="I158" i="12"/>
  <c r="I4" i="25" s="1"/>
  <c r="A145" i="12"/>
  <c r="I60" i="1"/>
  <c r="I3" i="25" s="1"/>
  <c r="I18" i="25" s="1"/>
  <c r="I3" i="36" s="1"/>
  <c r="A143" i="14" l="1"/>
  <c r="A152" i="14" s="1"/>
  <c r="A149" i="12"/>
  <c r="I5" i="36" l="1"/>
  <c r="A153" i="12"/>
  <c r="I16" i="36" l="1"/>
  <c r="A114" i="8"/>
  <c r="A119" i="8" s="1"/>
  <c r="I8" i="36"/>
  <c r="I19" i="36" l="1"/>
  <c r="I22" i="36" s="1"/>
</calcChain>
</file>

<file path=xl/sharedStrings.xml><?xml version="1.0" encoding="utf-8"?>
<sst xmlns="http://schemas.openxmlformats.org/spreadsheetml/2006/main" count="5713" uniqueCount="2904">
  <si>
    <t>TROŠKOVNIK</t>
  </si>
  <si>
    <t>MAPA I.</t>
  </si>
  <si>
    <t>PROJEKT ARHITEKTURE</t>
  </si>
  <si>
    <t>GRAĐEVINSKO - ZANATSKI RADOVI</t>
  </si>
  <si>
    <t>r.br.</t>
  </si>
  <si>
    <t>OPIS</t>
  </si>
  <si>
    <t>Količina</t>
  </si>
  <si>
    <r>
      <t>Jedinična cijena (</t>
    </r>
    <r>
      <rPr>
        <b/>
        <sz val="10"/>
        <color indexed="23"/>
        <rFont val="Calibri"/>
        <family val="2"/>
        <charset val="238"/>
      </rPr>
      <t>€)</t>
    </r>
  </si>
  <si>
    <t>Ukupno (€)</t>
  </si>
  <si>
    <t>1.</t>
  </si>
  <si>
    <t>GEODETSKI RADOVI</t>
  </si>
  <si>
    <t>Geodetski radovi podrazumijevaju iskolčenje širokog iskopa, iskolčenje građevine te kontrolu osnovnih mjera tokom izvođenja, a  sve u skladu s geodetskom situacijom.</t>
  </si>
  <si>
    <t>ISKOLČENJE ŠIROKOG ISKOPA</t>
  </si>
  <si>
    <t>Iskolčenje širokog iskopa</t>
  </si>
  <si>
    <t>sat</t>
  </si>
  <si>
    <t>KONTROLA OSNOVNIH GABARITA</t>
  </si>
  <si>
    <t>Konstrola osnovnih gabarita</t>
  </si>
  <si>
    <t>GEODETSKI RADOVI UKUPNO</t>
  </si>
  <si>
    <t>2.</t>
  </si>
  <si>
    <t>3.</t>
  </si>
  <si>
    <t>4.</t>
  </si>
  <si>
    <t>5.</t>
  </si>
  <si>
    <t>ZIDARSKI RADOVI</t>
  </si>
  <si>
    <t>ZIDANJE</t>
  </si>
  <si>
    <t>Zidanja  moraju biti izvedena stručno, po općim pravilima za zidanja i uz poštovanje posebnih pravila i proizvođačkih naputaka za pojedine materijale. Striktno se moraju poštovati dimenzije iz projekta.</t>
  </si>
  <si>
    <t>MORT</t>
  </si>
  <si>
    <t>ŽBUKANJE</t>
  </si>
  <si>
    <t>Površine žbuke moraju biti glatke i ravne bez pukotina i visova. Uglovi i završeci oštri, ravni, okomiti, vodoravni ili u pravcu označenim u nacrtima. Sudar žbuka sa svim elementima ugrađenim u zid mora biti potpuno zatvoren i fino obrađen. Ploha žbuke ne smije prekoračiti ravnine ugrađenih okvira, doprozornika i dovratnika. Svi uglovi i sudari moraju biti oštro i ravno odrezani i pod ravnim kutem izvedeni, sa prethodnom postavom originalnih metalnih kutnih i zidnih plosnih i kutnih profila na svim rubovima zida, sredini zidova te doprozornicima i natprozornicima. Također na svim spojevima zidnih i stropnih površina te armiranobetonskih površina sa površinama nekog drugog materijala (gips ploče, blokovi) postaviti PVC mrežicu radi sprečavanja nastajanja pukotina.</t>
  </si>
  <si>
    <t xml:space="preserve">Žbukanja moraju biti izvedena stručno i naročito precizno, ivice ožbukanih elemenata moraju bez odstupanja pratiti  zadanu formu.  Izložene ivice ojačavaju se  tipskim aluminijskim perforiranim "L" profilom.     </t>
  </si>
  <si>
    <t>Podloga za žbukanje: armirani beton</t>
  </si>
  <si>
    <t>Cementni namazi i glazure moraju pratiti zadanu geometriju ploha, mjestimična odstupanja od zadane plohe moraju biti u granicama propisanih tolerancija.</t>
  </si>
  <si>
    <t>Plivajući podovi sastoje se od 
- zvučno - toplinske izolacije
- razdjelnog sloja PE folije
- cementne glazure - estriha</t>
  </si>
  <si>
    <t>AB ESTRIH</t>
  </si>
  <si>
    <t>Prije početka radova potrebno je podlogu ispitati na čvrstoću, ravnost i sadržaj vlage. Podloga treba biti čista, bez cementne košuljice, bez ostatka ulja za odvajanje oplata, bez iscvjetavanja i ne smije biti pjeskovita.</t>
  </si>
  <si>
    <t>Estrih se može zamiješati ručno u miješalici sa slobodnim padom ili u tlačnoj miješalici, ili automatski u protočnoj miješalici odnosno u postrojenju za estrihe gdje se dozira direktno iz silosa. Kod materijala isporučenog u vrećama potrebno je cca 5l vode po vreći, a kod materijala isporučenog u silosu cca 180-200l vode po m3 (90-100l/t). Smije se primjeniti samo pitka voda.</t>
  </si>
  <si>
    <t>Estrih se armira: 
a) pocinčanom mrežom za cem. estrih Ø5mm, okna 50-70mm
b) polipropilenskim vlaknima u količini prema recepturi za traženu marku</t>
  </si>
  <si>
    <t>Temperatura zraka, materijala i podloge za vrijeme obrade i vezanja treba biti preko +5°C. Propuh ili direktno sunčevo zračenje kao i prebrzo isušivanje treba izbjegavati. Maksimalno mjestimično odstupanje od zadane ravnine je +(-) 3mm. Gornja površina se strojno zaglađuje.</t>
  </si>
  <si>
    <t>U prostorijama u kojima su predviđeni slivnici i rigalice gornja površina estriha treba biti izvedena u padu. Padove estriha treba precizno izvesti prema podnim slivnicima i rigalicama.</t>
  </si>
  <si>
    <t>Ukupna debljina, odn. gornja kota estriha pri izvedbi treba biti precizno prilagođena završnim slojevima poda (pri izvedbi estriha obavezno je sagledavanje potrebne debljine završnih slojeva poda).</t>
  </si>
  <si>
    <t>1)</t>
  </si>
  <si>
    <t>m²</t>
  </si>
  <si>
    <t>2)</t>
  </si>
  <si>
    <t>3)</t>
  </si>
  <si>
    <t>ŽBUKANJE UNUTARNJIH ZIDOVA I STROPOVA</t>
  </si>
  <si>
    <t xml:space="preserve">PRIPREMA PODLOGE </t>
  </si>
  <si>
    <t>PRIPREMA MATERIJALA</t>
  </si>
  <si>
    <t>PRIMJENA</t>
  </si>
  <si>
    <t>ZAVRŠNA OBRADA</t>
  </si>
  <si>
    <t>- Unutarnje boje nanositi na podlogu prethodno pregletanu vapnenom masom za gletanje 
- silikatne žbuke nanositi na fino zafilcanu žbuku prethodno impregniranu odgovarajućim temeljnim premazom
- oblogu keramikom izvoditi, ovsino o vrsti obloge standardnim ljepilom za keramiku (normalno protuklizno ljepilo na osnovi cementa)</t>
  </si>
  <si>
    <t>Obračun po m2 ožbukane površine. Otvori do 3,0m2 se ne odbijaju. Obrada otvora sadržana u jediničnoj cijeni.</t>
  </si>
  <si>
    <t>ZIDOVI</t>
  </si>
  <si>
    <r>
      <t>m</t>
    </r>
    <r>
      <rPr>
        <sz val="10"/>
        <color indexed="8"/>
        <rFont val="Calibri"/>
        <family val="2"/>
        <charset val="238"/>
      </rPr>
      <t>²</t>
    </r>
  </si>
  <si>
    <t>STROPOVI</t>
  </si>
  <si>
    <t>ZAZIDAVANJE RADNIH OTVORA ZA POTREBE PROVOĐENJA INSTALACIJA</t>
  </si>
  <si>
    <t>Zazidavanje izvesti betonskim blokovima, površinu ožbukati produžnim mortom (dovesti u istu razinu kao i okolna površina). U jediničnu cijenu uračunat rad i materijal.</t>
  </si>
  <si>
    <t>GRUBO I FINO ČIŠĆENJE</t>
  </si>
  <si>
    <t>Grubo i fino čišćenje za vrijeme trajanja gradnje i nakon završetka gradnje. Gradilište i okolni prostori moraju tijekom izvođenja radova biti uredni, što podrazumijeva stalno čišćenje prostora i odvoz otpada prema potrebi.</t>
  </si>
  <si>
    <t>ZIDARSKA PRIPOMOĆ</t>
  </si>
  <si>
    <t>Zidarska pripomoć za ugradnju obrtničkih; stolarskih, bravarskih, limarskih radova, instalacija. U jediničnu cijenu uračunat rad i materijal.</t>
  </si>
  <si>
    <t>ZIDARSKI RADOVI UKUPNO</t>
  </si>
  <si>
    <t>6.</t>
  </si>
  <si>
    <t>GIPSARSKI RADOVI</t>
  </si>
  <si>
    <t>POTKONSTRUKCIJA</t>
  </si>
  <si>
    <t>TERMOIZOLACIJA</t>
  </si>
  <si>
    <t>GIPS - KARTONSKE PLOČE</t>
  </si>
  <si>
    <t xml:space="preserve">OBRADA SPOJEVA </t>
  </si>
  <si>
    <t>VIŠESLOJNE OBLOGE</t>
  </si>
  <si>
    <t>Kod višeslojnih obloga pojedine ploče treba postaviti uz međusobni pomak prema shemi polaganja. Svaki sloj ploča treba pritisnuti za potkonstrukciju i zasebno pričvrstiti vijcima.</t>
  </si>
  <si>
    <t>OVJEŠENJE TERETA</t>
  </si>
  <si>
    <t xml:space="preserve">Potkonstrukcija </t>
  </si>
  <si>
    <t>Termoizolacija + PE folija</t>
  </si>
  <si>
    <t>Gips-kartonske ploče</t>
  </si>
  <si>
    <r>
      <t xml:space="preserve">UNUTARNJI ZIDOVI INSTALACIJSKIH ŠAHTI
</t>
    </r>
    <r>
      <rPr>
        <sz val="10"/>
        <color theme="1"/>
        <rFont val="Calibri"/>
        <family val="2"/>
        <charset val="238"/>
        <scheme val="minor"/>
      </rPr>
      <t xml:space="preserve">Nenosiv pregradni zid s jednostrukom metalnom potkonstrukcijom, jednostrano dvoslojno polaganje
Oznaka u nacrtu: </t>
    </r>
    <r>
      <rPr>
        <b/>
        <sz val="10"/>
        <color indexed="8"/>
        <rFont val="Calibri"/>
        <family val="2"/>
        <charset val="238"/>
      </rPr>
      <t>ZGG3</t>
    </r>
  </si>
  <si>
    <t>Potkonstrukcija</t>
  </si>
  <si>
    <t xml:space="preserve">Termoizolacija </t>
  </si>
  <si>
    <t>Parna brana - folija prema šahti</t>
  </si>
  <si>
    <r>
      <t>Obračun po m</t>
    </r>
    <r>
      <rPr>
        <sz val="10"/>
        <color indexed="8"/>
        <rFont val="Calibri"/>
        <family val="2"/>
        <charset val="238"/>
      </rPr>
      <t>²</t>
    </r>
  </si>
  <si>
    <t>GIPSARSKI RADOVI UKUPNO</t>
  </si>
  <si>
    <t>7.</t>
  </si>
  <si>
    <t>IZOLATERSKI RADOVI</t>
  </si>
  <si>
    <t>HIDROIZOLACIJE</t>
  </si>
  <si>
    <t>TOPLINSKE IZOLACIJE</t>
  </si>
  <si>
    <t>PRIPREMA PODLOGE</t>
  </si>
  <si>
    <t>Površine na koje se polaže izolacija, trebaju biti posve ravne, suhe, očišćene od prašine i nečistoće i dovoljno glatke, da izolacija dobro prijanja, te maksimalne vlage koju propisuje proizvođač. Izolacija treba prilegnuti na površinu ravno, bez nabora i mjehura.</t>
  </si>
  <si>
    <t>Hidroizolacije na bazi bitumena
Izvode se kao premazi i kao premazi s izolacionim trakama (ljepenkama) koje mogu biti s:
· uloškom od aluminijske ili bakrene folije
· uloškom od staklenog voala ili staklene tkanine
Izolacionu ljepenku i ostale vrste izolacionih traka i ploča treba rezati ravno i pravokutno. Zaderani i krpani komadi se ne ugrađuju. Svi preklopi moraju biti najmanje 10 cm široki i lijepljeni bitumenom – hladnom bitumenskom masom ili vrućom bitumenskom izolacionom masom. Kod polaganja dvaju ili više slojeva izolacionih traka ili ploča preklopi ne smiju ležati jedan na drugom, već moraju biti pomaknuti.</t>
  </si>
  <si>
    <t>Kod hidroizolacije zidova ljepenka treba na svaku stranu zida imati prehvat širine od 10 cm, koji treba spojiti s horizontalnom izolacijom podova.
Posebnu pažnju obratiti na zaštitu od požara kod rada s vrućim bitumenskim premazima i varenim ljepenkama zbog velike zapaljivosti bitumena. U slučaju požara gasiti pijeskom ili pjenom (gašenje vodom je opasno).</t>
  </si>
  <si>
    <t>PREMAZI - BITUMENSKE EMULZIJE</t>
  </si>
  <si>
    <t>TPO</t>
  </si>
  <si>
    <t>PARNA BRANA - POLIETILENSKA FOLIJA - PE</t>
  </si>
  <si>
    <t>PE - AL FOLIJA</t>
  </si>
  <si>
    <t>AL-PE visokootporna parna brana namijenjena prvenstveno za ravne krovove. Izrađena je kao višeslojna polietilenska folija s aluminijskom prevlakom i ojačana mrežom otpornom na kidanje. Postavlja se direktno na profilirani lim ispod toplinske izolacije ili AB-ploču, ako je izvedena propisno bez pukotina i oštrih nabora. Aluminijska prevlaka se prilikom postave na profilirani lim okreće prema grijanoj strani krovne konstrukcije u svrhu refleksije topline. Sve preklope i spojeve treba besprijekorno trajno zabrtviti s preporučenim brtvenim trakama. Preporuka je postava sloja geotekstila između AB-ploče i parne brane radi opasnosti od oštećenja od strane agregata koji strši na površini AB-ploče.
d= 0,40mm</t>
  </si>
  <si>
    <t xml:space="preserve">Ekspandirani PE </t>
  </si>
  <si>
    <t>Polietilenska pjena 30kg/m3, d=5mm. Preklopi se lijepe samoljepivom trakom širine 5cm. Predviđena ugradnja u sanitarne čvorove.</t>
  </si>
  <si>
    <t xml:space="preserve">Izolacija podruma jednokomponentnim, polimerima modificiranim i vlaknima ojačanim bitumenom. Trajno štiti podzemne građevine od vlage iz tla. </t>
  </si>
  <si>
    <r>
      <t>Obračun po m</t>
    </r>
    <r>
      <rPr>
        <sz val="10"/>
        <color indexed="8"/>
        <rFont val="Calibri"/>
        <family val="2"/>
        <charset val="238"/>
      </rPr>
      <t>² kompletno izolirane površine.</t>
    </r>
  </si>
  <si>
    <t>VERTIKALNA TERMOIZOLACIJA UKOPANIH ZIDOVA  - XPS</t>
  </si>
  <si>
    <t>Ploče od ekstrudiranog polistirena potrebno je na području podnožja zgrade (cokla) i iznad zemljane površine zaštititi od mehaničkih oštećenja i UV-zračenja. Odgovarajućim mjerama potrebno je osigurati da iza sloja toplinske izolacije ne prodre voda (npr. voda koja teče po površini zemlje ili oborinske vode koje se skupljaju na fasadi). Na podnožju zgrade potrebno je pravilno izvesti spojeve s hidro-izolacijom. Spoj izolacije konstrukcije u zemlji i na zidu iznad zemljane površine potrebno je izvesti tako da ne dođe do pojava neželjenih toplinskih mostova.</t>
  </si>
  <si>
    <t>Obračun po m² kompletno izolirane površine.</t>
  </si>
  <si>
    <t>ZAŠTITA IZOLACIJE - ČEPASTA FOLIJA</t>
  </si>
  <si>
    <t>Obračun po m² postavljene zaštite.</t>
  </si>
  <si>
    <t xml:space="preserve">ZID </t>
  </si>
  <si>
    <t>PE FOLIJA</t>
  </si>
  <si>
    <t>4)</t>
  </si>
  <si>
    <t>TPO HIDROIZOLACIJA</t>
  </si>
  <si>
    <t>Visokokvalitetna ekološka jednoslojna hidroizolacijska membrana od TPO-a, energetski učinkovite reflektirajuće bijele boje, izrazite otpornosti na UV zrake i mikroorganizme, leteći plamen i žareću toplinu. Membrana je punoplošno armirana poliesterskom mrežicom.</t>
  </si>
  <si>
    <t>REKAPITULACIJA GRAĐEVINSKO - ZANATSKIH RADOVA</t>
  </si>
  <si>
    <t>IZOLATERSKI RADOVI UKUPNO</t>
  </si>
  <si>
    <t>GRAĐEVINSKO - ZANATSKI RADOVI UKUPNO:</t>
  </si>
  <si>
    <r>
      <rPr>
        <sz val="10"/>
        <color theme="1"/>
        <rFont val="Calibri"/>
        <family val="2"/>
        <charset val="238"/>
        <scheme val="minor"/>
      </rPr>
      <t xml:space="preserve">Široki iskop iskolčiti uzevši u obzir  prostor potreban za rad </t>
    </r>
    <r>
      <rPr>
        <sz val="10"/>
        <rFont val="Calibri"/>
        <family val="2"/>
        <charset val="238"/>
      </rPr>
      <t>pri betoniranju obodnih zidova temelja i zidova.</t>
    </r>
    <r>
      <rPr>
        <sz val="10"/>
        <color theme="1"/>
        <rFont val="Calibri"/>
        <family val="2"/>
        <charset val="238"/>
        <scheme val="minor"/>
      </rPr>
      <t xml:space="preserve"> Pri određivanju granice iskopa u obzir uzeti nagib pokosa koji će onemogućiti odronjavanje zemlje na ivicama građevinske jame. </t>
    </r>
  </si>
  <si>
    <t>jed.
mj.</t>
  </si>
  <si>
    <t>kom</t>
  </si>
  <si>
    <t>Obračun po komadu.</t>
  </si>
  <si>
    <t>m</t>
  </si>
  <si>
    <t>Jedinična cijena (€)</t>
  </si>
  <si>
    <t>kg</t>
  </si>
  <si>
    <t>kpl</t>
  </si>
  <si>
    <t>Obračun po broju komada.</t>
  </si>
  <si>
    <t>Obračun po kompletu.</t>
  </si>
  <si>
    <t>5)</t>
  </si>
  <si>
    <t>6)</t>
  </si>
  <si>
    <t>OPĆI UVJETI</t>
  </si>
  <si>
    <t>Napomena: opći uvjeti vrijede za sve grupe radova</t>
  </si>
  <si>
    <t>Nepoznavanje bilo kojeg od dijelova projekta kojeg je ponuditelj imao na uvid tijekom davanja ponude neće se prihvatiti kao razlog za naknadno povišenje jediničnih cijena ili greške u izvedbi ili produljenja roka.</t>
  </si>
  <si>
    <t>Priznat će se samo stvarno izvedeni radovi, koji su u potpunosti završeni i funkcionalni. Količina izvedenih radova dokazuje se građevinskom knjigom.</t>
  </si>
  <si>
    <t>Pri izvođenju potrebno se pridržavati svih odredbi projektne dokumentacije, čiji su sastavni dio i elaborati koji su prethodili izradi glavnog projekta:</t>
  </si>
  <si>
    <t>Elaborat zaštite od požara</t>
  </si>
  <si>
    <t>Elaborat zaštite od buke</t>
  </si>
  <si>
    <t xml:space="preserve">U troškove gradnje ulaze i svi eventualni zastoji zbog niskih temperatura (zaštita ab konstrukcija) ili visokih temperatura (dodatna vlaženja i sl.), te rješavanje problema kod iskopa i betoniranja zbog eventualne pojave podzemnih voda (ispumpavanje), ukoliko se radi o podzemnoj vodi koja je evidentirana u geomehaničkom izvještaju. </t>
  </si>
  <si>
    <t>Obračun po m'</t>
  </si>
  <si>
    <t>m'</t>
  </si>
  <si>
    <t>Obračun po m'.</t>
  </si>
  <si>
    <t>Ukoliko se stavkom troškovnika navodi materijal ili dr. koji nije obuhvaćen propisima, onda se ima u svemu izvesti prema uputama proizvođača, te priložiti potrebne garancije i ateste od za to ovlaštenih ustanova.</t>
  </si>
  <si>
    <t>Stavkama su navedene referentne završne obrade i boje.</t>
  </si>
  <si>
    <t>Pri radu izvoditelj obvezno treba primjenjivati zakonski propisane mjere zaštite na radu i zaštite od požara. U slučaju da se izvoditelj toga ne pridržava, može mu se zabraniti daljnji rad. Također treba pažljivo raditi uz susjedne postojeće građevine ili već izvedene radove kako ne bi prouzročio moguće štete. Eventualno izazvane štete od strane izvoditelja ili njegovog kooperanta, dužan je otkloniti o svom trošku.</t>
  </si>
  <si>
    <t>Obveza izvođača je izrada radioničkih nacrta, dokazivanja kvalitete ugrađenog materijala i opreme i izrada projekta izvedenog stanja, a što je uračunato u cijenu ponude.</t>
  </si>
  <si>
    <t>Izvoditelj je dužan pribaviti sve potrebne potvrde, izjave, certifikate i sl., a tijekom gradnje i za tehnički pregled dužan je izvršiti sva potrebna ispitivanja kvalitete izvršenih radova o svojem trošku što je propisano važećom zakonskom i tehničkom regulativom.</t>
  </si>
  <si>
    <t>Jediničnom cijenom moraju biti obuhvaćeni svi potrebni materijali i radovi (osnovni i pomoćni), skele, strojevi i alat, kao i sve nabave/dobave, montaže/demontaže, uklanjanja, izrade i transporti, ukrcaj, iskrcaj, energenti, odvoz na deponij te ishođenje sve potrebne dokumentacije, uključivo takse.</t>
  </si>
  <si>
    <t>Jedinična cijena obuhvaća:</t>
  </si>
  <si>
    <t xml:space="preserve"> - pregled gradilišta odnosno objekta</t>
  </si>
  <si>
    <t xml:space="preserve"> - tehnološku razradu svih detalja</t>
  </si>
  <si>
    <t xml:space="preserve"> - izradu radioničkih nacrta</t>
  </si>
  <si>
    <t xml:space="preserve"> · dobavu i ugradnju svih opisanih materijala i elemenata</t>
  </si>
  <si>
    <t xml:space="preserve"> · sve posredne i neposredne troškove za rad, materijal, alat i građevinske strojeve</t>
  </si>
  <si>
    <t xml:space="preserve"> - popravak manjih oštećenja i nečistoća na podlozi,</t>
  </si>
  <si>
    <t xml:space="preserve"> - popravak štete učinjene nepažnjom pri radu na svojim ili tuđim radovima,</t>
  </si>
  <si>
    <t xml:space="preserve"> - nadoknadu eventualne štete nastale iz nepažnje na svojim ili tuđim radovima.</t>
  </si>
  <si>
    <t xml:space="preserve"> - zidarske pripomoći kod ugradbe (rad i materijal)</t>
  </si>
  <si>
    <t xml:space="preserve"> - ostakljenje (ukoliko je projektom tako predviđeno)</t>
  </si>
  <si>
    <t xml:space="preserve"> - sav okov</t>
  </si>
  <si>
    <t xml:space="preserve"> - zaštitne premaze</t>
  </si>
  <si>
    <t xml:space="preserve"> - potrebne skele ili montažne dizalice</t>
  </si>
  <si>
    <t xml:space="preserve"> - kompletna mobilizacija i demobilizacija gradilišta</t>
  </si>
  <si>
    <t xml:space="preserve"> - sve troškove transporta izvan gradilišta</t>
  </si>
  <si>
    <t xml:space="preserve"> - sve troškove horizontalnog i vertikalnog transporte unutar gradilišta do mjesta ugradbe</t>
  </si>
  <si>
    <t xml:space="preserve"> - troškove svih potrebnih energenata (struja, voda, plin i sl.)</t>
  </si>
  <si>
    <t xml:space="preserve"> - svi vezani posredni i neposredni troškovi (doprinosi, porezi, prirezi, takse i sl.) </t>
  </si>
  <si>
    <t xml:space="preserve"> - troškovi osiguranja i čuvanja materijala, opreme i izvedenih radova do primopredaje</t>
  </si>
  <si>
    <t xml:space="preserve"> - čišćenje tokom rada s odvozom i zbrinjavanjem otpada</t>
  </si>
  <si>
    <t xml:space="preserve"> · odvoz i zbrinjavanje otpada</t>
  </si>
  <si>
    <t xml:space="preserve"> - završno čišćenje prije primopredaje radova</t>
  </si>
  <si>
    <t xml:space="preserve"> - poduzimanje mjera po HTZ i drugim postojećim propisima,</t>
  </si>
  <si>
    <t>Radovi sa pripadajućom opremom se smatraju završenim i predanim investitoru tek  nakon izvršenog tehničkog pregleda i potpisanog adekvatnog zapisnika u tom smislu.</t>
  </si>
  <si>
    <t>Točan aritmetički izračun troškovnika je odgovornost ponuđača.</t>
  </si>
  <si>
    <t>TERMOIZOLACIJA SPUŠTENIH STROPOVA</t>
  </si>
  <si>
    <t>IZOLACIJA KONSTRUKCIJA U TLU</t>
  </si>
  <si>
    <t>8.</t>
  </si>
  <si>
    <t>FASADERSKI RADOVI</t>
  </si>
  <si>
    <t>Hidroizolacija sokla zidova treba biti izvedena prije termoizolacije.</t>
  </si>
  <si>
    <t>Procjena podloge je odgovornost izvođača radova.</t>
  </si>
  <si>
    <t>IZVEDBA SOKLA UZ TEREN</t>
  </si>
  <si>
    <t>Izvedba sokla uračunata u cijenu osnovnog ETICS pročelja.</t>
  </si>
  <si>
    <t>ETICS SA PLOČAMA OD KAMENE VUNE</t>
  </si>
  <si>
    <t>Stavka može obuhvatiti slijedeće radove:</t>
  </si>
  <si>
    <t>kamena vuna predviđena za izolacije vanjskih zidova - kontaktne fasade</t>
  </si>
  <si>
    <t>Tvrde ploče od kamene vune.
Proizvod se odlikuje visokom paropropusnošću, potpuno je negoriv, postojan je na vrlo visoke temperature, vodoodbojan, pravilno ugrađen otporan na starenje te je kemijski neutralan.</t>
  </si>
  <si>
    <t xml:space="preserve">Lijepljenje ploča nanošenjem morta (mineralni, prirodno bijeli mort) za lijepljenje i armiranje, trakasto po rubovima i točkasto po sredini ploča (min 40% ravnomjerna pokrivenost ploče). Ploče se min.3-5 dana nakon lijepljenja dodatno mehanički pričvršćuju pričvrsnicama (udarna pričvrsnica s plastičnim dijelom za montažu, ojačana vlaknima, za mehaničko pričvršćenje toplinsko-izolacijskih ploča) (8 kom/m2) prema „W“ shemi.                                                                                                   </t>
  </si>
  <si>
    <t>Armiranje: zupčastim gleterom, nanosi se cca 3 mm morta za lijepljenje i armiranje,  visoke otpornosti na udarac &gt; 10, alkalno otporna, mrežica za armiranje, (160gr/m2) sa preklopima od 10 cm. Na mrežicu se nanosi drugi sloj (2mm) morta za lijepljenje i armiranje. Ukupna debljina armirajućeg sloja ne smije biti manja od 5 mm, a mrežica mora biti smještena u gornjoj trećini armirajućeg sloja.</t>
  </si>
  <si>
    <t>U cijenu je uračunata obrada otvora sa obradom čela zidova uglovnim profilima, te profilima na kontaktu sa stavkama otvora.</t>
  </si>
  <si>
    <t xml:space="preserve">Izvedba kontaktnog fasadnog sustava sa pločama od kamene vune (MW), dimenzije ploča odnosno lamela prema dostupnim dimenzijama na tržištu, debljine određene proračunom građevinske fizike. </t>
  </si>
  <si>
    <t>Na spojevima ETICS-a sa stolarijom,ovisno o dimenzijama i poziciji otvora, te debljini izolacije, ugraditi priključni profil s mrežicom, pokretnom spojnicom, skrivenom fugom i zaštitnom trakom za spoj žbuke i otovra, za kvalitetan i trajan spoj ETICS-a sa stolarijom. 
Na spojevima ETICS-a sa prozorskim  klupicama, ugraditi izolacijsku traku za fuge 2D (2-6mm).</t>
  </si>
  <si>
    <t>LJEPILO</t>
  </si>
  <si>
    <t>a)</t>
  </si>
  <si>
    <t>b)</t>
  </si>
  <si>
    <t>POLIMERCEMENTNA IZOLACIJA - PC</t>
  </si>
  <si>
    <t>Propusnost CO2: SD&gt;50 m</t>
  </si>
  <si>
    <t>Paropropusnost: Klasa I</t>
  </si>
  <si>
    <t>Kapilarna upojnost: w&lt;0,1 kg/(m2h1/2)</t>
  </si>
  <si>
    <t>Vlačna čvrstoća prionjivosti: ≥ 0,8 N/mm2</t>
  </si>
  <si>
    <t>Reakcija na požar: F</t>
  </si>
  <si>
    <t>Otpuštanje opasnih tvari: Vidjeti STL</t>
  </si>
  <si>
    <t xml:space="preserve">Potrošnja 1,5 kg/m2 za 1 mm debljine. </t>
  </si>
  <si>
    <t>EN 1504-2:2004 (ili jednakovrijedno _______________________________)</t>
  </si>
  <si>
    <t>Termička kompatibilnost s utjecajem soli i mraza: ≥ 0,8 Mpa</t>
  </si>
  <si>
    <t xml:space="preserve">Vanjska otpornost na vatru: Bkrov (t1) </t>
  </si>
  <si>
    <t xml:space="preserve">Vodonepropusnost: Prolaz (kPa) </t>
  </si>
  <si>
    <t xml:space="preserve">Otpornost na istezanje: ≥ 1100 N/50mm </t>
  </si>
  <si>
    <t xml:space="preserve">Izduženje: ≥ 15% </t>
  </si>
  <si>
    <t xml:space="preserve">Otpornost na udarce: ≥ 800 mm </t>
  </si>
  <si>
    <t xml:space="preserve">Otpornost na statičko opterećenje: &gt; 20 kg </t>
  </si>
  <si>
    <t xml:space="preserve">Otpornost na trganje: ≥ 300 N </t>
  </si>
  <si>
    <t xml:space="preserve">Otpornost spoja na guljenje: &gt; 200 N/50mm </t>
  </si>
  <si>
    <t xml:space="preserve">Otpornost spoja na pucanje: &gt; 600 N/50mm </t>
  </si>
  <si>
    <t>Pregibljivost na niskoj temperaturi: -40°C</t>
  </si>
  <si>
    <t xml:space="preserve">UV izlaganje: Prolaz (h) </t>
  </si>
  <si>
    <t>RUBNI PROFILI, DILATACIJE I SL.</t>
  </si>
  <si>
    <t>9.</t>
  </si>
  <si>
    <t>10.</t>
  </si>
  <si>
    <t>BRAVARSKI RADOVI</t>
  </si>
  <si>
    <t>Obveza izvođača je izrada izvedbenog projekta i radioničkih nacrta, koji moraju biti ovjereni od projektanta konstrukcije, glavnog projektanta i nadzora.</t>
  </si>
  <si>
    <t>Sva propisana antikorozivna i protupožarna zaštita te završna obrada čelika obuhvaćena je cijenom stavki.</t>
  </si>
  <si>
    <t>Izvođač mora imati atestiranog tehnologa zavarivanja klase IWE/EWE.</t>
  </si>
  <si>
    <t xml:space="preserve">Izrada i zaštita osnovnih čeličnih elemenata vrši se isključivo u radionici uz izradu svih spojeva u zavarenoj izvedbi prema odobrenoj  radioničkoj dokumentaciji. </t>
  </si>
  <si>
    <t>Montažni spojevi izvode se na gradilištu u vijčanoj izvedbi vijcima kvalitete i promjera prema projektu konstrukcije, što će se obraditi u izvedbenom projektu.</t>
  </si>
  <si>
    <t>ZAŠTITA OD KOROZIJE</t>
  </si>
  <si>
    <t>Priprema čel. površine za antikorozivnu zaštitu</t>
  </si>
  <si>
    <t>Za pojedine sisteme zaštite čelične konstrukcije, te tražene kvalitete  izvođač je dužan izraditi uzorke, predočiti dokaze koji potvrđuju da su u skladu sa traženim standardom, razinom i trajanjem zaštite, te predložiti tehnologiju izvođenja zaštite, koju mora prihvatiti nadzorni inženjer i projektant.</t>
  </si>
  <si>
    <t>INOX</t>
  </si>
  <si>
    <t>OSTALE NAPOMENE</t>
  </si>
  <si>
    <t>OKOV I OPREMA VRATA</t>
  </si>
  <si>
    <t xml:space="preserve">Bravarski radovi podrazumijevaju izradu nosivih čeličnih konstrukcija, izradu vrata i prozora, zaštitnih rešetki i žaluzina, izradu ograda i rukohvata, te izradu ostalih bravarskih elemenata. Osnovni materijali za izradu bravarskih radova su čelični limovi, čelične šipke, čelične cijevi bez šava i čelični profili. </t>
  </si>
  <si>
    <t xml:space="preserve">Presjeci čeličnih profila i debljine limova moraju odgovarati zadanim opterećenjima i biti u skladu s projektom. Profili i limovi spajaju se u konstruktivne cjeline spojnim sredstvima (zakovice, vijci i varovi) koja moraju odgovarati važećim standardima, moraju biti pravilno dimenzionirana i ugrađena. Vrsta spoja određena je opisom stavke. </t>
  </si>
  <si>
    <t>OPĆENITO</t>
  </si>
  <si>
    <t>KONSTRUKCIJSKI ČELIK</t>
  </si>
  <si>
    <t>VIJCI</t>
  </si>
  <si>
    <t>VAROVI</t>
  </si>
  <si>
    <t>Kvaliteta osnovnog materijala i spojna sredstva moraju odgovarati važećim standardima i propisima u Republici Hrvatskoj i građevinskom projektu.</t>
  </si>
  <si>
    <t>Postupak izrade, oblik i kvaliteta varova mora odgovarati zahtjevima važećih normi i propisa. Sve varove treba izvesti prema propisanoj Tehnologiji zavarivanja (izvođač radova) uz primjenu odgovarajućeg dodatnog materijala - elektroda.</t>
  </si>
  <si>
    <t>ANTIKOROZIVNA ZAŠTITA POCINČAVANJEM</t>
  </si>
  <si>
    <t>Prevlaka cinka dobivena toplim postupkom mora biti homogena i prekrivati osnovicu. Prevlaka cinka mora čvrsto prianjati za čeličnu površinu i ne smije se ljuštiti niti pucati pri uporabi.</t>
  </si>
  <si>
    <t>ANTIKOROZIVNA ZAŠTITA BOJANJEM</t>
  </si>
  <si>
    <t>FASADERSKI RADOVI UKUPNO</t>
  </si>
  <si>
    <t>Vijčane spojeve izvesti u skladu s normama navedenim u programu kontrole i osiguranja kvalitete te važećim normama u RH.</t>
  </si>
  <si>
    <t>BRAVARSKI RADOVI UKUPNO</t>
  </si>
  <si>
    <t>11.</t>
  </si>
  <si>
    <t>ALUMINIJSKI RADOVI</t>
  </si>
  <si>
    <t>SATIN FINISH</t>
  </si>
  <si>
    <t>MONTAŽA</t>
  </si>
  <si>
    <t>Čel. površine moraju biti očišćene od svih neravnina i nečistoća te odmašćene. Priprema površine za antikorozivnu zaštitu izvodi se prema uputstvima proizvođača sustava zaštite. Radovi na zaštiti od korozije mogu se povjeriti samo poduzeću koje je registrirano za tu djelatnost.</t>
  </si>
  <si>
    <r>
      <t xml:space="preserve">Izrađeni elementi se prije ugradnje zaštićuju antikorozivnim premazom. </t>
    </r>
    <r>
      <rPr>
        <sz val="10"/>
        <rFont val="Calibri"/>
        <family val="2"/>
        <charset val="238"/>
      </rPr>
      <t>Priprema površine, sustav i tehnika nanošenja boje prema uputama proizvođača.</t>
    </r>
  </si>
  <si>
    <t>POVRŠINSKA ZAŠTITA</t>
  </si>
  <si>
    <t>Okov vrata: panti, brava, prihvatnik, kvaka sa unutarnje i vanjske strane.</t>
  </si>
  <si>
    <t>ALUMINIJSKI RADOVI UKUPNO</t>
  </si>
  <si>
    <t>Materijal rešetke: aluminij</t>
  </si>
  <si>
    <t>Materijal mrežice: pocinčana žičana mreža</t>
  </si>
  <si>
    <t>boja: sivobijela RAL 9002</t>
  </si>
  <si>
    <t>12.</t>
  </si>
  <si>
    <t>LIČILAČKI RADOVI</t>
  </si>
  <si>
    <t>podloga za ličenje:</t>
  </si>
  <si>
    <t>GLETANJE I LIČENJE ZIDOVA PERIVOM BOJOM</t>
  </si>
  <si>
    <t>LIČILAČKI RADOVI UKUPNO</t>
  </si>
  <si>
    <t>13.</t>
  </si>
  <si>
    <t>KERAMIČARSKI RADOVI</t>
  </si>
  <si>
    <t xml:space="preserve">moraju ispunjavati sljedeće uvjete: </t>
  </si>
  <si>
    <t>Pri izvođenju keramičarskih radova moraju se zadovoljiti i ovi uvjeti:</t>
  </si>
  <si>
    <t>Na mjestima prodora instalacija i dna rešetaka pločice moraju biti precizno skrojene i postavljene.</t>
  </si>
  <si>
    <t>KERAMIČKE PLOČICE</t>
  </si>
  <si>
    <t>VEZIVA</t>
  </si>
  <si>
    <t>BRTVILA</t>
  </si>
  <si>
    <t>POMOĆNA SREDSTVA</t>
  </si>
  <si>
    <t>IZVOĐENJE</t>
  </si>
  <si>
    <t>IZMJERA I OBRAČUN IZVRŠENIH RADOVA</t>
  </si>
  <si>
    <t>Keramičarski radovi podrazumijevaju dobavu i postavu keramičkih pločica na zidne i podne plohe.</t>
  </si>
  <si>
    <t>Podloga mora biti kvalitetna i pripremljena za izvođenje keramičarskih radova izvedena ravno ili u projektiranom padu. Nedostaci podloge uklanjaju se impregnacijom, mehaničkim brazdanjem, postavljanjem hidroizolacije ili rabic pletiva. Ako se ni jedan od navedenih načina ne može primijeniti, neispravna podloga se mora odstraniti i izraditi nova.</t>
  </si>
  <si>
    <t xml:space="preserve">Materijali koji, uz keramičke pločice, ljepila i materijale za brtvljenje, ostaju trajno ugrađeni u obloženoj površini, kao i sredstva za određivanje širine spojnice između keramičkih pločica. Pri postavljanju pločica koristiti PVC križne distancere. </t>
  </si>
  <si>
    <t>Prije ugradnje i tijekom rada treba kvalitetu pločica, morta i ljepila dokazati rezultatima ispitivanja. Izvođač keramičarskih radova je također dužan ostvariti suradnju s izvođačem instalacija jer se naknadni prigovori neće priznati.</t>
  </si>
  <si>
    <t xml:space="preserve">Napomena: Sve mjere potrebno je prije izrade provjeriti u naravi. </t>
  </si>
  <si>
    <t xml:space="preserve">Pločice se polažu sistemom "fuga na fugu". Širina fuge je 2-3mm. Fuge se zatvaraju masom za fugiranje keramičkih pločica na bazi cementa sa mineralnim punilima, aditivima i pigmentima. </t>
  </si>
  <si>
    <t>KERAMIČARSKI RADOVI UKUPNO</t>
  </si>
  <si>
    <t>PARKETARSKI RADOVI</t>
  </si>
  <si>
    <t>PARKETARSKI RADOVI UKUPNO</t>
  </si>
  <si>
    <t>RAZNI RADOVI</t>
  </si>
  <si>
    <t>RAZDJELNICA RAZLIČITE OBLOGE PODA</t>
  </si>
  <si>
    <t>UGRADNJA RAZNIH OZNAKA</t>
  </si>
  <si>
    <t>RAZNI RADOVI UKUPNO</t>
  </si>
  <si>
    <t xml:space="preserve">Sve podloge (zid od opeke, betona, porobetona) moraju biti čiste, čvrste, suhe, nesmrznute, bez ostataka oplatnih ulja i soli od iscvjetavanja. Maksimalno odstupanje ravnine zida na 4 m ± 1 cm. Starost betona mora biti minimalno 3 mjeseca. Spojeve različitih materijala, instalaterske otvore, obavezno rabicirati pocinčanim punktiranim rabic pletivom (25 x 25 x 0,9) ili staklenom mrežicom. 
Prije početka radova postaviti kutne profile brzoveznim mortom za ugradnju profila. Jako upojne podloge (porobeton) impregnirati univerzalnim temeljnim premazom razrijeđenim vodom 1:3 neposredno prije nanošenja podložne žbuke. Glatke i neupojne betonske podloge obraditi polimer - cementnim vezivnim slojem (veličina zrna do 2mm) najmanje dan prije nanošenja podložne žbuke. </t>
  </si>
  <si>
    <t xml:space="preserve">Sav ovjesni i pomoćni pribor, uključivo nosači sanitarnih elemenata, nosači ugradbene opreme; ojačanja na pozicijama vrata i otvora, dio su ove stavke. </t>
  </si>
  <si>
    <t>Otvori za rasvjetu, utičnice, ventilaciju i sl. su sadržani u jediničnoj cijeni stavke. Prekidi rada (vrijeme čekanja) koji su posljedica instalacijskih radova ukalkulirani su u jedinične cijene.</t>
  </si>
  <si>
    <t>Vrata izrađena od profila s prekinutim termičkim mostom.</t>
  </si>
  <si>
    <t>UREĐENJE TERENA</t>
  </si>
  <si>
    <t>RADOVI ZAVRŠNIH OBLOGA NA VANJSKIM POVRŠINAMA</t>
  </si>
  <si>
    <t xml:space="preserve">HABAJUĆI SLOJ </t>
  </si>
  <si>
    <t>asfaltbeton AC11 surf Pmb 45/80-65 AG3 M3
debljine 4 cm u uvaljanom stanju</t>
  </si>
  <si>
    <t>BITUMENIZIRANI NOSIVI SLOJ</t>
  </si>
  <si>
    <t>NOSIVI SLOJ</t>
  </si>
  <si>
    <t>Geotekstil
Materijal: PP
Težina 500gr/m²
Debljina sloja 2,50 mm</t>
  </si>
  <si>
    <t>POSTELJICA OD MIJEŠANIH MATERIJALA</t>
  </si>
  <si>
    <t>Stavka obuhvaća grubo i fino planiranje, te zbijanje posteljice usjeka, nasipa i zasjeka, sve dok se ne dobije projektirani pad i zbijenost. Stupanj zbijenosti prema standardnom Proctorovom postupku Sz≥100%, a modul stišljivosti mjeren kružnom pločom Ø 30 cm Ms≥ 40 MN/m2.</t>
  </si>
  <si>
    <t>asfaltbetonska mješavina AC 22 base (BIT 50/70) AG6 M2
debljine 6 cm u uvaljanom stanju</t>
  </si>
  <si>
    <t>HORTIKULTURA</t>
  </si>
  <si>
    <t>HORTIKULTURA UKUPNO:</t>
  </si>
  <si>
    <t>REKAPITULACIJA UREĐENJA TERENA</t>
  </si>
  <si>
    <t>UREĐENJE TERENA UKUPNO:</t>
  </si>
  <si>
    <t>STABLAŠICE / GRMOVI</t>
  </si>
  <si>
    <t xml:space="preserve">Po iskolčenju prema projektu holtikulture pristupa se sadnji stablašica, po završetku građevinsko-obrtničkih radova na uređenju terena. </t>
  </si>
  <si>
    <t>SADNJA GRMOVA</t>
  </si>
  <si>
    <t>SADNJA STABLAŠICA</t>
  </si>
  <si>
    <t>TRAVNJAK</t>
  </si>
  <si>
    <t>PRIPREMA
- čišćenje i planiranje terena
- frezanje terena
- razbacivanje stajnjaka po parceli (15 kg/m2)
- razbacivanje umjetnog gnoja N:P:K = 15:15:15; 6-8 kg/m2
- razbacivanje humusa (20l po m2)
- zaoravanje razbačenih komponenata
- fino planiranje terena
- valjanje terena</t>
  </si>
  <si>
    <t>Sjetva trave (engleski ljulj)</t>
  </si>
  <si>
    <t>RADOVI ZAVRŠNIH OBLOGA NA VANJSKIM POVRŠINAMA UKUPNO:</t>
  </si>
  <si>
    <t>lavanda (lat. Lavandula augustifolia)</t>
  </si>
  <si>
    <t>čvorika (lat. sagina subulata)</t>
  </si>
  <si>
    <t>KONTEJNERI ZA OTPAD</t>
  </si>
  <si>
    <t>OPREMA UKUPNO:</t>
  </si>
  <si>
    <t>PROMETNA SIGNALIZACIJA</t>
  </si>
  <si>
    <t>VERTIKALNA PROMETNA SIGNALIZACIJA</t>
  </si>
  <si>
    <t>U jediničnu cjenu je uključena dobava, montaža prometnih znakova na samostoječim pocinčanim stupovima promjera 2'', odnosno vješanje na strop na pocinčanoj potkonstrukciji sadržano u stavci, te bet. temelj C25/30 prema Općim tehničkim uvjetima za radove na cestama, OTU, KNJIGA VI – OPREMA CESTA (HC - HAC 2001.)  ili jednakovrijedno _________________________.</t>
  </si>
  <si>
    <t>ZNAKOVI IZRIČITIH NAREDBI</t>
  </si>
  <si>
    <t>PROMETNA SIGNALIZACIJA UKUPNO:</t>
  </si>
  <si>
    <t>ZNAKOVI OBAVIJESTI</t>
  </si>
  <si>
    <t xml:space="preserve">znak C02  dim. 60 cm × 60 cm  </t>
  </si>
  <si>
    <t>HORIZONTALNA SIGNALIZACIJA</t>
  </si>
  <si>
    <t xml:space="preserve">UZDUŽNE OZNAKE NA KOLNIKU </t>
  </si>
  <si>
    <t>POPREČNE OZNAKE NA KOLNIKU</t>
  </si>
  <si>
    <t>Obračun po dužnom metru linije uključujući međurazmake.</t>
  </si>
  <si>
    <t>Obračun po komadu iscrtanog natpisa.</t>
  </si>
  <si>
    <t>ŠLJUNAK</t>
  </si>
  <si>
    <t>Inox razdijelnica podova "L" profil d = 3mm.  “L” profil se podvlači pod pločicu. Obračun po m1 postavljene razdijelnice.</t>
  </si>
  <si>
    <t>Opšav kontakta dovratnika odnosno doprozornika stavke sa žbukanim zidarskim otvorom, izvodi se tako da žbuka prekriva međuprostor profila i zida. Ukoliko ovakva izvedba nije moguća, stavka uključuje izvedbu alu L profila dimenzije 30x30x3 mm odnosno prilagođene detalju ugradnje. Okov, brave i kvake odobrava projektant.</t>
  </si>
  <si>
    <t>ZAŠTITA OD BUKE - Rw=min35dB</t>
  </si>
  <si>
    <t>Gornja površina precizno u razini s podom u ostatku prostora</t>
  </si>
  <si>
    <t>m3</t>
  </si>
  <si>
    <t>ZIDARSKI RADOVI UKUPNO:</t>
  </si>
  <si>
    <t>KROVNA KONSTRUKCIJA</t>
  </si>
  <si>
    <t>c)</t>
  </si>
  <si>
    <t>d)</t>
  </si>
  <si>
    <t>VANJSKA OPREMA</t>
  </si>
  <si>
    <t>VANJSKA OPREMA UKUPNO:</t>
  </si>
  <si>
    <t>H14 -1 - crta zaustavljanja, puna</t>
  </si>
  <si>
    <t>H63 - ispis: STOP</t>
  </si>
  <si>
    <t>OSTALE OZNAKE NA KOLNIKU</t>
  </si>
  <si>
    <t>H 57-1 - oznaka parking mjesta za invalide</t>
  </si>
  <si>
    <t>H 61-1 - oznaka parking mjesta - okomito</t>
  </si>
  <si>
    <r>
      <rPr>
        <b/>
        <sz val="10"/>
        <color indexed="8"/>
        <rFont val="Calibri"/>
        <family val="2"/>
        <charset val="238"/>
      </rPr>
      <t>H03</t>
    </r>
    <r>
      <rPr>
        <sz val="10"/>
        <color theme="1"/>
        <rFont val="Calibri"/>
        <family val="2"/>
        <charset val="238"/>
        <scheme val="minor"/>
      </rPr>
      <t xml:space="preserve"> -  isprekidana uzdužna razdjelna linija bijele boje, širine 10 cm </t>
    </r>
  </si>
  <si>
    <t>Pozicija ugradnje: garderobe, sanitarni čvorovi, zajedničke kupaonice korisnika - tuševi (pod i zidovi izloženi prskanju), caffe bar</t>
  </si>
  <si>
    <t>Profili od čeličnog pocinčanog lima (min debljine 0,60mm) na razmaku od maksimalno 62,50 cm. Podkonstrukcija je širine 5cm / 10 cm.</t>
  </si>
  <si>
    <t>Pri izradi pregradnih zidova, pri oblaganju zidova i stropova, i pri izradi spuštenih stropova, za podkonstrukciju koristiti originalne profile od čeličnog pocinčanog lima proizvođača gips-kartonskih ploča s pripadajućim priborom za međusobnu vezu profila i za učvršćenje profila na osnovnu konstrukciju. Rubni profili potkonstrukcije pričvršćuju se na pod i strop, a okomiti za bočne zidove. Obavezno je držati se sistema jednog proizvođača.</t>
  </si>
  <si>
    <t>MEĐUETAŽNA KONSTRUKCIJA</t>
  </si>
  <si>
    <r>
      <t xml:space="preserve">Dovratnik: aluminijski, sveobuhvatni, bojani </t>
    </r>
    <r>
      <rPr>
        <sz val="10"/>
        <color theme="1"/>
        <rFont val="Calibri"/>
        <family val="2"/>
        <charset val="238"/>
        <scheme val="minor"/>
      </rPr>
      <t xml:space="preserve">
Krilo: puno, zaokretno, bojano </t>
    </r>
  </si>
  <si>
    <t>BETONSKI RIGOL</t>
  </si>
  <si>
    <t>Zrnat kameni materijal - tampon frakcije (0 – 16 mm) bez veziva. 
Potreban modul stišljivosti Ms=40MPa mjereno kružnom pločom Ø 30 cm. Odstupanje ravnosti površine izvedenog sloja ne smije iznositi više od ± 2 cm. Služi kao posteljica geotekstila.
Debljine 5cm</t>
  </si>
  <si>
    <t>CESTOVNI RUBNJAK</t>
  </si>
  <si>
    <t>ZIDARSKI RADOVI  UKUPNO:</t>
  </si>
  <si>
    <t>Pojas širine 40 cm uz građevinu sukladno arhitektonskom nacrtu</t>
  </si>
  <si>
    <t xml:space="preserve">SLOJ HUMUSA </t>
  </si>
  <si>
    <t>Sloj humusa na poziciji vanjskih zelenih površina u debljini sloja od 30cm. Obračun se vrši po m3 postavljenog i uređenog (izravnatog) sloja humusa u sraslom stanju.</t>
  </si>
  <si>
    <t>Odvođenje oborinske vode mora biti izvedeno postavljenim strehama, okapnicama itd. Svi unutarnji radovi žbukanja, postavljanje cementne glazure itd. moraju biti izvedeni, a ugrađeni materijali osušeni prema naputku proizvođača. Sva stolarija mora biti ugrađena. Prozorske klupčice moraju biti postavljene tako da budu najmanje 3 cm udaljene od novopostavljene fasade. Sve vanjske instalacije moraju biti postavljene.</t>
  </si>
  <si>
    <t xml:space="preserve">BETON ZA IZRAVNAVANJE </t>
  </si>
  <si>
    <t>Cementna masa za izravnavanje i zaglađivanje u bijeloj boji.</t>
  </si>
  <si>
    <t>GEOTEKSTIL</t>
  </si>
  <si>
    <r>
      <t xml:space="preserve">Oznaka u arhitektonskom projektu: </t>
    </r>
    <r>
      <rPr>
        <b/>
        <sz val="10"/>
        <color indexed="8"/>
        <rFont val="Calibri"/>
        <family val="2"/>
        <charset val="238"/>
      </rPr>
      <t>ZNT 1</t>
    </r>
  </si>
  <si>
    <t>RADOVI NA ZAVRŠNIH OBLOGA NA VANJSKIM  POVRŠINAMA UKUPNO</t>
  </si>
  <si>
    <t>MAPA XII.</t>
  </si>
  <si>
    <r>
      <t xml:space="preserve">Projektant: </t>
    </r>
    <r>
      <rPr>
        <b/>
        <sz val="10"/>
        <rFont val="Arial"/>
        <family val="2"/>
        <charset val="238"/>
      </rPr>
      <t>Vladimir Barać dipl. ing. stroj. S 1457</t>
    </r>
  </si>
  <si>
    <t>PROJEKT DIZALA</t>
  </si>
  <si>
    <t>« TK Elevator Eastern Europe GmbH» , podružnica Zagreb</t>
  </si>
  <si>
    <t>Vrsta  dizala :</t>
  </si>
  <si>
    <t>električno - bez zasebne strojarnice, osobno, 4 kom. (4 identična dizala)</t>
  </si>
  <si>
    <t>Vrsta  pogona  dizala :</t>
  </si>
  <si>
    <t xml:space="preserve">ELEKTRIČNO (bezreduktorski sinkroni elektromotorni pogon s permanentnim magnetima smješten u vrhu voznog okna)
</t>
  </si>
  <si>
    <t>Norma :</t>
  </si>
  <si>
    <t>Nosivost dizala :</t>
  </si>
  <si>
    <t>Brzina vožnje :</t>
  </si>
  <si>
    <t>m/s - frekventno regulirana</t>
  </si>
  <si>
    <t>Visina  dizanja :</t>
  </si>
  <si>
    <t>Broj  stanica :</t>
  </si>
  <si>
    <t>Broj  ulaza :</t>
  </si>
  <si>
    <t>Vrsta  upravljanja :</t>
  </si>
  <si>
    <t xml:space="preserve">simplex sabirno prema glavnoj stanici, mikroprocesorsko </t>
  </si>
  <si>
    <t>automatska evakuacija u najbližu stanicu kod gubitka mrežnog napajanja</t>
  </si>
  <si>
    <t>Energetska efikasnost:</t>
  </si>
  <si>
    <t>dizalo ima EPD certifikat - Environmental Product Declaration (EPD®)</t>
  </si>
  <si>
    <t>rasvjeta voznog okna LED</t>
  </si>
  <si>
    <t>kabinska rasvjeta LED s automatskim gašenjem kada se dizalo ne koristi</t>
  </si>
  <si>
    <t>automatski ventilator sa „stand-by“ funkcijom</t>
  </si>
  <si>
    <t>Signalizacija  :</t>
  </si>
  <si>
    <t>Pozivi/pokazivači na stanicama: tip TFT
Pozivi nehrđajući čelik
pokazivač položaja i aktivne funkcije, crno staklo RAL9011, tip TFT dimenzija min 3,5“ 
komandna tipkala nehrđajući čelik 
optička potvrda prijema komande WhiteLed</t>
  </si>
  <si>
    <t>Upravljački panel u kabini: tip TFT 
panel izvedba nehrđajući čelik brušeni, s crnim pokazivačem - crno staklo RAL9011, dimenzije min 3,5"
pokazivač položaja kabine, smjera i aktivne funkcije
pozivi izvedba nehrđajući čelik - završna obrada brušeni
optička potvrda prijema komande WhiteLed
komandna tipkala nehrđajući čelik brušeni</t>
  </si>
  <si>
    <t>ostala signalizacija u kabini: signalizacija preopterećenja, aktivacija alarma, nužna/panik rasvjeta, govorna veza / telealarm</t>
  </si>
  <si>
    <t>Instalacija :</t>
  </si>
  <si>
    <t>za  suhi  prostor</t>
  </si>
  <si>
    <t>Napon pogonskog  el. motora :</t>
  </si>
  <si>
    <t>3 x 400 / 220 V , 50 Hz</t>
  </si>
  <si>
    <t>Napon upravljanja :</t>
  </si>
  <si>
    <t xml:space="preserve">24 V </t>
  </si>
  <si>
    <t>Vozno okno :</t>
  </si>
  <si>
    <t>-  izvedba</t>
  </si>
  <si>
    <t>AB konstrukcija</t>
  </si>
  <si>
    <t>-  širina</t>
  </si>
  <si>
    <t>mm</t>
  </si>
  <si>
    <t>-  dubina</t>
  </si>
  <si>
    <t xml:space="preserve">mm  </t>
  </si>
  <si>
    <t>-  dubina jame</t>
  </si>
  <si>
    <t>-  nadvišenje</t>
  </si>
  <si>
    <t xml:space="preserve">Vrata voznog okna : </t>
  </si>
  <si>
    <t>-  vrsta</t>
  </si>
  <si>
    <t>2-djelna automatska teleskopska</t>
  </si>
  <si>
    <t>-  visina</t>
  </si>
  <si>
    <t xml:space="preserve">-  materijal  </t>
  </si>
  <si>
    <t xml:space="preserve">čelični lim </t>
  </si>
  <si>
    <t>-  završna obrada</t>
  </si>
  <si>
    <t xml:space="preserve">nehrđajući čelik - brušeni </t>
  </si>
  <si>
    <t>-  vatrootpornost:</t>
  </si>
  <si>
    <t>Kabina dizala:</t>
  </si>
  <si>
    <t xml:space="preserve">mm </t>
  </si>
  <si>
    <t>specijalna čelična konstrukcija</t>
  </si>
  <si>
    <t>-  obloge stranica</t>
  </si>
  <si>
    <t>-  strop</t>
  </si>
  <si>
    <t>bijeli RAL9010</t>
  </si>
  <si>
    <t>-  pod</t>
  </si>
  <si>
    <t>protuklizna vinil obloga</t>
  </si>
  <si>
    <t>-  rasvjeta</t>
  </si>
  <si>
    <t xml:space="preserve">LED </t>
  </si>
  <si>
    <t>-  nužna rasvjeta</t>
  </si>
  <si>
    <t>iz nezavisnog izvora</t>
  </si>
  <si>
    <t>-  oprema</t>
  </si>
  <si>
    <t>rukohvat i ogledalo
telealarm:  modemska-govorna veza za 24h kontakt s odabarnom lokacijom/tel. brojem, pripremljeno za analognu tel. linija Naručitelja
automatsko gašenje svjetla u kabini kada se dizalo ne koristi
el. bravica s ključem za prioritetnu vožnju u kabini
komandna tipkala otvori + zatvori vrata
automatski ventilator sa stand-by funkcijom
taktilna tipkala/Braica</t>
  </si>
  <si>
    <t xml:space="preserve">Vrata kabine : </t>
  </si>
  <si>
    <t>-  pogon vrata</t>
  </si>
  <si>
    <t>reguliran pogon vrata</t>
  </si>
  <si>
    <t xml:space="preserve">čelični  lim </t>
  </si>
  <si>
    <t xml:space="preserve">nehrđajući čelik - inox brušeni </t>
  </si>
  <si>
    <t>-  osiguranje:</t>
  </si>
  <si>
    <t>svjetlosna zavjesa</t>
  </si>
  <si>
    <t>Smještaj  strojarnice  dizala :</t>
  </si>
  <si>
    <t>bez zasebne strojarnice, pogon smješten u vrhu voznog okna</t>
  </si>
  <si>
    <t>Ormar upravljanja :</t>
  </si>
  <si>
    <t>pored vrata u najvišoj stanici, obloga vrata od nehrđajućeg čelika - brušeni, bez vatrootpornosti</t>
  </si>
  <si>
    <t>STAMBENO - POSLOVNA GRAĐEVINA, BLATO</t>
  </si>
  <si>
    <r>
      <t xml:space="preserve">Projektant: </t>
    </r>
    <r>
      <rPr>
        <b/>
        <sz val="10"/>
        <rFont val="Arial"/>
        <family val="2"/>
        <charset val="238"/>
      </rPr>
      <t>Ivan Vulić, dipl.ing.arh. A855</t>
    </r>
  </si>
  <si>
    <t>U skladu sa odredbama čl. 209. i čl. 210. ZJN 2016 daju se sljedeće napomene koje se odnose na sve stavke ovog Troškovnika:</t>
  </si>
  <si>
    <r>
      <t>Nacrti, tehnički opisi i troškovnik čine cjelinu projekta  i što je makar jednom od njih naznačeno obveza je za ponuditelja. Sve odredbe koji su navedene u njima smatraju se sastavnim dijelom opisa svake pojedine stavke troškovnika.</t>
    </r>
    <r>
      <rPr>
        <sz val="10"/>
        <color indexed="10"/>
        <rFont val="Arial"/>
        <family val="2"/>
        <charset val="238"/>
      </rPr>
      <t xml:space="preserve"> </t>
    </r>
  </si>
  <si>
    <t>Količina
ULAZ A</t>
  </si>
  <si>
    <t>Količina
ULAZ B</t>
  </si>
  <si>
    <t>Količina
ULAZ C</t>
  </si>
  <si>
    <t>Količina
ULAZ D</t>
  </si>
  <si>
    <t>jed. mj.</t>
  </si>
  <si>
    <r>
      <t>7, ulazi pod 180</t>
    </r>
    <r>
      <rPr>
        <sz val="10"/>
        <color theme="1"/>
        <rFont val="Symbol"/>
        <family val="1"/>
        <charset val="2"/>
      </rPr>
      <t>°</t>
    </r>
  </si>
  <si>
    <r>
      <rPr>
        <sz val="10"/>
        <rFont val="Calibri"/>
        <family val="2"/>
        <charset val="238"/>
        <scheme val="minor"/>
      </rPr>
      <t>EW-60 prem</t>
    </r>
    <r>
      <rPr>
        <sz val="10"/>
        <color theme="1"/>
        <rFont val="Calibri"/>
        <family val="2"/>
        <charset val="238"/>
        <scheme val="minor"/>
      </rPr>
      <t>a HRN.EN 81-58</t>
    </r>
  </si>
  <si>
    <t xml:space="preserve">izvedba prema normi HRN.EN81-20/50 (ili jednakovrijedno _________________________)
prilagođeno za osobe smanjene pokretljivosti i invalide prema HRN.EN81-70
</t>
  </si>
  <si>
    <t>Obračun po komadu:</t>
  </si>
  <si>
    <t xml:space="preserve">Pri gradnji geodetskim instrumentima pravovremeno kontrolirati vertikalnost elemenata i osnovne pravce na fasadi objekta. Na visinu etaže dozvoljeno je odstupanje od 1 cm, a za horizontalne pravce 1cm na 10m. Geodetskim instrumentom pravovremeno kontrolirati gornju površinu AB ploča, te horizontalne ivice na fasadi. Dozvoljeno odstupanje 1cm na 10m  dužine. Pod pravovremenom kontrolom podrazumijeva se kontrola vertikalnosti i horizontalnosti u fazi izrade oplate za beton. </t>
  </si>
  <si>
    <t>Pregradni zidani zidovi se ne smiju izvoditi prije izvedbe stropne konstrukcije. Kod zidanja montažnih dimnjaka i ventilacija postupati po uputama proizvođača (mort, izolacija, preklopi, unutrašnje i vanjske cijevi itd.). 
Posebno se ne naplaćuje ni zatvaranje (žbukanje šliceva, žljebova i sl.) iza položene instalacije. Zazidavanje (zatvaranje) žljebova u zidovima ostavljenih za instalacije kanalizacije i grijanja nakon izvođenja tih instalacija, opekom, rabicom ili na drugi način, ne plaća se posebno, ukoliko troškovnikom nije posebno propisano.</t>
  </si>
  <si>
    <r>
      <t xml:space="preserve">Tvornički pripremljen suhi materijal za izvedbu </t>
    </r>
    <r>
      <rPr>
        <sz val="10"/>
        <rFont val="Calibri"/>
        <family val="2"/>
        <charset val="238"/>
      </rPr>
      <t>cementnih glazura, ručno i strojno obradiv. Može se primjeniti kao plivajući, klizni ili vezani estrih.
Cementna glazura je zaglađena i armirana, a izvodi se od sitnofrakcijskog agregata, odnosno pijeska i običnog cementa ili brzoveznog / brzosušećeg cementa.</t>
    </r>
  </si>
  <si>
    <t>Armatura (sadržana u cijeni): 
visoko kvalitetna vlakna (materijal: poliolefin, mrežasta strukturna vlakna, vlak - / čvrstoča na pucanje 400 N/mm2 (+/- 10%), hrapava površina vlakana)
Doziranje: 1 kg/m³
Klasa betona: C25/30                                                             
CE - certificirana prema EN 14889-2
(ili jednakovrijedno __________________________ ).
Završna obrada sukladno:  HR EN 13813 
(ili jednakovrijedno __________________________ ).</t>
  </si>
  <si>
    <t>Kod izvedbe estriha za polaganje parketa osigurati potrebno vrijeme sušenja ili koristiti specijalni brzosušeći cement.  Zaglađivanje estriha mora biti kvalitetno izvedeno i u skladu sa završnom oblogom (strojnim zaglađivačima ili ručno). Debljinu i nagibe u sanitarijama izvesti prema projektu.</t>
  </si>
  <si>
    <t>Dimnjak od elemenata tipa: svijetli otvor Ø16
- univerzalni , montažni sistem dimnjaka za kruta, tekuća i plinska goriva
Dimnjak se izvodi od montažnih tvornički izrađenih elementa koji se sastoje od plašta izrađenog od jednozrnog betona, mineralne vune i šamotne cijevi. Oznake dimovodne cijevi T400, N1, D3, G50 (T200 N1 W 2000).  Dimnjak je namjenjen za priključenje rezervnog trošila na kruto gorivo nazivne snage do 6 kW (nije dozvoljeno priključenje kaminskog ložišta).</t>
  </si>
  <si>
    <t>dimnjak visine 13m, 3 priključka za ložište</t>
  </si>
  <si>
    <t xml:space="preserve">Estrih se u normalnim uvjetima suši 3-4 tjedna, dok mu vlažnost ne padne ispod 3% . Potom se mogu izvoditi daljnji radovi. </t>
  </si>
  <si>
    <t>dimnjak visine 10m, 2 priključka za ložište</t>
  </si>
  <si>
    <t>POD NA TLU</t>
  </si>
  <si>
    <t>MEĐUKATNA KONSTRUKCIJA</t>
  </si>
  <si>
    <t>Vapneno-cementna podložna žbuka 
VC 40 (ili jednakovrijedno ______________________).</t>
  </si>
  <si>
    <t xml:space="preserve">Svako naknadno bušenje ili izrada užljebina u zidovima zgrade koje nije bilo predviđeno projektom, može se izvoditi samo ako je prethodnim statičkim proračunom utvrđeno da nosivost zida poslije tog nije manja od propisane nosivosti. </t>
  </si>
  <si>
    <t>Poprečni i uzdužni zidovi moraju na spoju biti međusobno povezani zidarskim vezom, tj. za pregradne zidove treba ispustiti zupce u masivnom zidu na svaki drugi red za ½ opeke. Zidove uz vertikalni serklaž također zupčasto izvesti.</t>
  </si>
  <si>
    <t>Potrebno je pripraviti HRN ili jednakovrijedne ateste za ponuđeni i ugrađeni materijal, a prema Zakonu o gradnji NN (153/13, 20/17, 39/19, 125/19) i uzancama za ovu vrstu poslova. 
Gipsane ploče, sukladno: HRN EN 520:2010  
(ili jednakovrijedan ____________________________)
Materijal za obradbu i zaglađivanje spojeva gipsanih ploča, sukladno: HRN EN 13963:2014 
(ili jednakovrijedan ___________________________)
Ovješeni stropovi, sukladno: HRN EN 13964:2014 
(ili jednakovrijedan ___________________________) 
Metalni profili podkonstrukcija za sustave s gipsanim pločama: HRN EN 14195:2015:2014
(ili jednakovrijedan ___________________________)
Gips elementi za spuštene stropove, sukladno:
HRN EN 14246:2006/Ispr.:2008 
(ili jednakovrijedan ___________________________)</t>
  </si>
  <si>
    <t xml:space="preserve">U području spojeva pregradnih zidova s bočnim građevnim elementima na profile je potrebno nanijeti brtveni kit ili PE brtvenu traku. Kod očekivanih progiba međukatnih konstrukcija od &gt; 10mm, potrebno je izvesti klizne spojeve. Ojačanja su uračunata u cijenu. </t>
  </si>
  <si>
    <t xml:space="preserve">Kod otvora (vrata, prozori), obavezna ugradnja ojačanih metalnih profila, prema uputama proizvođača. Učvršćenje ploča na potkonstrukciju izvoditi originalnim pripadajućim vijcima za brzu montažu i odgovarajuću vrstu ploče uz obvezno upuštanje glave vijka za 2 mm (+/-2%) u odnosu na ravninu vidljive plohe obloge zida ili stropa. </t>
  </si>
  <si>
    <t>Učvrsna sredstva za bočne masivne građevne elemente su tipli s vijcima. Za građevne elemente koji nisu masivni učvrsna sredstva se određuju prema vrsti podloge.</t>
  </si>
  <si>
    <t>Koeficijent toplinske provodljivosti: max 0,041 W/mK, sukladno: HRN EN 13162 
(ili jednakovrijedno ____________________________). 
Razred reakcije na požar: A1 
sukladno: HRN EN 13501-1 
(ili jednakovrijedno ____________________________).</t>
  </si>
  <si>
    <r>
      <rPr>
        <b/>
        <u/>
        <sz val="10"/>
        <color indexed="8"/>
        <rFont val="Calibri"/>
        <family val="2"/>
        <charset val="238"/>
      </rPr>
      <t xml:space="preserve">Q2 ili K2   </t>
    </r>
    <r>
      <rPr>
        <sz val="10"/>
        <color theme="1"/>
        <rFont val="Calibri"/>
        <family val="2"/>
        <charset val="238"/>
        <scheme val="minor"/>
      </rPr>
      <t xml:space="preserve">   
Stupanj kvalitete Q2 predstavlja uobičajenu vrstu obrade površine kod koje se obrađuje samo površina na udaljenosti od približno 20 cm lijevo i desno od spoja dvaju ploča, kako bi se ublažio prijelaz prema površini gips-kartonske ploče. </t>
    </r>
    <r>
      <rPr>
        <b/>
        <u/>
        <sz val="10"/>
        <color indexed="8"/>
        <rFont val="Calibri"/>
        <family val="2"/>
        <charset val="238"/>
      </rPr>
      <t/>
    </r>
  </si>
  <si>
    <r>
      <rPr>
        <b/>
        <u/>
        <sz val="10"/>
        <color indexed="8"/>
        <rFont val="Calibri"/>
        <family val="2"/>
        <charset val="238"/>
      </rPr>
      <t xml:space="preserve">Q1 ili K1    </t>
    </r>
    <r>
      <rPr>
        <sz val="10"/>
        <color theme="1"/>
        <rFont val="Calibri"/>
        <family val="2"/>
        <charset val="238"/>
        <scheme val="minor"/>
      </rPr>
      <t xml:space="preserve">  
Stupanj kvalitete Q1 zadovoljava zahtjeve prema površinama gips-kartonskih sustava bez posebnih opisa. Primjena se odnosi uglavnom na područje površina ispod keramičkih pločica ili drugih vrsta završnih dekorativnih zidnih obloga koje u potpunosti prekrivaju površinu suho-montažnog sustava. Kod višeslojne izvedbe se spojevi ploča kod zahtjeva za povišenom zvučnom izolacijom ili vatrootpornošću svakako trebaju zapuniti.</t>
    </r>
    <r>
      <rPr>
        <b/>
        <u/>
        <sz val="10"/>
        <color indexed="8"/>
        <rFont val="Calibri"/>
        <family val="2"/>
        <charset val="238"/>
      </rPr>
      <t/>
    </r>
  </si>
  <si>
    <r>
      <t xml:space="preserve">UNUTARNJI ZIDOVI
</t>
    </r>
    <r>
      <rPr>
        <sz val="10"/>
        <color theme="1"/>
        <rFont val="Calibri"/>
        <family val="2"/>
        <charset val="238"/>
        <scheme val="minor"/>
      </rPr>
      <t xml:space="preserve">Nenosiv pregradni zid s jednostrukom metalnom potkonstrukcijom, obostrano dvoslojno polaganje
Oznaka u nacrtu: </t>
    </r>
    <r>
      <rPr>
        <b/>
        <sz val="10"/>
        <color indexed="8"/>
        <rFont val="Calibri"/>
        <family val="2"/>
        <charset val="238"/>
      </rPr>
      <t>ZGG5</t>
    </r>
  </si>
  <si>
    <t>Gips-kartonske ploče tipa A / H2 (mokri čvorovi) x2
dim. 2000 x 1250 x 12,5 mm (+/- 5%)</t>
  </si>
  <si>
    <t>d=10cm/15cm (2,5+5/10+2,5cm)
h= 268cm</t>
  </si>
  <si>
    <t>Ovjes za umivaonik se postavlja između podkonstrukcije pregradnog zida ili zidne obloge. 
Ovjes za WC školjku sa ugrađenim vodokotlićem se postavlja između podkonstrukcije pregradnog zida ili zidne obloge. Na mjestu ugradnje obavezno postavljanje ojačanih profila na utične kutnike.</t>
  </si>
  <si>
    <t>Debljina folije je 0,20mm. Trake folije polažu se s preklopom od 10cm. Preklopi se lijepe samoljepljivom trakom širine 5cm.</t>
  </si>
  <si>
    <t>Polietilenska folija postavlja se u dva sloja:
a) kao zaštitni sloj prema šahti
b) kao parna brana sa toplije strane termoizolacije
d = 0,20mm</t>
  </si>
  <si>
    <t>Ukoliko se ploče polažu direktno na plohu koja se oblaže - bez podkonstrukcije - za lijepljenje se mora upotrijebiti originalno pripadajuće ljepilo izabranog dobavljača osnovnog materijala uz odgovarajuću impregnaciju površine. Ploče se pričvršćuju na stupove nosive konstrukcije pomoću samorezujućih vijaka na propisanom razmaku. Ploče se polažu vertikalno.</t>
  </si>
  <si>
    <r>
      <t xml:space="preserve">Oznaka u nacrtu: </t>
    </r>
    <r>
      <rPr>
        <b/>
        <sz val="10"/>
        <color indexed="8"/>
        <rFont val="Calibri"/>
        <family val="2"/>
        <charset val="238"/>
      </rPr>
      <t>AOT 1, ANT 1, ANT 2, ZNT 1</t>
    </r>
  </si>
  <si>
    <t>AOT 1</t>
  </si>
  <si>
    <t>ZNT 1</t>
  </si>
  <si>
    <t>ANT 1 (donja ploha temelja)</t>
  </si>
  <si>
    <t>ANT 1 (gornja ploha temelja)</t>
  </si>
  <si>
    <t>ANT 2 (donja ploha temelja)</t>
  </si>
  <si>
    <t>ANT 2 (gornja ploha temelja)</t>
  </si>
  <si>
    <r>
      <rPr>
        <b/>
        <sz val="10"/>
        <color theme="1"/>
        <rFont val="Calibri"/>
        <family val="2"/>
        <charset val="238"/>
        <scheme val="minor"/>
      </rPr>
      <t>Ploče od ekstrudiranog polistirena, XPS.</t>
    </r>
    <r>
      <rPr>
        <sz val="10"/>
        <color theme="1"/>
        <rFont val="Calibri"/>
        <family val="2"/>
        <charset val="238"/>
        <scheme val="minor"/>
      </rPr>
      <t xml:space="preserve">
Vanjska toplinska izolacija zidova podzemnih građevinskih površina smještena na vanjskoj strani hidroizolacije jednoslojno postavljena.</t>
    </r>
  </si>
  <si>
    <t>BRTVEĆA ELASTIČNA HIDROIZOLACIJSKA TRAKA ZA OJAČANJE</t>
  </si>
  <si>
    <t>Brtvljenje spojeva između horizontalnih i vertikalnih površina te preko propilanih dilatacija ugradnjom dilatacijske trake od pletenog poliestera u sredini ojačanog gumenom trakom. Traka se utapa u prvi sloj premaza, dok se drugim u potpunosti prekriva.
Karakteristike proizvoda: 
Širina zone brtvljenja: 7,00 cm
Vlačna čvrstoća (uzdužno / poprečno): 120,0/58,0 N/50 mm
Izduženje kod kidanja (uzdužno / poprečno): 37% /126%</t>
  </si>
  <si>
    <t>IZOLACIJA KUPAONICA / SANITARNIH ČVOROVA</t>
  </si>
  <si>
    <t>Brtveća elastična hidroizolacijska traka za ojačanje</t>
  </si>
  <si>
    <t>Polimercementna izolacija</t>
  </si>
  <si>
    <t>POD (BGG 1b, BGN 1b)</t>
  </si>
  <si>
    <t>Polimercementna izolacija postavljena na podnicu žardinjere te uzdignuta 50cm iz rub sukladno arhitektonskom nacrtu.</t>
  </si>
  <si>
    <t xml:space="preserve">PLIVAJUĆI POD </t>
  </si>
  <si>
    <t>ZVUČNO - TOPLINSKE IZOLACIJE</t>
  </si>
  <si>
    <t xml:space="preserve">Materijal mora biti izrađen sukladno normi 
HR EN 13163 (ili jednakovrijedno ______________________ ). </t>
  </si>
  <si>
    <t>Prvo se postavlja traka ekspandiranog polistirena debljine 0,6 -1,5 cm, visine do gornje kote finalnog sloja poda, vertikalno oko svih zidova, stupova, dovratnika i ostalih vertikalnih elemenata konstrukcije, te oko elemenata instalacija koji prodiru kroz pod - uračunato u jediničnoj cijeni. Izolacija se izvodi s više slojeva traka koje se polažu u međusobno okomitim smjerovima. Toplinsko - zvučna izolacija mora biti uredno postavljena, bez međurazmaka i krpanja površina otpacima materijala.
d = 30mm</t>
  </si>
  <si>
    <t xml:space="preserve">Parna brana  izvodi se na očišćenoj podlozi. Izvodi se od PE folije debljine 0,20mm (0,15mm). Polaže se s preklopima od 10cm, a potrebno ju je uz okolne zidove podignuti do razine 2cm iznad estriha (uz trake toplinske izolacije). Preklopi se lijepe samoljepivom trakom širine 5cm. Na krovove se folija učvršćuje sredstvima za učvršćenje, koja ovise o vrsti podloge na koju se folija učvršćuje. </t>
  </si>
  <si>
    <r>
      <rPr>
        <b/>
        <sz val="10"/>
        <color indexed="8"/>
        <rFont val="Calibri"/>
        <family val="2"/>
        <charset val="238"/>
      </rPr>
      <t xml:space="preserve">ANT 1 
</t>
    </r>
    <r>
      <rPr>
        <sz val="10"/>
        <color indexed="8"/>
        <rFont val="Calibri"/>
        <family val="2"/>
        <charset val="238"/>
      </rPr>
      <t xml:space="preserve">AB ESTRIH </t>
    </r>
    <r>
      <rPr>
        <sz val="10"/>
        <color theme="1"/>
        <rFont val="Calibri"/>
        <family val="2"/>
        <charset val="238"/>
        <scheme val="minor"/>
      </rPr>
      <t>( d = 10cm)</t>
    </r>
  </si>
  <si>
    <r>
      <rPr>
        <b/>
        <sz val="10"/>
        <color indexed="8"/>
        <rFont val="Calibri"/>
        <family val="2"/>
        <charset val="238"/>
      </rPr>
      <t xml:space="preserve">ANT 2 
</t>
    </r>
    <r>
      <rPr>
        <sz val="10"/>
        <color theme="1"/>
        <rFont val="Calibri"/>
        <family val="2"/>
        <charset val="238"/>
        <scheme val="minor"/>
      </rPr>
      <t xml:space="preserve">AB ESTRIH U PADU (d = 8cm - 25cm) </t>
    </r>
  </si>
  <si>
    <r>
      <rPr>
        <b/>
        <sz val="10"/>
        <color indexed="8"/>
        <rFont val="Calibri"/>
        <family val="2"/>
        <charset val="238"/>
      </rPr>
      <t xml:space="preserve">BNN 1, BNN 1a 
</t>
    </r>
    <r>
      <rPr>
        <sz val="10"/>
        <color indexed="8"/>
        <rFont val="Calibri"/>
        <family val="2"/>
        <charset val="238"/>
      </rPr>
      <t xml:space="preserve">AB ESTRIH </t>
    </r>
    <r>
      <rPr>
        <sz val="10"/>
        <color theme="1"/>
        <rFont val="Calibri"/>
        <family val="2"/>
        <charset val="238"/>
        <scheme val="minor"/>
      </rPr>
      <t>(d= 7,50cm)
PE FOLIJA (d = 0,20mm)
termoizolacija EPS - T (d = 3cm)</t>
    </r>
  </si>
  <si>
    <r>
      <rPr>
        <b/>
        <sz val="10"/>
        <color indexed="8"/>
        <rFont val="Calibri"/>
        <family val="2"/>
        <charset val="238"/>
      </rPr>
      <t xml:space="preserve">BGG 1a, BGG 1b 
</t>
    </r>
    <r>
      <rPr>
        <sz val="10"/>
        <color indexed="8"/>
        <rFont val="Calibri"/>
        <family val="2"/>
        <charset val="238"/>
      </rPr>
      <t>AB ESTRIH</t>
    </r>
    <r>
      <rPr>
        <b/>
        <sz val="10"/>
        <color indexed="8"/>
        <rFont val="Calibri"/>
        <family val="2"/>
        <charset val="238"/>
      </rPr>
      <t xml:space="preserve"> </t>
    </r>
    <r>
      <rPr>
        <sz val="10"/>
        <color theme="1"/>
        <rFont val="Calibri"/>
        <family val="2"/>
        <charset val="238"/>
        <scheme val="minor"/>
      </rPr>
      <t>(d = 7,50cm)
PE FOLIJA (d = 0,20mm)
termoizolacija EPS - T (d = 3cm)</t>
    </r>
  </si>
  <si>
    <r>
      <rPr>
        <b/>
        <sz val="10"/>
        <color indexed="8"/>
        <rFont val="Calibri"/>
        <family val="2"/>
        <charset val="238"/>
      </rPr>
      <t xml:space="preserve">BGN 1a, BGN 1b </t>
    </r>
    <r>
      <rPr>
        <sz val="10"/>
        <color theme="1"/>
        <rFont val="Calibri"/>
        <family val="2"/>
        <charset val="238"/>
        <scheme val="minor"/>
      </rPr>
      <t xml:space="preserve">
AB ESTRIH (d = 7,50cm)
PE FOLIJA (d = 0,20mm)
termoizolacija EPS - T (d = 3cm)</t>
    </r>
  </si>
  <si>
    <r>
      <rPr>
        <b/>
        <sz val="10"/>
        <color indexed="8"/>
        <rFont val="Calibri"/>
        <family val="2"/>
        <charset val="238"/>
      </rPr>
      <t xml:space="preserve">BGO 1a, BGO 1b 
</t>
    </r>
    <r>
      <rPr>
        <sz val="10"/>
        <color indexed="8"/>
        <rFont val="Calibri"/>
        <family val="2"/>
        <charset val="238"/>
      </rPr>
      <t xml:space="preserve">AB ESTRIH </t>
    </r>
    <r>
      <rPr>
        <sz val="10"/>
        <color theme="1"/>
        <rFont val="Calibri"/>
        <family val="2"/>
        <charset val="238"/>
        <scheme val="minor"/>
      </rPr>
      <t>(d= 7,50cm)
PE FOLIJA (d = 0,20mm)
termoizolacija EPS - T (d = 3cm)</t>
    </r>
  </si>
  <si>
    <t>INDUSTRIJSKI POD NA BAZI SUHOG POSIPA</t>
  </si>
  <si>
    <r>
      <rPr>
        <b/>
        <sz val="10"/>
        <color indexed="8"/>
        <rFont val="Calibri"/>
        <family val="2"/>
        <charset val="238"/>
      </rPr>
      <t xml:space="preserve">ANT 1 </t>
    </r>
    <r>
      <rPr>
        <sz val="10"/>
        <color indexed="8"/>
        <rFont val="Calibri"/>
        <family val="2"/>
        <charset val="238"/>
      </rPr>
      <t/>
    </r>
  </si>
  <si>
    <t xml:space="preserve">ANT 2 </t>
  </si>
  <si>
    <t>Ploče od staklene mineralne vune kaširane sa crnim staklenim voalom.
Toplinska provodljivost: 0,034 W/mK ʎ
Otpor strujanju zraka: &gt;10 kPa*s/m2 AFr10
d=10cm (ispod AB ploče)</t>
  </si>
  <si>
    <t>Ploča od kamene vune u padu
d= 15 - 25cm</t>
  </si>
  <si>
    <r>
      <rPr>
        <b/>
        <sz val="10"/>
        <color indexed="8"/>
        <rFont val="Calibri"/>
        <family val="2"/>
        <charset val="238"/>
      </rPr>
      <t xml:space="preserve">KOO 1 
</t>
    </r>
    <r>
      <rPr>
        <sz val="10"/>
        <color theme="1"/>
        <rFont val="Calibri"/>
        <family val="2"/>
        <charset val="238"/>
        <scheme val="minor"/>
      </rPr>
      <t>AB estrih u padu d = 4cm - 6cm
PE FOLIJA (d = 0,20mm)
termoizolacija XPS (d = 5cm)</t>
    </r>
  </si>
  <si>
    <t>IZOLACIJA VANJSKIH ŽARDINJERA</t>
  </si>
  <si>
    <t>TERMOIZOLACIJA IZNAD OTVORENOG PROSTORA</t>
  </si>
  <si>
    <t>Ploča od kamene vune.
d= 10cm</t>
  </si>
  <si>
    <t>TERMOIZOLACIJA - KAMENA VUNA</t>
  </si>
  <si>
    <t>Tvrde ploče od kamene vune. Proizvod je negoriv, otporan na visoke temperature, vodoodbojan, otporan na starenje te kemijski neutralan. Izolacijske ploče od kamene vune učvršćuju se lijepljenjem i s mehaničkim pričvrsnicama.  Preko njih se nanosi sloj ljepila i završne žbuke. 
Toplinska provodljivost: 0,036 W/mK
Reakcija na požar: A1</t>
  </si>
  <si>
    <t>koeficijent toplinske provodljivosti λ  = min. 0,035 W/mK</t>
  </si>
  <si>
    <t>razred reakcije na požar A1 - potpuno negoriv</t>
  </si>
  <si>
    <t xml:space="preserve">Na kutovima objekta izolacijske ploče se preklapaju na izmjeničan vez, a potom se na te bridove, kao i bridove otvora, postavljaju PVC kutnici sa mrežicom, ili okapni profil na horizontalne bridove. Na kutovima otvora obaviti dijagonalna armiranja trakama armaturne staklene mrežice min. dimenzije 20x40cm.                                                                                                                                                  </t>
  </si>
  <si>
    <t>Temperatura zraka, podloge i materijala ne smije biti ispod +5°C, a kod rada sa silikatnim žbukama ispod + 8°C. Ova temperatura vrijedi kako za radove ugradnje, tako i za vrijeme protvrdnjavanja materijala. Radovi se ne smiju izvoditi pod direktnim sunčevim zračenjem, vjetrom ili oborinama. Pri izvedbi sustava na pročelje treba postaviti odgovarajuću zaštitu: jutu i sl.</t>
  </si>
  <si>
    <t xml:space="preserve">Na visini min 25cm iznad razine zemlje XPS se pričvršćuje na zid sa pričvrsnicama sa plastičnim ili čeličnim klinom ovisno o završnom sloju. Sokl se nastavlja min.10cm ispod razine terena, do razine rubnog osnovnog profila (izrađen od perforiranog nekorodirajućeg Al lima, debljine 1mm, dužine 2m). Na XPS se nanosi građevinsko ljepilo u dva sloja s alkalno postojanom staklenom mrežicom ili žičanom mrežicom veličine očica 5x5mm koja treba biti izvedena u dva sloja. </t>
  </si>
  <si>
    <t>Napomena: potrebno je koristiti proizvode iz istog "sustava" proizvođača, u svemu izvoditi prema uputama proizvođača.</t>
  </si>
  <si>
    <t>Provjeriti valjanost podloge: mora biti čvrsta (nosiva), čista i suha. Podloga mora biti ravna, okomito i vodoravno, provjeriti libelom (neravnine do 1 cm mogu se izravnati ljepilom, a veće od toga podložnom žbukom). Spojnice moraju biti zapunjene. Sa betonskih površina mora biti uklonjeno sredstvo za odvajanje oplata, te sve masnoće.</t>
  </si>
  <si>
    <r>
      <rPr>
        <b/>
        <sz val="10"/>
        <color theme="1"/>
        <rFont val="Calibri"/>
        <family val="2"/>
        <charset val="238"/>
        <scheme val="minor"/>
      </rPr>
      <t xml:space="preserve">ZOG 1 - </t>
    </r>
    <r>
      <rPr>
        <sz val="10"/>
        <color theme="1"/>
        <rFont val="Calibri"/>
        <family val="2"/>
        <charset val="238"/>
        <scheme val="minor"/>
      </rPr>
      <t>RAL 9003 - d termoizolacije = 15cm</t>
    </r>
  </si>
  <si>
    <r>
      <rPr>
        <b/>
        <sz val="10"/>
        <color theme="1"/>
        <rFont val="Calibri"/>
        <family val="2"/>
        <charset val="238"/>
        <scheme val="minor"/>
      </rPr>
      <t xml:space="preserve">ZOG 1b - </t>
    </r>
    <r>
      <rPr>
        <sz val="10"/>
        <color theme="1"/>
        <rFont val="Calibri"/>
        <family val="2"/>
        <charset val="238"/>
        <scheme val="minor"/>
      </rPr>
      <t>RAL 3003 - d termoizolacije = 15cm</t>
    </r>
  </si>
  <si>
    <r>
      <rPr>
        <b/>
        <sz val="10"/>
        <color theme="1"/>
        <rFont val="Calibri"/>
        <family val="2"/>
        <charset val="238"/>
        <scheme val="minor"/>
      </rPr>
      <t xml:space="preserve">ZOG 1a - </t>
    </r>
    <r>
      <rPr>
        <sz val="10"/>
        <color theme="1"/>
        <rFont val="Calibri"/>
        <family val="2"/>
        <charset val="238"/>
        <scheme val="minor"/>
      </rPr>
      <t>RAL 7016 - d termoizolacije = 10cm</t>
    </r>
  </si>
  <si>
    <t>d= 10 / 15 cm</t>
  </si>
  <si>
    <t>d termoizolacije = 12cm</t>
  </si>
  <si>
    <r>
      <t xml:space="preserve">Završna obloga: </t>
    </r>
    <r>
      <rPr>
        <b/>
        <sz val="10"/>
        <color indexed="8"/>
        <rFont val="Calibri"/>
        <family val="2"/>
        <charset val="238"/>
      </rPr>
      <t>ZAVRŠNA SILIKONSKA ŽBUKA</t>
    </r>
    <r>
      <rPr>
        <sz val="10"/>
        <color theme="1"/>
        <rFont val="Calibri"/>
        <family val="2"/>
        <charset val="238"/>
        <scheme val="minor"/>
      </rPr>
      <t xml:space="preserve">
Nakon sušenja (od 10 – 14 dana, ovisno o vremenskim uvjetima), suha i čista podloga premazuje se ravnomjerno i temeljito nerazrijeđenim dubinski predpremazom, te se nakon min. 24 sata, nanosi silikonska završna dekorativna žbuka u granulaciji 1,5mm.  Obračun po m².</t>
    </r>
  </si>
  <si>
    <t>Izvoditi prema: 
Tehničkim propisima za prozore i vrata (NN 69/06)
Tehničkom propisu o racionalnoj upotrebi energije i toplinskoj zaštiti u zgradama (NN 128/15, 70/18, 73/18, 86/18, 102/20), i važećim normama
(ili jednakovrijedno ____________________________).</t>
  </si>
  <si>
    <t>Popis certifikata potrebnih za zavarivanje:
HRN EN 9606-1:2012 (ili jednakovrijedno ____________________________)
HRN EN 9606-2:2007 (ili jednakovrijedno ____________________________)
HRN EN 14732:2014 (ili jednakovrijedno ____________________________)
HRN EN ISO 4063 (ili jednakovrijedno ____________________________)</t>
  </si>
  <si>
    <t>Tek nakon pregleda navedene dokumentacije i upisa u građevinski dnevnik od strane nadzornog inženjera izvoditelj može započeti sa radom.</t>
  </si>
  <si>
    <t>Prije početka radova izvoditelj je dužan dati na uvid nadzornom inženjeru slijedeće:
- certifikate materijala od kojih će biti izrađena čelična konstrukcija
- certifikate za spojni materijal (vijke, elektrode i sl.)
- certifikate zavarivača koji će raditi na izradi čelične konstrukcije
- planove slijeda zavarivanja sa točnim odredbama u pogledu rasporeda i redoslijeda svakog pojedinog zavara
- plan montaže konstrukcije u kojem će biti detaljno razrađen način i slijed montaže</t>
  </si>
  <si>
    <t>Predviđena kvaliteta  čelika za izvedbu konstrukcije: S355 J2+N, prema 
HRN EN 10025 
(ili jednakovrijedno ____________________________)
HRN EN 10210 
(ili jednakovrijedno ____________________________)</t>
  </si>
  <si>
    <t>Kontrola kvalitete zavarenih spojeva:
- HRN EN ISO 3834-2 
(ili jednakovrijedno ___________________________)
Zahtjevi za kvalitetu zavarivanja taljenjem metalnih materijala
- HRN EN ISO 15614-1:2007 
(ili jednakovrijedno ___________________________)
Specifikacija i kvalifikacija postupaka zavarivanja za metalne materijale - Ispitivanje postupka zavarivanja
- HRN EN 1090-2 
(ili jednakovrijedno __________________________)
Klasa izvedbe konstrukcije  EXC2</t>
  </si>
  <si>
    <t xml:space="preserve">Izvedbeni projekt, radioničke nacrte i projekt montaže čelične konstrukcije treba izraditi Izvođač čelične konstrukcije u skladu s raspoloživom opremom i uhodanim načinom rada, a odobriti Projektant konstrukcije i glavni projektant. </t>
  </si>
  <si>
    <t>Detaljnu tehnologiju zavarivanja suglasno raspoloživoj opremi i kadrovima predlaže Izvoditelj investitoru, odnosno nadzornom inženjeru i projektantu konstrukcije. Radove zavarivanja smije vršiti samo atestirani zavarivač.</t>
  </si>
  <si>
    <t>Zaštita od korozije sastavni je dio svake bravarske stavke i uključena je u jedinični cijenu. Zaštita od korozije čelika predviđa se vrućim pocinčavanjem, odnosno bojanjem prije ugradnje.</t>
  </si>
  <si>
    <t xml:space="preserve">Elementi se obrađuju u pogonu. Dorada, obrada elemenata na objektu nije prihvatljiva, kao ni montaža oštećenih elemenata, osobito nisu prihvatljiva oštećenja koja mogu uzrokovati hrđu elemenata. </t>
  </si>
  <si>
    <t>Zaštita od korozije za čel. profile i konstrukcije sukladno: HRN EN ISO 12944 
(ili jednakovrijedno __________________________)</t>
  </si>
  <si>
    <t>Za slučaj  već nastalog procesa korozije čeličnih profila treba izvršiti pjeskarenje u kvaliteti SA 2,5, sukladno: SNV–05900
(ili jednakovrijedno ___________________________)</t>
  </si>
  <si>
    <t>Svi dijelovi konstrukcije i elementi pojedinih pozicija moraju biti proračunati i dimenzionirani tako da sigurno prihvaćaju opterećenja posebice vjetra (tlak, usis) i drugih atmosferskih utjecaja i funkcija elemenata. Sile koje se javljaju u elementima i fasadi u cjelini moraju se prenijeti na monolitni dio zgrade, dok se deformacije i opterećenja (sile) sa zgrade ne smiju nikako prenositi na fasadu i/ili njene elemente. Na spoju raznih kvaliteta lima / metala izvesti potrebno galvansko razdvajanje. Izvedba razdvajanja mora biti otporno i postojano na atmosferilije i smrzavanje.</t>
  </si>
  <si>
    <t>Za sve čelične elemente na objektu , predviđena je antikorozivna zaštita vrućim cinčanjem, u svemu prema dodatku F norme 
HRN EN 1090-2 
(ili jednakovrijedno ___________________________).
Minimalne debljine nanosa cinka određuju se sukladno kategoriji korozije i predviđenom vremenu trajanja konstrukcije.</t>
  </si>
  <si>
    <t>Vruće pocinčavanje izvodi se sukladno:
HRN EN ISO 1461 
(ili jednakovrijedno ___________________________)
HRN EN ISO 14713-2 
(ili jednakovrijedno ___________________________)
u skladu s istim standardima vrši se i kontrola kvalitete.</t>
  </si>
  <si>
    <t>Zaštita pocinčavanjem podrazumijeva nanošenje prevlake cinka  po toplom postupku. Sve čelične konstrukcije prethodno treba odmastiti, očistiti razblaženom otopinom klorovodične kiseline te isprati hladnom vodom.
Toplo pocinčavanje se izvodi stavljanjem tekućine u rastopljeni cink.</t>
  </si>
  <si>
    <t>kvaliteta sukladno:
HRN EN 10027-1: 1.4401 X5CrNiMo17-12-2 (AISI 316(A4))
(ili jednakovrijedno ____________________________)</t>
  </si>
  <si>
    <t xml:space="preserve">U cijenu je potrebno uključiti i sve eventualno skrivene dijelove, nenabrojene elemente koje proizvođač preporuča. kao i sve opšave fazonske komade i sl. U cijenu obračunato sve u kompletu, do pune gotovosti vrata. </t>
  </si>
  <si>
    <t>Panik okov</t>
  </si>
  <si>
    <r>
      <t xml:space="preserve">- prema </t>
    </r>
    <r>
      <rPr>
        <b/>
        <sz val="10"/>
        <rFont val="Calibri"/>
        <family val="2"/>
        <charset val="238"/>
        <scheme val="minor"/>
      </rPr>
      <t xml:space="preserve">HRN EN 1125 </t>
    </r>
    <r>
      <rPr>
        <sz val="10"/>
        <rFont val="Calibri"/>
        <family val="2"/>
        <charset val="238"/>
        <scheme val="minor"/>
      </rPr>
      <t xml:space="preserve">
(ili jednakovrijedno ___________________________)
funkcija "B" - s vanjske strane kvaka, s unutarnje panik letva; vrata su prohodna u oba smjera dok su otključana, zaključana su prohodna samo u smjeru evakuacije.      </t>
    </r>
  </si>
  <si>
    <r>
      <t xml:space="preserve">- prema </t>
    </r>
    <r>
      <rPr>
        <b/>
        <sz val="10"/>
        <rFont val="Calibri"/>
        <family val="2"/>
        <charset val="238"/>
        <scheme val="minor"/>
      </rPr>
      <t xml:space="preserve">HRN EN 179 </t>
    </r>
    <r>
      <rPr>
        <sz val="10"/>
        <rFont val="Calibri"/>
        <family val="2"/>
        <charset val="238"/>
        <scheme val="minor"/>
      </rPr>
      <t xml:space="preserve">
(ili jednakovrijedno _________________________)
s vanjske strane kvaka, s unutarnje panik kvaka; vrata su prohodna u oba smjera dok su otključana, zaključana su prohodna samo u smjeru evakuacije.</t>
    </r>
  </si>
  <si>
    <t>Površinska obrada elemenata od nehrđajućeg čelika je poliranje ili četkanje (dio stavke). Sve kvake, panik kvake, panik letve i rukohvati vrata izvode se od inoxa.</t>
  </si>
  <si>
    <r>
      <rPr>
        <b/>
        <sz val="10"/>
        <color theme="1"/>
        <rFont val="Calibri"/>
        <family val="2"/>
        <charset val="238"/>
        <scheme val="minor"/>
      </rPr>
      <t>Standardna oprema svih vanjskih vrata:</t>
    </r>
    <r>
      <rPr>
        <sz val="10"/>
        <color theme="1"/>
        <rFont val="Calibri"/>
        <family val="2"/>
        <charset val="238"/>
        <scheme val="minor"/>
      </rPr>
      <t xml:space="preserve">
- cilindar brava
- odbojnik-graničnik u podu (zaštita od oštećenja zida)
- hidraulički zatvarač (kod dvokrilnih vrata redosljednik zatvaranja)
- stoper za fiksiranje u otvorenom položaju
- kvaka s kompletom rozeta - inox</t>
    </r>
  </si>
  <si>
    <t>UNUTARNJA VATROOTPORNA VRATA</t>
  </si>
  <si>
    <r>
      <t xml:space="preserve">ULAZNA VRATA STANOVA
</t>
    </r>
    <r>
      <rPr>
        <sz val="10"/>
        <color theme="1"/>
        <rFont val="Calibri"/>
        <family val="2"/>
        <charset val="238"/>
        <scheme val="minor"/>
      </rPr>
      <t>Shema:</t>
    </r>
    <r>
      <rPr>
        <b/>
        <sz val="10"/>
        <color theme="1"/>
        <rFont val="Calibri"/>
        <family val="2"/>
        <charset val="238"/>
        <scheme val="minor"/>
      </rPr>
      <t xml:space="preserve"> BR 1_01</t>
    </r>
  </si>
  <si>
    <t>UNUTARNJA ČELIČNA OGRADA STUBIŠTA</t>
  </si>
  <si>
    <t>ČELIČNA OGRADA</t>
  </si>
  <si>
    <r>
      <t xml:space="preserve">Shema </t>
    </r>
    <r>
      <rPr>
        <b/>
        <sz val="10"/>
        <color theme="1"/>
        <rFont val="Calibri"/>
        <family val="2"/>
        <charset val="238"/>
        <scheme val="minor"/>
      </rPr>
      <t xml:space="preserve">BR_6 </t>
    </r>
    <r>
      <rPr>
        <sz val="10"/>
        <color theme="1"/>
        <rFont val="Calibri"/>
        <family val="2"/>
        <charset val="238"/>
        <scheme val="minor"/>
      </rPr>
      <t>- 8 krakova stubišta</t>
    </r>
  </si>
  <si>
    <r>
      <t xml:space="preserve">Shema </t>
    </r>
    <r>
      <rPr>
        <b/>
        <sz val="10"/>
        <color theme="1"/>
        <rFont val="Calibri"/>
        <family val="2"/>
        <charset val="238"/>
        <scheme val="minor"/>
      </rPr>
      <t xml:space="preserve">BR_6a </t>
    </r>
    <r>
      <rPr>
        <sz val="10"/>
        <color theme="1"/>
        <rFont val="Calibri"/>
        <family val="2"/>
        <charset val="238"/>
        <scheme val="minor"/>
      </rPr>
      <t>- 9 krakova stubišta</t>
    </r>
  </si>
  <si>
    <t>VANJSKA ČELIČNA OGRADA - BALKONI</t>
  </si>
  <si>
    <t>Ograda kontinuirano prati krakove stubišta. 
Sastoji se od okvira i ispune. Okvir ujedno predstavlja i rukohvat. Okvir i ispune izrađuju se od kvadratnih čeličnih cijevi 50x20x3mm  međusobno spojenih varenjem. Svjetli ovor &lt; 14cm.
Ograda je preko čeličnih "T" profila sidrena bočno na AB krakove stubišta kemijskim inox sidrima M12.  Ograda precizno prati nagib AB kraka, dok donji rub ograde prati podgled AB kraka. Rukohvat ograde je inox cijev (Ø40mm, debljine 3mm) postavljen na visini 90cm. Rukohvat kontinuirano prati krakove i podeste (spajanje varenjem na uglovima), pri čemu su vanjski uglovi savijeni.
Završna obrada: vruće pocinčavanje, plastificiranje i bojanje - RAL 7016.</t>
  </si>
  <si>
    <r>
      <t>Shema</t>
    </r>
    <r>
      <rPr>
        <b/>
        <sz val="10"/>
        <color theme="1"/>
        <rFont val="Calibri"/>
        <family val="2"/>
        <charset val="238"/>
        <scheme val="minor"/>
      </rPr>
      <t xml:space="preserve"> BR_6,1 </t>
    </r>
    <r>
      <rPr>
        <sz val="10"/>
        <color theme="1"/>
        <rFont val="Calibri"/>
        <family val="2"/>
        <charset val="238"/>
        <scheme val="minor"/>
      </rPr>
      <t>- RAL 7016</t>
    </r>
  </si>
  <si>
    <r>
      <t>Shema</t>
    </r>
    <r>
      <rPr>
        <b/>
        <sz val="10"/>
        <color theme="1"/>
        <rFont val="Calibri"/>
        <family val="2"/>
        <charset val="238"/>
        <scheme val="minor"/>
      </rPr>
      <t xml:space="preserve"> BR_6,1a </t>
    </r>
    <r>
      <rPr>
        <sz val="10"/>
        <color theme="1"/>
        <rFont val="Calibri"/>
        <family val="2"/>
        <charset val="238"/>
        <scheme val="minor"/>
      </rPr>
      <t>- RAL 7016</t>
    </r>
  </si>
  <si>
    <r>
      <t>Shema</t>
    </r>
    <r>
      <rPr>
        <b/>
        <sz val="10"/>
        <color theme="1"/>
        <rFont val="Calibri"/>
        <family val="2"/>
        <charset val="238"/>
        <scheme val="minor"/>
      </rPr>
      <t xml:space="preserve"> BR_6,1b </t>
    </r>
    <r>
      <rPr>
        <sz val="10"/>
        <color theme="1"/>
        <rFont val="Calibri"/>
        <family val="2"/>
        <charset val="238"/>
        <scheme val="minor"/>
      </rPr>
      <t>- RAL 7016</t>
    </r>
  </si>
  <si>
    <t xml:space="preserve">Sastoji se od dvije čelične lamele i ispune. Lamele su čelične cijevi 50 x 20mm, debljine 3mm. Ispuna ograde sačinjena je od vertikalnih lamela 50 x 6mm (svijetli razmak između lamela &lt; 14cm). Svi spojevi u elementima su vareni, a svi varovi fino brušeni.  Ograda je preko čeličnih "T" profila sidrena bočno na AB konstrukciju balkona kemijskim inox sidrima M12.  Donji rub ograde prati podgled balkona. 
Dimenzije sukladno arhitektonskim nacrtima.
Završna obrada: vruće pocinčavanje, plastificiranje i bojanje </t>
  </si>
  <si>
    <r>
      <t>Shema</t>
    </r>
    <r>
      <rPr>
        <b/>
        <sz val="10"/>
        <color theme="1"/>
        <rFont val="Calibri"/>
        <family val="2"/>
        <charset val="238"/>
        <scheme val="minor"/>
      </rPr>
      <t xml:space="preserve"> BR_6,2</t>
    </r>
    <r>
      <rPr>
        <sz val="10"/>
        <color theme="1"/>
        <rFont val="Calibri"/>
        <family val="2"/>
        <charset val="238"/>
        <scheme val="minor"/>
      </rPr>
      <t xml:space="preserve"> - RAL 9010</t>
    </r>
  </si>
  <si>
    <r>
      <t>Shema</t>
    </r>
    <r>
      <rPr>
        <b/>
        <sz val="10"/>
        <color theme="1"/>
        <rFont val="Calibri"/>
        <family val="2"/>
        <charset val="238"/>
        <scheme val="minor"/>
      </rPr>
      <t xml:space="preserve"> BR_6,2a </t>
    </r>
    <r>
      <rPr>
        <sz val="10"/>
        <color theme="1"/>
        <rFont val="Calibri"/>
        <family val="2"/>
        <charset val="238"/>
        <scheme val="minor"/>
      </rPr>
      <t>- RAL 9010</t>
    </r>
  </si>
  <si>
    <r>
      <t>Shema</t>
    </r>
    <r>
      <rPr>
        <b/>
        <sz val="10"/>
        <color theme="1"/>
        <rFont val="Calibri"/>
        <family val="2"/>
        <charset val="238"/>
        <scheme val="minor"/>
      </rPr>
      <t xml:space="preserve"> BR_6,2b </t>
    </r>
    <r>
      <rPr>
        <sz val="10"/>
        <color theme="1"/>
        <rFont val="Calibri"/>
        <family val="2"/>
        <charset val="238"/>
        <scheme val="minor"/>
      </rPr>
      <t>- RAL 9010</t>
    </r>
  </si>
  <si>
    <r>
      <t>Shema</t>
    </r>
    <r>
      <rPr>
        <b/>
        <sz val="10"/>
        <color theme="1"/>
        <rFont val="Calibri"/>
        <family val="2"/>
        <charset val="238"/>
        <scheme val="minor"/>
      </rPr>
      <t xml:space="preserve"> BR_6,3 </t>
    </r>
    <r>
      <rPr>
        <sz val="10"/>
        <color theme="1"/>
        <rFont val="Calibri"/>
        <family val="2"/>
        <charset val="238"/>
        <scheme val="minor"/>
      </rPr>
      <t>- RAL 9010</t>
    </r>
  </si>
  <si>
    <r>
      <t>Shema</t>
    </r>
    <r>
      <rPr>
        <b/>
        <sz val="10"/>
        <color theme="1"/>
        <rFont val="Calibri"/>
        <family val="2"/>
        <charset val="238"/>
        <scheme val="minor"/>
      </rPr>
      <t xml:space="preserve"> BR_6,3a </t>
    </r>
    <r>
      <rPr>
        <sz val="10"/>
        <color theme="1"/>
        <rFont val="Calibri"/>
        <family val="2"/>
        <charset val="238"/>
        <scheme val="minor"/>
      </rPr>
      <t>- RAL 9010</t>
    </r>
  </si>
  <si>
    <t>Uključivo svi spojni i prelazni detalji, spojevi sa susjednim stavkama, završetci elemenata ograde. Spojevi elemenata uglavnom vareni, svi varovi fino obrušeni. U cijeni komplet funkcionalna, završno ugrađena i obrađena stavka. 
Visina ograde: 120cm od poda.</t>
  </si>
  <si>
    <t>Sukladno općim uvjetima bravarskih radova MAPE 1 građevinsko - zanatskih radova.</t>
  </si>
  <si>
    <t>VANJSKA OGRADA</t>
  </si>
  <si>
    <t>UKRASNA PREGRADA BALKONA</t>
  </si>
  <si>
    <r>
      <t xml:space="preserve">Shema </t>
    </r>
    <r>
      <rPr>
        <b/>
        <sz val="10"/>
        <color theme="1"/>
        <rFont val="Calibri"/>
        <family val="2"/>
        <charset val="238"/>
        <scheme val="minor"/>
      </rPr>
      <t>BR_7</t>
    </r>
  </si>
  <si>
    <r>
      <t xml:space="preserve">Shema </t>
    </r>
    <r>
      <rPr>
        <b/>
        <sz val="10"/>
        <color theme="1"/>
        <rFont val="Calibri"/>
        <family val="2"/>
        <charset val="238"/>
        <scheme val="minor"/>
      </rPr>
      <t>BR_4,01</t>
    </r>
    <r>
      <rPr>
        <sz val="10"/>
        <color theme="1"/>
        <rFont val="Calibri"/>
        <family val="2"/>
        <charset val="238"/>
        <scheme val="minor"/>
      </rPr>
      <t xml:space="preserve"> (dim. 60x60cm, parapet 175cm)</t>
    </r>
  </si>
  <si>
    <r>
      <t xml:space="preserve">Shema </t>
    </r>
    <r>
      <rPr>
        <b/>
        <sz val="10"/>
        <color theme="1"/>
        <rFont val="Calibri"/>
        <family val="2"/>
        <charset val="238"/>
        <scheme val="minor"/>
      </rPr>
      <t xml:space="preserve">BR_5,01 </t>
    </r>
    <r>
      <rPr>
        <sz val="10"/>
        <color theme="1"/>
        <rFont val="Calibri"/>
        <family val="2"/>
        <charset val="238"/>
        <scheme val="minor"/>
      </rPr>
      <t>(dim. 40x40cm)</t>
    </r>
  </si>
  <si>
    <r>
      <t xml:space="preserve">Shema </t>
    </r>
    <r>
      <rPr>
        <b/>
        <sz val="10"/>
        <color theme="1"/>
        <rFont val="Calibri"/>
        <family val="2"/>
        <charset val="238"/>
        <scheme val="minor"/>
      </rPr>
      <t>BR_5,02</t>
    </r>
    <r>
      <rPr>
        <sz val="10"/>
        <color theme="1"/>
        <rFont val="Calibri"/>
        <family val="2"/>
        <charset val="238"/>
        <scheme val="minor"/>
      </rPr>
      <t xml:space="preserve"> (dim. 50x40cm)</t>
    </r>
  </si>
  <si>
    <r>
      <t xml:space="preserve">Shema </t>
    </r>
    <r>
      <rPr>
        <b/>
        <sz val="10"/>
        <color theme="1"/>
        <rFont val="Calibri"/>
        <family val="2"/>
        <charset val="238"/>
        <scheme val="minor"/>
      </rPr>
      <t>BR_5,03</t>
    </r>
    <r>
      <rPr>
        <sz val="10"/>
        <color theme="1"/>
        <rFont val="Calibri"/>
        <family val="2"/>
        <charset val="238"/>
        <scheme val="minor"/>
      </rPr>
      <t xml:space="preserve"> (dim. 70x40cm)</t>
    </r>
  </si>
  <si>
    <r>
      <t xml:space="preserve">Shema </t>
    </r>
    <r>
      <rPr>
        <b/>
        <sz val="10"/>
        <color theme="1"/>
        <rFont val="Calibri"/>
        <family val="2"/>
        <charset val="238"/>
        <scheme val="minor"/>
      </rPr>
      <t xml:space="preserve">BR_5,04 </t>
    </r>
    <r>
      <rPr>
        <sz val="10"/>
        <color theme="1"/>
        <rFont val="Calibri"/>
        <family val="2"/>
        <charset val="238"/>
        <scheme val="minor"/>
      </rPr>
      <t>(dim. 140x40cm)</t>
    </r>
  </si>
  <si>
    <r>
      <t xml:space="preserve">Shema </t>
    </r>
    <r>
      <rPr>
        <b/>
        <sz val="10"/>
        <color theme="1"/>
        <rFont val="Calibri"/>
        <family val="2"/>
        <charset val="238"/>
        <scheme val="minor"/>
      </rPr>
      <t>BR_5,05</t>
    </r>
    <r>
      <rPr>
        <sz val="10"/>
        <color theme="1"/>
        <rFont val="Calibri"/>
        <family val="2"/>
        <charset val="238"/>
        <scheme val="minor"/>
      </rPr>
      <t xml:space="preserve"> (dim. 160x40cm)</t>
    </r>
  </si>
  <si>
    <t>PROTUKIŠNA ŽALUZINA - VENTILACIJSKE REŠETKE - KROV</t>
  </si>
  <si>
    <t>PROTUKIŠNA ŽALUZINA - VENTILACIJSKE REŠETKE - UZ RAZINU TERENA (PODRUM)</t>
  </si>
  <si>
    <t>Materijal rešetke: čelični lim</t>
  </si>
  <si>
    <t>PREGRADE DRVARNICA</t>
  </si>
  <si>
    <t>Obračun po  kompletu</t>
  </si>
  <si>
    <r>
      <t>Shema</t>
    </r>
    <r>
      <rPr>
        <b/>
        <sz val="10"/>
        <color theme="1"/>
        <rFont val="Calibri"/>
        <family val="2"/>
        <charset val="238"/>
        <scheme val="minor"/>
      </rPr>
      <t xml:space="preserve"> BR 3_01</t>
    </r>
  </si>
  <si>
    <r>
      <t>Shema</t>
    </r>
    <r>
      <rPr>
        <b/>
        <sz val="10"/>
        <color theme="1"/>
        <rFont val="Calibri"/>
        <family val="2"/>
        <charset val="238"/>
        <scheme val="minor"/>
      </rPr>
      <t xml:space="preserve"> BR 3_02</t>
    </r>
  </si>
  <si>
    <r>
      <t>Shema</t>
    </r>
    <r>
      <rPr>
        <b/>
        <sz val="10"/>
        <color theme="1"/>
        <rFont val="Calibri"/>
        <family val="2"/>
        <charset val="238"/>
        <scheme val="minor"/>
      </rPr>
      <t xml:space="preserve"> BR 3_03</t>
    </r>
  </si>
  <si>
    <r>
      <t>Shema</t>
    </r>
    <r>
      <rPr>
        <b/>
        <sz val="10"/>
        <color theme="1"/>
        <rFont val="Calibri"/>
        <family val="2"/>
        <charset val="238"/>
        <scheme val="minor"/>
      </rPr>
      <t xml:space="preserve"> BR 3_04</t>
    </r>
  </si>
  <si>
    <r>
      <t>Shema</t>
    </r>
    <r>
      <rPr>
        <b/>
        <sz val="10"/>
        <color theme="1"/>
        <rFont val="Calibri"/>
        <family val="2"/>
        <charset val="238"/>
        <scheme val="minor"/>
      </rPr>
      <t xml:space="preserve"> BR 3_05</t>
    </r>
  </si>
  <si>
    <r>
      <t>Shema</t>
    </r>
    <r>
      <rPr>
        <b/>
        <sz val="10"/>
        <color theme="1"/>
        <rFont val="Calibri"/>
        <family val="2"/>
        <charset val="238"/>
        <scheme val="minor"/>
      </rPr>
      <t xml:space="preserve"> BR 3_06</t>
    </r>
  </si>
  <si>
    <t>Vanjska, protukišna, pocinčana, fiksna žaluzina namjenjena za ugradnju vijcima u zid. Izrađena od okvira i ispune. Ispunu čine "Z" profili debljine 2mm. Opremljena sa mrežicom protiv insekata na stražnjoj strani. Dimenzije trebaju biti precizno usklađene s projektom instalacija.</t>
  </si>
  <si>
    <t>Kvaliteta aluminijskih profila sukladno:
HRN EN 573: EN AW 6060 T66 
(ili jednakovrijedno ____________________________). 
Smjer otvaranja otvarajućih elemenata sukladno:
HRN EN 12519 
(ili jednakovrijedno ____________________________).  
Ugradbene dubine nosivih profila fasade i debljine stakla prema potrebi provjeriti od strane statičara. Opšave i izolacijske radove (RAL ugradnja) na priključcima stavki na nosivu konstrukciju uključiti u ponudu.</t>
  </si>
  <si>
    <t>kvaliteta sukladno:
HRN EN 10027-1: 1.4401 X5CrNiMo17-12-2 (AISI 316(A4)) 
(ili jednakovrijedno ____________________________)</t>
  </si>
  <si>
    <t xml:space="preserve">Sukladno:
Tehnički propis za staklene konstrukcije (NN 53/17)
(ili jednakovrijedno ____________________________). </t>
  </si>
  <si>
    <t>Debljine stakla provjeriti od strane ovlaštenog statičara. Kao osiguranje od pucanja kod kaljenog stakla obavezno predvidjeti Heat Soak Test (HST), (ili jednakovrijedno _______________________________); a kod laminiranog stakla obavezno pobrusiti rubove. Izvođač radova je prije izrade obavezan osigurati uzorke s tipovima stakla odabranim od strane glavnog projektanta.</t>
  </si>
  <si>
    <r>
      <t xml:space="preserve">VRATA U PODRUMU - HODNIK
</t>
    </r>
    <r>
      <rPr>
        <sz val="10"/>
        <color theme="1"/>
        <rFont val="Calibri"/>
        <family val="2"/>
        <charset val="238"/>
        <scheme val="minor"/>
      </rPr>
      <t>Shema:</t>
    </r>
    <r>
      <rPr>
        <b/>
        <sz val="10"/>
        <color theme="1"/>
        <rFont val="Calibri"/>
        <family val="2"/>
        <charset val="238"/>
        <scheme val="minor"/>
      </rPr>
      <t xml:space="preserve"> BR 2_01</t>
    </r>
  </si>
  <si>
    <r>
      <t xml:space="preserve">VRATA STUBIŠTA PREMA ZAPORNICI
</t>
    </r>
    <r>
      <rPr>
        <sz val="10"/>
        <color theme="1"/>
        <rFont val="Calibri"/>
        <family val="2"/>
        <charset val="238"/>
        <scheme val="minor"/>
      </rPr>
      <t>Shema:</t>
    </r>
    <r>
      <rPr>
        <b/>
        <sz val="10"/>
        <color theme="1"/>
        <rFont val="Calibri"/>
        <family val="2"/>
        <charset val="238"/>
        <scheme val="minor"/>
      </rPr>
      <t xml:space="preserve"> BR 2_03</t>
    </r>
  </si>
  <si>
    <r>
      <t xml:space="preserve">VRATA STUBIŠTA PREMA ZAJEDNIČKOM HODNIKU
</t>
    </r>
    <r>
      <rPr>
        <sz val="10"/>
        <color theme="1"/>
        <rFont val="Calibri"/>
        <family val="2"/>
        <charset val="238"/>
        <scheme val="minor"/>
      </rPr>
      <t>Shema:</t>
    </r>
    <r>
      <rPr>
        <b/>
        <sz val="10"/>
        <color theme="1"/>
        <rFont val="Calibri"/>
        <family val="2"/>
        <charset val="238"/>
        <scheme val="minor"/>
      </rPr>
      <t xml:space="preserve"> BR 2_02</t>
    </r>
  </si>
  <si>
    <r>
      <t xml:space="preserve">VRATA GARAŽE PREMA ZAPORNICI
</t>
    </r>
    <r>
      <rPr>
        <sz val="10"/>
        <color theme="1"/>
        <rFont val="Calibri"/>
        <family val="2"/>
        <charset val="238"/>
        <scheme val="minor"/>
      </rPr>
      <t>Shema:</t>
    </r>
    <r>
      <rPr>
        <b/>
        <sz val="10"/>
        <color theme="1"/>
        <rFont val="Calibri"/>
        <family val="2"/>
        <charset val="238"/>
        <scheme val="minor"/>
      </rPr>
      <t xml:space="preserve"> BR 2_04</t>
    </r>
  </si>
  <si>
    <r>
      <t xml:space="preserve">VATROOTPORNA VRATA U PRIZEMLJU
</t>
    </r>
    <r>
      <rPr>
        <sz val="10"/>
        <color theme="1"/>
        <rFont val="Calibri"/>
        <family val="2"/>
        <charset val="238"/>
        <scheme val="minor"/>
      </rPr>
      <t>Shema:</t>
    </r>
    <r>
      <rPr>
        <b/>
        <sz val="10"/>
        <color theme="1"/>
        <rFont val="Calibri"/>
        <family val="2"/>
        <charset val="238"/>
        <scheme val="minor"/>
      </rPr>
      <t xml:space="preserve"> BR 2_05</t>
    </r>
  </si>
  <si>
    <r>
      <rPr>
        <sz val="10"/>
        <color indexed="8"/>
        <rFont val="Calibri"/>
        <family val="2"/>
        <charset val="238"/>
      </rPr>
      <t xml:space="preserve">dim. </t>
    </r>
    <r>
      <rPr>
        <sz val="10"/>
        <color theme="1"/>
        <rFont val="Calibri"/>
        <family val="2"/>
        <charset val="238"/>
        <scheme val="minor"/>
      </rPr>
      <t>100 x 220</t>
    </r>
  </si>
  <si>
    <r>
      <t>Jednokrilna, zaokretna, protuprovalna, vatrootporna vrata 
Vatrootpornost:</t>
    </r>
    <r>
      <rPr>
        <b/>
        <sz val="10"/>
        <color indexed="8"/>
        <rFont val="Calibri"/>
        <family val="2"/>
        <charset val="238"/>
      </rPr>
      <t xml:space="preserve">  EI₂ 30-C-Sm.
</t>
    </r>
    <r>
      <rPr>
        <sz val="10"/>
        <color indexed="8"/>
        <rFont val="Calibri"/>
        <family val="2"/>
        <charset val="238"/>
      </rPr>
      <t xml:space="preserve">Izlaz za nuždu: </t>
    </r>
    <r>
      <rPr>
        <b/>
        <sz val="10"/>
        <color indexed="8"/>
        <rFont val="Calibri"/>
        <family val="2"/>
        <charset val="238"/>
      </rPr>
      <t>HRN EN 179</t>
    </r>
    <r>
      <rPr>
        <sz val="10"/>
        <color theme="1"/>
        <rFont val="Calibri"/>
        <family val="2"/>
        <charset val="238"/>
        <scheme val="minor"/>
      </rPr>
      <t xml:space="preserve">
Dovratnik: sveobuhvatni, bojani RAL 9010
Krilo: puno, zaokretno, čelično, bojano RAL 9010</t>
    </r>
  </si>
  <si>
    <r>
      <t>Jednokrilna, zaokretna, protuprovalna, vatrootporna vrata 
Vatrootpornost:</t>
    </r>
    <r>
      <rPr>
        <b/>
        <sz val="10"/>
        <color indexed="8"/>
        <rFont val="Calibri"/>
        <family val="2"/>
        <charset val="238"/>
      </rPr>
      <t xml:space="preserve"> EI 60.
</t>
    </r>
    <r>
      <rPr>
        <sz val="10"/>
        <color indexed="8"/>
        <rFont val="Calibri"/>
        <family val="2"/>
        <charset val="238"/>
      </rPr>
      <t xml:space="preserve">Izlaz za nuždu: </t>
    </r>
    <r>
      <rPr>
        <b/>
        <sz val="10"/>
        <color indexed="8"/>
        <rFont val="Calibri"/>
        <family val="2"/>
        <charset val="238"/>
      </rPr>
      <t>HRN EN 179</t>
    </r>
    <r>
      <rPr>
        <sz val="10"/>
        <color theme="1"/>
        <rFont val="Calibri"/>
        <family val="2"/>
        <charset val="238"/>
        <scheme val="minor"/>
      </rPr>
      <t xml:space="preserve">
Dovratnik: sveobuhvatni, bojani RAL 9010
Krilo: puno, zaokretno, čelično, bojano RAL 9010</t>
    </r>
  </si>
  <si>
    <t>STOLARSKI RADOVI</t>
  </si>
  <si>
    <t>Prilikom uvođenja u posao podizvođač treba provjeriti točnost izvedbe. Izvođač treba pristupiti izvedbi tek nakon što projektant potpisom potvrdi radioničke nacrte i tehnološku razradu svih detalja.</t>
  </si>
  <si>
    <t xml:space="preserve">Stolarski radovi podrazumijevaju izradu i ugradnju građevinske stolarije (vrata, prozori, kombinirane stijene), izradu i ugradnju drvenih obloga, te izradu i ugradnju ostalih stolarskih elemenata definiranih projektom. </t>
  </si>
  <si>
    <t>Materijal</t>
  </si>
  <si>
    <t>Materijali rađeni na bazi drva moraju u pogledu kvalitete odgovarati važećim standardima. 
Presjeci drvenih elemenata, obrada elemenata i stolarski vezovi moraju biti u skladu sa pravilima struke i u skladu sa detaljima priloženim u projektu.  Drvo mora biti zdravo i suho (maksimalno 15% vlažnosti). Vlakna moraju biti ravna i moraju biti paralelna sa s podužnim ivicama obrađenog drvenog komada. Drvo ne smije biti pretjerano čvornato, čvorovi moraju biti zdravi i urasli promjera ne većeg od 3cm. Čvorovi se ne smiju nalaziti na mjestima stolarskih vezova ni na mjestima ugradnje okova. Drveni komadi presjeka manjeg od 9cm2 ne smiju imati čvorove.</t>
  </si>
  <si>
    <t>Prije pristupa izradi stolarije izvođač je obavezan prekontrolirati količine i zidarske veličine otvora na gradilištu. Radioničke nacrte izrađuje izvođač stolarskih radova, te dostavlja na usaglašavanje projektantu. Izvođač je dužan s rukovodiocem gradilišta definirati redosljed izrade i isporuke stolarskih elemenata.</t>
  </si>
  <si>
    <t xml:space="preserve">Svi stolarski elementi isporučuju se na gradilištu kao gotov finalni proizvod, osim onog dijela stolarije koji se liči na gradilištu, ukoliko tako određuje odabrani proizvod. </t>
  </si>
  <si>
    <t xml:space="preserve">Spojna sredstva (ljepilo, čepovi, pera, vijci i čavli) moraju odgovarati važećim standardima i moraju biti pravilno odabrana, pravilno dimenzionirana i ugrađena. Okov mora odgovarati važećim standardima, mora biti stručno odabran, mora biti stručno ugrađen i mora odgovarati zahtjevima iz opisa stavke. </t>
  </si>
  <si>
    <t>Spojna sredstva</t>
  </si>
  <si>
    <t>Sva stolarija kod dostave mora biti zaštićena, dok se finalno obrađeni proizvodi zaštićuju i nakon ugradbe od nenamjernog oštećenja (kartonom i PVC folijom), što je sadržano u jediničnoj cijeni.</t>
  </si>
  <si>
    <r>
      <rPr>
        <b/>
        <sz val="10"/>
        <color theme="1"/>
        <rFont val="Calibri"/>
        <family val="2"/>
        <charset val="238"/>
        <scheme val="minor"/>
      </rPr>
      <t xml:space="preserve">Unutarnja vrata izvode se prema shemama stolarije. 
U stavku je uključen opšav kontakta dovratnika odnosno doprozornika stavke sa zidarskim otvorom, u vidu opšavne letve dimenzije prilagođene detalju ugradnje. 
</t>
    </r>
    <r>
      <rPr>
        <sz val="10"/>
        <color theme="1"/>
        <rFont val="Calibri"/>
        <family val="2"/>
        <charset val="238"/>
        <scheme val="minor"/>
      </rPr>
      <t>Unutarnja stolarija - izvodi se, osim od vrsta masivnog i lameliranog drveta (bor, jela, smreka, hrast) i od pločastih predgotovljenih materijala materijali – furnira, panel ploča, vlaknatica i iverica, MDF(mediapan) ploča (medium density fibre board), laminata itd.</t>
    </r>
  </si>
  <si>
    <r>
      <t xml:space="preserve">Prozore i vrata izvoditi prema:
</t>
    </r>
    <r>
      <rPr>
        <i/>
        <sz val="10"/>
        <color theme="1"/>
        <rFont val="Calibri"/>
        <family val="2"/>
        <charset val="238"/>
        <scheme val="minor"/>
      </rPr>
      <t>- Tehničkom opisu za prozore i vrata NN 69/06
- Tehničkom propisu o racionalnoj upotrebi energije i toplinskoj zaštiti u zgradama (NN 128/15, 70/18, 73/18, 86/18, 102/20)</t>
    </r>
  </si>
  <si>
    <t>UNUTARNJA SOBNA VRATA</t>
  </si>
  <si>
    <t>STOLARSKI RADOVI UKUPNO</t>
  </si>
  <si>
    <t>RAZNO</t>
  </si>
  <si>
    <r>
      <t xml:space="preserve">Shema </t>
    </r>
    <r>
      <rPr>
        <b/>
        <sz val="10"/>
        <color theme="1"/>
        <rFont val="Calibri"/>
        <family val="2"/>
        <charset val="238"/>
        <scheme val="minor"/>
      </rPr>
      <t xml:space="preserve">ST_1,01 - </t>
    </r>
    <r>
      <rPr>
        <sz val="10"/>
        <color theme="1"/>
        <rFont val="Calibri"/>
        <family val="2"/>
        <charset val="238"/>
        <scheme val="minor"/>
      </rPr>
      <t>dim 90x210</t>
    </r>
  </si>
  <si>
    <t>JEDNOKRILNA ZAOKRETNA VRATA
Obračun po broju komada.</t>
  </si>
  <si>
    <r>
      <t xml:space="preserve">Shema </t>
    </r>
    <r>
      <rPr>
        <b/>
        <sz val="10"/>
        <color theme="1"/>
        <rFont val="Calibri"/>
        <family val="2"/>
        <charset val="238"/>
        <scheme val="minor"/>
      </rPr>
      <t xml:space="preserve">ST_1,03 - </t>
    </r>
    <r>
      <rPr>
        <sz val="10"/>
        <color theme="1"/>
        <rFont val="Calibri"/>
        <family val="2"/>
        <charset val="238"/>
        <scheme val="minor"/>
      </rPr>
      <t>dim 70x210</t>
    </r>
  </si>
  <si>
    <t>TIPSKA OGLASNA PLOČA</t>
  </si>
  <si>
    <r>
      <t xml:space="preserve">Shema </t>
    </r>
    <r>
      <rPr>
        <b/>
        <sz val="10"/>
        <color theme="1"/>
        <rFont val="Calibri"/>
        <family val="2"/>
        <charset val="238"/>
        <scheme val="minor"/>
      </rPr>
      <t>ST _ 2</t>
    </r>
    <r>
      <rPr>
        <sz val="10"/>
        <color theme="1"/>
        <rFont val="Calibri"/>
        <family val="2"/>
        <charset val="238"/>
        <scheme val="minor"/>
      </rPr>
      <t xml:space="preserve">
Bravarica sa tri ključa
Vrata od pleksija (d = 6mm), okvir od aluminija.
Prostor za oglase: pocinčani lim (d = 1mm) + pluto (d = 5mm). Obavijesti se pričvršćuju magnetima ili pribadačama.
Boja: natur aluminij
dim. 100x70x7cm</t>
    </r>
  </si>
  <si>
    <t>PVC RADOVI</t>
  </si>
  <si>
    <t xml:space="preserve">PVC otvori podrazumijevaju izradu i montažu vrata, prozora i kombiniranih stijena od PVC višekomornih profila. </t>
  </si>
  <si>
    <r>
      <t xml:space="preserve">Tehničke karakteristike sukladno:
</t>
    </r>
    <r>
      <rPr>
        <i/>
        <sz val="10"/>
        <color theme="1"/>
        <rFont val="Calibri"/>
        <family val="2"/>
        <charset val="238"/>
        <scheme val="minor"/>
      </rPr>
      <t>HRN EN 14351-1 
(ili jednakovrijedno ____________________________).</t>
    </r>
  </si>
  <si>
    <t xml:space="preserve">Sve mjere obavezno kontrolirati na licu mjesta (mogu biti neznatno različite od onih u shemama, što ne mijenja jediničnu cijenu stavke). </t>
  </si>
  <si>
    <r>
      <t xml:space="preserve">Prozore i vrata izvoditi prema:
</t>
    </r>
    <r>
      <rPr>
        <i/>
        <sz val="10"/>
        <color theme="1"/>
        <rFont val="Calibri"/>
        <family val="2"/>
        <charset val="238"/>
        <scheme val="minor"/>
      </rPr>
      <t>- Tehničkom opisu za prozore i vrata NN 69/06
- Tehničkom propisu o racionalnoj upotrebi energije i toplinskoj zaštiti u zgradama (NN 128/15, 70/18, 73/18, 86/18, 102/20)
- Tehničkom propisu za staklene konstrukcije 
(NN 53/201)</t>
    </r>
  </si>
  <si>
    <t>Tehničke karakteristike sukladno:
HRN EN 14351-1 
(ili jednakovrijedno ____________________________).</t>
  </si>
  <si>
    <t>Osnovni materijali za izradu PVC otvora su ekstrudirani profili izrađeni iz umjetnih UV stabiliziranih materijala (PVC praha i aditiva), s čeličnim pocinčanim ojačanjem. 
Presjeci čeličnih profila i debljine limova moraju odgovarati zadanim opterećenjima i biti u skladu sa detaljima priloženim u projektu. Profili i limovi spajaju se u konstruktivne cjeline spojnim sredstvima (zakovice, vijci i varovi) koja moraju odgovarati važećim standardima, moraju biti pravilno dimenzionirana i ugrađena.</t>
  </si>
  <si>
    <t>- A klase profila, tzv. vidljive stijenke profila moraju biti ≥ 2.8mm, nevidljive ≥ 2.5mm
- debljina stakla do 48 mm
- vrste otvaranja: otklopno-zaokretno (jednokrilno, dvokrilno), zaokretno-otklopno, otklopno oko donje ili gornje osi, otklopno-klizno, dvokrilno
- masa krila (otklopno-klizno) do 180 kg</t>
  </si>
  <si>
    <t xml:space="preserve">Dovratnik - doprozornik izrađen je iz kutijastih PVC-profila  usidren za bočne betonske ili zidove od opeke, pocinčanim vijkom i plastičnom tiplom.
Spajanje elemenata je varenjem. Brtvljenje fiksnih i pokretnih elemenata, te ostakljenja i okvira, gumenim brtvama sa varenim spojevima. Između krila i okvira vrata i prozora potrebno je staviti min 2 brtve od EPDM-a. </t>
  </si>
  <si>
    <r>
      <rPr>
        <b/>
        <sz val="10"/>
        <color theme="1"/>
        <rFont val="Calibri"/>
        <family val="2"/>
        <charset val="238"/>
        <scheme val="minor"/>
      </rPr>
      <t xml:space="preserve">KOMARNICI ZA ZAŠTITU OD INSEKATA </t>
    </r>
    <r>
      <rPr>
        <sz val="10"/>
        <color theme="1"/>
        <rFont val="Calibri"/>
        <family val="2"/>
        <charset val="238"/>
        <scheme val="minor"/>
      </rPr>
      <t>- dio otvora</t>
    </r>
  </si>
  <si>
    <r>
      <rPr>
        <b/>
        <sz val="10"/>
        <color theme="1"/>
        <rFont val="Calibri"/>
        <family val="2"/>
        <charset val="238"/>
        <scheme val="minor"/>
      </rPr>
      <t xml:space="preserve">Karakteristike sistema </t>
    </r>
    <r>
      <rPr>
        <sz val="10"/>
        <color theme="1"/>
        <rFont val="Calibri"/>
        <family val="2"/>
        <charset val="238"/>
        <scheme val="minor"/>
      </rPr>
      <t xml:space="preserve">prema 
HRN EN 14351 (ili jednakovrijedno _______________)
- zrakopropusnost: </t>
    </r>
    <r>
      <rPr>
        <b/>
        <sz val="10"/>
        <color theme="1"/>
        <rFont val="Calibri"/>
        <family val="2"/>
        <charset val="238"/>
        <scheme val="minor"/>
      </rPr>
      <t xml:space="preserve">klasa 4   </t>
    </r>
    <r>
      <rPr>
        <sz val="10"/>
        <color theme="1"/>
        <rFont val="Calibri"/>
        <family val="2"/>
        <charset val="238"/>
        <scheme val="minor"/>
      </rPr>
      <t xml:space="preserve">        
prema HRN EN 12207 
(ili jednakovrijedno ____________________________)
- vodonepropusnost: </t>
    </r>
    <r>
      <rPr>
        <b/>
        <sz val="10"/>
        <color theme="1"/>
        <rFont val="Calibri"/>
        <family val="2"/>
        <charset val="238"/>
        <scheme val="minor"/>
      </rPr>
      <t>klasa E750</t>
    </r>
    <r>
      <rPr>
        <sz val="10"/>
        <color theme="1"/>
        <rFont val="Calibri"/>
        <family val="2"/>
        <charset val="238"/>
        <scheme val="minor"/>
      </rPr>
      <t xml:space="preserve">          
prema HRN EN 12208 
(ili jednakovrijedno ____________________________)
- zaštita od buke: </t>
    </r>
    <r>
      <rPr>
        <b/>
        <sz val="10"/>
        <color theme="1"/>
        <rFont val="Calibri"/>
        <family val="2"/>
        <charset val="238"/>
        <scheme val="minor"/>
      </rPr>
      <t>&gt; 35 dB (ovisno o staklu)</t>
    </r>
    <r>
      <rPr>
        <sz val="10"/>
        <color theme="1"/>
        <rFont val="Calibri"/>
        <family val="2"/>
        <charset val="238"/>
        <scheme val="minor"/>
      </rPr>
      <t xml:space="preserve">           
prema HRN EN 4109 
(ili jednakovrijedno ____________________________)
- otpornost na udar vjetra: </t>
    </r>
    <r>
      <rPr>
        <b/>
        <sz val="10"/>
        <color theme="1"/>
        <rFont val="Calibri"/>
        <family val="2"/>
        <charset val="238"/>
        <scheme val="minor"/>
      </rPr>
      <t xml:space="preserve">klasa C5/B5    </t>
    </r>
    <r>
      <rPr>
        <sz val="10"/>
        <color theme="1"/>
        <rFont val="Calibri"/>
        <family val="2"/>
        <charset val="238"/>
        <scheme val="minor"/>
      </rPr>
      <t xml:space="preserve">   
prema HRN EN 12210 
(ili jednakovrijedno ____________________________)
- mehanička otpornost: </t>
    </r>
    <r>
      <rPr>
        <b/>
        <sz val="10"/>
        <color theme="1"/>
        <rFont val="Calibri"/>
        <family val="2"/>
        <charset val="238"/>
        <scheme val="minor"/>
      </rPr>
      <t xml:space="preserve">klasa 4 </t>
    </r>
    <r>
      <rPr>
        <sz val="10"/>
        <color theme="1"/>
        <rFont val="Calibri"/>
        <family val="2"/>
        <charset val="238"/>
        <scheme val="minor"/>
      </rPr>
      <t xml:space="preserve">       
prema HRN EN 13115 
(ili jednakovrijedno ____________________________)
'- kvaliteta prema EN 12608:2004s  
(ili jednakovrijedno  ___________________________ )
-</t>
    </r>
    <r>
      <rPr>
        <b/>
        <sz val="10"/>
        <color theme="1"/>
        <rFont val="Calibri"/>
        <family val="2"/>
        <charset val="238"/>
        <scheme val="minor"/>
      </rPr>
      <t xml:space="preserve"> Uf &lt; 1.2 W/m2 K </t>
    </r>
    <r>
      <rPr>
        <sz val="10"/>
        <color theme="1"/>
        <rFont val="Calibri"/>
        <family val="2"/>
        <charset val="238"/>
        <scheme val="minor"/>
      </rPr>
      <t xml:space="preserve">
prema EN ISO 10071-2  
(ili jednakovrijedno  __________________________ )</t>
    </r>
  </si>
  <si>
    <r>
      <t xml:space="preserve">- materijal za brtvljenje: </t>
    </r>
    <r>
      <rPr>
        <b/>
        <sz val="10"/>
        <color theme="1"/>
        <rFont val="Calibri"/>
        <family val="2"/>
        <charset val="238"/>
        <scheme val="minor"/>
      </rPr>
      <t xml:space="preserve">EPDM </t>
    </r>
    <r>
      <rPr>
        <sz val="10"/>
        <color theme="1"/>
        <rFont val="Calibri"/>
        <family val="2"/>
        <charset val="238"/>
        <scheme val="minor"/>
      </rPr>
      <t xml:space="preserve">
prema DIN 7863 
(ili jednakovrijedno  __________________________ )
- kontrola kvalitete
prema DIN EN ISO 9001 
(ili jednakovrijedno  __________________________ )</t>
    </r>
  </si>
  <si>
    <t>BALKONSKA VRATA</t>
  </si>
  <si>
    <t>Opis sadržan u arhitektonskom projektu</t>
  </si>
  <si>
    <t>PROZOR</t>
  </si>
  <si>
    <t>PVC RADOVI UKUPNO</t>
  </si>
  <si>
    <r>
      <t xml:space="preserve">Shema </t>
    </r>
    <r>
      <rPr>
        <b/>
        <sz val="10"/>
        <color theme="1"/>
        <rFont val="Calibri"/>
        <family val="2"/>
        <charset val="238"/>
        <scheme val="minor"/>
      </rPr>
      <t xml:space="preserve">PVC_1,01
Kombinirana staklena stijena balkonskih vrata
</t>
    </r>
    <r>
      <rPr>
        <sz val="10"/>
        <color theme="1"/>
        <rFont val="Calibri"/>
        <family val="2"/>
        <charset val="238"/>
        <scheme val="minor"/>
      </rPr>
      <t>dim (90 + 110) x240</t>
    </r>
  </si>
  <si>
    <r>
      <t xml:space="preserve">Shema </t>
    </r>
    <r>
      <rPr>
        <b/>
        <sz val="10"/>
        <color theme="1"/>
        <rFont val="Calibri"/>
        <family val="2"/>
        <charset val="238"/>
        <scheme val="minor"/>
      </rPr>
      <t xml:space="preserve">PVC_1,02
Jednokrilna, zaokretna, otklopna balkonska vrata
</t>
    </r>
    <r>
      <rPr>
        <sz val="10"/>
        <color theme="1"/>
        <rFont val="Calibri"/>
        <family val="2"/>
        <charset val="238"/>
        <scheme val="minor"/>
      </rPr>
      <t>dim 90x240</t>
    </r>
  </si>
  <si>
    <t>Ličilački radovi podrazumijevaju ličenje unutrašnjih zidova i stropova.</t>
  </si>
  <si>
    <t xml:space="preserve">Za svaki upotrijebljeni materijal moraju biti poznate požarno preventivne karakteristike prema važećim normama, te temperaturni razred i eksplozivna grupa. </t>
  </si>
  <si>
    <t>Izvođač se obavezuje da će poštivati izbor boja određen od strane projektanta. Prije ličenja završnog sloja na gradilištu se izvodi probni uzorak. Projektant se obavezuje da na gradilištu provjeri uzorak. Nakon pismene potvrde projektanta može početi ličenje finalnim slojevima boje.</t>
  </si>
  <si>
    <t>Površine zida moraju biti očišćene od prašine i drugih nečistoća. Veća oštećenja popraviti materijalom istorodnog sastava. Manja oštećenja popraviti kitom izrađenim na bazi vodene disperzije akrilatnih kopolimera (fasadni kit). Vidljive željezne dijelove zaštititi antikorozivnim temeljnim premazom. Glet masa se nanosi čeličnim gleterom. Nakon sušenja površina se brusi brusnim papirom br. 120 ili 150, te otprašuje.</t>
  </si>
  <si>
    <t>Impregniranje zida izvodi se impregnacijom na bazi vodene disperzije akrilatnih kopolimera (Disperolakril impregnacija). Dvokratni nalič (odnosno do potpune jednolične pokrivenosti) disperzivnom bojom na bazi vodene disperzije akrilnih kopolimera (disperol akril). Prvi nalič se razrjeđuje s 10-15% čiste vode, a drugi s 5% čiste vode. Nanošenje krznenim valjkom. Kod nanošenja slijediti upute proizvođača.
Obračun po m2 oličenog zida.</t>
  </si>
  <si>
    <t>PREGRADNI ZID OD LETVICA</t>
  </si>
  <si>
    <t>Vertikalne letvice od crnog medijapana i prirodnog furnira u boji hrasta kao pregrada u interijeru – dijele vizualno zone unutar otvorenog prostora.</t>
  </si>
  <si>
    <t>l= 100cm; h= 268cm</t>
  </si>
  <si>
    <t>l= 120cm; h= 268cm</t>
  </si>
  <si>
    <t>l= 160cm; h= 268cm</t>
  </si>
  <si>
    <t>l= 175cm; h= 268cm</t>
  </si>
  <si>
    <t>Keramičke pločice koje se dopremaju i ugrađuju u građevinu moraju odgovarati postojećim hrvatskim normativima (ili jednakovrijedno _______________).</t>
  </si>
  <si>
    <t>- rubovi moraju biti oštri, paralelni, ravni i neoštećeni
- pločice ne smiju sadržavati topive soli i ostale sastojke
- površina mora biti bez zareza i mjehurića
- donja površina mora biti obrađena tako da bude pogodna za ugradnju
- boja mora biti ujednačena</t>
  </si>
  <si>
    <t>Pločice sukladno: HRN EN 14411 
(ili jednakovrijedno ____________________________)</t>
  </si>
  <si>
    <t>Sukladno: HRN U.F2.011/77
(ili jednakovrijedno ___________________________)</t>
  </si>
  <si>
    <t>Unutar građevine keramičarski radovi se izvode pošto su prostorije ožbukane, postavljeni okviri za stolariju i provedena i ispitana instalacija.</t>
  </si>
  <si>
    <t xml:space="preserve">Oblaganje zidnih površina treba izvesti potpuno ravno i vertikalno, bez valova, izbočenja i udubljenja s jednoličnim i dovoljno širokim spojnicama. Po završenom oblaganju spojnice treba obraditi odgovarajućim brtvenim materijalom. </t>
  </si>
  <si>
    <t>Sukladno: 
- HRN U.F2.011.9 
(ili jednakovrijedno ___________________________)
- HRN U.F2.011.10 
(ili jednakovrijedno ___________________________)</t>
  </si>
  <si>
    <t>GLAVNA ULAZNA VRATA GRAĐEVINE</t>
  </si>
  <si>
    <t>UNUTARNJA VRATA - PODRUM</t>
  </si>
  <si>
    <t>Broj ključeva: 
- dva ukoliko je spremište pojedinog stana
- svaki stan po jedan, za zajedničko spremište
- 2 po ulazu za prostor čistačice</t>
  </si>
  <si>
    <t>KARAKTERISTIKE SISTEMA:
- kvaliteta materijala AlMgSi 0,5 F22 EN AW – 6060
- moguća debljina stakla 4 - 55 mm
- debljina stijenke profila 2,2 mm
- moguće vrste otvaranja: otklopno-zaokretno
- mogućnost motornog pogona i automatskog upravljanja, skriveni okov 
- topl. izol., EN ISO 10071-2: Uf=1.9-2.4 W/m2 K
- materijal za brtvljenje (EPDM) 
sukladno: DIN 7863 
(ili jednakovrijedno ____________________________)</t>
  </si>
  <si>
    <t>OSTAKLJENJE STUBIŠTA</t>
  </si>
  <si>
    <t>Dokaz o čvrstoći spoja, u skladu s: 
- HRN EN 14024 
(ili jednakovrijedno ____________________________)
Dokaz o sigurnosti od ispadanja i izbijanja  stakla iz fasadnih i prozorskih okvira, u skladu s:
- HRN EN 1999-1-1 
(ili jednakovrijedno____________________________) 
(Eurocode 9 - fasade) 
- TRAV (prozori) 
(ili jednakovrijedno____________________________)
Proračun koeficijenata Uf i Uw, u skladu s:
- HRN EN ISO 10077-2 
(ili jednakovrijedno____________________________)</t>
  </si>
  <si>
    <t>Iskaz tolerancija mjera i oblika za profile prema:
- HRN EN 12020-2 
(ili jednakovrijedno____________________________)</t>
  </si>
  <si>
    <t>Izjava o svojstvima sukladno:
- Zakonom o građevinskim proizvodima (NN 76/13, 30/14, 130/17)
- HRN EN 14351-1 
(ili jednakovrijedno____________________________)
- HRN EN 13830 
(ili jednakovrijedno____________________________)</t>
  </si>
  <si>
    <t>Karakteristike sistema prema: HRN EN 14351
(ili jednakovrijedno ___________________________)
- zrakopropusnost prema HRN EN 12207 
(ili jednakovrijedno ____________________________)
- vodonepropusnost prema HRN EN 12208 
(ili jednakovrijedno ____________________________)
- zaštita od buke prema HRN EN 4109 
(ili jednakovrijedno ____________________________)
- otpornost na udar vjetra prema HRN EN 12210 
(ili jednakovrijedno ____________________________)
- mehanička izdržljivost prema HRN EN 12400 
(ili jednakovrijedno ____________________________)
- protuprovalnost prema HRN EN 1627
(ili jednakovrijedno ____________________________)</t>
  </si>
  <si>
    <t xml:space="preserve">Napomena: Elektro dio je posebno obrađen u projektu elektroinstalacija. </t>
  </si>
  <si>
    <r>
      <rPr>
        <sz val="10"/>
        <color theme="1"/>
        <rFont val="Calibri"/>
        <family val="2"/>
        <charset val="238"/>
        <scheme val="minor"/>
      </rPr>
      <t>Shema</t>
    </r>
    <r>
      <rPr>
        <b/>
        <sz val="10"/>
        <color theme="1"/>
        <rFont val="Calibri"/>
        <family val="2"/>
        <charset val="238"/>
        <scheme val="minor"/>
      </rPr>
      <t xml:space="preserve"> AL_3,01
</t>
    </r>
    <r>
      <rPr>
        <sz val="10"/>
        <color theme="1"/>
        <rFont val="Calibri"/>
        <family val="2"/>
        <charset val="238"/>
        <scheme val="minor"/>
      </rPr>
      <t>1 fiksno i 1 otklopno - zaokretno krilo</t>
    </r>
    <r>
      <rPr>
        <b/>
        <sz val="10"/>
        <color theme="1"/>
        <rFont val="Calibri"/>
        <family val="2"/>
        <charset val="238"/>
        <scheme val="minor"/>
      </rPr>
      <t xml:space="preserve">
</t>
    </r>
    <r>
      <rPr>
        <sz val="10"/>
        <color theme="1"/>
        <rFont val="Calibri"/>
        <family val="2"/>
        <charset val="238"/>
        <scheme val="minor"/>
      </rPr>
      <t>dim. 110 x 250cm</t>
    </r>
  </si>
  <si>
    <t>U odabranim sistemima zaštite materijali po svojim teh. karakteristikama moraju biti takvi da je svaki naneseni sloj dobra podloga za naredni sloj. Zbog toga za jedan sustav treba upotrijebiti proizvode jednog proizvođača. U opisima su date kemijsko fizikalne baze na osnovu kojih je materijal izrađen. Mogu se birati materijali bilo kojeg proizvođača ako imaju kemijsko fizikalnu bazu istovjetno onoj iz opisa. Kod upotrebe otrovnih i zapaljivih materijala obavezna je primjena propisanih zaštitnih mjera.</t>
  </si>
  <si>
    <r>
      <t>Obračun po m</t>
    </r>
    <r>
      <rPr>
        <sz val="10"/>
        <color theme="1"/>
        <rFont val="Calibri"/>
        <family val="2"/>
        <charset val="238"/>
      </rPr>
      <t>².</t>
    </r>
  </si>
  <si>
    <t>POD KUHINJE, ULAZNOG PROSTORA</t>
  </si>
  <si>
    <t>ZAJEDNIČKI HODNIK / ULAZNI PROSTOR</t>
  </si>
  <si>
    <t xml:space="preserve">POD BALKONA </t>
  </si>
  <si>
    <t>PROTUKLIZNOST</t>
  </si>
  <si>
    <t>Napomena 
Sve uzorke dostaviti  prije ugradnje na odobrenje. Predviđene pločice su I. klase.</t>
  </si>
  <si>
    <t>UNUTARNJE STUBIŠTE</t>
  </si>
  <si>
    <t>ULAZ A / B</t>
  </si>
  <si>
    <t>ULAZ C / D</t>
  </si>
  <si>
    <t>OBLAGANJE PODA ZAJEDNIČKIH PROSTORA</t>
  </si>
  <si>
    <t>SANITARNI ČVOR</t>
  </si>
  <si>
    <r>
      <t>POD _Obračun po m</t>
    </r>
    <r>
      <rPr>
        <sz val="10"/>
        <color theme="1"/>
        <rFont val="Calibri"/>
        <family val="2"/>
        <charset val="238"/>
      </rPr>
      <t>².</t>
    </r>
  </si>
  <si>
    <r>
      <t>ZID _Obračun po m</t>
    </r>
    <r>
      <rPr>
        <sz val="10"/>
        <color theme="1"/>
        <rFont val="Calibri"/>
        <family val="2"/>
        <charset val="238"/>
      </rPr>
      <t>².</t>
    </r>
  </si>
  <si>
    <r>
      <t>POD _ Obračun po m</t>
    </r>
    <r>
      <rPr>
        <sz val="10"/>
        <color theme="1"/>
        <rFont val="Calibri"/>
        <family val="2"/>
        <charset val="238"/>
      </rPr>
      <t>².</t>
    </r>
  </si>
  <si>
    <r>
      <t>Obračun po m</t>
    </r>
    <r>
      <rPr>
        <sz val="10"/>
        <color theme="1"/>
        <rFont val="Calibri"/>
        <family val="2"/>
        <charset val="238"/>
      </rPr>
      <t>²</t>
    </r>
  </si>
  <si>
    <t>PARKET UNUTAR STANOVA</t>
  </si>
  <si>
    <t>ISPIS ENERGETSKOG CERTIFIKATA</t>
  </si>
  <si>
    <t>Obračun po komadu</t>
  </si>
  <si>
    <t>Ispis energetskog certifikata i postavljanje na ulaz u zgradu na jasno vidljivo mjesto.
Nakon završetka radova izgradnje izvoditelj je dužan izraditi energetski certifikat i predati ga Investitoru. Jedan primjerak certifikata tiskati u boji, uokviriti te ugraditi na  zid u ulaznom prostoru. Ispis zaštititi od mehaničkih udaraca kao i atmosferilija. Stavka uključuje sav potreban rad i materijal do potpune gotovosti.</t>
  </si>
  <si>
    <t>OZNAKA KUĆNOG BROJA</t>
  </si>
  <si>
    <t>UGLOVNA OJAČANJA LIFTA</t>
  </si>
  <si>
    <t>U svemu se pridržavati tehničkih uputa proizvođača.
Visina dimnjaka: 10m / 13m
Vanjske mjere 32cm / 32cm</t>
  </si>
  <si>
    <t xml:space="preserve">Smještene u podrumu objekta.
Sastoje se od fiksnih djelova i jednokrilnih zaokretnih vrata. Konstrukciju čine kvadratne čelične cijevi debljine 4mm spojene varenjem. Sve cijevi su bočno zatvorene. Ispuna je  kvadratna mreža sačinjena od visoko kvalitetne čelične žice  (dimenzija oka 50mm x 50mm, debljina žice Ø3mm). </t>
  </si>
  <si>
    <t xml:space="preserve">Obrada: sve vruće pocinčano i plastificirano.
Boja: RAL 9010.
Dimenzija vrata: 100cm x 210cm
Dimenzija mreže: sukladno arhitektonskim nacrtima
Oprema: lokot, zasun, oznaka i broj drvarnice / spremišta, ručka/zasun, ključ ( broj - dva za svaki stan od drvarnice koja mu pripada). </t>
  </si>
  <si>
    <t>REZERVNI IZLAZ SKLONIŠTA - NADSTREŠNICA</t>
  </si>
  <si>
    <t xml:space="preserve">Hortikulturni  radovi podrazumijevaju pripremu zemljišta, nabavu sadnog materijala, gnoja i aditiva za zemlju, iskop jama i sadnju-sijanje, te održavanje sadnica min 30 dana, odnosno do njihovog prihvaćanja u postavljenu sredinu, odnosno nicanja. Izvoditelj je dužan izraditi pismenu uputu, te obučiti korisnika za održavanje zasađenih površina i biljki (gnojidba, zalijevanje, podrezivanje i sl.). </t>
  </si>
  <si>
    <t>Hrast crnika (Quercus ilex)</t>
  </si>
  <si>
    <t>Obični grab ( Carpinus betulus)</t>
  </si>
  <si>
    <t>Siva topola (Populus canescens)</t>
  </si>
  <si>
    <r>
      <t xml:space="preserve">Projektant: </t>
    </r>
    <r>
      <rPr>
        <b/>
        <sz val="10"/>
        <rFont val="Arial"/>
        <family val="2"/>
        <charset val="238"/>
      </rPr>
      <t>Ivan Vulić, dipl.ing.arh.</t>
    </r>
  </si>
  <si>
    <t>U skladu s općim uvjetima zidarskih radova arhitektonskog projekta te općim uvjetima betonskih i armirano betonskih radova građevinskog projekta</t>
  </si>
  <si>
    <t>KOLNIČKA KONSTRUKCIJA ASFALT - na zemlji</t>
  </si>
  <si>
    <t>KOLNIČKA KONSTRUKCIJA ASFALT - na AB ploči</t>
  </si>
  <si>
    <t>Sukladno: Pravilniku o prometnim znakovima, signalizaciji i opremi na cestama (NN 92/19)</t>
  </si>
  <si>
    <t>BRAVARSKI RADOVI UKUPNO:</t>
  </si>
  <si>
    <t xml:space="preserve">znak B02  Ø 60 </t>
  </si>
  <si>
    <t>znak B23  Ø 60 _ visina 2,50m</t>
  </si>
  <si>
    <t>Oznake na kolniku ne smiju biti više od 0,6 cm iznad razine kolnika. Podloga za postavljanje oznake mora biti čista i suha.</t>
  </si>
  <si>
    <t>Materijal koji se koristi za označavanje na kolniku treba biti trajan i ne smije mijenjati boju. Koeficijent trenja treba biti približno jednak kao kod kolnika, sa maksimalnim odstupanjem + 5% kod suhog i + 10% kod mokrog kolnika. Horizontalna prometna signalizacija je boje sa retroreflektivnim zrncima klase II. 
Sukladno: HRN Z.S2.240 ili jednakovrijedno ___________________.</t>
  </si>
  <si>
    <t>Oznake na kolniku su: uzdužne oznake, poprečne oznake i ostale oznake na kolniku.</t>
  </si>
  <si>
    <t>GRANIČNIK</t>
  </si>
  <si>
    <t>Dimenzija 1500x150x100 mm  (+/- 10%)</t>
  </si>
  <si>
    <t>Gumeni razdijelnik - parkirni graničnici. Stoper za auto omogućava zaustavljanje automobila prije kontakta sa fasdaom. Graničnik se sidri sa sidrenim vijkom u podlogu prema uputama proizvođaća. Obračun po komadu ugrađenog graničnika</t>
  </si>
  <si>
    <t xml:space="preserve">Radove izvoditi prema:
Tehničkim propisima za građevinske konstrukcije (NN 17/17, NN 75/20)
Tehničkom propisu o građevnim proizvodima (NN 35/18, 104/19) -  te normama koji primjenjeni propisi propisuju za materijale  koji se ugrađuju ili njima jednakovrijednim _____________________________).
Materijali sukladno:
• Voda i pijesak 
HRN EN 1008:2002  
(ili jednakovrijedno: ___________________________)
HRN EN 13139:2013
(ili jednakovrijedno: ___________________________)
• Cement - HRN EN 197-1:2012
(ili jednakovrijedno:___________________________)
• Vapno - HRN EN 459-1:2010
(ili jednakovrijedno: __________________________) </t>
  </si>
  <si>
    <t>Zidanje se mora izvoditi sa pravilnim zidarskim vezovima, a preklop mora iznositi najmanje jednu četvrtinu dužine zidnog elementa, debljina ležajnica iznosi maksimalno 15 mm, a širina sudarnica od 10 mm do 15 mm. Ukoliko se zida za vrijeme zime, zidove treba zaštiti od niskih temperatura ( i mraza), a zidovi čije izvođenje nije završeno prije nastupanja nepovoljnih uvjeta (mraz) moraju se zaštititi na odgovarajući način.</t>
  </si>
  <si>
    <t xml:space="preserve">Pregradne zidove ankerima / sidrima povezati za nosivu konstrukciju. Ankere postavljati u minimalno svako treći red, te po minimalno 1 na svaki m1 spoja sa stropnom pločom. Vanjske fuge ostaviti prazne od 1,5 cm  do 2 cm za vezu žbuke prigodom žbukanja zidova. Za vrijeme zidanja opeku kvasiti vodom, a pri zidanju cementnim mortom opeka mora ležati u vodi neposredno prije zidanja. Reške dimnjaka i ventilacionih kanala zagladiti. </t>
  </si>
  <si>
    <t xml:space="preserve">Izvođenje radova zidanja, žbukanja, izradu cementnih glazura i namaza, AB estriha, te zidarske pripomoći pri izvođenju ostalih radova. </t>
  </si>
  <si>
    <t>Za pripremu mortova (ako to propisom nije precizirano) može se upotrijebiti prirodni pijesak bez organskih primjesa ili umjetno proizveden, drobljeni pijesak. Morski pijesak treba se prije upotrebe isprati. Isprati i druge prirodne pijeske (riječni i kopani) ako imaju primjesu gline veću od 1,5% težine pijeska. Granulacijska krivulja pijeska mora biti u skladu s propisima, a zrna ne smiju biti veća od 4mm, ni više od 10% zrna promjera manjeg od 1mm. Kao vezivo, ako opisom nije drugačije predviđeno, upotrebljava se hidratizirano vapno ili portland cement, što ovisi o vrsti morta. Mort se u načelu priprema strojno, a izuzetno za manje količine, ručno.</t>
  </si>
  <si>
    <t>Kod tradicionalnih žbuka (glatka, špricana, grebana) izrada u fazama:
1. čišćenje podloge
2. grubi špric (oštri pijesak, cement, voda)
3. gruba žbuka - definiranje ravnine žbukane plohe
4. završni sloj (fina žbuka, fina + pjeskarenje, fina grebana) - služi za zaglađivanje površina</t>
  </si>
  <si>
    <t>Prva faza žbukanja je bacanje grubog šprica zidarskom žlicom, ne tavom. Na grubi špric bacati grubu žbuku, a nakon toga finu žbuku. Treba je izraditi tako da površine budu posve ravne i glatke, a uglovi i bridovi, te spojevi zida i stropa izvedeni oštro.</t>
  </si>
  <si>
    <t xml:space="preserve">Rabiciranje žbuke izvodi se pomoću tekstilno staklene mrežice otporne na alkalije ili sitno pletene mreže od nehrđajućeg čelika.
Kod obrade fasade plemenitom žbukom, žbuka mora biti kvalitetna, tvorničke izvedbe u izabranoj boji i kvaliteti. Raditi prema uputstvu proizvođača.
Žbukanje zidova i stropova jednoslojnim strojnim žbukama izvoditi uz prethodni špric, a debljinu sloja izvoditi od 1-2 cm, ovisno o vrsti žbuke (gipsana ili produžna).
</t>
  </si>
  <si>
    <t>PODRUM</t>
  </si>
  <si>
    <t>PRIZEMLJE</t>
  </si>
  <si>
    <t>1. KAT</t>
  </si>
  <si>
    <t>2. KAT</t>
  </si>
  <si>
    <t>3. KAT</t>
  </si>
  <si>
    <t>1.KAT</t>
  </si>
  <si>
    <t>Izrada hidroizolacija, parnih brana, termoizolacija podova i vanjskih zidova i unutarnjih zidova, zvučnih izolacija i postavu raznih folija.</t>
  </si>
  <si>
    <r>
      <t xml:space="preserve">Zaštitno - razdjelni sloj - geotekstil na bazi polipropilena PP, termo fiksirani, netkani, u boji. </t>
    </r>
    <r>
      <rPr>
        <b/>
        <sz val="10"/>
        <rFont val="Calibri"/>
        <family val="2"/>
        <charset val="238"/>
        <scheme val="minor"/>
      </rPr>
      <t>Metoda ugradnje:</t>
    </r>
    <r>
      <rPr>
        <sz val="10"/>
        <rFont val="Calibri"/>
        <family val="2"/>
        <charset val="238"/>
        <scheme val="minor"/>
      </rPr>
      <t xml:space="preserve"> Slobodno polaganje, mehaničko fiksiranje.
</t>
    </r>
    <r>
      <rPr>
        <b/>
        <sz val="10"/>
        <rFont val="Calibri"/>
        <family val="2"/>
        <charset val="238"/>
        <scheme val="minor"/>
      </rPr>
      <t>Svojstva:</t>
    </r>
    <r>
      <rPr>
        <sz val="10"/>
        <rFont val="Calibri"/>
        <family val="2"/>
        <charset val="238"/>
        <scheme val="minor"/>
      </rPr>
      <t xml:space="preserve"> izvrsna otpornost na atmosferilije, visoka otpornost na starenje i mehaničke utjecaje, otporan na uobičajene uvjete okoliša, mogućnost recikliranja</t>
    </r>
  </si>
  <si>
    <t>Otpornost na korijenje</t>
  </si>
  <si>
    <t>Izvode se u trakama, prema uputama odabranog proizvođača: slobodno položene ili mehanički učvršćene s preklopima i zavarivanjem vrućim zrakom. Preklopi lijepljeni (elastomeri) ili zavareni vrućim zrakom (termoplasti).</t>
  </si>
  <si>
    <t>Svojstva:</t>
  </si>
  <si>
    <t xml:space="preserve">Parna brana je visoko vrijedni izolacioni sloj koji se postavlja ispod toplinske izolacije. Prije polaganja parne brane moraju biti izvedena podnožja u uglovima (holkeri), tako da se izolacijske trake ne lome pod pravim kutem, nego se koso postavljaju na vertikalnu plohu. Max. vlažnost podloge je 3% mase. Parna brana se može polagati samo po suhom vremenu. Za parnu branu primjenjuju se bitumenske folije sa ulošcima metalne (aluminijske) folije, a kao sredstvo za ljepljenje je bitumen i bitumenska masa u vrućem stanju. </t>
  </si>
  <si>
    <t>Postavlja se kao zaštitni ili dilatacioni sloj u sastavu višeslojnih konstrukcija podova i ravnih krovova. Polaže se s preklopima od 10cm, a potrebno ju je uz okolne zidove podignuti do razine 2cm iznad estriha (uz trake toplinske izolacije) - do kote gotovog poda. Preklopi se lijepe samoljepivom trakom širine 5cm. Na krovove se folija učvršćuje sredstvima za učvršćenje (ovise o vrsti podloge). 
d = 0,15 - 0,20 mm</t>
  </si>
  <si>
    <t>PC je jednokomponentni, fleksibilni hidroizolacijski premaz na bazi cementa modificiran emulzijom akrilnih polimera uz dodatak agregata fine granulacije. Pogodan je za izolaciju mokrih čvorova (kupaonica i WC-a), balkona i terasa, konstrukcija u tlu i podruma te za prekid kapilarne vlage kroz temelje.</t>
  </si>
  <si>
    <t>Zajedno s brtvećim trakama čini potpun sustav hidroizolacije. Izvodi se kao premaz u dva sloja d=2mm, na suhu, čistu i čvrstu podlogu. Izvesti u svemu prema uputama proizvođača.</t>
  </si>
  <si>
    <t xml:space="preserve">Svojstva: </t>
  </si>
  <si>
    <t>LPG VOZILA</t>
  </si>
  <si>
    <t xml:space="preserve">Postavljanje znaka za zabranu vozila na plinski pogon. </t>
  </si>
  <si>
    <t>Znak zabrane</t>
  </si>
  <si>
    <t>Natpis: Zabranjen pristup vozilima na plinski pogon - no LPG vehicles.</t>
  </si>
  <si>
    <t>LIMARSKI RADOVI UKUPNO</t>
  </si>
  <si>
    <t>14.</t>
  </si>
  <si>
    <t>LIMARSKI RADOVI</t>
  </si>
  <si>
    <t>Prije izrade elemenata izvođač mora provjeriti mjere na gradilištu. Nakon izrade limarije izvođač je dužan u prisutnosti nadzornog organa izvršiti ispitivanje vodonepropusnosti postavljene limarije. Ispitivanje se vrši blagim vodenim mlazom. Limarija ne smije propuštati vodu, oticanje mora biti kontinuirano bez zadržavanja vode u pojedinim segmentima.</t>
  </si>
  <si>
    <t>Limarski radovi odnose se na: 
- protukišne žaluzine i rešetke
- limene poklopnice pragova i parapeta terasa
- limene opšave krovnih ploha
- limene opšave prodora kroz krovne plohe i dr.</t>
  </si>
  <si>
    <t xml:space="preserve">ŠLJUNAK </t>
  </si>
  <si>
    <t>IZOLACIJA VANJSKIH KONSTRUKCIJA</t>
  </si>
  <si>
    <t>IZOLACIJA KROVA</t>
  </si>
  <si>
    <t>Razastiranje okruglog pranog šljunka granulacije 16/32mm, u debljini sloja 5-6cm.</t>
  </si>
  <si>
    <t>Razdjelni sloj geotekstila 300gr/m2</t>
  </si>
  <si>
    <t>d=0,40mm</t>
  </si>
  <si>
    <t>Razdjelni sloj geotekstila 200gr/m2</t>
  </si>
  <si>
    <t>Karakteristike folije:
- homogena (jednoslojna)
- UV stabilna
- otporna na korijenje
- izduženje pri slomu &gt; 800 % 
Sukladno: DIN EN 12311-2 
(ili jednakovrijedno ____________________________)
- ne sadrži plastifikatore i klor (ne ispušta spojeve štetne za okoliš)
- ne sadrži otapala/omekšivače koji s vremenom ishlape</t>
  </si>
  <si>
    <t xml:space="preserve">d=1.50 mm </t>
  </si>
  <si>
    <t>Varenje hidroizolacijske folije se izvodi homogeno vrućim zrakom prema uputama proizvođača. Minimalni preklopi iznose 12 cm. Foliju mehanički pričvrstiti kroz postojeće slojeve u beton specijalnim tiplama. Uzdignuti 15-20cm na vertikalni zid i zavariti na mehanički pričvršćenu kaširanu TPO lajsnu širine 5cm (također dio ove stavke), a spoj zapuniti poliuretanskim trajnoelastičnim kitom</t>
  </si>
  <si>
    <t>IZOLACIJA BALKONA</t>
  </si>
  <si>
    <t>* estrih je zajedno s XPS-om i razdjelnom folijom obrađen u zidarskim radovima.</t>
  </si>
  <si>
    <t>PC IZOLACIJA - iznad AB ploče.</t>
  </si>
  <si>
    <t>PC IZOLACIJA - ispod keramičkih pločica, a iznad estriha u padu.</t>
  </si>
  <si>
    <t xml:space="preserve">XPS - Ploče od kamene vune
d= 5cm </t>
  </si>
  <si>
    <t>IZOLACIJA UNUTARNJIH KONSTRUKCIJA</t>
  </si>
  <si>
    <t>Dio stavke je i betonska poklopnica 5-8cm na vrhu dimnjaka.</t>
  </si>
  <si>
    <t>LIMENI OPŠAV KROVNOG NADOZIDA</t>
  </si>
  <si>
    <t>Obračun po kompletno izvedenom m'.</t>
  </si>
  <si>
    <t>U jediničnu cijenu stavku uključena su sva spojna sredstva, vodotijesna međusobna brtvljenja i vodotijesna brtvljenja s drugim materijalima.</t>
  </si>
  <si>
    <t>LIMENA POKLOPNICA KROVNOG NADOZIDA</t>
  </si>
  <si>
    <t>Elementi limarije profiliraju se i formatiziraju na limarskim strojevima u radionici. Pri profiliranju limarskih elemenata bridovi savijenih limova ne smiju biti oštri, nego pravilno zaobljeni. Profilirani i formatirani elementi mogu se u radionici spajati u sekcije čija je dužina pogodna za transport a ne otežava montažu na objektu. Elementi i sekcije međusobno se spajaju limarskim vezama (jednostruki i dvostruki, ležeći i stojeći prijevoji), varenjem i zakivanjem. Spojevi moraju biti vodonepropusni. Veza limarskih elemenata sa objektom mora omogućavati rad limene konstrukcije pri temperaturnim promjenama. Kako lim ne smije ležati neposredno na betonu ili žbuci, ispod lima se polažu trake krovne ljepenke. Širina traka mora odgovarati širini lima. Prilikom izvođenja potrebno odvojiti različite metale kako ne bi došlo do negativnog utjecaja galvanskih struja.</t>
  </si>
  <si>
    <t>IZLAZ NA KROV</t>
  </si>
  <si>
    <r>
      <t xml:space="preserve">Stavka uključuje oblogu čela i gazišta ker. pločicama. Na kontaktu čela i gazišta u gazištu se izvode trake za protukliznost. Fuge su nenaglašene, spojevi ploča moraju biti ravni, ploče međusobno dobro zbijene, a površina opločenja mora biti potpuno ravna, bez odstupanja od zadane plohe. U jediničnu cijenu stavke ulazi i sokl stubišta (h=10cm) od istovjetnih pločica. Na prijelazu između gazišta i čela - limeni spoj za protukliznost.
</t>
    </r>
    <r>
      <rPr>
        <b/>
        <sz val="10"/>
        <color theme="1"/>
        <rFont val="Calibri"/>
        <family val="2"/>
        <charset val="238"/>
        <scheme val="minor"/>
      </rPr>
      <t>Protukliznost: min R10</t>
    </r>
  </si>
  <si>
    <t>Elementi dimnjaka:
- plašt od lakog betona sukladno normi: 
EN 12446 (ili jednakovrijedno __________________)
- kondenzacijsku posudu
- rešetke za zrak
- tervol ploče
- visokokvalitetnu cijev od tehničke keramike
- prilagodljivu toplinsku izolaciju, sukladno 
HR DIN 4102-1 (ili jednakovrijedno _________________)
- priključke za ložišta, čišćenje
- vezivo
- final elemente (dilatacijska rozeta, konusni završetak)
- dimotjesna vrata
- sav pribor potreban za ugradnju i funkciju</t>
  </si>
  <si>
    <t xml:space="preserve">Ovim radovima obuhvaćeni su svi radovi sa gips kartonskim pločama kao izrada pregradnih zidova uključivši ugradnju dovratnika gdje je to potrebno i podkonstrukcije za ugradnju instalacija vodovoda, kanalizacije i sl. te izrada obloge zidova i izrada spuštenih stropova uključivši izradu otvora za ugradnju instalacijskih elemenata, rasvjetnih tijela, utičnice, ventilacijskih elemenata i sl. </t>
  </si>
  <si>
    <t xml:space="preserve">Vrši se specijalnom glet masom, prema preporuci proizvođača sustava, i u ovisnosti o mjestu ugradnje (suhe / važne prostorije). Kvaliteta završne obrade spojeva i površine prvog sloja prema kvaliteti Q1, a kvaliteta završne obrade drugog sloja prema Q2. </t>
  </si>
  <si>
    <t>ZIDANJE TROSLOJNIH DIMNJAKA (32x32)</t>
  </si>
  <si>
    <r>
      <t>OBLAGANJE ZIDOVA GIPS-KARTONSKIM PLOČAMA</t>
    </r>
    <r>
      <rPr>
        <sz val="10"/>
        <color theme="1"/>
        <rFont val="Calibri"/>
        <family val="2"/>
        <charset val="238"/>
        <scheme val="minor"/>
      </rPr>
      <t xml:space="preserve">
Zidna obloga sa metalnom potkonstrukcijom, jednostrano dvoslojno obložena, direktno pričvršćena
Oznaka u nacrtu:</t>
    </r>
    <r>
      <rPr>
        <b/>
        <sz val="10"/>
        <color theme="1"/>
        <rFont val="Calibri"/>
        <family val="2"/>
        <charset val="238"/>
        <scheme val="minor"/>
      </rPr>
      <t xml:space="preserve"> ZGG2, ZGN 1</t>
    </r>
  </si>
  <si>
    <t>d = 10cm (1,25cm x2 + 7,50cm)
h= 268cm</t>
  </si>
  <si>
    <t>ZGG 2</t>
  </si>
  <si>
    <t>ZGN 1</t>
  </si>
  <si>
    <t>Fasaderski radovi podrazumijevaju izradu plemenitih žbuka, plastičnih žbuka i radove sa specijalnim tvornički pripremljenim mortovima za žbukanje fasada. 
Radovi sukladno: HRN U.F2.010
(ili jednakovrijedan ____________________________). 
Pri upotrebi tvornički pripremljenih mortova pri radu se mora poštovati naputak proizvođača.</t>
  </si>
  <si>
    <t>Sokl pročelja uz teren se izvodi od ploča XPS-a. 
Visina sokla: min.10cm ispod razine terena, 113cm iznad razine terena</t>
  </si>
  <si>
    <t>Debljina: ista kao i ostatak pročelja
Završna obrada: opisano u stavci</t>
  </si>
  <si>
    <t>Ispod razine sokla u terenu, nastavlja se XPS termoizolacija ukopanog zida (zasebna stavka).</t>
  </si>
  <si>
    <t>Kontaktni sustav fasade uključuje fasadne ploče od kamene vune izabrane debljine, ljepilo, mrežicu, završno dekorativni sloj uz pripadajući predpremaz, granulacije 1,5; 2 ili 3mm, te sav potreban pribor: letvica za podnožje u debljini ploče, zaštitni kutnici za uglove i prozore. 
U stručnu organizaciju gradilišta ubraja se i propisno skladištenje svih komponenti koji čine sustav za toplinsku izolaciju. Niti u ljepilo, niti u završne slojeve nije dozvoljeno primješavanje bilo kakvih dodataka (npr. sredstvo protiv smrzavanja).</t>
  </si>
  <si>
    <t>Otprašivanje i odstranjivanje oštećenih i slabo sraslih dijelova. Impregnacija dubinski predpremazom.</t>
  </si>
  <si>
    <t>Napomena: Sve što nije obuhvaćeno ovim opisom, izvesti prema uputama proizvođača komponenti certificiranog sustava, sukladno nacionalnim normama, te smjernicama za izradu ETICS sustava HUPFAS-a (ili jednakovrijedno __________________).</t>
  </si>
  <si>
    <t>KROVNI OTVOR</t>
  </si>
  <si>
    <r>
      <t xml:space="preserve">Oznaka u nacrtu: </t>
    </r>
    <r>
      <rPr>
        <b/>
        <sz val="10"/>
        <color theme="1"/>
        <rFont val="Calibri"/>
        <family val="2"/>
        <charset val="238"/>
        <scheme val="minor"/>
      </rPr>
      <t>PVC_3</t>
    </r>
    <r>
      <rPr>
        <sz val="10"/>
        <color theme="1"/>
        <rFont val="Calibri"/>
        <family val="2"/>
        <charset val="238"/>
        <scheme val="minor"/>
      </rPr>
      <t xml:space="preserve">
Prozor za izlaz na krov smješten u stubišnom prostoru, na zadnjoj etaži.</t>
    </r>
  </si>
  <si>
    <t xml:space="preserve">U stavku je uključen opšav kontakta dovratnika odnosno doprozornika stavke sa zidarskim otvorom, u vidu opšavne letve dimenzije prilagođene detalju ugradnje. </t>
  </si>
  <si>
    <r>
      <rPr>
        <b/>
        <sz val="10"/>
        <color theme="1"/>
        <rFont val="Calibri"/>
        <family val="2"/>
        <charset val="238"/>
        <scheme val="minor"/>
      </rPr>
      <t xml:space="preserve">Model prozora: </t>
    </r>
    <r>
      <rPr>
        <sz val="10"/>
        <color theme="1"/>
        <rFont val="Calibri"/>
        <family val="2"/>
        <charset val="238"/>
        <scheme val="minor"/>
      </rPr>
      <t xml:space="preserve">otklopni prozor za izlaz na krov
Pokrovni element: prozirna kupola - energetski učinkovito izolacijsko staklo ugrađeno u izolirani PVC okvir.
</t>
    </r>
    <r>
      <rPr>
        <b/>
        <sz val="10"/>
        <color theme="1"/>
        <rFont val="Calibri"/>
        <family val="2"/>
        <charset val="238"/>
        <scheme val="minor"/>
      </rPr>
      <t xml:space="preserve">Sustav: </t>
    </r>
    <r>
      <rPr>
        <sz val="10"/>
        <color theme="1"/>
        <rFont val="Calibri"/>
        <family val="2"/>
        <charset val="238"/>
        <scheme val="minor"/>
      </rPr>
      <t>ručno otvaranje za 90° pomoću plinskih amortizera.</t>
    </r>
  </si>
  <si>
    <t>dimenzija stavke (zidarska mjera): 100x100cm</t>
  </si>
  <si>
    <r>
      <t xml:space="preserve">3-slojna kupola: Ug koeficijent 1,8 W/m2K
Ur koeficijent 1,6 W/m2K
</t>
    </r>
    <r>
      <rPr>
        <b/>
        <sz val="10"/>
        <color theme="1"/>
        <rFont val="Calibri"/>
        <family val="2"/>
        <charset val="238"/>
        <scheme val="minor"/>
      </rPr>
      <t xml:space="preserve">
Otvaranje: </t>
    </r>
    <r>
      <rPr>
        <sz val="10"/>
        <color theme="1"/>
        <rFont val="Calibri"/>
        <family val="2"/>
        <charset val="238"/>
        <scheme val="minor"/>
      </rPr>
      <t xml:space="preserve">ručni otvarač, klizno vreteno - 280 mm visina
Vreteno izrađeno od pocinčanog čelika / mesinga
Bez održavanja, beskonačno prilagodljivo
Potrebni pribor: (170 cm), produžna šipka (80 cm)
</t>
    </r>
    <r>
      <rPr>
        <b/>
        <sz val="10"/>
        <color theme="1"/>
        <rFont val="Calibri"/>
        <family val="2"/>
        <charset val="238"/>
        <scheme val="minor"/>
      </rPr>
      <t xml:space="preserve">Nasadni vijenac: </t>
    </r>
    <r>
      <rPr>
        <sz val="10"/>
        <color theme="1"/>
        <rFont val="Calibri"/>
        <family val="2"/>
        <charset val="238"/>
        <scheme val="minor"/>
      </rPr>
      <t>PVC vijenac (h= 15, 30 ili 50 cm).
Toplinska izolacija, U-vrijednost u W / m²K: Uc 1,1 / Uup 1,9 (h=15cm), Uc 0,6 / Uup 0,8 (h=30/50cm)
Integrirana kišna pregača štiti gornju spojnu točku podignutog krovnog remena i zamjenjuje trajno elastično brtvljenje zidne spojne tračnice.
Prirubnica vijka s kalupom za kapanje.
Posebno pozicioniranje šarki za optimalno brtvljenje između krovne kupole i podnožja.</t>
    </r>
  </si>
  <si>
    <t>ULAZNA GARAŽNA VRATA - ROLO</t>
  </si>
  <si>
    <t>dimenzije stavke (zidarski otvor): 600 x 260cm</t>
  </si>
  <si>
    <t>ODVODNJA BALKONA</t>
  </si>
  <si>
    <t xml:space="preserve">MetalnI kućnI broj na pročelju zgrade. 
- ploča izgrađena od čeličnog ili alu lima, dim. 20x15cm i ebljine 2 mm lima sa sidrima za ugradbu
- dizajn fonta i same pločice, njezina veličina, boja i ton po odabiru projektanta i / ili investitora. 
Završna obrada plastificiranjem. Stavka uključuje sav potreban rad i materijal do potpune gotovosti. </t>
  </si>
  <si>
    <t>Obračun po ispisanom slovu</t>
  </si>
  <si>
    <t>br</t>
  </si>
  <si>
    <t>OZNAKE ulaza A / B / C / D - ovisno o ulazu sukladno arhitektonskom nacrtu
Smještaj sa sjeverne strane kod ulaza u zgradu na podlogu zida boje RAL .
Boja slova: crna
Dim. slova:
font: Kristen ITC</t>
  </si>
  <si>
    <r>
      <t xml:space="preserve">Oznaka u nacrtu: </t>
    </r>
    <r>
      <rPr>
        <b/>
        <sz val="10"/>
        <color theme="1"/>
        <rFont val="Calibri"/>
        <family val="2"/>
        <charset val="238"/>
        <scheme val="minor"/>
      </rPr>
      <t>AGT 1</t>
    </r>
  </si>
  <si>
    <t xml:space="preserve">Fuge između ploča ispunjavaju se pripadajućim ispunjačem i ojačavaju perforiranom papirnatom trakom za spojnice, a izložene ivice ojačavaju se aluminijskim perforiranim Al profilima. </t>
  </si>
  <si>
    <t>Kod uglova i ivica hodnika i prostora opterećenih velikom frekvencijom prolaza tj. mogućnosti oštećenja potrebno je koristiti uglovna ojačanja. Kod impregniranih gips-kartonskih ploča treba koristiti impregniranu glet masu.</t>
  </si>
  <si>
    <r>
      <t>Obračun po m</t>
    </r>
    <r>
      <rPr>
        <sz val="10"/>
        <color indexed="8"/>
        <rFont val="Calibri"/>
        <family val="2"/>
        <charset val="238"/>
      </rPr>
      <t>² (otvori do 3,00 m² se ne odbijaju).</t>
    </r>
  </si>
  <si>
    <t>ZGG 5</t>
  </si>
  <si>
    <t>ZGG3</t>
  </si>
  <si>
    <t>Profili od čeličnog pocinčanog lima (min debljine 0,60mm) na razmaku od maksimalno 62,50 cm. Podkonstrukcija je širine 5 cm.</t>
  </si>
  <si>
    <t>- mineralna vuna (MW) - HRN EN 14303:2016 
(ili jednakovrijedno ___________________________)
- ekspandirani polistiren (EPS) - HRN EN 14309:2016 
(ili jednakovrijedno ___________________________)
- ekstrudirani polistiren (XPS) - HRN EN 14307:2016 
(ili jednakovrijedno ___________________________)
- tvrda poliuretanska pjena (PUR) - HRN EN 14308:2016 
(ili jednakovrijedno ___________________________)
- polietilenska pjena (PEF) - HRN EN 14313:2016 
(ili jednakovrijedno ___________________________)
'- proizvodi od pjenastog stakla (CG) 
HRN EN 14305:2016 (ili jednakovrijedno __________________________)</t>
  </si>
  <si>
    <t>- proizvodi od kalcijevog silikata (CS) 
HRN EN 14306:2016 (ili jednakovrijedno __________________________)
- proizvodi od savitljive elastomerne pjene (FEF) 
HRN EN 14304:2016 (ili jednakovrijedno __________________________)</t>
  </si>
  <si>
    <t>- Savitljive hidroizolacijske trake - Plastične i elastomerne; paronepropusne trake
- HRN EN 13859-1:2014 
(ili jednakovrijedno ____________________________)
- Savitljive hidroizolacijske trake - Definicije i značajke podložnih traka
- HRN EN 13956:2012
(ili jednakovrijedno __________________________)
- Savitljive hidroizolacijske trake - Plastične i elastomerne hidroizolacijske trake za krovove
- EN 13956:2005 (ili jednakovrijedno ______________________________)</t>
  </si>
  <si>
    <t>- HRN U.F2.024/80 
(ili jednakovrijedno ____________________________) 
- Završni radovi u građevinarstvu. Tehnički uvjeti izvođenja izolacijskih radova na ravnim krovovima.
- HRN EN 13859-2:2014 
(ili jednakovrijedno ____________________________)
- Savitljive hidroizolacijske trake - Definicije i značajke podložnih traka 
- EN 13859-2:2004+A1:2008 
(ili jednakovrijedno ____________________________).
- HRN EN 13967:2017 
(ili jednakovrijedno ____________________________)
- Savitljive hidroizolacijske trake - plastične i elastomerne trake za zaštitu od vlage i vode iz tla
- HRN EN 13970:2005/A1:2008 
(ili jednakovrijedno ____________________________)
- Savitljive hidroizolacijske trake - Bitumenske paronepropusne trake
- EN 13970:2004/A1:2006 
(ili jednakovrijedno ____________________________)
- HRN EN 13984:2013 
(ili jednakovrijedno ____________________________)</t>
  </si>
  <si>
    <t>Čepasta drenažna folija na vertikalnoj površini kao zaštita izolacije na bazi polietilena velike gustoće (HDPE)
- debljina: 7.5 mm
- tlačna čvrstoća: min. 200 kN/m2
Sukladno: ISO 826 
(ili jednakovrijedno __________________________)
- vlačna čvrstoća, uzdužno/poprečno: min. 250/250 N/5cm
- izduženje pri slomu, uzdužno/poprečno: min 20/25% 
Sukladno: ISO 10319 
(ili jednakovrijedno __________________________) 
Folija se pričvršćuje bez bušenja hidroizolacijske membrane</t>
  </si>
  <si>
    <r>
      <rPr>
        <sz val="10"/>
        <rFont val="Calibri"/>
        <family val="2"/>
        <charset val="238"/>
      </rPr>
      <t xml:space="preserve">Oznaka u arhitektonskom projektu: 
</t>
    </r>
    <r>
      <rPr>
        <b/>
        <sz val="11"/>
        <rFont val="Calibri"/>
        <family val="2"/>
        <charset val="238"/>
      </rPr>
      <t>BGN 1a, BGN 1b</t>
    </r>
  </si>
  <si>
    <r>
      <rPr>
        <sz val="10"/>
        <rFont val="Calibri"/>
        <family val="2"/>
        <charset val="238"/>
        <scheme val="minor"/>
      </rPr>
      <t>Oznaka u arhitektonskom projektu:</t>
    </r>
    <r>
      <rPr>
        <sz val="11"/>
        <rFont val="Calibri"/>
        <family val="2"/>
        <charset val="238"/>
        <scheme val="minor"/>
      </rPr>
      <t xml:space="preserve">
</t>
    </r>
    <r>
      <rPr>
        <b/>
        <sz val="11"/>
        <rFont val="Calibri"/>
        <family val="2"/>
        <charset val="238"/>
        <scheme val="minor"/>
      </rPr>
      <t>BGO 1a, BGO 1b</t>
    </r>
  </si>
  <si>
    <r>
      <rPr>
        <sz val="10"/>
        <rFont val="Calibri"/>
        <family val="2"/>
        <charset val="238"/>
        <scheme val="minor"/>
      </rPr>
      <t>Oznaka u arhitektonskom projektu:</t>
    </r>
    <r>
      <rPr>
        <b/>
        <sz val="10"/>
        <rFont val="Calibri"/>
        <family val="2"/>
        <charset val="238"/>
        <scheme val="minor"/>
      </rPr>
      <t xml:space="preserve"> </t>
    </r>
    <r>
      <rPr>
        <b/>
        <sz val="11"/>
        <rFont val="Calibri"/>
        <family val="2"/>
        <charset val="238"/>
        <scheme val="minor"/>
      </rPr>
      <t>KOO 1</t>
    </r>
  </si>
  <si>
    <r>
      <rPr>
        <sz val="10"/>
        <rFont val="Calibri"/>
        <family val="2"/>
        <charset val="238"/>
        <scheme val="minor"/>
      </rPr>
      <t>Oznaka u arhitektonskom projektu:</t>
    </r>
    <r>
      <rPr>
        <b/>
        <sz val="10"/>
        <rFont val="Calibri"/>
        <family val="2"/>
        <charset val="238"/>
        <scheme val="minor"/>
      </rPr>
      <t xml:space="preserve"> </t>
    </r>
    <r>
      <rPr>
        <b/>
        <sz val="11"/>
        <rFont val="Calibri"/>
        <family val="2"/>
        <charset val="238"/>
        <scheme val="minor"/>
      </rPr>
      <t>KOG 1</t>
    </r>
  </si>
  <si>
    <t>Pločice sukladno:
EN HRN 14411 
(ili jednakovrijedno ____________________________)
HRN EN ISO 10545-12 
(ili jednakovrijedno_____________________________)
HRN EN ISO 10545-3
ili jednakovrijedno _____________________________)</t>
  </si>
  <si>
    <t>površina pločice: max 0,09 m2
• Maksimalno dopušteno površinsko opterećenje na
podlogu (ukupna težina armaturnog sloja, ljepila za pločice i obloge) ne smije prelaziti 35 kg/m 2.
• radijus i volumen pora: preporuka je da leđna strana pločice bude hrapava (promjer pora manji
od 0,20 μm, a volumen pora manji od 20 mm 3 /g)</t>
  </si>
  <si>
    <r>
      <t xml:space="preserve">Završna obloga: </t>
    </r>
    <r>
      <rPr>
        <b/>
        <sz val="10"/>
        <rFont val="Calibri"/>
        <family val="2"/>
        <charset val="238"/>
      </rPr>
      <t xml:space="preserve">KERAMIČKE PLOČICE
</t>
    </r>
    <r>
      <rPr>
        <sz val="10"/>
        <rFont val="Calibri"/>
        <family val="2"/>
        <charset val="238"/>
        <scheme val="minor"/>
      </rPr>
      <t>d = 1,50 cm</t>
    </r>
  </si>
  <si>
    <t>VANJSKI ZID UZ TLO - SOKL</t>
  </si>
  <si>
    <t>PROLAZ KROZ OBJEKT</t>
  </si>
  <si>
    <t xml:space="preserve">2. </t>
  </si>
  <si>
    <t>SOKL KOG 1</t>
  </si>
  <si>
    <t xml:space="preserve">kaširani lim (postavljen uz zid) </t>
  </si>
  <si>
    <t>VANJSKI ZID - KERAMIKA</t>
  </si>
  <si>
    <t>VANJSKI ZID - ŽBUKA</t>
  </si>
  <si>
    <t>Troškovi ispitivanja bravarije uključeni u cijenu stavke troškovnika. Ukoliko pojedinom stavkom nije drugačije propisano, ugradba će se izvesti upucavanjem na dozvoljenom broju mjesta, te će se smatrati da je sav materijal i rad za ovakav način ugradbe uračunat u jediničnu cijenu. 
Okov, kvake i brave odobrava projektant.</t>
  </si>
  <si>
    <t>Za čitavo vrijeme izrade i montaže konstrukcije izvoditelj mora uredno voditi zakonski propisane dnevnike. 
Izvoditelj na skicama mora imati ucrtano:
- brojeve certifikata osnovnog i spojnog materijala iz kojeg je izrađena svaka pojedina pozicija
- označene zavare sa brojem atesta elektrode i oznakom zavarivača koji je zavarivao.</t>
  </si>
  <si>
    <t>Prije izrade bravarskih stavki sve mjere ugradbe i broj komada obavezno je kontrolirati na objektu te na temelju toga izraditi radioničke nacrte.</t>
  </si>
  <si>
    <t xml:space="preserve">Izrada bravarije može početi tek kad projektant objekta potpiše radioničke nacrte. </t>
  </si>
  <si>
    <t>Svi detalji vatrootpornih vrata ili stijena prema odabranom proizvođaču.</t>
  </si>
  <si>
    <t xml:space="preserve">Svi čelici za konstrukciju su toplovaljani prema 
HRN EN 10025 
(ili jednakovrijedno ____________________________)
HRN EN 10210-1 
(ili jednakovrijedno ____________________________)                                   </t>
  </si>
  <si>
    <t>Stavke vanjske i unutarnje bravarije u sistemima aluminijskih profila s ili bez prekida toplinskog mosta. 
Svi primijenjeni sistemi za vanjsku ugradnju sukladno: "Tehnički propis o racionalnoj uporabi energije i toplinskoj zaštiti u zgradama" (NN 128/15, 70/18, 73/18, 86/18 i 102/20).</t>
  </si>
  <si>
    <t>Vrata su podijeljena po vertikali u oba krila na 8 jednakih dijelova (ostakljeno).</t>
  </si>
  <si>
    <r>
      <t>Dovratnik: aluminijski, sveobuhvatni, bojani</t>
    </r>
    <r>
      <rPr>
        <b/>
        <sz val="10"/>
        <rFont val="Calibri"/>
        <family val="2"/>
        <charset val="238"/>
      </rPr>
      <t xml:space="preserve"> RAL 7016
</t>
    </r>
    <r>
      <rPr>
        <sz val="10"/>
        <rFont val="Calibri"/>
        <family val="2"/>
        <charset val="238"/>
      </rPr>
      <t xml:space="preserve">Okvir krila kod kvake - aluminijski, bojani, </t>
    </r>
    <r>
      <rPr>
        <b/>
        <sz val="10"/>
        <rFont val="Calibri"/>
        <family val="2"/>
        <charset val="238"/>
      </rPr>
      <t>RAL 3003</t>
    </r>
    <r>
      <rPr>
        <sz val="10"/>
        <color theme="1"/>
        <rFont val="Calibri"/>
        <family val="2"/>
        <charset val="238"/>
        <scheme val="minor"/>
      </rPr>
      <t xml:space="preserve">
Krilo: djelomično ostakljeno sukladno arhitektonskom nacrtu - sigurnosno, laminirano staklo VSG. ESG-H 4.4.2.
dim. 210 x 220 cm</t>
    </r>
  </si>
  <si>
    <t>Karakteristike sistema:
- otvaranje sa skrivenim okovom 100º-180º
- 3D podešavanje panta 
- moguća debljina stakla do 50 mm
- debljina stijenke profila  &gt; 2,00 mm
- mogućnost zaštita od buke &gt; 35 db, (uz odg. staklo)
- topl. izolacija : Uf &lt; 2,0 W/m2K
- mogućnost motornog pogona i automatskog upravljanja, skrivenog okova
- Ugradnja sistemskog antipanik i evakuacijskog okova prema normi: HRN EN 1125, funkcija "B"
(ili jednakovrijedno __________________________).</t>
  </si>
  <si>
    <r>
      <t xml:space="preserve">Shema </t>
    </r>
    <r>
      <rPr>
        <b/>
        <sz val="10"/>
        <color theme="1"/>
        <rFont val="Calibri"/>
        <family val="2"/>
        <charset val="238"/>
        <scheme val="minor"/>
      </rPr>
      <t>AL_1,01</t>
    </r>
    <r>
      <rPr>
        <sz val="10"/>
        <color theme="1"/>
        <rFont val="Calibri"/>
        <family val="2"/>
        <charset val="238"/>
        <scheme val="minor"/>
      </rPr>
      <t xml:space="preserve">
</t>
    </r>
    <r>
      <rPr>
        <b/>
        <sz val="10"/>
        <color theme="1"/>
        <rFont val="Calibri"/>
        <family val="2"/>
        <charset val="238"/>
        <scheme val="minor"/>
      </rPr>
      <t>Dvokrilna zaokretna evakuacijska vrata</t>
    </r>
  </si>
  <si>
    <t>PANIK OKOV</t>
  </si>
  <si>
    <r>
      <rPr>
        <sz val="10"/>
        <color indexed="8"/>
        <rFont val="Calibri"/>
        <family val="2"/>
        <charset val="238"/>
      </rPr>
      <t xml:space="preserve">dimenzija stavke:  </t>
    </r>
    <r>
      <rPr>
        <sz val="10"/>
        <color theme="1"/>
        <rFont val="Calibri"/>
        <family val="2"/>
        <charset val="238"/>
        <scheme val="minor"/>
      </rPr>
      <t>110 x 220 cm</t>
    </r>
  </si>
  <si>
    <t>Eloksirajući postupci na bazi elektro-kemijskog oplemenjivanja prema DIN 17611 
(ili jednakovrijedno____________________) E6/C0</t>
  </si>
  <si>
    <r>
      <rPr>
        <b/>
        <sz val="10"/>
        <color theme="1"/>
        <rFont val="Calibri"/>
        <family val="2"/>
        <charset val="238"/>
        <scheme val="minor"/>
      </rPr>
      <t>OPREMA</t>
    </r>
    <r>
      <rPr>
        <sz val="10"/>
        <color theme="1"/>
        <rFont val="Calibri"/>
        <family val="2"/>
        <charset val="238"/>
        <scheme val="minor"/>
      </rPr>
      <t xml:space="preserve">
- Rukohvat je inox cijev Ø50mm izvana, vijcima  pričvrćena za okvir; iznutra panik letva. 
- Brava cilindar, električna, povezana sa parlafonom
- Odbojnik u podu, hidraulični zatvarač vrata. 
- Elektromotorno otvaranje povezano s VDC-om. 
- Zaustavljači vrata u otvorenom položaju
- Broj ključeva - dva po svakom stanu</t>
    </r>
  </si>
  <si>
    <t>Napomena: Elektro dio je posebno obrađen u projektu elektroinstalacija.</t>
  </si>
  <si>
    <r>
      <t>Prilikom izrade projekta montaže Izvođač se treba pridržavati osnovnih načela za montažu čeličnih konstrukcija, te</t>
    </r>
    <r>
      <rPr>
        <b/>
        <sz val="10"/>
        <rFont val="Calibri"/>
        <family val="2"/>
        <charset val="238"/>
        <scheme val="minor"/>
      </rPr>
      <t xml:space="preserve"> osigurati stabilnost konstrukcije u svakoj fazi montaže </t>
    </r>
    <r>
      <rPr>
        <sz val="10"/>
        <rFont val="Calibri"/>
        <family val="2"/>
        <charset val="238"/>
        <scheme val="minor"/>
      </rPr>
      <t>pojedinog dijela konstrukcije.</t>
    </r>
  </si>
  <si>
    <t>Za radioničke i za montažne radove Izvoditelj prethodno mora predložiti nadzornom inženjeru detaljni tehnološki postupak radova, te sve suglasnosti i potvrde. Tehnološki postupak montažnih radova spada u sastav tehničke dokumentacije za prijem čelične konstrukcije.</t>
  </si>
  <si>
    <t>Izvoditelj montažerskih radova vrši radove po potvrđenom tehnološkom postupku koji mora obuhvatiti jasno razrađene detalje kao: obrada montažnih spojeva, pomoćnih priprema i alata, načina sastava, postupak zavarivanja, postupak dizanja i namještanja čeličnih konstrukcija u pravilan položaj, te sve ostale detalje koji utječu na pravilno, sigurno i kvalitetno izvođenje montažerskih radova.</t>
  </si>
  <si>
    <r>
      <rPr>
        <sz val="10"/>
        <color indexed="8"/>
        <rFont val="Calibri"/>
        <family val="2"/>
        <charset val="238"/>
      </rPr>
      <t xml:space="preserve">dimenzija stavke: </t>
    </r>
    <r>
      <rPr>
        <sz val="10"/>
        <color theme="1"/>
        <rFont val="Calibri"/>
        <family val="2"/>
        <charset val="238"/>
        <scheme val="minor"/>
      </rPr>
      <t>110 x 220 cm</t>
    </r>
  </si>
  <si>
    <r>
      <rPr>
        <b/>
        <sz val="10"/>
        <rFont val="Calibri"/>
        <family val="2"/>
        <charset val="238"/>
        <scheme val="minor"/>
      </rPr>
      <t xml:space="preserve">Jednokrilna, zaokretna, protuprovalna, vatrootporna vrata </t>
    </r>
    <r>
      <rPr>
        <sz val="10"/>
        <rFont val="Calibri"/>
        <family val="2"/>
        <charset val="238"/>
        <scheme val="minor"/>
      </rPr>
      <t xml:space="preserve">
Vatrootpornost:</t>
    </r>
    <r>
      <rPr>
        <b/>
        <sz val="10"/>
        <rFont val="Calibri"/>
        <family val="2"/>
        <charset val="238"/>
      </rPr>
      <t xml:space="preserve"> EI₂ 30-C.
</t>
    </r>
    <r>
      <rPr>
        <sz val="10"/>
        <rFont val="Calibri"/>
        <family val="2"/>
        <charset val="238"/>
      </rPr>
      <t>Koeficijent prolaska topline: 1,80 W/m2K
Otpor prolaza zvuka: Rw &gt; 35dB
Oprema: 
- zurilo
- kvaka s kompletom rozeta - češljani inox
- zaštita za panel (češljani inox, visine 100mm)
- oznaka broja stana (češljani inox, visina 90mm, font: Kristen ITC)
- oznaka vlasnika stana (10 cm iznad zurila, pločica dim. 5x15x1 cm sukladno shemi, dio s prezimenom izmjenjiv)</t>
    </r>
    <r>
      <rPr>
        <sz val="10"/>
        <rFont val="Calibri"/>
        <family val="2"/>
        <charset val="238"/>
        <scheme val="minor"/>
      </rPr>
      <t xml:space="preserve">
Dovratnik: sveobuhvatni, bojani RAL 7016
Krilo: puno, zaokretno, čelično sa MDF drvenom oblogom, svijetli hrast</t>
    </r>
  </si>
  <si>
    <t xml:space="preserve">SOKL </t>
  </si>
  <si>
    <t>VANJSKA KLUPICA OTVORA</t>
  </si>
  <si>
    <t>UNUTARNJA KLUPICA OTVORA</t>
  </si>
  <si>
    <t>UNUTARNJE KLUPICE OTVORA</t>
  </si>
  <si>
    <t>VANJSKE KLUPICE OTVORA</t>
  </si>
  <si>
    <t>unutarnja PVC klupica, vanjskla AL klupica</t>
  </si>
  <si>
    <t>Sukladno normama: 
HRN EN 14342 Drveni podni elementi
(ili jednakovrijedno __________________________)
HRN EN 13489 Drveni podovi
(ili jednakovrijedno __________________________)</t>
  </si>
  <si>
    <t>Najviše 3 % daščica u ukupnoj količini može odstupati od deklariranog razreda razvrstavanja. 
Minimalna dim. dužice 90 x 600 mm. 
Završni sloj (hrast) min. debljine 4mm. Sve se polaže na podlogu od a.b. estriha, koja mora biti kompaktna, čvrsta, čista, ravna i suha (maksimalna vlažnost 2%).  Ljepilo atestirano za postavu parketa na cementnu podlogu (dvokomponentno PU ljepilo). Poliranjem dodatno zaštititi parket te ujednačiti razlike u sjaju. završna obrada tvornički UV uljem. Uz zidove se ostavlja dilataciona razdjelnica širine 1 - 1,50cm. 
Sistem polaganja: riblja kost</t>
  </si>
  <si>
    <t>OBLAGANJE PODA I ZIDA STANA</t>
  </si>
  <si>
    <r>
      <t>Sukladno HRN EN 520 
(ili jednakovrijedno ___________________________)
Za suhe prostore: upotrebljavaju se standardne gips kartonske ploče oznake '</t>
    </r>
    <r>
      <rPr>
        <b/>
        <sz val="10"/>
        <color indexed="8"/>
        <rFont val="Calibri"/>
        <family val="2"/>
        <charset val="238"/>
      </rPr>
      <t>A</t>
    </r>
    <r>
      <rPr>
        <sz val="10"/>
        <color theme="1"/>
        <rFont val="Calibri"/>
        <family val="2"/>
        <charset val="238"/>
        <scheme val="minor"/>
      </rPr>
      <t>'.
Za vlažne prostore - mali % vlage: upotrebljavaju se impregnirane ploče oznakom '</t>
    </r>
    <r>
      <rPr>
        <b/>
        <sz val="10"/>
        <color indexed="8"/>
        <rFont val="Calibri"/>
        <family val="2"/>
        <charset val="238"/>
      </rPr>
      <t>H2</t>
    </r>
    <r>
      <rPr>
        <sz val="10"/>
        <color theme="1"/>
        <rFont val="Calibri"/>
        <family val="2"/>
        <charset val="238"/>
        <scheme val="minor"/>
      </rPr>
      <t xml:space="preserve">' ili </t>
    </r>
    <r>
      <rPr>
        <b/>
        <sz val="10"/>
        <color indexed="8"/>
        <rFont val="Calibri"/>
        <family val="2"/>
        <charset val="238"/>
      </rPr>
      <t xml:space="preserve">DFH 2IR.
</t>
    </r>
    <r>
      <rPr>
        <sz val="10"/>
        <color indexed="8"/>
        <rFont val="Calibri"/>
        <family val="2"/>
        <charset val="238"/>
      </rPr>
      <t xml:space="preserve">Za prostore s protupožarnim zahtjevima većim od EI60: upotrebljavaju se gips kartonske ploče s oznakom </t>
    </r>
    <r>
      <rPr>
        <b/>
        <sz val="10"/>
        <color indexed="8"/>
        <rFont val="Calibri"/>
        <family val="2"/>
        <charset val="238"/>
      </rPr>
      <t xml:space="preserve">'DF' 
</t>
    </r>
  </si>
  <si>
    <t>Gips-kartonske ploče tipa A / H2 (mokri čvorovi)
dim. 2000 x 1250 x 12,5 mm (+/- 5%)</t>
  </si>
  <si>
    <t>* Napomena: kod protupožarnih sklopki na prijelazu između podruma i prizemlja - prijelaza iz jednog u drugi požarni sektor, zaštiti šahtu betonom</t>
  </si>
  <si>
    <t>duk = 7,50cm (2,5+5)
h= 268cm</t>
  </si>
  <si>
    <r>
      <t>gres keramička pločica (retificirana)</t>
    </r>
    <r>
      <rPr>
        <b/>
        <sz val="10"/>
        <rFont val="Calibri"/>
        <family val="2"/>
        <charset val="238"/>
      </rPr>
      <t xml:space="preserve">
ton pločice: bijela </t>
    </r>
    <r>
      <rPr>
        <sz val="10"/>
        <rFont val="Calibri"/>
        <family val="2"/>
        <charset val="238"/>
      </rPr>
      <t xml:space="preserve">
ton fuge: svijetlo siva
dimenzija pločice: 30X30cm
holker uz rub balkona - istovjetne pločice
poklopnica balkona - istovjetna pločica
Protukliznost: R11</t>
    </r>
  </si>
  <si>
    <t>OZNAKA ULAZA</t>
  </si>
  <si>
    <t>dimenzije pločice: 30x60cm</t>
  </si>
  <si>
    <t>U cijenu obuhvatiti montažu i demontažu fasadne skele, postavljanje zaštitne mreže – skelskog platna, radi  zaštite od naglog sušenja. Utvrđivanje stanja ispravnosti i priprema podloge, prema smjernicama za izradu ETICS sustava HUPFAS-a (ili jednakovrijedno __________________________).</t>
  </si>
  <si>
    <t>Zaštitni kutni profili postavljaju se na sve uglove objekta u prethodno naneseni sloj ljepila. Koristiti profil sa ugrađenom tekstilno staklenom mrežicom. Na nadvojima otvora i strehama koristiti profil s okapom. Pričvršćivanje izvesti nehrđajućim vijcima na razmaku svakih 40 do 60 cm.</t>
  </si>
  <si>
    <t>Pored ovih profila potrebno je koristiti profile za različite namjene: za izvedbu dilatacija na ravnim površinama ili u uglovima, završni profili za prozore itd. koji se koriste za kvalitetnije i urednije fasaderske radove. Vrsta profila prema preporuci proizvođača.</t>
  </si>
  <si>
    <t>h= 100cm, font: Kirsten ITC. Obračun po oznaci.</t>
  </si>
  <si>
    <r>
      <rPr>
        <b/>
        <sz val="10"/>
        <color theme="1"/>
        <rFont val="Calibri"/>
        <family val="2"/>
        <charset val="238"/>
        <scheme val="minor"/>
      </rPr>
      <t>Zid rezervnog izlaza iz skloništa</t>
    </r>
    <r>
      <rPr>
        <sz val="10"/>
        <color theme="1"/>
        <rFont val="Calibri"/>
        <family val="2"/>
        <charset val="238"/>
        <scheme val="minor"/>
      </rPr>
      <t xml:space="preserve"> (bez termoizolacije) - RAL 7016</t>
    </r>
  </si>
  <si>
    <r>
      <rPr>
        <b/>
        <sz val="10"/>
        <color theme="1"/>
        <rFont val="Calibri"/>
        <family val="2"/>
        <charset val="238"/>
        <scheme val="minor"/>
      </rPr>
      <t xml:space="preserve">ULAZNI PROSTOR </t>
    </r>
    <r>
      <rPr>
        <sz val="10"/>
        <color theme="1"/>
        <rFont val="Calibri"/>
        <family val="2"/>
        <charset val="238"/>
        <scheme val="minor"/>
      </rPr>
      <t>(zidovi natkrivenog dijela i strop)
ulaz A - RAL 3003
ulaz B - RAL 6017
ulaz C - RAL 1003
ulaz D - RAL 5024</t>
    </r>
  </si>
  <si>
    <t>PODLOGA: ŽBUKA NA BETONU</t>
  </si>
  <si>
    <t>PODLOGA: GKP</t>
  </si>
  <si>
    <t>Rad na sadnji obuhvaća slijedeće:
a) Iskop rupa za sadnice
b) Priprema - mješanje smjese za popunu rupa za sadnice. 
Sastav smjese: 
- zemlja I kategorije; 1m3
- stajski gnoj 25 kg
- umjetni gnoj N:P:K = 15:15:15; 1 kg
- humus (3 vreće) - 150l
c) Sadnja sadnice u pripremljenu smjesu
- sadnju s nabijanjem smjese oko sadnice
- ukolčenje sadnice
- zalijevanje sadnice
- postavljanje ukrasnog sloja oko sadnice
- čišćenje okoliša</t>
  </si>
  <si>
    <t>Lipa (Tilia)</t>
  </si>
  <si>
    <t>šumarica (lat. Anemone)</t>
  </si>
  <si>
    <t>paprat (lat. Polypodiopsida)</t>
  </si>
  <si>
    <t>Glog (lat. Crataegus)</t>
  </si>
  <si>
    <t>Suručica (lat. Spiraea)</t>
  </si>
  <si>
    <t>hortenzija (lat. Hydrangea)</t>
  </si>
  <si>
    <r>
      <t xml:space="preserve">Shema </t>
    </r>
    <r>
      <rPr>
        <b/>
        <sz val="10"/>
        <color theme="1"/>
        <rFont val="Calibri"/>
        <family val="2"/>
        <charset val="238"/>
        <scheme val="minor"/>
      </rPr>
      <t>BR_4,03</t>
    </r>
    <r>
      <rPr>
        <sz val="10"/>
        <color theme="1"/>
        <rFont val="Calibri"/>
        <family val="2"/>
        <charset val="238"/>
        <scheme val="minor"/>
      </rPr>
      <t xml:space="preserve"> (dim. 180x70cm), demontažna</t>
    </r>
  </si>
  <si>
    <r>
      <t xml:space="preserve">Shema </t>
    </r>
    <r>
      <rPr>
        <b/>
        <sz val="10"/>
        <color theme="1"/>
        <rFont val="Calibri"/>
        <family val="2"/>
        <charset val="238"/>
        <scheme val="minor"/>
      </rPr>
      <t>BR_4,04</t>
    </r>
    <r>
      <rPr>
        <sz val="10"/>
        <color theme="1"/>
        <rFont val="Calibri"/>
        <family val="2"/>
        <charset val="238"/>
        <scheme val="minor"/>
      </rPr>
      <t xml:space="preserve"> (dim. 210x70cm), demontažna</t>
    </r>
  </si>
  <si>
    <t>Lovor Višnja (lat. Prunus laucerasus)</t>
  </si>
  <si>
    <t>japanska trešnja</t>
  </si>
  <si>
    <t>BITUMENSKA HIDROIZOLACIJA TEMELJA I UKOPANIH ZIDOVA - V-4 x2</t>
  </si>
  <si>
    <r>
      <t xml:space="preserve">Shema </t>
    </r>
    <r>
      <rPr>
        <b/>
        <sz val="10"/>
        <color theme="1"/>
        <rFont val="Calibri"/>
        <family val="2"/>
        <charset val="238"/>
        <scheme val="minor"/>
      </rPr>
      <t>BR_4,02</t>
    </r>
    <r>
      <rPr>
        <sz val="10"/>
        <color theme="1"/>
        <rFont val="Calibri"/>
        <family val="2"/>
        <charset val="238"/>
        <scheme val="minor"/>
      </rPr>
      <t xml:space="preserve"> (dim. 60x60cm, parapet 175cm)
- demontažna - prostor skloništa</t>
    </r>
  </si>
  <si>
    <t>GRANIČNIK PARKIRALIŠNOG MJESTA</t>
  </si>
  <si>
    <t xml:space="preserve">Gumeni razdijelnik - parkirni graničnici. Stoper za auto omogućava zaustavljanje automobila prije kontakta sa fasdaom. Graničnik se sidri sa sidrenim vijkom u podlogu prema uputama proizvođača.
Obračun po komadu ugrađenog graničnika. </t>
  </si>
  <si>
    <t>dim. 1500 x 150 x 100mm (+/- 10%)</t>
  </si>
  <si>
    <t>dim. 750 x 150 x 100mm (+/- 10%)</t>
  </si>
  <si>
    <t>Napomena: Izvođač je dužan izraditi izvedbeni projekt</t>
  </si>
  <si>
    <t>dimenzija vrata 210 (105x105) x 240cm</t>
  </si>
  <si>
    <r>
      <t xml:space="preserve">Shema </t>
    </r>
    <r>
      <rPr>
        <b/>
        <sz val="10"/>
        <color theme="1"/>
        <rFont val="Calibri"/>
        <family val="2"/>
        <charset val="238"/>
        <scheme val="minor"/>
      </rPr>
      <t xml:space="preserve">PVC_2,01
Kombinirana staklena stijena prozora
</t>
    </r>
    <r>
      <rPr>
        <sz val="10"/>
        <color theme="1"/>
        <rFont val="Calibri"/>
        <family val="2"/>
        <charset val="238"/>
        <scheme val="minor"/>
      </rPr>
      <t>dim 90 x190; parapet 50cm</t>
    </r>
  </si>
  <si>
    <r>
      <t xml:space="preserve">Shema </t>
    </r>
    <r>
      <rPr>
        <b/>
        <sz val="10"/>
        <color theme="1"/>
        <rFont val="Calibri"/>
        <family val="2"/>
        <charset val="238"/>
        <scheme val="minor"/>
      </rPr>
      <t xml:space="preserve">PVC_2,02
Jednkrilni, zaokretni, otklopni prozor
</t>
    </r>
    <r>
      <rPr>
        <sz val="10"/>
        <color theme="1"/>
        <rFont val="Calibri"/>
        <family val="2"/>
        <charset val="238"/>
        <scheme val="minor"/>
      </rPr>
      <t>dim 90 x120+20; parapet 100cm</t>
    </r>
  </si>
  <si>
    <r>
      <t xml:space="preserve">Shema </t>
    </r>
    <r>
      <rPr>
        <b/>
        <sz val="10"/>
        <color theme="1"/>
        <rFont val="Calibri"/>
        <family val="2"/>
        <charset val="238"/>
        <scheme val="minor"/>
      </rPr>
      <t xml:space="preserve">PVC_2,03
Dvokrilni zaokretni prozor (jedno krilo otklopno)
</t>
    </r>
    <r>
      <rPr>
        <sz val="10"/>
        <color theme="1"/>
        <rFont val="Calibri"/>
        <family val="2"/>
        <charset val="238"/>
        <scheme val="minor"/>
      </rPr>
      <t>dim 160 x120+20; parapet 100cm</t>
    </r>
  </si>
  <si>
    <r>
      <t xml:space="preserve">Shema </t>
    </r>
    <r>
      <rPr>
        <b/>
        <sz val="10"/>
        <color theme="1"/>
        <rFont val="Calibri"/>
        <family val="2"/>
        <charset val="238"/>
        <scheme val="minor"/>
      </rPr>
      <t xml:space="preserve">PVC_2,04
Dvokrilni zaokretni prozor (jedno krilo otklopno)
</t>
    </r>
    <r>
      <rPr>
        <sz val="10"/>
        <color theme="1"/>
        <rFont val="Calibri"/>
        <family val="2"/>
        <charset val="238"/>
        <scheme val="minor"/>
      </rPr>
      <t>dim 200 x120+20; parapet 100cm</t>
    </r>
  </si>
  <si>
    <r>
      <t xml:space="preserve">Shema </t>
    </r>
    <r>
      <rPr>
        <b/>
        <sz val="10"/>
        <color theme="1"/>
        <rFont val="Calibri"/>
        <family val="2"/>
        <charset val="238"/>
        <scheme val="minor"/>
      </rPr>
      <t xml:space="preserve">PVC_1,03
Dvokrilna, zaokretna balkonska vrata
</t>
    </r>
    <r>
      <rPr>
        <sz val="10"/>
        <color theme="1"/>
        <rFont val="Calibri"/>
        <family val="2"/>
        <charset val="238"/>
        <scheme val="minor"/>
      </rPr>
      <t>Jedno krilo otklopno - zaokretno</t>
    </r>
    <r>
      <rPr>
        <b/>
        <sz val="10"/>
        <color theme="1"/>
        <rFont val="Calibri"/>
        <family val="2"/>
        <charset val="238"/>
        <scheme val="minor"/>
      </rPr>
      <t xml:space="preserve">
</t>
    </r>
    <r>
      <rPr>
        <sz val="10"/>
        <color theme="1"/>
        <rFont val="Calibri"/>
        <family val="2"/>
        <charset val="238"/>
        <scheme val="minor"/>
      </rPr>
      <t>dim 160x240</t>
    </r>
  </si>
  <si>
    <t>VANJSKA ČELIČNA OGRADA - BALKONSKA VRATA</t>
  </si>
  <si>
    <r>
      <t>Shema</t>
    </r>
    <r>
      <rPr>
        <b/>
        <sz val="10"/>
        <color theme="1"/>
        <rFont val="Calibri"/>
        <family val="2"/>
        <charset val="238"/>
        <scheme val="minor"/>
      </rPr>
      <t xml:space="preserve"> PVC_1,03 </t>
    </r>
    <r>
      <rPr>
        <sz val="10"/>
        <color theme="1"/>
        <rFont val="Calibri"/>
        <family val="2"/>
        <charset val="238"/>
        <scheme val="minor"/>
      </rPr>
      <t>- RAL 7016</t>
    </r>
  </si>
  <si>
    <t>Sastoji se od okvira s ispunom. 
Okvir i ispuna: čelični profil 50x20x3mm
Osni razmak: 15,30cm
Okvir je preko čeličnih profila ugrađen u doprozornik.
Svi spojevi vareni, svi varovi fino brušeni, sve vruće pocinčano i bojano (RAL 7016)</t>
  </si>
  <si>
    <t>dimenzija okvira ograde: 155 x 100cm</t>
  </si>
  <si>
    <t>Popis certifikata potrebnih za izvođenje čelične konstrukcije
1. ISO 9001:2008 
(ili jednakovrijedno ___________________________)
2. HRN EN 1090-1 
(ili jednakovrijedno ___________________________)
3.  EN 1090-2 
(ili jednakovrijedno ___________________________)
4. EN ISO 3834-2:2007 
(ili jednakovrijedno ___________________________)</t>
  </si>
  <si>
    <r>
      <rPr>
        <b/>
        <sz val="10"/>
        <color indexed="8"/>
        <rFont val="Calibri"/>
        <family val="2"/>
        <charset val="238"/>
      </rPr>
      <t>CINK</t>
    </r>
    <r>
      <rPr>
        <sz val="10"/>
        <color theme="1"/>
        <rFont val="Calibri"/>
        <family val="2"/>
        <charset val="238"/>
        <scheme val="minor"/>
      </rPr>
      <t xml:space="preserve">
- kvaliteta Zn 97,5 - Zn 99,5
sukladno: HRN EN ISO 14713:2001 
(ili jednakovrijedno __________________________)
- kontrolu prevlake sukladno: HRN C.A1.558 
(ili jednakovrijedno __________________________)
- mase prevlake sukladno HRN C.A6.021 
(ili jednakovrijedno __________________________)</t>
    </r>
  </si>
  <si>
    <r>
      <rPr>
        <sz val="10"/>
        <color theme="1"/>
        <rFont val="Calibri"/>
        <family val="2"/>
        <charset val="238"/>
        <scheme val="minor"/>
      </rPr>
      <t>Shema</t>
    </r>
    <r>
      <rPr>
        <b/>
        <sz val="10"/>
        <color theme="1"/>
        <rFont val="Calibri"/>
        <family val="2"/>
        <charset val="238"/>
        <scheme val="minor"/>
      </rPr>
      <t xml:space="preserve"> AL_3,02
</t>
    </r>
    <r>
      <rPr>
        <sz val="10"/>
        <color theme="1"/>
        <rFont val="Calibri"/>
        <family val="2"/>
        <charset val="238"/>
        <scheme val="minor"/>
      </rPr>
      <t>Jednokrilni, zaokretno otklopni prozor povezan s VDC-om - služi za provjetravanje stubišta</t>
    </r>
    <r>
      <rPr>
        <b/>
        <sz val="10"/>
        <color theme="1"/>
        <rFont val="Calibri"/>
        <family val="2"/>
        <charset val="238"/>
        <scheme val="minor"/>
      </rPr>
      <t xml:space="preserve">
</t>
    </r>
    <r>
      <rPr>
        <sz val="10"/>
        <color theme="1"/>
        <rFont val="Calibri"/>
        <family val="2"/>
        <charset val="238"/>
        <scheme val="minor"/>
      </rPr>
      <t>dim. 100 x 120cm, parapet 130cm</t>
    </r>
  </si>
  <si>
    <r>
      <rPr>
        <sz val="10"/>
        <color theme="1"/>
        <rFont val="Calibri"/>
        <family val="2"/>
        <charset val="238"/>
        <scheme val="minor"/>
      </rPr>
      <t>Shema</t>
    </r>
    <r>
      <rPr>
        <b/>
        <sz val="10"/>
        <color theme="1"/>
        <rFont val="Calibri"/>
        <family val="2"/>
        <charset val="238"/>
        <scheme val="minor"/>
      </rPr>
      <t xml:space="preserve"> AL_3,02
</t>
    </r>
    <r>
      <rPr>
        <sz val="10"/>
        <color theme="1"/>
        <rFont val="Calibri"/>
        <family val="2"/>
        <charset val="238"/>
        <scheme val="minor"/>
      </rPr>
      <t>Jednokrilni, zaokretno otklopni prozor povezan s VDC-om - služi za provjetravanje stubišta</t>
    </r>
    <r>
      <rPr>
        <b/>
        <sz val="10"/>
        <color theme="1"/>
        <rFont val="Calibri"/>
        <family val="2"/>
        <charset val="238"/>
        <scheme val="minor"/>
      </rPr>
      <t xml:space="preserve">
</t>
    </r>
    <r>
      <rPr>
        <sz val="10"/>
        <color theme="1"/>
        <rFont val="Calibri"/>
        <family val="2"/>
        <charset val="238"/>
        <scheme val="minor"/>
      </rPr>
      <t>dim. 100 x 120cm, parapet 170cm</t>
    </r>
  </si>
  <si>
    <r>
      <rPr>
        <sz val="10"/>
        <color indexed="8"/>
        <rFont val="Calibri"/>
        <family val="2"/>
        <charset val="238"/>
      </rPr>
      <t xml:space="preserve">dimenzija stavke: </t>
    </r>
    <r>
      <rPr>
        <sz val="10"/>
        <color theme="1"/>
        <rFont val="Calibri"/>
        <family val="2"/>
        <charset val="238"/>
        <scheme val="minor"/>
      </rPr>
      <t>110 x 210 cm</t>
    </r>
  </si>
  <si>
    <r>
      <rPr>
        <sz val="10"/>
        <color indexed="8"/>
        <rFont val="Calibri"/>
        <family val="2"/>
        <charset val="238"/>
      </rPr>
      <t xml:space="preserve">dim. </t>
    </r>
    <r>
      <rPr>
        <sz val="10"/>
        <color theme="1"/>
        <rFont val="Calibri"/>
        <family val="2"/>
        <charset val="238"/>
        <scheme val="minor"/>
      </rPr>
      <t>110 x 210</t>
    </r>
  </si>
  <si>
    <t>OSTAKLJENJE: TROSTRUKO IZO - STAKLO</t>
  </si>
  <si>
    <t>TRGOVINA</t>
  </si>
  <si>
    <t>KOMBINIRANA STAKLENA STIJENA</t>
  </si>
  <si>
    <t>Kombinirana staklena stijena sastoji se od 4 krila jednakih dimenzija u aluminijskom okviru. Od vidljivog dijela otvora do AB konstrukcije postaviti slijepi okvir termoizoliran mineralnom vunom i zatvoren aluminijskim limom. 
Svako krilo sastoji se iz dva dijela: otklopnog i fiksnog sukladno shemi.</t>
  </si>
  <si>
    <t>dim 410x220cm</t>
  </si>
  <si>
    <t>dim 500x220cm</t>
  </si>
  <si>
    <t>dim 470x220cm</t>
  </si>
  <si>
    <t>dim. 100x15x25</t>
  </si>
  <si>
    <t>STAVKA BR 6,4</t>
  </si>
  <si>
    <t>STAVKA BR 6,5</t>
  </si>
  <si>
    <t>Ograda se nalazi na ogradnom AB zidu uz južnu i zapadnu granicu katastarske čestice.</t>
  </si>
  <si>
    <t>PARKOVNI RUBNJAK</t>
  </si>
  <si>
    <t>dim. 100x10x20</t>
  </si>
  <si>
    <t>TRAVNA REŠETKA</t>
  </si>
  <si>
    <t xml:space="preserve">Prije zbrinjavanja površine potrebno je napraviti stabilan okvir koji će omogućiti bočnu čvrstoću (uključeno u cijenu). Kod parkirnih mjesta osobnih automobila potrebno je izvršiti iskop zelenog sloja u debljini od 30cm. U iskop se postavlja posteljica od kamenog agregata ili krupnijeg šljunka – granulata od 0 - 45mm koja se zbija. Posteljica treba biti pažljivo raspoređena što ravnije u maksimalnom padu od 2% za ocjeđivanje vode. Na tako pripremljenu posteljicu postavlja se drenažna tkanina 400gr na koju se postavlja granulat 0 - 4mm u debljini 6cm koji se zbija. Kod ozelenjavanja površine travom potrebno je napraviti podlogu od zemlje za sadnju trave koja se postavlja u travne rešetke, kako bi nastalo plodno tlo za razvoj korijena trave. 
Kocke spajati poprečno u odnosu na glavni smjer polaganja. Nakon postavljanja čitavu je površinu potrebno učvrstiti zbijanjem. Nakon sipanja zemlje za travu slijedi sijanje sukladno uputama dobavljača sjemena, ili razvlačenje trave u kolutu. Za vizualno razgraničenje pojedinog parkirnog mjesta, koristi se oznaka bijele boje (visine 38mm) koji se umeće u rešetkastu strukturu. </t>
  </si>
  <si>
    <t>Postavljanje travne rešetke na jugozapadu katastarske čestice za pristup i rad vatrogasne tehnike.
Travna rešetka je otporna na udarce, UV stabilna, postojana na toplinu do +60°C, otporna na smrzavanje
Materijal: reciklirani polietilen - HDPE
Struktura: saće sa protukliznim izbočinama 
dim. 50 x 50 x 4cm
Boja: zelena
Udio trave: 80 - 90%
Visina saće: 38 mm +/- 2%
potrošnja: 4kom / m2</t>
  </si>
  <si>
    <t>UNUTARNJA VRATA</t>
  </si>
  <si>
    <t>UNUTARNJA VRATA - ZAJEDNIČKI HODNIK</t>
  </si>
  <si>
    <t>- zrakopropusnost: klasa 2           
- vodonepropusnost: klasa E1200          
- zaštita od buke: &gt; 35 dB (ovisno o staklu)           
- otpornost na udar vjetra: klasa C5/B5       
- mehanička izdržljivost: klasa 5        
- protuprovalnost: WK 2</t>
  </si>
  <si>
    <r>
      <t xml:space="preserve">Shema AL_2,01
</t>
    </r>
    <r>
      <rPr>
        <sz val="10"/>
        <color theme="1"/>
        <rFont val="Calibri"/>
        <family val="2"/>
        <charset val="238"/>
        <scheme val="minor"/>
      </rPr>
      <t>dim. 110 x 220cm</t>
    </r>
  </si>
  <si>
    <r>
      <t xml:space="preserve">Shema AL_2,02
</t>
    </r>
    <r>
      <rPr>
        <sz val="10"/>
        <color theme="1"/>
        <rFont val="Calibri"/>
        <family val="2"/>
        <charset val="238"/>
        <scheme val="minor"/>
      </rPr>
      <t>dim. 110 x 220cm</t>
    </r>
  </si>
  <si>
    <r>
      <rPr>
        <b/>
        <sz val="10"/>
        <color theme="1"/>
        <rFont val="Calibri"/>
        <family val="2"/>
        <charset val="238"/>
        <scheme val="minor"/>
      </rPr>
      <t>Shema AL_2,03</t>
    </r>
    <r>
      <rPr>
        <sz val="10"/>
        <color theme="1"/>
        <rFont val="Calibri"/>
        <family val="2"/>
        <charset val="238"/>
        <scheme val="minor"/>
      </rPr>
      <t xml:space="preserve">
dim. 150(100 + 50) x 220cm</t>
    </r>
  </si>
  <si>
    <t>Smještaj: vrata zajedničkog hodnika prema stubištu</t>
  </si>
  <si>
    <t>Shema AL 4,1</t>
  </si>
  <si>
    <t>Shema AL 4,2</t>
  </si>
  <si>
    <t>Shema AL 4,3</t>
  </si>
  <si>
    <t>Mort za zidanje i žbukanje mora biti klase predviđene stavkom troškovnika. Mort se može pripremati na mjestu ugradnje od tvornički predgotovljenih smjes, ili se iste mogu mješati na gradilištu. Ukoliko se mort i žbuka koriste od predgotovljene smjese, strogo poštivati upute proizvođača.</t>
  </si>
  <si>
    <t>Žbukati se smije tek kada se zidovi osuše i slegne zgrada. Ne smije se žbukati kad postoji opasnost od smrzavanja ili ekstremno visokih temperatura 30° ili više. Zidovi moraju biti čisti prije žbukanja, a fuge udubljene  (1,5 cm od ravnine zida). Prije žbukanja navlažiti zidove, a osobito kod cementnog morta. Ukoliko na zidovima izbija salitra – treba ih četkom očistiti i oprati rastvorom solne kiseline u vodi (omjer 1:10) o trošku izvođača i dodavati sredstvo protiv izbijanja salitre u mort.</t>
  </si>
  <si>
    <r>
      <t>Jedinična cijena uključuje:
• tehnološku razradu svih detalja
• sav rad, uključivo i pomoćni rad te prijenos, alat i strojevi
• mort za zidanje u svemu prema opisu stavke sa potrebnim dodacima (produžni / cementni, marke prema stavkama)</t>
    </r>
    <r>
      <rPr>
        <sz val="10"/>
        <color theme="1"/>
        <rFont val="Calibri"/>
        <family val="2"/>
        <charset val="238"/>
        <scheme val="minor"/>
      </rPr>
      <t xml:space="preserve">
• svi potrebni ankeri / sidra kojima se povezuju pregradni zidovi i nosiva konstrukcija (zidovi, stupovi i stropne ploče)
• montažni nadvoji dimenzija prema stavkama, komplet sa svim radovima
• svu potrebnu radnu skelu, bez obzira na visinu
• transportne troškove materijala
• zaštitu zidova od utjecaja vrućine, hladnoće, atmosferskih nepogoda
• čišćenje prostorija i zidnih površina tokom rada
• odvoz i zbrinjavanje smeća i viškova materijala
• završno čišćenje prije primopredaje radova
• nadoknadu eventualne štete nastale iz nepažnje na svojim ili tuđim radovima
• usklađenje organizacije rada s operativnim planom</t>
    </r>
  </si>
  <si>
    <t xml:space="preserve">Površina estriha se dijeli u polja površine a x b = &lt;25m2. Odnos stranica a:b mora biti manji ili jednak odnosu 1:2,5 , a dužina veće stranice ne smije biti veća od 6m. </t>
  </si>
  <si>
    <r>
      <rPr>
        <b/>
        <sz val="10"/>
        <color indexed="8"/>
        <rFont val="Calibri"/>
        <family val="2"/>
        <charset val="238"/>
      </rPr>
      <t>BNN 2                                                                                           (</t>
    </r>
    <r>
      <rPr>
        <sz val="10"/>
        <color theme="1"/>
        <rFont val="Calibri"/>
        <family val="2"/>
        <charset val="238"/>
        <scheme val="minor"/>
      </rPr>
      <t>AB ESTRIH (d= 3,50cm)</t>
    </r>
  </si>
  <si>
    <r>
      <rPr>
        <b/>
        <sz val="10"/>
        <color indexed="8"/>
        <rFont val="Calibri"/>
        <family val="2"/>
        <charset val="238"/>
      </rPr>
      <t xml:space="preserve">BNN 3                                                                                                  </t>
    </r>
    <r>
      <rPr>
        <sz val="10"/>
        <color theme="1"/>
        <rFont val="Calibri"/>
        <family val="2"/>
        <charset val="238"/>
        <scheme val="minor"/>
      </rPr>
      <t>(AB ESTRIH d= 4cm - 7cm)</t>
    </r>
  </si>
  <si>
    <t>AB ESATIH ( d = 10cm) - RAMPA, KANELIRANI ESTRIH</t>
  </si>
  <si>
    <t>KANELIRANI ESTRIH NA RAMPI</t>
  </si>
  <si>
    <t xml:space="preserve">Estrih se u pravilu zaglađuje strojno. </t>
  </si>
  <si>
    <t>Ugradnja gotove mješavine kvarcnog posipa, za ojačanje industrijskog poda na svježu, tek lagano prohodnu betonsku površinu ravnomjernim posipavanjem i strojnom ugradnjom.  Na rampi se nakon zaglađivanja izvode kanelure.
Otpornost na habanje ≤ 9 cm³/ 50 cm²
sukladno EN 13813 (A6) 
(ili jednakovrijedno ___________________________) . 
Potrošnja: cca 5 kg/m². Njegovanje i impregniranje zaglađene površine sa akrilnom emulzijom na bazi otapala, prskanjem ili valjkom radi zaštite od preranog i brzog sušenja odmah po mehaničkoj obradi betona (prohodnost). Strojno rezanje dilatacionih reški u predviđenom rasteru (max 5m x 5m, odnosno dijagonalne ne veće od 9mm) u debljini 1/3 debljine sloja. Oko slivnika i stupova treba napraviti kvadratni (ili poligonalni) izrez, kako bi se spriječilo širenje pukotina od naprezanja u uglavima elemenata prodora kroz estrih. Zapunjavanje dilatacionih reški sa poliuretanskim trajnoelastičnim brtvilom, uz prethodno premazivanje sa temeljnim epoksi-poliuretanskim premazom na bazi otapala. Stavka uključuje ugradnju podnih čel. valjanih vruče cinčanih "L" profila, debljine 5mm, dimenzije prema debljini poda po vidljivom rubu, vratima, završetku i dilataciji. Obračun po m2 obrađene površine.</t>
  </si>
  <si>
    <t>Primjenjuju se slijedeći propisi:
- Tehnički propis za dimnjake u građevinama (NN 03/07)
- HRN EN 1443:2003 Dimnjaci – Opći zahtjevi (EN 1443:2003)
- HRN DIN 18160-1:2003 Dimnjaci – 1. dio: Projektiranje i izvedba (DIN 18160-1:2001) 
- HRN EN 13063-1:2008 Dimnjaci – Sustavi dimnjaka s glinenim/keramičkim dimovodnim cijevima – 1. dio: Zahtjevi i ispitne metode za otpornost na požar čađe (EN 13063-1:2005+A1:2007)
- HRN EN 13063-2:2008 Dimnjaci – Sustavi dimnjaka s glinenim/keramičkim dimovodnim cijevima – 2. dio: Zahtjevi i ispitne metode u vlažnim uvjetima (EN 13063-2:2005+A1:2007)
- HRN EN 13063-3:2008 Dimnjaci -- Sustavi dimnjaka s glinenim/keramičkim dimovodnim cijevima -- 3. dio: Zahtjevi i ispitne metode za dimovodno dozračne sustave (EN 13063-3:2007)</t>
  </si>
  <si>
    <r>
      <rPr>
        <b/>
        <sz val="10"/>
        <color theme="1"/>
        <rFont val="Arial"/>
        <family val="2"/>
        <charset val="238"/>
      </rPr>
      <t>Napomene:</t>
    </r>
    <r>
      <rPr>
        <sz val="10"/>
        <color theme="1"/>
        <rFont val="Arial"/>
        <family val="2"/>
        <charset val="238"/>
      </rPr>
      <t xml:space="preserve">
1. Preporuka je da se prije ugradnje napravi detaljna izmjera na objektu te da se pozove predstavnika proizvođača.
2. Preporuka je da se dimnjak izvodi od strane ovlaštenog izvođača od strane proizvođača.
3. Visine priključaka predvidjeti prema nacrtu u sklopu strojarskog projekta - termotehničke instalacije i u dogovoru s izvođačem termotehničkih instalacija odnosno odabranih modela ložišta.</t>
    </r>
  </si>
  <si>
    <r>
      <rPr>
        <b/>
        <sz val="10"/>
        <color theme="1"/>
        <rFont val="Arial"/>
        <family val="2"/>
        <charset val="238"/>
      </rPr>
      <t>Namjena:</t>
    </r>
    <r>
      <rPr>
        <sz val="10"/>
        <color theme="1"/>
        <rFont val="Arial"/>
        <family val="2"/>
        <charset val="238"/>
      </rPr>
      <t xml:space="preserve"> ložište na plinsko gorivo</t>
    </r>
  </si>
  <si>
    <r>
      <rPr>
        <b/>
        <sz val="10"/>
        <color theme="1"/>
        <rFont val="Arial"/>
        <family val="2"/>
        <charset val="238"/>
      </rPr>
      <t>Dimenzije:</t>
    </r>
    <r>
      <rPr>
        <sz val="10"/>
        <color theme="1"/>
        <rFont val="Arial"/>
        <family val="2"/>
        <charset val="238"/>
      </rPr>
      <t xml:space="preserve"> dimovodni otvor Φ12cm, koncentrični dozračni otvor 19*19cm, vanjska mjera 28*28cm</t>
    </r>
  </si>
  <si>
    <r>
      <rPr>
        <b/>
        <sz val="10"/>
        <color rgb="FF000000"/>
        <rFont val="Arial"/>
        <family val="2"/>
        <charset val="238"/>
      </rPr>
      <t>Komplet se sastoji od:</t>
    </r>
    <r>
      <rPr>
        <sz val="10"/>
        <color rgb="FF000000"/>
        <rFont val="Arial"/>
        <family val="2"/>
        <charset val="238"/>
      </rPr>
      <t xml:space="preserve"> posuda za kondenzat, otvor za reviziju i čišćenje x2, priključak ložišta x3, završna ploča s dozračnom rešetkom i konusom - ukupna visina 10,3m</t>
    </r>
  </si>
  <si>
    <r>
      <rPr>
        <b/>
        <sz val="10"/>
        <color theme="1"/>
        <rFont val="Arial"/>
        <family val="2"/>
        <charset val="238"/>
      </rPr>
      <t>Dimenzije:</t>
    </r>
    <r>
      <rPr>
        <sz val="10"/>
        <color theme="1"/>
        <rFont val="Arial"/>
        <family val="2"/>
        <charset val="238"/>
      </rPr>
      <t xml:space="preserve"> dimovodni otvor Φ14cm, koncentrični dozračni otvor 26*26cm, vanjska mjera 36*36cm</t>
    </r>
  </si>
  <si>
    <r>
      <rPr>
        <b/>
        <sz val="10"/>
        <color rgb="FF000000"/>
        <rFont val="Arial"/>
        <family val="2"/>
        <charset val="238"/>
      </rPr>
      <t>Komplet se sastoji od:</t>
    </r>
    <r>
      <rPr>
        <sz val="10"/>
        <color rgb="FF000000"/>
        <rFont val="Arial"/>
        <family val="2"/>
        <charset val="238"/>
      </rPr>
      <t xml:space="preserve"> posuda za kondenzat, otvor za reviziju i čišćenje x2, priključak ložišta x4, završna ploča s dozračnom rešetkom i konusom - ukupna visina 13,3m</t>
    </r>
  </si>
  <si>
    <t>DOBAVA I MONTAŽA PLINSKIH DIMNJAKA</t>
  </si>
  <si>
    <t>Dobava i montaža dimovodno-dozračnog sustava koji se sastoji od dimovodnih cijevi od profilne izostatičke tehničke keramike (visina 66cm i 33cm), plašteva od laganog betona (visina 33cm, gustoća 1150 kg/m3), te ostalih elemenata prema uputi proizvođača. U negrijanom dijelu dimnjak je potrebno dodatno izolirati, a odvod kondenzata spojiti na kanalizacijski sustav preko sifona pri ugradnji.</t>
  </si>
  <si>
    <r>
      <rPr>
        <b/>
        <sz val="10"/>
        <color theme="1"/>
        <rFont val="Arial"/>
        <family val="2"/>
        <charset val="238"/>
      </rPr>
      <t>Svojstva 1:</t>
    </r>
    <r>
      <rPr>
        <sz val="10"/>
        <color theme="1"/>
        <rFont val="Arial"/>
        <family val="2"/>
        <charset val="238"/>
      </rPr>
      <t xml:space="preserve"> HRN EN 13063-2: T200 P1 W2 O00 ili jednakovrijedno ______________________.</t>
    </r>
  </si>
  <si>
    <r>
      <rPr>
        <b/>
        <sz val="10"/>
        <color theme="1"/>
        <rFont val="Arial"/>
        <family val="2"/>
        <charset val="238"/>
      </rPr>
      <t>Svojstva 2:</t>
    </r>
    <r>
      <rPr>
        <sz val="10"/>
        <color theme="1"/>
        <rFont val="Arial"/>
        <family val="2"/>
        <charset val="238"/>
      </rPr>
      <t xml:space="preserve"> HRN EN 13063-3: T200 P1 W2 O00 ili jednakovrijedno ___________________________.</t>
    </r>
  </si>
  <si>
    <t xml:space="preserve">Uključena sva dobava materijala, rad, pomoćna sredstva, predradnje, transporti, utovari i istovari te sve drugo potrebno do gotovog proizvoda. Radovi će se izvodit prema odobrenom glavnom projektu, pridržavajući se i primjenjujući važeće propise i norme spomenute u tehničkom opisu dimnjaka. Za rad i primijenjene materijale, obavezno je pridržavati se pravila struke. Date mjere obvezno provjeriti na gradilištu. Nadvišenje dimnjaka i vatrootpornost &gt; 90 min prema normi HRN DIN 18160-1 ili jednakovrijedno ____________________________. Potrebno se pridržavati tehničkih uputa proizvođača. 
</t>
  </si>
  <si>
    <t xml:space="preserve">Materijal se priprema prema uputi proizvođača. Sadržaj vreće 40 kg miješati sa cca 10,5 litara vode  dok se ne postigne homogena masa pogodna za nanošenje. </t>
  </si>
  <si>
    <t xml:space="preserve">Preipremu podloge izvršiti prema uputi proizvođača žbuke. Vapneno - cementnu podložnu žbuku nanositi na zid od opeke obrađen predšpricom (rijetka konzistencija) ili na zid od betona obrađen polimer - cementnim vezivnim slojem (veličina zrna do 2mm), u debljini do 20 mm u jednom sloju i izravnati aluminijskom H letvom. Nakon djelomičnog očvršćivanja (vezanja), u pravilu drugi dan, žbuku navlažiti vodom, po potrebi nanijeti novi sloj žbuke rjeđe konzistencije i zafilcati grubom i finom spužvastom gladilicom, osim za keramičarske radove. Kod strojnog nanošenja pridržavati se uputa za primjenu žbukalica. Pauza u toku rada, kod crijeva ispunjenog žbukom, ne smije biti duža od 30 minuta. Prije završnih radova žbuka mora biti stara najmanje 3-4 tjedna. </t>
  </si>
  <si>
    <t xml:space="preserve">Prostor između profila ispunjava se termoizolacijom. Za izradu  termoizolacije upotrijebit će se ploče od kamene vune u pločama, proizvedene na bazi dijabaza. Vlakna kamene vune impregnirana su i vezana fenolnom smolom. </t>
  </si>
  <si>
    <t>Na spuštene stropove-pojedini tereti koji se  učvršćuju neposredno za gipsanu ploču ne smiju biti teži od 0.6 kg po rasponu ploče i dužnom metru. Teži predmeti, smatraju se dodatnim teretom i ako nisu uključeni u proračun jediničnih težina spuštenih stropova, trebaju se učvrstiti na krovnu / međukatnu osnovnu konstrukciju.</t>
  </si>
  <si>
    <t>ZGG 2 (termoizolacija d=5cm)</t>
  </si>
  <si>
    <t>ZGN 1 (termoizolacija d=7,5cm)</t>
  </si>
  <si>
    <t>Profili od čeličnog pocinčanog lima (min debljine 0,60mm) na razmaku od maksimalno 62,50 cm. Podkonstrukcija je širine 5,0/7.50cm.</t>
  </si>
  <si>
    <t>Zapreminska težina ploče cca 40 kg/m3. 
dim. 1000 x 625 x 50 mm / 75mm (+/- 5%)
Prije termoizolacije se postavlje PE folija debljine 0,2mm kao parna brana.</t>
  </si>
  <si>
    <t>d = 7,5cm (1,25cm x2 + 5,00cm)
h= 268cm</t>
  </si>
  <si>
    <t>Zapreminska težina ploče cca 40 kg/m3. 
dim. 100 x 625 x 50 mm / 100mm (+/- 5%)
Prije termoizolacije se postavlje PE folija debljine 0,2mm kao parna brana.</t>
  </si>
  <si>
    <t>Zapreminska težina ploče cca 40 kg/m3. 
Format ploča je 1000 x 625 x 50 mm (+/- 5%)</t>
  </si>
  <si>
    <t>Premazi se sastoje od bitumena, mineralnog punila, emulgatora i vode. Mogu se dodavati i polimerna vlakna. Nanosi se četkom, valjkom ili
prskanjem, uz potrošnju 0,1 – 0,2 l/m2, na
pripremljenu podlogu.</t>
  </si>
  <si>
    <t>PARNA BRANA - BITUMENSKA S AL folijom</t>
  </si>
  <si>
    <t>Priprema površine  na način da se odštemaju svi labavi djelovi do zdravog sloja i istaknute neravnine uklone</t>
  </si>
  <si>
    <t xml:space="preserve">Izrada holkera (gušice) na spojevima reprofilirane AB ploče sa zidovima od reparaturnog morta. 
</t>
  </si>
  <si>
    <t>Izvedba hidroizolacije AB ploče:
Izvedba temeljnog premaza i dva sloja APP plastomerne bitumenske membrane ojačane poliesterskim platnom. Na očišćenu površinu AB ploče izvodi se hladni bitumenski premaz. Na izvedeni prednamaz ugrađuju se dva sloja punoplošno zavarene polimerbitumenske hidroizolacije. Uz zidove hidroizolacija se uzdiže 10 cm.
Karakteristike proizvoda:
Tip ojačanja: Poliestersko platno
Maksimalna vlačna čvrstoća:prema EN 12311-1 ili jednakovrijedno
- uzdužno:500 N/50 mm (- 20%)
- poprečno:400 N/50 mm (- 20%)
Posmična čvrstoća spojeva: prema EN 12317-1 ili jednakovrijedno
- uzdužno:300 N/50 mm (- 20%)
- poprečno:400 N/50 mm (- 20%)
Izduženje pri slomu: prema EN 12311-1 ili jednakovrijedno
- uzdužno: 35%
- poprečno:35%
Otpornost na udarce: 900 mm, prema EN 12691 ili jednakovrijedno</t>
  </si>
  <si>
    <t>d= 5 cm</t>
  </si>
  <si>
    <t>Ploče su gustoće &gt;30kg/m3. Ploče se postavljaju nakon postave hidroizolacije vanjskih zidova. Koristiti ploče s preklopom.</t>
  </si>
  <si>
    <t>IZVEDBA SOKLA TERASA I KROVOVA</t>
  </si>
  <si>
    <t>Sokl uz zid nenatkrivenih terasa izvodi se od ploča XPS   Nakon postave hidroizolacije izvodi se ETICS pročelje, S tipskim profilom i okapnicom na donjem rubu.</t>
  </si>
  <si>
    <r>
      <rPr>
        <b/>
        <sz val="10"/>
        <color theme="1"/>
        <rFont val="Calibri"/>
        <family val="2"/>
        <charset val="238"/>
        <scheme val="minor"/>
      </rPr>
      <t>GRB</t>
    </r>
    <r>
      <rPr>
        <sz val="10"/>
        <color theme="1"/>
        <rFont val="Calibri"/>
        <family val="2"/>
        <charset val="238"/>
        <scheme val="minor"/>
      </rPr>
      <t>, crveno-bijele polja dim 40x40cm, 3d</t>
    </r>
  </si>
  <si>
    <t>Razdjelne fuge potrebno je izvesti trajno elastičnim fasadnim kitom na vertikalnim razmacima od
maksimalno 8m, a horizontalnim 4m. Širina razdjelne fuge ovisi o vrsti i dimenziji obloge (u pravilu od 6mm). Razdjelne fuge potrebno je izvesti i na uglovima objekta.</t>
  </si>
  <si>
    <r>
      <t xml:space="preserve">trajanje sustava: </t>
    </r>
    <r>
      <rPr>
        <b/>
        <sz val="10"/>
        <rFont val="Calibri"/>
        <family val="2"/>
        <charset val="238"/>
        <scheme val="minor"/>
      </rPr>
      <t>Vrlo</t>
    </r>
    <r>
      <rPr>
        <sz val="10"/>
        <rFont val="Calibri"/>
        <family val="2"/>
        <charset val="238"/>
        <scheme val="minor"/>
      </rPr>
      <t xml:space="preserve"> v</t>
    </r>
    <r>
      <rPr>
        <b/>
        <sz val="10"/>
        <rFont val="Calibri"/>
        <family val="2"/>
        <charset val="238"/>
      </rPr>
      <t>isoka trajnost (H)</t>
    </r>
    <r>
      <rPr>
        <sz val="10"/>
        <rFont val="Calibri"/>
        <family val="2"/>
        <charset val="238"/>
        <scheme val="minor"/>
      </rPr>
      <t xml:space="preserve"> &gt;25 godina</t>
    </r>
  </si>
  <si>
    <r>
      <t>Jednokriln, zaokretna, vatrootporna vrata 
Vatrootpornost:</t>
    </r>
    <r>
      <rPr>
        <b/>
        <sz val="10"/>
        <color indexed="8"/>
        <rFont val="Calibri"/>
        <family val="2"/>
        <charset val="238"/>
      </rPr>
      <t xml:space="preserve">  EI2 60-C.
</t>
    </r>
    <r>
      <rPr>
        <sz val="10"/>
        <color indexed="8"/>
        <rFont val="Calibri"/>
        <family val="2"/>
        <charset val="238"/>
      </rPr>
      <t xml:space="preserve">Izlaz za nuždu: </t>
    </r>
    <r>
      <rPr>
        <b/>
        <sz val="10"/>
        <color indexed="8"/>
        <rFont val="Calibri"/>
        <family val="2"/>
        <charset val="238"/>
      </rPr>
      <t>HRN EN 1125</t>
    </r>
    <r>
      <rPr>
        <sz val="10"/>
        <color theme="1"/>
        <rFont val="Calibri"/>
        <family val="2"/>
        <charset val="238"/>
        <scheme val="minor"/>
      </rPr>
      <t xml:space="preserve">
Dovratnik: sveobuhvatni, bojani RAL 9010
Krilo: puno, zaokretno, čelično, bojano RAL 9010</t>
    </r>
  </si>
  <si>
    <r>
      <t>Jednokrilna, zaokretna, protuprovalna, vatrootporna vrata 
Vatrootpornost:</t>
    </r>
    <r>
      <rPr>
        <b/>
        <sz val="10"/>
        <color indexed="8"/>
        <rFont val="Calibri"/>
        <family val="2"/>
        <charset val="238"/>
      </rPr>
      <t xml:space="preserve">  E 60-C.
</t>
    </r>
    <r>
      <rPr>
        <sz val="10"/>
        <color indexed="8"/>
        <rFont val="Calibri"/>
        <family val="2"/>
        <charset val="238"/>
      </rPr>
      <t xml:space="preserve">Izlaz za nuždu: </t>
    </r>
    <r>
      <rPr>
        <b/>
        <sz val="10"/>
        <color indexed="8"/>
        <rFont val="Calibri"/>
        <family val="2"/>
        <charset val="238"/>
      </rPr>
      <t>HRN EN 1125</t>
    </r>
    <r>
      <rPr>
        <sz val="10"/>
        <color theme="1"/>
        <rFont val="Calibri"/>
        <family val="2"/>
        <charset val="238"/>
        <scheme val="minor"/>
      </rPr>
      <t xml:space="preserve">
Dovratnik: sveobuhvatni, bojani RAL 9010
Krilo: puno, zaokretno, čelično, bojano RAL 9010</t>
    </r>
  </si>
  <si>
    <r>
      <t>Jednokrilna zaokretna vatrootporna vrata 
Vatrootpornost:</t>
    </r>
    <r>
      <rPr>
        <b/>
        <sz val="10"/>
        <color indexed="8"/>
        <rFont val="Calibri"/>
        <family val="2"/>
        <charset val="238"/>
      </rPr>
      <t xml:space="preserve">  EI 60. </t>
    </r>
    <r>
      <rPr>
        <sz val="10"/>
        <color indexed="8"/>
        <rFont val="Calibri"/>
        <family val="2"/>
        <charset val="238"/>
      </rPr>
      <t>Izlaz za nuždu: HRN EN 179</t>
    </r>
    <r>
      <rPr>
        <sz val="10"/>
        <color theme="1"/>
        <rFont val="Calibri"/>
        <family val="2"/>
        <charset val="238"/>
        <scheme val="minor"/>
      </rPr>
      <t xml:space="preserve">
Dovratnik: sveobuhvatni, bojani RAL 9003
Krilo: puno, zaokretno, čelično, bojano RAL 9003</t>
    </r>
  </si>
  <si>
    <t>Ukrasni vanjski zaslon izrađen od nehrđajućeg čelika (korten). Sidren za AB konstrukciju sa gornje i donje strane panela. Tip obrade: lasersko rezanje.
d=3mm.
dimenzije: 160 x 160cm.
Završna obrada: praškasti premaz.
RAL 1015</t>
  </si>
  <si>
    <t>Vanjska, protukišna, pocinčana, fiksna žaluzina namjenjena za ugradnju vijcima u zid. Izrađena od okvira i ispune. Okvir sastavljen od aluminijskih profila, a ispuna od "Z" aluminijskog lima debljine 2mm. Opremljena sa zaštitnom mrežicom protiv insekata na stražnjoj strani. Dimenzije trebaju biti precizno usklađene s projektom instalacija.
Završna obrada: plastifikacija</t>
  </si>
  <si>
    <t>Obuhvatnirebrasti inox okvir lifta debljine 2/3mm, oko okvira vrata (120 x 210cm); debljine AB zida: 20cm postavljen radi očuvanja zida od mehaničkih i drugih oštećenja.</t>
  </si>
  <si>
    <r>
      <t xml:space="preserve">Shema </t>
    </r>
    <r>
      <rPr>
        <b/>
        <sz val="10"/>
        <rFont val="Calibri"/>
        <family val="2"/>
        <charset val="238"/>
        <scheme val="minor"/>
      </rPr>
      <t>BR_9</t>
    </r>
    <r>
      <rPr>
        <sz val="10"/>
        <rFont val="Calibri"/>
        <family val="2"/>
        <charset val="238"/>
        <scheme val="minor"/>
      </rPr>
      <t xml:space="preserve">
Konstrukcija od čeličnim  kvadratnih profila presjeka 80x80x8mm, usidrenih preko stope bočno na AB zid. Element se sastoji od 4 zidna sa zaokrttnim vratima i krova sukladno shemi. Zidovi i vrata  obloženi istegnutim al limom d=3mm, providnost 25%. Krov čelični trapezni lim:   Završni pokrov je trapezni lim visokog vala 70/200, debljine d= 0,70 mm. Pokrov je jednostrešni. Završna obrada plastifikacija, RAL 9007.
dim. zida od   lima: 484x220cm x2kom
dim. zida od  lima: 290x220cm x2kom                                    zaokretna vrata (panik kvaka 179) dim: 100x220cm
trapezni lima krov: 290x484cm x1kom</t>
    </r>
  </si>
  <si>
    <t>Čelične zidne fiksne ljestve za penjanje na krovnu etažu. Neklizajuća podloga za stopala za dodatnu sigurnost.
Čelično stubište sačinjeno od 8 prečki promjera 25mm, debljine 4mm, na udaljenosti od 30cm.
širina kraka: 45cm.
duljina kraka: 3,00m.
završna obrada: vruće pocinčano
Stubište je sidreno bočno na AB konstrukciju.</t>
  </si>
  <si>
    <t>AL OTIRAČ U VJETROBRANU</t>
  </si>
  <si>
    <t>dim. 2100 x 1000 x 12 mm</t>
  </si>
  <si>
    <t>- otirač za noge za unutarnju primjenu
- S tekstilnim i gumenim umetcima u sivoj ili crnoj boji
- Protukliznost rešetki
- Ugradbena visina: 12 mm
- Aluminijski profil</t>
  </si>
  <si>
    <t>Obrada: vruće pocinčavanje</t>
  </si>
  <si>
    <r>
      <t xml:space="preserve">Oznaka u nacrtu: </t>
    </r>
    <r>
      <rPr>
        <b/>
        <sz val="10"/>
        <rFont val="Calibri"/>
        <family val="2"/>
        <charset val="238"/>
        <scheme val="minor"/>
      </rPr>
      <t>BR_11</t>
    </r>
    <r>
      <rPr>
        <sz val="10"/>
        <rFont val="Calibri"/>
        <family val="2"/>
        <charset val="238"/>
        <scheme val="minor"/>
      </rPr>
      <t xml:space="preserve">
Ispuna: rešetka od ravnih lamena, tijelo od cijevi 18x1,2mm, poveznice debljine 1,2mm na razmaku 90mm. 
Montaža rolo garažnih vrata je s vanjske strane otvora. Rolo je prekriven kutijom od pocinčanog plastificiranog lima d=1mm. Potreban prostor na gredi za ugradnju rolo garažnih vrata je do 40cm . Sa strane je na svakoj strani za vodilice potrebno ugraditi kvadratni čelični profil 80x80x6mm u punoj visini otvora (u cijeni).
</t>
    </r>
    <r>
      <rPr>
        <b/>
        <sz val="10"/>
        <rFont val="Calibri"/>
        <family val="2"/>
        <charset val="238"/>
        <scheme val="minor"/>
      </rPr>
      <t>Karakteristike motornog pogona i elektronike</t>
    </r>
    <r>
      <rPr>
        <sz val="10"/>
        <rFont val="Calibri"/>
        <family val="2"/>
        <charset val="238"/>
        <scheme val="minor"/>
      </rPr>
      <t xml:space="preserve">
Cijevni motorni pogon.  Motor sa reduktorom. Brzina otvaranja 1m/s. Upravljanje prekidač/ključ i daljinsko. U slučaju nestanka električne energije vrata se mogu otvoriti pomoću rotacione poluge. Uz vrata se isporučuje  65 daljinskih upravljača.</t>
    </r>
  </si>
  <si>
    <t>VERTIKALNI POŠTANSKI SANDUČIĆI</t>
  </si>
  <si>
    <t>Poštanski ormarići postavljaju se u prizemlje ulaznog prostora u prostoru vjetrobrana - jedan po stanu + 1 KOM. Oprema: pločica za prezimena, otvor poštu, bravica sa dva ključa. Dimenzije :  (šxdxv)cca 90 × 220x300-400 mm</t>
  </si>
  <si>
    <r>
      <rPr>
        <b/>
        <sz val="10"/>
        <rFont val="Calibri"/>
        <family val="2"/>
        <charset val="238"/>
        <scheme val="minor"/>
      </rPr>
      <t>PVC</t>
    </r>
    <r>
      <rPr>
        <sz val="10"/>
        <rFont val="Calibri"/>
        <family val="2"/>
        <charset val="238"/>
        <scheme val="minor"/>
      </rPr>
      <t xml:space="preserve">
- vidna širina/front: 40 mm
- površinska debljina: 20 mm
- postojanost na temperature: -30 °C do +60 °C
- odlična izolacijska svojstva
- završni površinski sloj: otporan na ogrebotine, svjetlost, abraziju, žar cigarete
Imaju bočne završetke, te su s prednje strane zaokružene.
</t>
    </r>
    <r>
      <rPr>
        <b/>
        <sz val="10"/>
        <rFont val="Calibri"/>
        <family val="2"/>
        <charset val="238"/>
        <scheme val="minor"/>
      </rPr>
      <t>Boja RAL 9010.</t>
    </r>
  </si>
  <si>
    <r>
      <rPr>
        <b/>
        <sz val="10"/>
        <rFont val="Calibri"/>
        <family val="2"/>
        <charset val="238"/>
        <scheme val="minor"/>
      </rPr>
      <t>ALUMINIJ</t>
    </r>
    <r>
      <rPr>
        <sz val="10"/>
        <rFont val="Calibri"/>
        <family val="2"/>
        <charset val="238"/>
        <scheme val="minor"/>
      </rPr>
      <t xml:space="preserve">
- aluminijski lim (d=2mm)
- zaobljeni rubovi s maskom od 25mm
- bočni završeci za zaštitu od izlijevanja vode sa strane do zida. 
Obrada: plastificiranje
</t>
    </r>
    <r>
      <rPr>
        <b/>
        <sz val="10"/>
        <rFont val="Calibri"/>
        <family val="2"/>
        <charset val="238"/>
        <scheme val="minor"/>
      </rPr>
      <t>Boja:  E6/C0</t>
    </r>
    <r>
      <rPr>
        <sz val="10"/>
        <rFont val="Calibri"/>
        <family val="2"/>
        <charset val="238"/>
        <scheme val="minor"/>
      </rPr>
      <t xml:space="preserve">
</t>
    </r>
    <r>
      <rPr>
        <b/>
        <sz val="10"/>
        <rFont val="Calibri"/>
        <family val="2"/>
        <charset val="238"/>
        <scheme val="minor"/>
      </rPr>
      <t>KAMEN</t>
    </r>
    <r>
      <rPr>
        <sz val="10"/>
        <rFont val="Calibri"/>
        <family val="2"/>
        <charset val="238"/>
        <scheme val="minor"/>
      </rPr>
      <t xml:space="preserve">
- polirane kamene ploče
- riješen sistem odvodnje kišnice</t>
    </r>
  </si>
  <si>
    <t>Koeficijent prolaza topline IZO jedinice: Ug ≤ 0.7 W/m2K
Solarni faktor (ukupni prolaz energije prema unutra): g ≤ 55%
Letvica stakla (distancer) od PVC-a: Ψ≤0.047 W/mK</t>
  </si>
  <si>
    <t>Sva ostakljenja izvode se troslojnim IZO sigurnosnim staklom (low E staklo).  
Izvodi se u sastavu: 
VSG, ESG staklo 44.2
14mm (argon)
float staklo 5mm                                                             14mm(argon)
ESG staklo 6mm                                                                          LowE sloj se nalazi na poz. 2 i 5 gledano izvana.</t>
  </si>
  <si>
    <r>
      <t xml:space="preserve">- zrakopropusnost: </t>
    </r>
    <r>
      <rPr>
        <b/>
        <sz val="10"/>
        <color theme="1"/>
        <rFont val="Calibri"/>
        <family val="2"/>
        <charset val="238"/>
        <scheme val="minor"/>
      </rPr>
      <t xml:space="preserve">klasa 2  </t>
    </r>
    <r>
      <rPr>
        <sz val="10"/>
        <color theme="1"/>
        <rFont val="Calibri"/>
        <family val="2"/>
        <charset val="238"/>
        <scheme val="minor"/>
      </rPr>
      <t xml:space="preserve">         
- vodonepropusnost: </t>
    </r>
    <r>
      <rPr>
        <b/>
        <sz val="10"/>
        <color theme="1"/>
        <rFont val="Calibri"/>
        <family val="2"/>
        <charset val="238"/>
        <scheme val="minor"/>
      </rPr>
      <t xml:space="preserve">klasa 5A  </t>
    </r>
    <r>
      <rPr>
        <sz val="10"/>
        <color theme="1"/>
        <rFont val="Calibri"/>
        <family val="2"/>
        <charset val="238"/>
        <scheme val="minor"/>
      </rPr>
      <t xml:space="preserve">        
- zaštita od buke: </t>
    </r>
    <r>
      <rPr>
        <b/>
        <sz val="10"/>
        <color theme="1"/>
        <rFont val="Calibri"/>
        <family val="2"/>
        <charset val="238"/>
        <scheme val="minor"/>
      </rPr>
      <t xml:space="preserve">&gt; 35 dB (ovisno o staklu)  </t>
    </r>
    <r>
      <rPr>
        <sz val="10"/>
        <color theme="1"/>
        <rFont val="Calibri"/>
        <family val="2"/>
        <charset val="238"/>
        <scheme val="minor"/>
      </rPr>
      <t xml:space="preserve">         
- otpornost na udar vjetra:</t>
    </r>
    <r>
      <rPr>
        <b/>
        <sz val="10"/>
        <color theme="1"/>
        <rFont val="Calibri"/>
        <family val="2"/>
        <charset val="238"/>
        <scheme val="minor"/>
      </rPr>
      <t xml:space="preserve"> klasa C3      </t>
    </r>
    <r>
      <rPr>
        <sz val="10"/>
        <color theme="1"/>
        <rFont val="Calibri"/>
        <family val="2"/>
        <charset val="238"/>
        <scheme val="minor"/>
      </rPr>
      <t xml:space="preserve"> 
- mehanička izdržljivost: </t>
    </r>
    <r>
      <rPr>
        <b/>
        <sz val="10"/>
        <color theme="1"/>
        <rFont val="Calibri"/>
        <family val="2"/>
        <charset val="238"/>
        <scheme val="minor"/>
      </rPr>
      <t xml:space="preserve">klasa 5 </t>
    </r>
    <r>
      <rPr>
        <sz val="10"/>
        <color theme="1"/>
        <rFont val="Calibri"/>
        <family val="2"/>
        <charset val="238"/>
        <scheme val="minor"/>
      </rPr>
      <t xml:space="preserve">       
- protuprovalnost: </t>
    </r>
    <r>
      <rPr>
        <b/>
        <sz val="10"/>
        <color theme="1"/>
        <rFont val="Calibri"/>
        <family val="2"/>
        <charset val="238"/>
        <scheme val="minor"/>
      </rPr>
      <t>WK 3</t>
    </r>
  </si>
  <si>
    <r>
      <t xml:space="preserve">- zrakopropusnost: </t>
    </r>
    <r>
      <rPr>
        <b/>
        <sz val="10"/>
        <color theme="1"/>
        <rFont val="Calibri"/>
        <family val="2"/>
        <charset val="238"/>
        <scheme val="minor"/>
      </rPr>
      <t xml:space="preserve">klasa 3  </t>
    </r>
    <r>
      <rPr>
        <sz val="10"/>
        <color theme="1"/>
        <rFont val="Calibri"/>
        <family val="2"/>
        <charset val="238"/>
        <scheme val="minor"/>
      </rPr>
      <t xml:space="preserve">         
- vodonepropusnost: </t>
    </r>
    <r>
      <rPr>
        <b/>
        <sz val="10"/>
        <color theme="1"/>
        <rFont val="Calibri"/>
        <family val="2"/>
        <charset val="238"/>
        <scheme val="minor"/>
      </rPr>
      <t xml:space="preserve">klasa E1200  </t>
    </r>
    <r>
      <rPr>
        <sz val="10"/>
        <color theme="1"/>
        <rFont val="Calibri"/>
        <family val="2"/>
        <charset val="238"/>
        <scheme val="minor"/>
      </rPr>
      <t xml:space="preserve">        
- zaštita od buke: </t>
    </r>
    <r>
      <rPr>
        <b/>
        <sz val="10"/>
        <color theme="1"/>
        <rFont val="Calibri"/>
        <family val="2"/>
        <charset val="238"/>
        <scheme val="minor"/>
      </rPr>
      <t xml:space="preserve">&gt; 35 dB (ovisno o staklu)  </t>
    </r>
    <r>
      <rPr>
        <sz val="10"/>
        <color theme="1"/>
        <rFont val="Calibri"/>
        <family val="2"/>
        <charset val="238"/>
        <scheme val="minor"/>
      </rPr>
      <t xml:space="preserve">         
- otpornost na udar vjetra:</t>
    </r>
    <r>
      <rPr>
        <b/>
        <sz val="10"/>
        <color theme="1"/>
        <rFont val="Calibri"/>
        <family val="2"/>
        <charset val="238"/>
        <scheme val="minor"/>
      </rPr>
      <t xml:space="preserve"> klasa C5/B5      </t>
    </r>
    <r>
      <rPr>
        <sz val="10"/>
        <color theme="1"/>
        <rFont val="Calibri"/>
        <family val="2"/>
        <charset val="238"/>
        <scheme val="minor"/>
      </rPr>
      <t xml:space="preserve"> 
- mehanička izdržljivost: </t>
    </r>
    <r>
      <rPr>
        <b/>
        <sz val="10"/>
        <color theme="1"/>
        <rFont val="Calibri"/>
        <family val="2"/>
        <charset val="238"/>
        <scheme val="minor"/>
      </rPr>
      <t xml:space="preserve">klasa 5 </t>
    </r>
    <r>
      <rPr>
        <sz val="10"/>
        <color theme="1"/>
        <rFont val="Calibri"/>
        <family val="2"/>
        <charset val="238"/>
        <scheme val="minor"/>
      </rPr>
      <t xml:space="preserve">       
- protuprovalnost: </t>
    </r>
    <r>
      <rPr>
        <b/>
        <sz val="10"/>
        <color theme="1"/>
        <rFont val="Calibri"/>
        <family val="2"/>
        <charset val="238"/>
        <scheme val="minor"/>
      </rPr>
      <t>WK 3</t>
    </r>
  </si>
  <si>
    <t xml:space="preserve">debljina profila krila cca 70mm
- profil s prekintuim termičkim mostom
- izo ostakljenje </t>
  </si>
  <si>
    <t>Okov vrata: panti, panik brava, prihvatnik, panik letva sa unutarnje strane panik letva na glavnom krilu &gt;90cm, kvaka sa vanjske strane i hidraulični samozatvarač.</t>
  </si>
  <si>
    <t xml:space="preserve">Dovratnik: aluminijski, sveobuhvatni.
</t>
  </si>
  <si>
    <t>Dvokrilna zaokretna evakuacijska vrata.
HRN EN 1125 ili jednakovrijedno ___________________.
Ostakljenje: VSGESG 55.2</t>
  </si>
  <si>
    <t>Jednokrilna zaokretna evakuacijska vrata.
HRN EN 179 ili jednakovrijedno __________________.
Ispuna: puni izolirani panel (debljine 40mm) sa aluminijskom oblogom.</t>
  </si>
  <si>
    <t>unutarnja ivanjska AL klupica  - dio stavke</t>
  </si>
  <si>
    <t xml:space="preserve">kao prethodna stavka (4,1) </t>
  </si>
  <si>
    <t>Kombinirana staklena stijena sastoji se od 3 dijela u aluminijskom okviru. 
Stijenu čine dva fiksna krila širine 110cm te dvokrilna zaokretna vrata. Jedno kilo vrata služe za evakuaciju te su opremljena panik letvom sukladno normi HRN 1125 ili jednakovrijedno _______________________.</t>
  </si>
  <si>
    <t xml:space="preserve">Osnovni materijal: plastificirani pocinčani čelični lim
d = 0.60mm
</t>
  </si>
  <si>
    <t>Razvijena širina lima 15cm</t>
  </si>
  <si>
    <t>Opšav krovnih nadozida, dimnjak, šaht…..U jediničnu cijenu stavku uključeno zarezivanje utora u zidu, sva spojna sredstva, vodotijesna međusobna brtvljenja i vodotijesna brtvljenja s drugim materijalima.</t>
  </si>
  <si>
    <t>razvijena širina 50cm</t>
  </si>
  <si>
    <t>Materijal: plastificirani pocinčani čelični lim
d = 0,80mm
Materijal nosača: 
čel. trake 40x5mm na razmaku 50cm
obrada: vruće pocinčano
Završna boja: sivobijela RAL 9002</t>
  </si>
  <si>
    <t>razvijena širina 80cm (dilatacija)</t>
  </si>
  <si>
    <r>
      <rPr>
        <b/>
        <sz val="10"/>
        <color theme="1"/>
        <rFont val="Calibri"/>
        <family val="2"/>
        <charset val="238"/>
        <scheme val="minor"/>
      </rPr>
      <t xml:space="preserve">RIGALICA </t>
    </r>
    <r>
      <rPr>
        <sz val="10"/>
        <color theme="1"/>
        <rFont val="Calibri"/>
        <family val="2"/>
        <charset val="238"/>
        <scheme val="minor"/>
      </rPr>
      <t xml:space="preserve">
jedna po balkonu
Rigalica za odvodnju oborinske vode s plaštom Ø50 - Inox A2. Dužina izljeva - 250mm</t>
    </r>
  </si>
  <si>
    <r>
      <rPr>
        <b/>
        <sz val="10"/>
        <rFont val="Calibri"/>
        <family val="2"/>
        <charset val="238"/>
        <scheme val="minor"/>
      </rPr>
      <t xml:space="preserve">ISPUST ARLI
</t>
    </r>
    <r>
      <rPr>
        <sz val="10"/>
        <rFont val="Calibri"/>
        <family val="2"/>
        <charset val="238"/>
        <scheme val="minor"/>
      </rPr>
      <t>jedan po arli</t>
    </r>
    <r>
      <rPr>
        <b/>
        <sz val="10"/>
        <rFont val="Calibri"/>
        <family val="2"/>
        <charset val="238"/>
        <scheme val="minor"/>
      </rPr>
      <t xml:space="preserve">
</t>
    </r>
    <r>
      <rPr>
        <sz val="10"/>
        <rFont val="Calibri"/>
        <family val="2"/>
        <charset val="238"/>
        <scheme val="minor"/>
      </rPr>
      <t xml:space="preserve"> Ø20 - Inox A2. Dužina izljeva - 250mm</t>
    </r>
  </si>
  <si>
    <t>Vratno krilo je puno.
Okvir je od masivnog smreke s ispunom od kartonskih saća, a s vanjske strane obloženo medijapan pločom debljine 5mm. Furnirano hrastovim furnirom (horizontalna vena, izbijeljenji hrast).
Ukupna širina krila iznosi 40-42 mm.
Ličeno poliuretanskim lakom u tri sloja sa ostavljenom bojom izbijeljenog hrasta.</t>
  </si>
  <si>
    <t>Dovratnici su obuhvatni, od lameliranog masivnog smrekovog drva ličeno vodenim lakom - bijelo. Pokrovne letve su od smreke drva  hrast -masiva. Dizajn dovratnika: "uglasti".
Boja: vodeni lak (tonirano, sa vidljivom strukturom drva). Ton: izbijeljeni hrast</t>
  </si>
  <si>
    <t>Stolarija se ugrađuje suhim postupkom (ugradnjom na slijepe okvire ili ekspandirajućom pjenom).  Zidarska mjera je razmak konstruktivnih elemenata.</t>
  </si>
  <si>
    <t xml:space="preserve">Gotovi elementi moraju se u radionici premazati fungicidnom impregnacijom za drvo koja je izrađena na bazi alkidnih smola sa svijetlo stalnim pigmentima i aktivnim fungicidnim dodacima. Bezbojna impregnacija se upotrebljava ako se stavka u konačnici obrađuje bezbojnim lakom ili lazurnom bojom, u ostalim slucajevima može se upotrijebiti blago tonirana impregnacija. 
Završna obrada se izvodi radionički, popravc nakon montaže nisu prihvatljivi. Izvođač se obavezuje da izradi radioničke nacrte za ključne detalje. Detalji moraju slijediti odrednice date kroz principjelne detalje priložene u projektu. </t>
  </si>
  <si>
    <r>
      <t xml:space="preserve">Shema </t>
    </r>
    <r>
      <rPr>
        <b/>
        <sz val="10"/>
        <color theme="1"/>
        <rFont val="Calibri"/>
        <family val="2"/>
        <charset val="238"/>
        <scheme val="minor"/>
      </rPr>
      <t xml:space="preserve">ST_1,02 - </t>
    </r>
    <r>
      <rPr>
        <sz val="10"/>
        <color theme="1"/>
        <rFont val="Calibri"/>
        <family val="2"/>
        <charset val="238"/>
        <scheme val="minor"/>
      </rPr>
      <t>dim 80x210 (sa "zahodskom"bravom)</t>
    </r>
  </si>
  <si>
    <t>OPREMA: 
kvaka izrađena od eloksiranog aluminija (natur)
šarke 3 komada po krilu
brava sa sobnim ključem
gumeni odbojnik u podu
Otpor prolaska zvuka:  Rw &gt; 25dB</t>
  </si>
  <si>
    <t>Vertikalne letvice (7x2cm) u razmacima od 10 - 15 cm, postavljene sukladno arhitektonskom nacrtu, međusobno su povezane horizontalnom letvom na vrhu i dnu jednake debljine koje se učvršćuje u pod i strop. U visini 90cm i 180cm povezje (ukruta) letvice al. cijev promjera 25/5mm
Na utor s unutarnje strane lamele nanositi ljepilo i pričvrstiti je na pripremljenu letvu.
Točnu visinu utvrditi nakon gotovih obloga zida i poda. Prema stropu osigurati klizni ležaj (dilatacija 2cm)Obračun po komadu.</t>
  </si>
  <si>
    <r>
      <rPr>
        <b/>
        <sz val="10"/>
        <color theme="1"/>
        <rFont val="Calibri"/>
        <family val="2"/>
        <charset val="238"/>
        <scheme val="minor"/>
      </rPr>
      <t xml:space="preserve">OSTAKLJENJE </t>
    </r>
    <r>
      <rPr>
        <sz val="10"/>
        <color theme="1"/>
        <rFont val="Calibri"/>
        <family val="2"/>
        <charset val="238"/>
        <scheme val="minor"/>
      </rPr>
      <t xml:space="preserve">
Sva ostakljenja izvode se troslojnim IZO staklom (low E staklo).  Obično - FLOAT ostakljenje je trostruko ostakljenje sa dva međusloja plina, a izvodi se u sastavu: 6mm(float) + 14mm (argon) + 4mm (LOW-E) + 14mm (argon) + 6mm (LOW-E).
Koeficijent prolaza topline kroz stijenu: k &lt; 1,1 W/M2K. 
Otpor prolazu zvuka: R &gt; 35dB
Odgovara uvjetima za A+ energetski razred.</t>
    </r>
  </si>
  <si>
    <r>
      <rPr>
        <b/>
        <sz val="10"/>
        <color theme="1"/>
        <rFont val="Calibri"/>
        <family val="2"/>
        <charset val="238"/>
        <scheme val="minor"/>
      </rPr>
      <t>PVC</t>
    </r>
    <r>
      <rPr>
        <sz val="10"/>
        <color theme="1"/>
        <rFont val="Calibri"/>
        <family val="2"/>
        <charset val="238"/>
        <scheme val="minor"/>
      </rPr>
      <t xml:space="preserve">
- vidna širina/front: 40 mm
- površinska debljina: 20 mm
- postojanost na temperature: -30 °C do +60 °C
- odlična izolacijska svojstva
- završni površinski sloj: otporan na ogrebotine, svjetlost, abraziju, žar cigarete
Imaju bočne završetke, te su s prednje strane zaokružene.
</t>
    </r>
    <r>
      <rPr>
        <sz val="10"/>
        <rFont val="Calibri"/>
        <family val="2"/>
        <charset val="238"/>
        <scheme val="minor"/>
      </rPr>
      <t>Boja: bijela (RAL 9010).</t>
    </r>
  </si>
  <si>
    <r>
      <rPr>
        <b/>
        <sz val="10"/>
        <color theme="1"/>
        <rFont val="Calibri"/>
        <family val="2"/>
        <charset val="238"/>
        <scheme val="minor"/>
      </rPr>
      <t>ALUMINIJ</t>
    </r>
    <r>
      <rPr>
        <sz val="10"/>
        <color theme="1"/>
        <rFont val="Calibri"/>
        <family val="2"/>
        <charset val="238"/>
        <scheme val="minor"/>
      </rPr>
      <t xml:space="preserve">
- aluminijski lim (d=2mm)
- zaobljeni rubovi s maskom od 25mm
- bočni završeci za zaštitu od izlijevanja vode sa strane do zida. 
Obrada: plastificiranje
</t>
    </r>
    <r>
      <rPr>
        <sz val="10"/>
        <rFont val="Calibri"/>
        <family val="2"/>
        <charset val="238"/>
        <scheme val="minor"/>
      </rPr>
      <t>Boja: bijela (kao PVC otvor)</t>
    </r>
    <r>
      <rPr>
        <b/>
        <sz val="10"/>
        <color rgb="FFC00000"/>
        <rFont val="Calibri"/>
        <family val="2"/>
        <charset val="238"/>
        <scheme val="minor"/>
      </rPr>
      <t xml:space="preserve">
</t>
    </r>
    <r>
      <rPr>
        <sz val="10"/>
        <color theme="1"/>
        <rFont val="Calibri"/>
        <family val="2"/>
        <charset val="238"/>
        <scheme val="minor"/>
      </rPr>
      <t xml:space="preserve">
</t>
    </r>
    <r>
      <rPr>
        <b/>
        <sz val="10"/>
        <color theme="1"/>
        <rFont val="Calibri"/>
        <family val="2"/>
        <charset val="238"/>
        <scheme val="minor"/>
      </rPr>
      <t>KAMEN</t>
    </r>
    <r>
      <rPr>
        <sz val="10"/>
        <color theme="1"/>
        <rFont val="Calibri"/>
        <family val="2"/>
        <charset val="238"/>
        <scheme val="minor"/>
      </rPr>
      <t xml:space="preserve">
</t>
    </r>
    <r>
      <rPr>
        <sz val="10"/>
        <rFont val="Calibri"/>
        <family val="2"/>
        <charset val="238"/>
        <scheme val="minor"/>
      </rPr>
      <t xml:space="preserve">- polirane kamene ploče
- </t>
    </r>
    <r>
      <rPr>
        <sz val="10"/>
        <color theme="1"/>
        <rFont val="Calibri"/>
        <family val="2"/>
        <charset val="238"/>
        <scheme val="minor"/>
      </rPr>
      <t>riješen sistem odvodnje kišnice</t>
    </r>
  </si>
  <si>
    <r>
      <t xml:space="preserve">KVAKA - </t>
    </r>
    <r>
      <rPr>
        <sz val="10"/>
        <color theme="1"/>
        <rFont val="Calibri"/>
        <family val="2"/>
        <charset val="238"/>
        <scheme val="minor"/>
      </rPr>
      <t xml:space="preserve">aluminijska plastificirana, boja bijela.  </t>
    </r>
  </si>
  <si>
    <r>
      <t xml:space="preserve">ZAŠTITA OD SUNCA - ROLETE 
</t>
    </r>
    <r>
      <rPr>
        <sz val="10"/>
        <color theme="1"/>
        <rFont val="Calibri"/>
        <family val="2"/>
        <charset val="238"/>
        <scheme val="minor"/>
      </rPr>
      <t>Roleta u nadprozorskoj izoliranoj kutiji
Lamele rolete su izrađene od aluminijskih profila, ispunjenih poliuretanskom pjenom. Kutija za rolete je od višekomornog PVC profila, topllinski izolirana polistirenom. Rolete se dižu - spuštaju trakom od tkanine koja se namata u kutiju. Prolaz trake kroz otvor u kutiji brtviti četkicama. Vodilica rolete na prozorima visine manje od 180 cm je "na izbacivanje" - zglobna. Rolete u prizemlju moraju imati sigurnosni zasun koji se može otvoriti samo iznutra. 
Boja rolete: RAL 9007
Boja kutije: RAL 9010.
Napomena: Istu širinu lamela koristiti za sve otvore.</t>
    </r>
  </si>
  <si>
    <t>Fluidni prijelaz s ostakljenja na vanjski okvir - kupola. Optimalna odvodnja vode, omogućuje znatno manje prljanje svjetlosne kupole.</t>
  </si>
  <si>
    <r>
      <rPr>
        <sz val="10"/>
        <rFont val="Calibri"/>
        <family val="2"/>
        <charset val="238"/>
        <scheme val="minor"/>
      </rPr>
      <t xml:space="preserve">Jedinična cijena obuhvaća manipulaciju elementima u toku ličenja, radne skele, materijal, rad, otklanjanje nedostataka, čišćenje bojom uprljanih površina i čišćenje otpadaka nastalih pri izvođenju ličilačkih radova. Izvođač je dužan zaštititi ostale radove i elemente prije početka radova. </t>
    </r>
    <r>
      <rPr>
        <sz val="10"/>
        <color theme="1"/>
        <rFont val="Calibri"/>
        <family val="2"/>
        <charset val="238"/>
        <scheme val="minor"/>
      </rPr>
      <t xml:space="preserve">
Ličenje unutrašnjih zidova i stropova obračunava se po m2, (otvori do 3m2 se ne oduzimaju, a obrada oko otvora se ne obračunava posebno).</t>
    </r>
  </si>
  <si>
    <t xml:space="preserve">gletani i žbukani ab </t>
  </si>
  <si>
    <t xml:space="preserve">gletane gk ploče </t>
  </si>
  <si>
    <t xml:space="preserve">gletane vlaknocementne ploče </t>
  </si>
  <si>
    <t>KLASA PERIVOSTI 2 - ZIDOVI STANOVA</t>
  </si>
  <si>
    <t>KLASA PERIVOSTI 3 - STROPOVI</t>
  </si>
  <si>
    <t>KLASA PERIVOSTI 1 - ZIDOVI ULAZA, STUBIŠTA I ZAJEDNIČKIH HODNIKA</t>
  </si>
  <si>
    <t xml:space="preserve">Za lijepljenje keramičkih pločica mogu se upotrijebiti samo ljepila koja su od proizvođača deklarirana za određenu vrstu radova i tip pločice. Proizvođač mora dati detaljne upute za upotrebu i predradnje potrebne za lijepljenje. Ljepilo ne smije izazivati nikakve štetne posljedice uslijed kemijskih utjecaja izazvanih pri dodiru podloge i obloge s ljepilom.                    Karakteristike ljepila: - klasa C2TE S2 (EN12004 ili jednakovrijedno ______________________________)       
</t>
  </si>
  <si>
    <t>Karakteristike:</t>
  </si>
  <si>
    <t xml:space="preserve">Pločice su kalibrirane i retificirane.   </t>
  </si>
  <si>
    <t>Odstupanje od proizvodne dimenzije +/- 0.3% (+/-1,0 mm max)</t>
  </si>
  <si>
    <t>Odstupanje od proizvodne debljine +/- 5% (+/-0,5 mm max)</t>
  </si>
  <si>
    <t xml:space="preserve">Odstupanje od pravog kuta +/- 0.3% </t>
  </si>
  <si>
    <t>Odstupanje od ravnosti +/- 0.4%</t>
  </si>
  <si>
    <t>Odstupanje središnja zakrivljenost / zakrivljenost ruba +/- 0.3%</t>
  </si>
  <si>
    <t>ISO-10545-2 ili jednakovrijedno ___________________</t>
  </si>
  <si>
    <t>Upijanje vode ≤ 0.6%</t>
  </si>
  <si>
    <t>ISO-10545-3 ili jednakovrijedno __________________</t>
  </si>
  <si>
    <t>lomna čvrstoća &gt;700N (za debljinu &lt;7,5mm)</t>
  </si>
  <si>
    <t>lomna čvrstoća &gt;1300N (za debljinu ≥ 7,5mm)</t>
  </si>
  <si>
    <t>Otpor na savijanje R ≥ 35 N/mm²</t>
  </si>
  <si>
    <t>ISO-10545-4 ili jednakovrijedno _______________________</t>
  </si>
  <si>
    <t xml:space="preserve">Otpornost na duboku abraziju neglazirane pločice ≤ 175 mm³ </t>
  </si>
  <si>
    <t>ISO-10545-6 ili jednakovrijedno _______________________</t>
  </si>
  <si>
    <t xml:space="preserve">Otporna na toplinski šok </t>
  </si>
  <si>
    <t>ISO-10545-9 ili jednakovrijedno _________________</t>
  </si>
  <si>
    <t xml:space="preserve">Pločice su otporne na smrzavanje </t>
  </si>
  <si>
    <t>ISO-10545-12 ili jednakovrijedno ____________________</t>
  </si>
  <si>
    <t>Reakcija na požar A1 ili A1fl _____________________</t>
  </si>
  <si>
    <t>Otpor na kućanske kemikalije i bazenske soli min. B class</t>
  </si>
  <si>
    <t>ISO-10545-13 ili jednakovrijedno _________________________</t>
  </si>
  <si>
    <t>Otpornost na mrlje  min.klasa 5</t>
  </si>
  <si>
    <t>ISO-10545-14 ili jednakovrijedno _____________________</t>
  </si>
  <si>
    <t>Nakon polaganja reške se fugiraju fugir masom u boji po izboru projektanta. Masa za fugiranje treba udovoljavati parametrima CG2 WA prema standardu HRN EN 13888 i EMICODE EC 1, ili jednakovrijedne ___________________________ PLUS R: very low emission. Sadrži posebne dodatke koji sprječavaju rast bakterija i mikroorganizama, u skladu sa zahtjevima standarda BS 5980, ili jednakovrijedan _______________________; za otpornost na mikroorganizme.</t>
  </si>
  <si>
    <t xml:space="preserve">Brtvila služe za zatvaranje spojnica između keramičkih pločica, za zatvaranje dilatacijskih razdjelnica između ograničenih veličina popločavanja i spojeva popločavanja zida s podom ili tavanicom. 
</t>
  </si>
  <si>
    <r>
      <t xml:space="preserve">- za prostore  u kojima su korisnici obuveni sukladno: 
DIN-51130:2010 (ili jednakovrijedan ____________)
</t>
    </r>
    <r>
      <rPr>
        <b/>
        <sz val="10"/>
        <color theme="1"/>
        <rFont val="Calibri"/>
        <family val="2"/>
        <charset val="238"/>
        <scheme val="minor"/>
      </rPr>
      <t xml:space="preserve">R10, R11, R12
- </t>
    </r>
    <r>
      <rPr>
        <sz val="10"/>
        <color theme="1"/>
        <rFont val="Calibri"/>
        <family val="2"/>
        <charset val="238"/>
        <scheme val="minor"/>
      </rPr>
      <t xml:space="preserve">za prostore  u kojima su korisnici bosi sukladno:
DIN-51097 (ili jednakovrijedan _________________)
</t>
    </r>
    <r>
      <rPr>
        <b/>
        <sz val="10"/>
        <color theme="1"/>
        <rFont val="Calibri"/>
        <family val="2"/>
        <charset val="238"/>
        <scheme val="minor"/>
      </rPr>
      <t xml:space="preserve">mokri prostori: A
suhi prostori: A+B
- Koeficijent trenja (DCOF) sukladno: 
</t>
    </r>
    <r>
      <rPr>
        <sz val="10"/>
        <color theme="1"/>
        <rFont val="Calibri"/>
        <family val="2"/>
        <charset val="238"/>
        <scheme val="minor"/>
      </rPr>
      <t xml:space="preserve">ANSI 326.3 (ili jednakovrijedno__________________)
</t>
    </r>
    <r>
      <rPr>
        <b/>
        <sz val="10"/>
        <color theme="1"/>
        <rFont val="Calibri"/>
        <family val="2"/>
        <charset val="238"/>
        <scheme val="minor"/>
      </rPr>
      <t>mokri prostori: &gt; 0,60
suhi prostori: &lt; 0,60</t>
    </r>
  </si>
  <si>
    <r>
      <t xml:space="preserve">U cijenu uključiti sva rezanja i pripasivanja. U cijenu uključiti i tipske upuštene dilatacijske letve u prostorijama i u pragovima vrata te završne rubne i kutne profile obloga zida. 
</t>
    </r>
    <r>
      <rPr>
        <b/>
        <sz val="10"/>
        <color theme="1"/>
        <rFont val="Calibri"/>
        <family val="2"/>
        <charset val="238"/>
        <scheme val="minor"/>
      </rPr>
      <t>Prijelaze između zidova i pločica potrebno je trajnoelastično fugirati u tonu fugirnr mase– uključeno u stavku.</t>
    </r>
  </si>
  <si>
    <r>
      <t>gres porculanska pločica (retificirana)</t>
    </r>
    <r>
      <rPr>
        <b/>
        <sz val="10"/>
        <rFont val="Calibri"/>
        <family val="2"/>
        <charset val="238"/>
      </rPr>
      <t xml:space="preserve">
ton pločice: svijetla bež boja; imitacija kamena vapnenca</t>
    </r>
    <r>
      <rPr>
        <sz val="10"/>
        <rFont val="Calibri"/>
        <family val="2"/>
        <charset val="238"/>
      </rPr>
      <t xml:space="preserve">
ton fuge: svijetlo siva
dimenzija: 
za gazište (š= min. širina gazišta)
za čelo (š = min visina čela)</t>
    </r>
  </si>
  <si>
    <r>
      <rPr>
        <sz val="10"/>
        <rFont val="Calibri"/>
        <family val="2"/>
        <charset val="238"/>
        <scheme val="minor"/>
      </rPr>
      <t xml:space="preserve">gres porculanska podna pločica (retificirana)
imitacija brušenog teraco poda, </t>
    </r>
    <r>
      <rPr>
        <b/>
        <sz val="10"/>
        <color indexed="10"/>
        <rFont val="Calibri"/>
        <family val="2"/>
        <charset val="238"/>
      </rPr>
      <t xml:space="preserve">
</t>
    </r>
    <r>
      <rPr>
        <b/>
        <sz val="10"/>
        <rFont val="Calibri"/>
        <family val="2"/>
        <charset val="238"/>
      </rPr>
      <t xml:space="preserve">osnovni ton pločice: bijela </t>
    </r>
    <r>
      <rPr>
        <sz val="10"/>
        <color indexed="10"/>
        <rFont val="Calibri"/>
        <family val="2"/>
        <charset val="238"/>
      </rPr>
      <t xml:space="preserve">
</t>
    </r>
    <r>
      <rPr>
        <sz val="10"/>
        <rFont val="Calibri"/>
        <family val="2"/>
        <charset val="238"/>
      </rPr>
      <t>ton fuge: svijetlo siva</t>
    </r>
    <r>
      <rPr>
        <sz val="10"/>
        <color indexed="10"/>
        <rFont val="Calibri"/>
        <family val="2"/>
        <charset val="238"/>
      </rPr>
      <t xml:space="preserve">
</t>
    </r>
    <r>
      <rPr>
        <sz val="10"/>
        <rFont val="Calibri"/>
        <family val="2"/>
        <charset val="238"/>
      </rPr>
      <t xml:space="preserve">dimenzija pločice: 60x60cm
</t>
    </r>
    <r>
      <rPr>
        <b/>
        <sz val="10"/>
        <rFont val="Calibri"/>
        <family val="2"/>
        <charset val="238"/>
      </rPr>
      <t>Protukliznost: min R10</t>
    </r>
  </si>
  <si>
    <t>gres porculanska podna pločica (retificirana)
glazirana, polusjajna završna obrada
ton pločice: RAL 7016 (ton koji se nalazi u podnoj pločici)
ton fuge: tamno siva
h = 15 cm
Protukliznost: min R10</t>
  </si>
  <si>
    <r>
      <t>gres porculanska podna pločica (retificirana)</t>
    </r>
    <r>
      <rPr>
        <b/>
        <sz val="10"/>
        <rFont val="Calibri"/>
        <family val="2"/>
        <charset val="238"/>
      </rPr>
      <t xml:space="preserve">
ton pločice: svjetlo siva </t>
    </r>
    <r>
      <rPr>
        <sz val="10"/>
        <rFont val="Calibri"/>
        <family val="2"/>
        <charset val="238"/>
      </rPr>
      <t xml:space="preserve">
ton fuge: svijetlo siva
dimenzija pločice: 30x30cm
Protukliznost: min R10</t>
    </r>
  </si>
  <si>
    <r>
      <t>zidna i podna gres porculanska pločica (retificirana)
imitacija sivog mramora</t>
    </r>
    <r>
      <rPr>
        <b/>
        <sz val="10"/>
        <rFont val="Calibri"/>
        <family val="2"/>
        <charset val="238"/>
      </rPr>
      <t xml:space="preserve">
ton pločice: sjajna glazura i srednja varijacija tonova </t>
    </r>
    <r>
      <rPr>
        <sz val="10"/>
        <rFont val="Calibri"/>
        <family val="2"/>
        <charset val="238"/>
      </rPr>
      <t xml:space="preserve">
ton fuge: svijetlo siva
dimenzija pločice zid: 30x60cm,                                      dimenzija pločice pod: 30x30cm
oblaganje zida do stropa (h=270cm)
Protukliznost: min R10</t>
    </r>
  </si>
  <si>
    <r>
      <t>ZID _ Obračun po m</t>
    </r>
    <r>
      <rPr>
        <sz val="10"/>
        <color theme="1"/>
        <rFont val="Calibri"/>
        <family val="2"/>
        <charset val="238"/>
      </rPr>
      <t>².</t>
    </r>
  </si>
  <si>
    <r>
      <t>gres porculanska podna pločica (retificirana)</t>
    </r>
    <r>
      <rPr>
        <b/>
        <sz val="10"/>
        <rFont val="Calibri"/>
        <family val="2"/>
        <charset val="238"/>
      </rPr>
      <t xml:space="preserve">
ton pločice: svjetlo siva </t>
    </r>
    <r>
      <rPr>
        <sz val="10"/>
        <rFont val="Calibri"/>
        <family val="2"/>
        <charset val="238"/>
      </rPr>
      <t xml:space="preserve">
ton fuge: svijetlo siva
dimenzija pločice: 25x50cm
polirane</t>
    </r>
  </si>
  <si>
    <r>
      <t>ZID KUHINJE</t>
    </r>
    <r>
      <rPr>
        <sz val="11"/>
        <rFont val="Calibri"/>
        <family val="2"/>
        <charset val="238"/>
        <scheme val="minor"/>
      </rPr>
      <t xml:space="preserve"> visine 75-150cm</t>
    </r>
  </si>
  <si>
    <t>Parketarski radovi podrazumijevaju postavljanje tvornički pripremljenog parketa, te postavu sokla. 
Sukladno: U.F2.016 
(ili jednakovrijedno ____________________________)</t>
  </si>
  <si>
    <t>Nakon postave parketa mora se održavati uvjeti u prostoru(temperatura, vlaga, prozračivanje) sukladno uputi proizvođača.</t>
  </si>
  <si>
    <t>Postavljanje troslojnog hrastovog parketa 
razred (○) prema HRN EN 13489
(ili jednakovrijedno ________________________)
E klasa prema DIN-u ljepilu.
d= 14 - 15 mm
boja: natur</t>
  </si>
  <si>
    <t xml:space="preserve">Prije početka postavljanja parketa, svi keramičarski i ličilački radovi moraju biti gotovi, podloga na kojoj se postavlja parket mora biti čista, čvrsta, bez pukotina, stabilna, ravna i maksimalne vlažnosti  Sadržaj vode  cementne podloge ovisi o vrsti materijala i njegovoj gustoći. U trenutku polaganja parketa CM vrijednost    vlage klasičnoga  cementnog estriha treba iznositi oko 1,5 % ne smije premašiti 1,8 %.. </t>
  </si>
  <si>
    <r>
      <rPr>
        <b/>
        <sz val="10"/>
        <color theme="1"/>
        <rFont val="Calibri"/>
        <family val="2"/>
        <charset val="238"/>
        <scheme val="minor"/>
      </rPr>
      <t>SOKL</t>
    </r>
    <r>
      <rPr>
        <sz val="10"/>
        <color theme="1"/>
        <rFont val="Calibri"/>
        <family val="2"/>
        <charset val="238"/>
        <scheme val="minor"/>
      </rPr>
      <t xml:space="preserve"> 
Dilataciona razdjelnica uz zidove pokriva se kutnom letvom (soklom). Sokl je od hrastovine. Izrađen je u vidu klinaste letvice profila 3 x 2,5cm.  Završnu obrdu (ulje) izvršiti prije postave.</t>
    </r>
  </si>
  <si>
    <t>Na  poravnatu posteljicu izvodi se betonski temelj  (također dio jedinične cijene stavke). 
Dim 30x30cm, Marka betona: C25/30</t>
  </si>
  <si>
    <t>Na  poravnatu posteljicu izvodi se betonski temelj (također dio jedinične cijene stavke). 
Dim 30x30cm, Marka betona: C25/30</t>
  </si>
  <si>
    <t>Smještaj: uz  parkiralište na sjeveru i istoku katastarske čestice</t>
  </si>
  <si>
    <t>Betonski predgotovljeni elementi moraju biti izrađeni u čeličnim glatkim oplatama, blago zaobljenih rubova na vidljivim stranama, od sitnozrnatog agregata. C30/37, dobro nabijen, vibriran. Postavljanje i učvršćivanje mortom. Mort za vezivanje je cementni mort omjera 1:3 marke M10. Fuga između elemenata 1cm, naglašena, konkavno obrađena i zaglađena. Obračun radova po m'.</t>
  </si>
  <si>
    <t>Betonski predgotovljeni rigol je namjenjen za odvodnju oborinskih voda prema slivnicima i kanalizacionim sabirnicima.
Postavljanje se vrši na beton MB 10 ili MB 15, zemljovlažne konzistencije, u debljini od 20 cm, širine 40cm. Sive boje. (u cijeni)
dim. 40 x 40 x 15 cm</t>
  </si>
  <si>
    <t>Zrnat kameni materijal - tampon frakcije (0 – 16 mm) bez veziva. 
Potreban modul stišljivosti Ms=100 MPa mjereno kružnom pločom Ø 30 cm. Odstupanje ravnosti površine izvedenog sloja ne smije iznositi više od ± 2 cm.
Debljine 10cm</t>
  </si>
  <si>
    <t>Zrnat kameni materijal - tampon frakcije (60 – 100 mm) bez veziva. 
Potreban modul stišljivosti Ms=80 MPa mjereno kružnom pločom Ø 30 cm. Odstupanje ravnosti površine izvedenog sloja ne smije iznositi više od ± 2 cm.
Dva sloja debljine 2x25cm</t>
  </si>
  <si>
    <t>Šljunak postavljen sukladno arhitektonskom projektu - situaciji.
Debljina: 15cm, frakcije 20 - 30mm. 
Tucanik se postavlja na sloj geotekstila (200gr/m2), na prethodno nabijenu podlogu. Geotekstil je dio ove stavke. Između zemlje i šljunka stavlja se graničnik od nehrđajućeg lima visine šljunka d=1mm.             Obračun po m².</t>
  </si>
  <si>
    <t>Po rubu se stavlja graničnik prema odabranom proizvodu (u cijeni)</t>
  </si>
  <si>
    <t>Ograda se sastoji od vertikalnih nosača (cijev 50/4mm) i horizontalnih prečki (čelična cijev  ∅50/4mm), od kojih posljednja ujedno predstavlja i rukohvat. Visina ograde 120cm 
Montaža okomito na ab zid rampe pocinčanim vijcima, preko čelične stope.
Završna obrada: vruće pocinčavanje, plastificiranje i bojanje 
RAL 1036</t>
  </si>
  <si>
    <t>Ograda se sastoji od okvira i ispune. Okvir i ispunu čine čelične kvadratne cijevi 50x20x3mm. Osna udaljenost ispune iznosi 15cm. Ograda je sidrena okomito na AB zid preko produženih cijevi kemijskim inox sidrima - M10 preko čelične stope, sukladno nacrtu. Svi spojevi jednog elementa vareni, a svi varovi fino brušeni. Sve vruće pocinčano, bojano (RAL 1036), metalni sjaj.</t>
  </si>
  <si>
    <t xml:space="preserve">Specifikacije:
• Konstrukcija: čelična
• Ispuna: perforirani lim
• Krov: trapezni lim
• Vrata: klizni sistem
• Antikorozivna zaštita: galvansko cinčanje i plastifikacija za morske uvjete
• Plastificirano u RAL 1015
</t>
  </si>
  <si>
    <t>Dodatna oprema:
Zaključavanje: Elektrobrava sa šifratorom, Šifrator na solarno napajanje
• Podesive nogice
• Držač za vreću za smeće
• Kukice
• Žičana pregrada
• Limena podnica
• Natpisne pločice</t>
  </si>
  <si>
    <r>
      <t>Shema</t>
    </r>
    <r>
      <rPr>
        <b/>
        <sz val="10"/>
        <color theme="1"/>
        <rFont val="Calibri"/>
        <family val="2"/>
        <charset val="238"/>
        <scheme val="minor"/>
      </rPr>
      <t xml:space="preserve"> BR_8 dim 620x150x200</t>
    </r>
  </si>
  <si>
    <t>VANJSKO SPREMIŠTE KONTEJNERA ZA OTPAD - tipsko</t>
  </si>
  <si>
    <t xml:space="preserve">Sadnja stablašica (35 komada) na novouređene zelene površine. </t>
  </si>
  <si>
    <t>Rad na sadnji obuhvaća slijedeće:
a) Iskop rupa za sadnice 60x60x60cm, u zemlji II kategorije, te zatrpanje pripremljenom smjesom, gnoidba i zalijevanje prema upurtama proizvođača sadnica.</t>
  </si>
  <si>
    <t>Rad na sadnji obuhvaća slijedeće:
a) Iskop rupa za sadnice 20x20x20cm u zemlji II kategorije, te zatrpanje pripremljenom smjesom, gnoidba i zalijevanje prema upurtama proizvođača sadnica.</t>
  </si>
  <si>
    <t>SJETVA
- sjetva sjemena travna smjesa (eng. Ljulj, djetelina...  5-8 dkg/1m2)
- posipavanje humusa po sjemenu (10l /1m2)
- valjanje posijane površine
zalijevanje površine do nicanja sjemena visine 5cm, a min 10 dana</t>
  </si>
  <si>
    <t>Kontejneri se nalaze na sjevero-zapadnom dijelu katastarske čestice, u ograđenom prostoru uz javnu prometnicu.
Materijal: novi polietilen
Kapacitet: 1100 lit.
Različite boje (plava za papir 2kom, žuta za plastiku 1 kom, smeđa za bio otpad 1 kom, te zelena za miješani otpad kom 4; 
dim. (VxŠxD) = 1462x1360x1064 mm</t>
  </si>
  <si>
    <t>Broj parking mjesta, postavlja se na ulazu u PM, po sredini (prema planu etažiranja)- boja bijela visine 25cm, font: Kristen ITC</t>
  </si>
  <si>
    <t>B02  Ø 60 _visina 250cm</t>
  </si>
  <si>
    <t>MAPA III.</t>
  </si>
  <si>
    <t>PROJEKT KONSTRUKCIJE</t>
  </si>
  <si>
    <t>PROJEKT KONSTRUKCIJE - ZGRADA</t>
  </si>
  <si>
    <r>
      <t xml:space="preserve">Projektant: </t>
    </r>
    <r>
      <rPr>
        <b/>
        <sz val="10"/>
        <rFont val="Arial"/>
        <family val="2"/>
        <charset val="238"/>
      </rPr>
      <t>Stipe Budić, dipl.ing.građ. G3492</t>
    </r>
  </si>
  <si>
    <t>ULAZ A</t>
  </si>
  <si>
    <t>ULAZ B</t>
  </si>
  <si>
    <t>ULAZ C</t>
  </si>
  <si>
    <t>ULAZ D</t>
  </si>
  <si>
    <t>PRIPREMNI I ZEMLJANI RADOVI</t>
  </si>
  <si>
    <t>Zemljani radovi izvodit će se prema odobrenom glavnom i izvedbenom projektu, pridržavajući se i  primjenjujući važeće propise i norme.</t>
  </si>
  <si>
    <t>Osnovne smjernice za opis mjerodavnih stavki zemljanih radova su one navedene u Općim tehničkim uvjetima za radove na cestama, OTU-a, KNJIGA II. (HC - HAC 2001.g) ili jednakovrijedne norme ________________________________.</t>
  </si>
  <si>
    <t>Prije početka zemljanih radova obavezno iskolčiti granice objekta, te po potrebi postaviti druge potrebne oznake, označiti stalne visine, te snimiti postojeći teren radi obračuna količine iskopa.</t>
  </si>
  <si>
    <t>Izvođač je dužan izvesti sav rad oko iskopa (ručnog ili strojnog) i to do bilo koje potrebne dubine, sa svim potrebnim pomoćnim radovima, kao što je niveliranje i planiranje, nabijanje površine, obrubljivanje stranica, osiguranje od urušavanja, postava potrebne ograde, crpljenje oborinske ili procjedne vode.</t>
  </si>
  <si>
    <t>Iskop zemlje vrši se ručno ili strojno. 
Kategorija terena je određena prethodnim sondiranjem u sklopu geomehaničkog elaborata.</t>
  </si>
  <si>
    <t xml:space="preserve">Ukoliko se prilikom iskopa naiđe na podzemnu vodu, iako je geomehaničkim eleboratom utvrđena dublje  od predviđenog iskopa, obavijestiti će se investitor putem građevinskog dnevnika. 
Troškove crpljenja vode za normalan rad snosi izvoditelj, kao i naknadu za otežani rad. Crpljenje oborinske vode uračunato je također u jediničnoj cijeni. </t>
  </si>
  <si>
    <t>Kod zatrpavanja nakon izvedbe temelja i instalacija u tlu i sl., treba materijal polijevati, kako bi se mogao bolje nabiti i dobiti potrebna zbijenost, a nabijanje izvesti u slojevima do najviše 30 cm s vibro nabijačima ili žabama.</t>
  </si>
  <si>
    <t>Sve nasipe izvesti u određenoj debljini, prema izvedbenoj projektnoj dokumentaciji. Upotrebljeni materijal za nasip (šljunak, pijesak, tučenac) mora biti čist od organskih primjesa.</t>
  </si>
  <si>
    <t>Prevezeni materijal računa se u sraslom stanju, dok se postotak za rastresitost ukalkulira u cijenu. U cijeni je uključena naplata deponije.</t>
  </si>
  <si>
    <t>Kameni materijal koji se ugrađuje mora odgovarati propisima HRN EN 12620:2008 ili jednakovrijednim _________________________.</t>
  </si>
  <si>
    <t>Ovi uvjeti mijenjaju se ili nadponujuju opisima u pojedinim stavkama troškovnika.</t>
  </si>
  <si>
    <t>Ukoliko dođe do zatrpavanja, urušavanja, odrona ili bilo koje druge štete nepažnjom izvođača (radi nedovoljnog podupiranja, razupiranja ili drugog nedovoljnog osiguranja), izvođač je dužan dovesti iskop u ispravno stanje, odnosno popraviti štetu bez posebne naknade.</t>
  </si>
  <si>
    <t xml:space="preserve">Za sve stavke obuhvaćene troškovnikom zemljanih radova u jediničnu cijenu potrebno je uračunati sve transporte materijala sa pozajmišta ili kamenoloma , deponiranje na ovlaštene deponije , deponiranje na privremene gradilišne deponije, sav rad strojni i ručni , sve alate , strojeve , skele i pomoćna sredstva koja su potrebna da bi se stavka izvela sukladno projektu, stavci troškovnika i pravilima struke. </t>
  </si>
  <si>
    <t xml:space="preserve">Izvođač je dužan sav materijal predviđen za deponiranje odvesti na deponij predviđen za tu svrhu, te predočiti nadzornoj službi potvrdu o deponiranju. </t>
  </si>
  <si>
    <t>Radove na iskopu i konačno utvrđivanje temeljenja (pregled temeljnog tla) vršiti pod nadzorom ovlaštenog geomehaničara ili projektanta konstrukcije.</t>
  </si>
  <si>
    <t xml:space="preserve">Ukoliko se prilikom izvedbe ne zadovolje traženi ili predpostavljeni uvjeti , potrebno je novo rješenje dogovoriti sa nadzornim inženjerom, ovlaštenim geomehaničarem i projektantom konstrukcije. </t>
  </si>
  <si>
    <t>Zemljani radovi u zoni postojećih instalacija trebaju se izvoditi s maksimalnim oprezom, prema OUT, KNJIGA II. (HC - HAC 2001.g. ili jednakovrijednoj normi ________________________.</t>
  </si>
  <si>
    <t>PRIPREMNI RADOVI</t>
  </si>
  <si>
    <t xml:space="preserve">1. </t>
  </si>
  <si>
    <r>
      <rPr>
        <b/>
        <sz val="10"/>
        <rFont val="Calibri"/>
        <family val="2"/>
        <charset val="238"/>
      </rPr>
      <t xml:space="preserve">Iskolčenje trase i objekata. 
</t>
    </r>
    <r>
      <rPr>
        <sz val="10"/>
        <rFont val="Calibri"/>
        <family val="2"/>
        <charset val="238"/>
      </rPr>
      <t>Iskolčenje trase i objekata obuhvaća sva geodetska mjerenja, kojima se podaci iz projekta prenose na teren, osiguranje osi iskolčene trase, profiliranje, obnavljanje i održavanje iskolčenih oznaka na terenu za sve vrijeme građenja, odnosno do predaje radova investitoru. U cijenu održavanja osi trase i iskolčenja objekata uključena su sva mjerenja i iskolčenja za sve radove na trasi, pozajmišta materijala, deponije i drugo, u tijeku rada i pri tehničkom prijemu, te izvođač nema pravo na posebnu naknadu za ove radove (OTU I. 1-02.1) 2001. g. (HC + HAC) ili jednakovrijedno __________________ .</t>
    </r>
  </si>
  <si>
    <r>
      <rPr>
        <b/>
        <sz val="10"/>
        <rFont val="Calibri"/>
        <family val="2"/>
        <charset val="238"/>
      </rPr>
      <t xml:space="preserve">Čišćenje i uklanjanje grmlja i raslinja
</t>
    </r>
    <r>
      <rPr>
        <sz val="10"/>
        <rFont val="Calibri"/>
        <family val="2"/>
        <charset val="238"/>
      </rPr>
      <t xml:space="preserve">Ovaj rad obuhvaća čišćenje parcele od raznog raslinja, otpadaka,  skidanje prvog trošnog sloja zemlje i humusa. 
Debljina skidanja cca 20 cm. 
Stavka također uključuje i uklanjanje grmlja i šiblja, vađenje korijenja, šiblja, te starih panjeva, odnošenje šiblja, granja i panjeva  i uklanjanje svega nepotrebnog materijala zaostalog nakon ovih radova (OTU I. 1-03.1) 2001. g. (HC + HAC) ili jednakovrijedno __________________ </t>
    </r>
  </si>
  <si>
    <t xml:space="preserve">Stavka uključuje utovar, odvoz i deponiranje uklonjenog grmlja, raslinja i trošnog sloja zemlje. Deponiranje i/ili sanacija uklonjenog materijala usitnjavanjem biomase obveza je izvođača i troškovi deponiranja i/ili sanacije uračunati su u jediničnu cijenu.
Obračun po metru kvadratnom površine i po komadu uklonjenih stabala. </t>
  </si>
  <si>
    <t xml:space="preserve"> - površina čišćenja i uklanjanja raslinja, grmlja i trošnog sloja zemlje</t>
  </si>
  <si>
    <t>m2</t>
  </si>
  <si>
    <t>ZEMLJANI RADOVI</t>
  </si>
  <si>
    <t>1,2,1</t>
  </si>
  <si>
    <t>STROJNI ISKOP</t>
  </si>
  <si>
    <t xml:space="preserve">Strojni iskop materijala na poziciji objekta, 60 cm niže od kote podbetona zbog zamjene materijala na pozicijama budućih  temeljnih ploča  objekta  u tlu   C kategorije (prema OTU). </t>
  </si>
  <si>
    <t>Radove je potrebno izvršiti pažljivo kako bi se izbjeglo oštećenje okolnih objekta i komunalnih instalacija. Stavka također uključuje i sve potrebne predradnje (npr. materijal i opremu...) koje su potrebne za uspješno obavljanje posla uklanjanja i odvoz materijala na deponiju.</t>
  </si>
  <si>
    <t>Obračun po m3 otkopanog iskopa u sraslom stanju.</t>
  </si>
  <si>
    <t xml:space="preserve">Strojni iskop materijala  na pozicijama ogradnih zidova i vanjskih površina oko objekta u tlu   C kategorije (prema OTU). </t>
  </si>
  <si>
    <t>1,2,2</t>
  </si>
  <si>
    <t>NASIPAVANJE</t>
  </si>
  <si>
    <t>(prema OTU ili jednakovrijedno_____________)</t>
  </si>
  <si>
    <t>Radovi uključuju nasipe, izrade posteljica i izrade nosivih slojeva</t>
  </si>
  <si>
    <t>Radovima je potrebno visinske kote nasipa izvest precizno do donjih kota podbetona, betona i drugih kolnih i pješačkih površina</t>
  </si>
  <si>
    <t>Izvedbom nasipa potrebno je postojići zbijenost:</t>
  </si>
  <si>
    <t>Modul stišljivosti Ms mjeren kružnom pločom promjera 30 cm:</t>
  </si>
  <si>
    <t>ispod temeljnih ploča i traka: Ms≥80-100 MN/m2</t>
  </si>
  <si>
    <t>ispod podnih ploča: Ms≥80 MN/m2</t>
  </si>
  <si>
    <t>ispod nosivog sloja kolnika: Ms≥80 MN/m2</t>
  </si>
  <si>
    <t>ispod pješačkih staza: Ms≥40 MN/m2</t>
  </si>
  <si>
    <t>Referentne visinske kote uređenog terena su one iz arhitektonskog projekta.</t>
  </si>
  <si>
    <r>
      <rPr>
        <b/>
        <sz val="10"/>
        <color theme="1"/>
        <rFont val="Calibri"/>
        <family val="2"/>
        <charset val="238"/>
        <scheme val="minor"/>
      </rPr>
      <t>ZAMJENA TLA:</t>
    </r>
    <r>
      <rPr>
        <sz val="10"/>
        <color theme="1"/>
        <rFont val="Calibri"/>
        <family val="2"/>
        <charset val="238"/>
        <scheme val="minor"/>
      </rPr>
      <t xml:space="preserve">
Nasipavanje materijala u slojevima ispod budućih armirano betonskih konstrukcija objekta u tlu u sljedećim slojevima:  (od dolje prema gore)                                                                                                                                                                                                                                                                              - tampon frakcije 0-63mm, d=30cm,  Ms= 60-80MPa                                                              - geotekstil 500gr/m2                                                                                                                                                                                       - tampon frakcije 0-63mm, d=25cm,Ms= 80-100MPa, sve prema OTU. 
Rad obuhvaća nabavu, prijevoz i ugradnju zrnatog kamenog materijala  u nosivi sloj. Nasipavanje se vrši u sloju debljine 30 cm,  sa nabijanjem vibro nabijačima na potrebnu zbijenost.  Modul stišljivosti Ms mjeren kružnom pločom promjera 30 cm mora iznositi najmanje 80-100  MN/m2. Podlogu dobro isplanirati sa točnošću + 1 cm. 
Stavkom su obuhvaćeni svi radovi, materijali i prijevozi, potrebni za izradu nosivog sloja, sve prema OTU.
Obračun po m3 izvedene gotove podloge u zbijenom stanju prema gore navedenim slojevima.</t>
    </r>
  </si>
  <si>
    <t xml:space="preserve"> - na poziciji temeljnih ploča</t>
  </si>
  <si>
    <t xml:space="preserve"> - na poziciji asfaltnih površina oko objekta</t>
  </si>
  <si>
    <t xml:space="preserve"> - na poziciji ogradnih zidova oko objekta</t>
  </si>
  <si>
    <t>IZRADA NASIPNOG KLINA OKO OBJEKTA</t>
  </si>
  <si>
    <t>U stavku ugraditi drenažnu cijev prema posebnom projektu (cijev je zasebna stavka)</t>
  </si>
  <si>
    <t xml:space="preserve">Izrada nasipnog klina oko  armirano betonskih zidova objekta, sukladno t. 2-13, OTU. Klin se izvodi od mješanog kamenog materijala, granulacije takve da omogućava procjeđivanje povšinske oborinske vode do drenažne cijevi, ta da zbijenost nasipa bude sukladno t. 2-13, OTU.  
</t>
  </si>
  <si>
    <t>Nasipavanje  na poziciji vanjskih površina i ogradnih zidova oko objekta  od zdravog kamenog agregata (tucanika/tampona), granulacije  prema OTU. Rad obuhvaća nabavu, prijevoz i ugradnju zrnatog kamenog materijala u nosivi sloj. Nasipavanje se vrši u slojevima, debljina sloja iznosi do 30cm,  sa nabijanjem vibro nabijačima na potrebnu zbijenost. Za drobljeni kameni materijal treba postići vrijednost CBR-a najmanje 100%. Modul stišljivosti Ms mjeren kružnom pločom promjera 30 cm mora iznositi najmanje 60-80 MPa. Podlogu dobro isplanirati sa točnošću + 1 cm. 
Stavkom su obuhvaćeni svi radovi, materijali i prijevozi, potrebni za izradu nosivog sloja.
Obračun po m3 izvedene gotove podloge u zbijenom stanju.</t>
  </si>
  <si>
    <t xml:space="preserve"> - nasipavanje oko ab zidova objekta u tlu</t>
  </si>
  <si>
    <t xml:space="preserve"> - nasipavanje oko temelja ogradnih zidova i vanjskih površina</t>
  </si>
  <si>
    <t xml:space="preserve">4. </t>
  </si>
  <si>
    <t>Dobava i postava sloja humusa u visini od 40-50cm na poziciji vanjskih zelenih površina.Obračun se vrši po m3 postavljenog i uređenog (izravnatog) sloja humusa u sraslom stanju.</t>
  </si>
  <si>
    <t>PRIPREMNI I  ZEMLJANI RADOVI UKUPNO</t>
  </si>
  <si>
    <t>BETONSKI I A.B. RADOVI</t>
  </si>
  <si>
    <t>Sve armiranobetonske i betonske konstrukcije moraju se izvoditi prema statičkom računu i nacrtima. 
Prilikom betoniranja treba u konstrukcijama izvesti sve kanale i proboje za vođenje raznih instalacija, prema građevinskim nacrtima i nacrtima instalatera kao i na zahtjev nadzornog inženjera, kako ne bi dolazilo do bilo kakvih naknadnih štemanja (usijecanja) u AB konstrukciji.
Za sve estrih betone i podove tanje od 5cm predvidjeti i ponuditi mrežastu armaturu te izradu potrebnih dilatacija.</t>
  </si>
  <si>
    <t>Napomena:                                                                 
Sukladno čl.209. Zakona o javnoj nabavi, sve  norme navedene u nastavku , mogu se zamijeniti jednakovrijednim normama.</t>
  </si>
  <si>
    <t>Sve betonske konstrukcije, sastojci i dodaci za spravljenje  betona , armaturni čelik , te metode izvedbe betonskih konstrukcija , moraju biti usklađene sa:</t>
  </si>
  <si>
    <t xml:space="preserve"> Tehničkim propisom za građevinske konstrukcije (NN 17/17) i normama na koje se isti poziva </t>
  </si>
  <si>
    <t xml:space="preserve">HRN EN 13670 - Izvedba betonskih konstrukcija </t>
  </si>
  <si>
    <t>HRN EN 206 - 1 Beton - Specifikacije , svojstva , proizvodnja I sukladnost</t>
  </si>
  <si>
    <t>HRN EN 1128 -  Beton - smjernice za primjenu norme 206-1</t>
  </si>
  <si>
    <t>HRN EN 10080 - Čelik za armiranje</t>
  </si>
  <si>
    <t xml:space="preserve">i normama na koje se gore navedene norme pozivaju, ili jednakovrijednim normama i pravilima struke. </t>
  </si>
  <si>
    <t>Mogu se rabiti kemijski dodaci koji zadovoljavaju uvjete norme HRN EN 934-2:2012 ili jednakovrijedne____________________________________.
Smiju se rabiti samo oni kemijski dodaci koji imaju potvrdu sukladnosti s uvjetima navedene norme koju je izdala ovlaštena hrvatska institucija.
Sastav betona i sastavne materijale za projektirani beton i beton zadanog sastava treba odabrati tako da zadovoljavaju svojstva uvjetovana za svježi i očvrsli beton, uključivo konzistenciju, gustoću, čvrstoću, trajnost, zaštitu ugrađenog čelika od korozije, uzimajući u obzir proizvodni proces i odabrani postupak izvedbe betonskih radova koji uključuju transport, ugradnju, zbijanje, njegovanje i moguće druge tretmane ili obrade ugrađenog betona.</t>
  </si>
  <si>
    <t>Ispitivanje uzoraka iz proizvodnje prema utvrđenom planu.
Svježi beton - konzistencija betona utvrđuje se metodama slijeganja i rasprostiranja prema HRN EN 12350-2:2019 ili jednakovrijedno___________________ i HRN EN 12350-5:2019 ili jednakovrijedno ____________________ i provodi se u laboratoriju proizvođača betona.                                                                           Količinu cementa, vode, agregata ili mineralnih dodataka utvrđuje se prema otpremnici betona sa proizvodnog pogona. Ni jedna pojedinačno utvrđena vrijednost vodocementnog faktora ne smije biti veća za više od 0,02 od granične vrijednosti. 
Sadržaj zraka u betonu utvrđuje se postupkom HRN EN 12350-7:2019 ili jednakovrijedno _________________.
Donja granica je uvjetovana vrijednost od  –0,5 % do max 1,0% prema HRN EN 206:2016 ili jednakovrijedno _______________.</t>
  </si>
  <si>
    <t>Sukladnost ispitivanja svježeg betona se prihvaća zadovoljenjem sukcesivnih rezultata ispitivanja u skladu sa uvjetovanim graničnim vrijednostima ili graničnim razredima ili zadanim vrijednostima uključujući dozvoljene tolerancije i maksimalno dopušteno odstupanje od tražene (uvjetovane) vrijednosti.</t>
  </si>
  <si>
    <t>Utvrđivanje čvrstoće obavlja se na uzorcima kocaka brida 150 mm sukladnim HRN EN 12390-1:2012- Oblik, dimenzije i drugi zahtjevi za uzorke i kalupe ili jednakovrijednom ________________________ i izrađenim i njegovanim prema HRN EN 12390-2:2019 - Izrada i njegovanje uzoraka za ispitivanje čvrstoće, ili jednakovrijednom ______________________.
Tlačna čvrstoća betona utvrđuje se prema normi HRN EN 12390-3:2019, ili jednakovrijednom _____________________.
Tlačna čvrstoća utvrđena je na uzorcima ispitanim pri starosti od 28 dana. U posebnim slučajevima može se posebno uvjetovati ispitivanje pri starosti manjoj ili većoj od 28 dana. 
Pri ocjenjivanju sukladnosti razlikujemo početnu proizvodnju (dok se ne dobije minimalno 35 rezultata ispitivanja) i kontinuiranu proizvodnju (nakon dobivanja 35 rezultata ispitivanja u periodu koji ne prelazi 12 mjeseci).
Sukladnost se ocjenjuje tijekom perioda ocjenjivanja koji ne prelazi 12 mjeseci (ispituju se uzorci pri starosti od 28 dana ili nekoj drugoj uvjetovanoj starosti).</t>
  </si>
  <si>
    <t>Beton se uzorkuje u skladu s HRN EN 12350-1:2019 ili jednakovrijedno _______________________. Uzorkovanje treba provesti za svaki sastav betona kod kojeg su uvjetovana svojstva trajnosti. Za dokaz tih svojstava odgovoran je proizvođač betona. 
Ispitivanja svojstava trajnosti proizvođač je dužan provoditi u skladu s normama danim u TPGK(Tehnički propis za građevinske konstrukcije , NN 17/17)) , 
Kontrola sukladnosti svojstava trajnosti će se prihvaćati prema pojedinačnim izvještajima za pojedino svojstvo trajnosti, a prema kriterijima koje propisuje pojedina norma ili TPGK (Tehnički propis za građevinske konstrukcije , NN 17/17)) .
Vrijeme od proizvodnje betona do ugradnje treba biti što kraće, kako bi se izbjegli problemi pri pražnjenju transportnih sredstava i ugradnji zbog smanjenja obradivosti svježe betonske mase. Ugrađivanje će se odvijati brzo i bez zastoja. Redoslijed betoniranja mora omogućiti povezivanje novog betona s prethodnim.</t>
  </si>
  <si>
    <t>OPLATA:</t>
  </si>
  <si>
    <t>Svi betonski radovi izvode se u glatkoj oplati, ukoliko stavkom nije drukčije navedeno. Za svako odstupanje od projekta, nadzorni inženjer je dužan izvijestiti Projektanta i Investitora. U cilju postizanja projektiranog izgleda ploha, nužno je koristiti odgovarajuću oplatu i adekvatno ugrađivati beton.</t>
  </si>
  <si>
    <t>Izvođač radova mora osigurati da se oplata postavlja očišćena i premazana sredstvom koje će spriječiti nepotrebno prianjanje betonske mase na podlogu i koje neće štetiti betonu, armaturi i oplati. Oplata treba osigurati betonu traženi oblik dok ne očvrsne. Izvoditelj mora obratiti pažnju na spojnice koje mora zabrtviti kako bi se izbjeglo prekomjerni gubitak cementne paste iz oplate, odnosno kako bi se spriječio nastanak segregiranih mjesta i “gnijezda“ u betonu.
Oplatu koja apsorbira značajniju količinu vode iz betona ili omogućava evaporaciju treba odgovarajuće vlažiti da se spriječi gubitak vode iz betona, osim ako nije za to posebno i kontrolirano namijenjena.
Skele i oplata se ne smiju uklanjati dok beton ne dobije dovoljnu čvrstoću:</t>
  </si>
  <si>
    <t>• otpornu na oštećenje površine skidanjem oplate,
• dovoljnu za preuzimanje svih djelovanja na betonski element u tom trenutku,
• da izbjegne deformacije veće od specificiranih tolerancija elastičnog ili neelastičnog ponašanja betona,
• oplata rasponske konstrukcije gornje AB ploče ne smije se skidati prije postizanja 75% čvrstoće predviđene klase betona, te ne prije proteka 7 dana od betoniranja.
Skidanje same oplate treba izvoditi na način da se konstrukcija ne preoptereti i ne ošteti.
Opterećenja skela treba otpuštati postupno tako da se drugi elementi skele ne preopterete. Stabilnost skela i oplate treba održavati pri oslobađanju i uklanjanju opterećenja.
Postupak podupiranja ili otpuštanja kad se  primjenjuje za reduciranje utjecaja početnog opterećenja,  sukcesivno  opterećenje  i/ili  izbjegavanje  velike  deformacije  treba  detaljno utvrditi.
Vrsta  i  kvaliteta  površinske  obrade  ovise  o  tipu  oplate,  betonu  (agregatu,  cementu, kemijskim i mineralnim dodacima), izvedbi i zaštiti tijekom izvedbe.</t>
  </si>
  <si>
    <t>ARMATURA:</t>
  </si>
  <si>
    <t xml:space="preserve"> Čelik za armiranje betona treba zadovoljavati uvjete propisane Tehničkim propisom za građevinske konstrukcije (NN 17/17). Svaki proizvod treba biti jasno označen i prepoznatljiv.
Površina armature mora biti očišćena od slobodne hrđe i tvari koje mogu štetno djelovati na čelik, beton ili vezu između njih.
Armatura će se na gradilište dovesti u savijenom stanju, a bit će rezana i savijena u armiračkom pogonu.
Čelik za armiranje betona treba rezati i savijati prema projektnim specifikacijama.</t>
  </si>
  <si>
    <t xml:space="preserve"> Pri tome:
• savijanje treba izvoditi jednolikom brzinom,
• savijanje   čelika  pri  temperaturi  ispod  -5 °C,   ako  je  dopušteno  projektnim specifikacijama,  treba   izvoditi  uz  poduzimanje  odgovarajućih  posebnih   mjera osiguranja,
• savijanje  armature  grijanjem  smije  se  izvoditi  samo  uz  posebno  odobrenje  u projektnim specifikacijama.</t>
  </si>
  <si>
    <t>Šipke čelične armature, zavarene mreže i predgotovljeni armaturni koševi ne smiju se oštetiti tijekom prijevoza, skladištenja, rukovanja i postavljanja u projektiranu poziciju.
Prije postavljanja armature, mora se ista očistiti od prljavštine, masnoće i ljusaka od korozije. Ispod armature koja se postavlja na tlo potrebno je izvesti sloj za izravnanje.</t>
  </si>
  <si>
    <r>
      <t>Jedinična cijena stavki obuhvaća:</t>
    </r>
    <r>
      <rPr>
        <sz val="10"/>
        <rFont val="Calibri"/>
        <family val="2"/>
        <charset val="238"/>
      </rPr>
      <t xml:space="preserve">
- izradu projekta betona, 
- nabavu, pripremu i izradu armature, troškove ispitivanja armature
- nabavu komponenti i izradu betona, troškove ispitivanja betona,
- transport, ugradbu i njegu betona, 
- popravke loše izvedenih djelova 
- izradu, postavu i skidanje oplate i radne skele
- izbijanje PVC cijevi te zatvaranje rupa od pašajica (spona)
- skupljanje otpadaka i čišćenje radnog prostora. 
- svi posredni i neposredni troškovi za rad, materijal, transport, alat i građevinske strojeve.
- troškove zaštite pri radu.
- podupiranje konstrukcije iznad 4 m                                                                                                                                                                                                                                                                    - izvedba otvora ili šliceva za prolaz cijevi instalacija te njihovo zatvaranje nakon izvedbe instalacija prema izvedbenom projektu</t>
    </r>
  </si>
  <si>
    <r>
      <t>Jedinična cijena stavki koje se odnose na armaturu B500A i B500B obuhvaća:</t>
    </r>
    <r>
      <rPr>
        <sz val="10"/>
        <rFont val="Calibri"/>
        <family val="2"/>
        <charset val="238"/>
      </rPr>
      <t xml:space="preserve">
- dobava osnovnog materijala 
- savijanje prema izvedbenom projektu
- doprema na gradilište
- propisno skladištenje
- ugradnja prema izvedbenom projektu
- pomoćna i transportna sredstva potrebna za transport i ugradnju armature
- alate potrebne za sve radne operacije ugradnje armature</t>
    </r>
  </si>
  <si>
    <t>NAPOMENE:
• Prije armiranobetonskih radova sve podloge treba očistiti od svih nečistoća i neravnina.
• U cijenu izvedbe radova je uključena i postava potrebnog broja distancera  na armaturu, za dobivanje minimalnog zaštitnog sloja betona do armature i to: za temelje 3-5cm; ploče i zidove 3cm, te stupove i grede 3cm.
• Primopredaja armature vrši se upisom nadzornog inženjera u građevinski dnevnik</t>
  </si>
  <si>
    <t>BETONSKA PODLOGA</t>
  </si>
  <si>
    <t>Betoniranje betonske podloge ispod temeljne ploče objekta, prosječne debljine 10cm betonom C12/15. Podložni beton treba izvesti minimalno 15cm sa svake strane temeljne ploče. Podloga mora biti kompaktna, potpuno ravna i horizontalna. Prije izvedbe podbetona potrebno je očistiti podlogu matičnog tla/stijene. Ukoliko se na koti podbetona utvrdi tlo lošije nosivosti od projektirane, potrebno je napraviti iskop do čvrstog tla i napraviti zamjenu materijala. Podbeton u tom slučaju izvesti na tlu zbijenosti minimalno 100MPa.
Obračun po m2 izvedene betonske podloge.</t>
  </si>
  <si>
    <t xml:space="preserve"> - podbeton ispod temeljne ploče objekta na koti                                   -3.10/-3.70</t>
  </si>
  <si>
    <t xml:space="preserve"> - podbeton ispod temeljne ploče objekta na koti                                   -5.30/-5.40</t>
  </si>
  <si>
    <t xml:space="preserve"> - podbeton ispod temeljne ploče objekta na koti                                   -3.70/-3.80</t>
  </si>
  <si>
    <t>Betoniranje betonske podloge ispod temeljne ploče okna lifta, prosječne debljine 10cm betonom C12/15. Podložni beton treba izvesti minimalno 15cm sa svake strane temelja i temeljne ploče. Podloga mora biti kompaktna, potpuno ravna i horizontalna. Prije izvedbe podbetona potrebno je očistiti podlogu matičnog tla/stijene. Ukoliko se na koti podbetona utvrdi tlo lošije nosivosti od projektirane, potrebno je napraviti iskop do čvrstog tla i napraviti zamjenu materijala. Podbeton u tom slučaju izvesti na tlu zbijenosti minimalno 100MPa.
Obračun po m2 izvedene betonske podloge.</t>
  </si>
  <si>
    <t xml:space="preserve"> - podbeton ispod temeljne ploče okna lifta na koti    -4.30/-4.90</t>
  </si>
  <si>
    <t xml:space="preserve"> - podbeton ispod temeljne ploče okna lifta na koti    -6.40/-6.50</t>
  </si>
  <si>
    <t>AB TEMELJI</t>
  </si>
  <si>
    <t>Betoniranje ab temeljne ploče objekta visine 60 cm, betonom C30/37. Ugradnja betona strojno s pervibriranjem. Obračun po m3 ugrađenog betona.</t>
  </si>
  <si>
    <t xml:space="preserve"> - AB temeljna ploča na koti -3.10/-3.70</t>
  </si>
  <si>
    <t xml:space="preserve"> - AB temeljna ploča na koti -4.70/-5.30</t>
  </si>
  <si>
    <t>Betoniranje ab temeljne ploče okna lifta, visine 60cm, betonom C30/37, XC2. Ugradnja betona strojno s pervibriranjem. Obračun po m3 ugrađenog betona.</t>
  </si>
  <si>
    <t xml:space="preserve"> - AB temeljna ploča okna lifta na koti -4.30/-4.90</t>
  </si>
  <si>
    <t xml:space="preserve"> - AB temeljna ploča okna lifta na koti -5.80/-6.40</t>
  </si>
  <si>
    <t>AB ZIDOVI</t>
  </si>
  <si>
    <t>Izrada ab zidova objekta u betonu u dvostranoj glatkoj oplati. Ugradnja betona strojno s pervibriranjem. Obračun po m3 ugrađenog betona.</t>
  </si>
  <si>
    <t xml:space="preserve"> - AB zidovi podruma u betonu C30/37; XC2, visine od 60cm do 278cm, d= 20cm</t>
  </si>
  <si>
    <t xml:space="preserve"> - AB zidovi podruma u betonu C30/37; XC2, visine  do 450cm, d= 20cm</t>
  </si>
  <si>
    <t xml:space="preserve"> - AB zidovi prizemlja u betonu C25/30; XC1, visine od 128cm do 428cm, d= 20cm</t>
  </si>
  <si>
    <t xml:space="preserve"> - AB zidovi 1. kat u betonu C25/30; XC1, visine 280cm, d= 20cm</t>
  </si>
  <si>
    <t>e)</t>
  </si>
  <si>
    <t xml:space="preserve"> - AB zidovi 2. kat u betonu C25/30; XC1, visine 280cm,     d= 20cm</t>
  </si>
  <si>
    <t>f)</t>
  </si>
  <si>
    <t xml:space="preserve"> - AB zidovi 3. kat u betonu C25/30; XC1, visine 280cm, d= 20cm</t>
  </si>
  <si>
    <t>AB GREDA</t>
  </si>
  <si>
    <t>Izrada ab greda objekta, pravokutnog poprečnog presjeka, ravnog podgleda u trostranoj glatkoj oplati, u betonu C25/30, XC1 i C30/37, XC2. Ugradnja betona strojno s pervibriranjem. Obračun po m3 ugrađenog betona.</t>
  </si>
  <si>
    <t xml:space="preserve"> - AB grede podruma, dimenzija 20x48 cm, visina podupiranja 230 cm, u betonu C30/37, XC2</t>
  </si>
  <si>
    <t xml:space="preserve"> - AB grede podruma, dimenzija 20x20 cm, visina podupiranja 230 cm, u betonu C25/30, XC1</t>
  </si>
  <si>
    <t xml:space="preserve"> - AB grede podruma, dimenzija 20x28 cm, visina podupiranja 250 cm, u betonu C25/30, XC1</t>
  </si>
  <si>
    <t xml:space="preserve"> - AB grede podruma, dimenzija 20x30 cm, visina podupiranja 258 cm, u betonuC25/30, XC1</t>
  </si>
  <si>
    <t xml:space="preserve"> - AB grede podruma, dimenzija 20x46 cm, visina podupiranja 232 cm, u betonu C25/30, XC1</t>
  </si>
  <si>
    <t xml:space="preserve"> - AB grede podruma, dimenzija 20x50 cm, visina podupiranja 388 cm, u betonu C25/30, XC1</t>
  </si>
  <si>
    <t xml:space="preserve"> - AB grede podruma, dimenzija 20x56 cm, visina podupiranja 210 I 230 cm, u betonu C25/30, XC1</t>
  </si>
  <si>
    <t xml:space="preserve"> - AB grede podruma, dimenzija 20x58 cm, visina podupiranja 213 cm, u betonu C25/30, XC1</t>
  </si>
  <si>
    <t xml:space="preserve"> - AB grede podruma, dimenzija 20x168 cm, visina podupiranja 270 cm, u betonu C25/30, XC1</t>
  </si>
  <si>
    <t xml:space="preserve"> - AB grede podruma,promjenjive visine 20x35(24) cm, visina podupiranja 250 cm, u betonu C25/30, XC1</t>
  </si>
  <si>
    <t xml:space="preserve"> - AB grede podruma,promjenjive visine 20x36(25) cm, visina podupiranja 250 cm, u betonu C25/30, XC1</t>
  </si>
  <si>
    <t xml:space="preserve"> - AB grede podruma,promjenjive visine 20x23(19) cm, visina podupiranja 250 cm, u betonu C25/30, XC1</t>
  </si>
  <si>
    <t xml:space="preserve"> - AB grede prizemlja, dimenzija 20x48 cm, visina podupiranja 232 cm, u betonu C25/30, XC1</t>
  </si>
  <si>
    <t xml:space="preserve"> - AB grede prizemlja, dimenzija 20x28, visina podupiranja od 232 do 400cm, u betonu C25/30, XC1</t>
  </si>
  <si>
    <t xml:space="preserve"> - AB grede prizemlja, dimenzija 20x48, visina podupiranja od 232 do 400cm, u betonu C25/30, XC1</t>
  </si>
  <si>
    <t xml:space="preserve"> - AB grede prizemlja, dimenzija 20x80, visina podupiranjaod 232 do 390cm, u betonu C25/30, XC1</t>
  </si>
  <si>
    <t xml:space="preserve"> - AB grede prizemlja, dimenzija 20x58, visina podupiranjaod 232 do 400cm, u betonu C25/30, XC1</t>
  </si>
  <si>
    <t xml:space="preserve"> - AB grede 1.kata, dimenzija 20x28, visina podupiranja 252cm, u betonu C25/30, XC1</t>
  </si>
  <si>
    <t xml:space="preserve"> - AB grede 1.kata, dimenzija 20x48 cm, visina podupiranja 222, 232cm, u betonu C25/30, XC1</t>
  </si>
  <si>
    <t xml:space="preserve"> - AB grede 1.kata, dimenzija 20x58 cm, visina podupiranja 222, 252cm, u betonu C25/30, XC1</t>
  </si>
  <si>
    <t xml:space="preserve"> - AB grede 2.kata, dimenzija 20x28, visina podupiranja 252cm, u betonu C25/30, XC1</t>
  </si>
  <si>
    <t xml:space="preserve"> - AB grede 2.kata, dimenzija 20x48 cm, visina podupiranja 222, 232cm, u betonu C25/30, XC1</t>
  </si>
  <si>
    <t xml:space="preserve"> - AB grede 2.kata, dimenzija 20x58 cm, visina podupiranja od 222 do 252cm, u betonu C25/30, XC1</t>
  </si>
  <si>
    <t xml:space="preserve"> - AB grede 3.kata, dimenzija 20x28, visina podupiranja 252cm, u betonu C25/30, XC1</t>
  </si>
  <si>
    <t xml:space="preserve"> - AB grede 3.kata, dimenzija 20x48 cm, visina podupiranja 222, 232cm, u betonu C25/30, XC1</t>
  </si>
  <si>
    <t xml:space="preserve"> - AB grede 3.kata, dimenzija 20x58 cm, visina podupiranja od 222 do 252cm, u betonu C25/30, XC1</t>
  </si>
  <si>
    <t>Izrada ab nadvoja, pravokutnog poprečnog presjeka, ravnog podgleda u trostranoj glatkoj oplati, u betonu C25/30, XC1 i C30/37, XC2. Ugradnja betona strojno s pervibriranjem. Obračun po m3 ugrađenog betona.</t>
  </si>
  <si>
    <t xml:space="preserve"> - AB nadvoj podruma, širine 20cm, visina podupiranja od 60 do 250 cm, u betonu C30/37, XC2</t>
  </si>
  <si>
    <t xml:space="preserve"> - AB nadvoj prizemlja, širine 20cm, visina podupiranja od 120 do 252 cm, u betonu C25/30, XC1</t>
  </si>
  <si>
    <t xml:space="preserve"> - AB nadvoj 1.kata, širine 20cm, visina podupiranja od 150 do 252 cm, u betonu C25/30, XC1</t>
  </si>
  <si>
    <t xml:space="preserve"> - AB nadvoj 2.kata, širine 20cm, visina podupiranja od 150 do 252 cm, u betonu C25/30, XC1</t>
  </si>
  <si>
    <t xml:space="preserve"> - AB nadvoj 3.kata, širine 20cm, visina podupiranja od 150 do 252 cm, u betonu C25/30, XC1</t>
  </si>
  <si>
    <t>AB PLOČA - MEĐUKATNE</t>
  </si>
  <si>
    <t>Izrada a.b. ploče glavnog objekta u betonu C25/30; XC1, u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</si>
  <si>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 xml:space="preserve"> - AB ploča iznad podruma na koti -1.60/-1.80, d= 20cm, visina podupiranja 130 cm</t>
  </si>
  <si>
    <t xml:space="preserve"> - AB ploča iznad podruma na koti -1.60/-1.80, d= 20cm, visina podupiranja 290 cm</t>
  </si>
  <si>
    <t xml:space="preserve"> - AB ploča iznad podruma na koti -1.62/-1.82, d= 20cm, visina podupiranja 288 cm</t>
  </si>
  <si>
    <t xml:space="preserve"> - AB ploča iznad podruma na koti -0.12/-0.32, d= 20cm, visina podupiranja 278 cm</t>
  </si>
  <si>
    <t xml:space="preserve"> - AB ploča iznad podruma na koti -0.12/-0.32, d= 20cm, visina podupiranja 438 cm</t>
  </si>
  <si>
    <t xml:space="preserve"> - AB ploča iznad podruma u padu od kote -1.60/-1.85 do -1.80/-2.05, visina podupiranjaod 265 do 285 cm</t>
  </si>
  <si>
    <t xml:space="preserve"> - AB ploča iznad prizemlja na koti +2.88/+2.68, d= 20cm, visina podupiranja 280 i 428cm</t>
  </si>
  <si>
    <t xml:space="preserve"> - AB ploča iznad 1. kat na koti +5.88/+5.68, d= 20cm, visina podupiranja 280 cm</t>
  </si>
  <si>
    <t xml:space="preserve"> - AB ploča iznad 2. kat na koti +8.88/+8.68, d= 20cm, visina podupiranja 280 cm</t>
  </si>
  <si>
    <t xml:space="preserve"> - AB ploča iznad 3. kat na koti +11.88/+11.68, d= 20cm, visina podupiranja 280 cm</t>
  </si>
  <si>
    <t>g)</t>
  </si>
  <si>
    <t xml:space="preserve"> - AB krovna ploča okna lifta, d= 20cm</t>
  </si>
  <si>
    <t>BALKONI-AB NADOZID, ZIDOVI ŽARDINJERA I PARAPETI</t>
  </si>
  <si>
    <t>Izrada ab nadozida, u betonu C25/30 u dvostranoj glatkoj oplati. Ugradnja betona strojno s pervibriranjem. Obračun po m3 ugrađenog betona.</t>
  </si>
  <si>
    <t xml:space="preserve"> - AB nadozid žardinjera u prizemlju, d=10cm, h= 40cm</t>
  </si>
  <si>
    <t xml:space="preserve"> - AB nadozid žardinjera na 1.katu, d=10cm, h= 40cm</t>
  </si>
  <si>
    <t xml:space="preserve"> - AB nadozid žardinjera na 2.katu, d=10cm, h= 40cm</t>
  </si>
  <si>
    <t xml:space="preserve"> - AB nadozid žardinjera na 3.katu, d=10cm, h= 40cm</t>
  </si>
  <si>
    <t xml:space="preserve"> - AB nadozid krova, d=20cm, h= 75cm</t>
  </si>
  <si>
    <t>Izrada ab zidova balkona i žardinjera, u betonu C25/30 u dvostranoj glatkoj oplati. Ugradnja betona strojno s pervibriranjem. Obračun po m3 ugrađenog betona.</t>
  </si>
  <si>
    <t xml:space="preserve"> - AB zid balkona u prizemlju, d=20cm, h= 112cm</t>
  </si>
  <si>
    <t xml:space="preserve"> - AB zid balkona na 1.katu, d=20cm, h= 112cm</t>
  </si>
  <si>
    <t xml:space="preserve"> - AB zid balkona na 2.katu, d=20cm, h= 112cm</t>
  </si>
  <si>
    <t xml:space="preserve"> - AB zid balkona na 3.katu, d=20cm, h= 112cm</t>
  </si>
  <si>
    <t xml:space="preserve"> - AB zid žardinjera u prizemlju, d=10cm, h= 112cm</t>
  </si>
  <si>
    <t xml:space="preserve"> - AB zid žardinjera na 1.katu, d=10cm, h= 112cm</t>
  </si>
  <si>
    <t xml:space="preserve"> - AB zid žardinjera na 2.katu, d=10cm, h= 112cm</t>
  </si>
  <si>
    <t>h)</t>
  </si>
  <si>
    <t xml:space="preserve"> - AB zid žardinjera na 3.katu, d=10cm, h= 112cm</t>
  </si>
  <si>
    <t>Izrada ab parapeta, u betonu C25/30 u dvostranoj glatkoj oplati. Ugradnja betona strojno s pervibriranjem. Obračun po m3 ugrađenog betona.</t>
  </si>
  <si>
    <t xml:space="preserve"> - AB parapet u prizemlju, d=10cm, h= 15cm</t>
  </si>
  <si>
    <t xml:space="preserve"> - AB parapet u prizemlju, d=20cm, h= 15cm</t>
  </si>
  <si>
    <t xml:space="preserve"> - AB parapet na 1.katu, d=10cm, h= 15cm</t>
  </si>
  <si>
    <t xml:space="preserve"> - AB parapet na 1.katu, d=20cm, h= 15cm</t>
  </si>
  <si>
    <t xml:space="preserve"> - AB parapet na 2.katu, d=10cm, h= 15cm</t>
  </si>
  <si>
    <t xml:space="preserve"> - AB parapet na 2.katu, d=20cm, h= 15cm</t>
  </si>
  <si>
    <t xml:space="preserve"> - AB parapet na 3.katu, d=10cm, h= 15cm</t>
  </si>
  <si>
    <t xml:space="preserve"> - AB parapet na 3.katu, d=20cm, h= 15cm</t>
  </si>
  <si>
    <t>i)</t>
  </si>
  <si>
    <t xml:space="preserve"> - AB krovni parapet, d=10cm, h= 15cm</t>
  </si>
  <si>
    <t>AB KROVNA OKNA, ANTIVIBRACIJSKI TEMELJI</t>
  </si>
  <si>
    <t>Izrada a.b. zidova okna (šahti) na  krovu debljine 10 cm, visine od 97 do 147cm u betonu C25/30 u dvostranoj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</si>
  <si>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 xml:space="preserve"> - visina zidova okna (šahti) iznosi 97cm</t>
  </si>
  <si>
    <t xml:space="preserve"> - visina zidova okna (šahti) iznosi 147cm</t>
  </si>
  <si>
    <t>Izrada a.b. ploče okna (šahti) na krovu debljine 5-8 cm,  u betonu C25/30 u dvostranoj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</si>
  <si>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Izrada a.b. antivibracijskog temelja klima uređaja na krovu objekta, dimenzija 220x50cm i 220x120cm, debljine 10cm,  u betonu C25/30 u dvostranoj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</si>
  <si>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 xml:space="preserve"> - antivibracijski temelj dim. 220x50cm</t>
  </si>
  <si>
    <t xml:space="preserve"> - antivibracijski temelj dim. 220x120cm</t>
  </si>
  <si>
    <t>AB STUBIŠTE</t>
  </si>
  <si>
    <t>Izrada kosih ploča, te gazišta ab stubišta i međupodesta koje se oslanja na zidove, u betonu C25/30; XC1. Ugradnja betona strojno s pervibriranjem. Obračun po m3 ugrađenog betona.</t>
  </si>
  <si>
    <t xml:space="preserve"> - kose ploče stubišta debljine 20cm i gazišta dim 30x15cm</t>
  </si>
  <si>
    <t xml:space="preserve"> - međupodesti stubišta, debljine 20cm</t>
  </si>
  <si>
    <t>ULAZNA RAMPA - TEMELJI, PODNA PLOČA, ZIDOVI</t>
  </si>
  <si>
    <t>Betoniranje betonske podloge ispod podne ploče i temelja zida ulazne rampe, prosječne debljine 10cm betonom C12/15. Podložni beton treba izvesti minimalno 15cm sa svake strane temeljne ploče. Podloga mora biti kompaktna, potpuno ravna i horizontalna. Prije izvedbe podbetona potrebno je očistiti podlogu matičnog tla/stijene. Ukoliko se na koti podbetona utvrdi tlo lošije nosivosti od projektirane, potrebno je napraviti iskop do čvrstog tla i napraviti zamjenu materijala. Podbeton u tom slučaju izvesti na tlu zbijenosti minimalno 100MPa.
Obračun po m2 izvedene betonske podloge.</t>
  </si>
  <si>
    <t xml:space="preserve"> - podbeton ispod podne ploče ulazne rampe                                </t>
  </si>
  <si>
    <t xml:space="preserve"> - podbeton ispod temelja zida ulazne rampe na koti                                -5.30/-5.40                 </t>
  </si>
  <si>
    <t xml:space="preserve"> - podbeton ispod temelja zida ulazne rampe na koti                                -4.80/-4.90                 </t>
  </si>
  <si>
    <t>Betoniranje ab temeljnih traka zidova ulazne rampe, betonom C30/37, XC2. Ugradnja betona strojno s pervibriranjem. Obračun po m3 ugrađenog betona.</t>
  </si>
  <si>
    <t xml:space="preserve"> - AB temeljna traka zida ulazne rampe na koti                                -4.70/-5.30</t>
  </si>
  <si>
    <t xml:space="preserve"> - AB temeljna traka zida ulazne rampe na koti                                -4.10/-4.70</t>
  </si>
  <si>
    <t>Izrada ab zidova ulazne rampe u betonu u dvostranoj glatkoj oplati. Ugradnja betona strojno s pervibriranjem. Obračun po m3 ugrađenog betona.</t>
  </si>
  <si>
    <t xml:space="preserve"> - AB zidovi ulazne rampe u betonu C30/37; XC2, visine od 260cm do 370cm, d= 20cm</t>
  </si>
  <si>
    <t>Izrada a.b. podne ploče ulazne rampe u betonu C30/37; XC2, u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</si>
  <si>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 xml:space="preserve"> - AB podna ploča </t>
  </si>
  <si>
    <t>OGRADNI ZIDOVI, ZIDOVI UZ PARKING</t>
  </si>
  <si>
    <t>Betoniranje betonske podloge ispod temelja ogradnih zidova te ispod zidova uz vanjski parking, prosječne debljine 10cm betonom C12/15. Podložni beton treba izvesti minimalno 15cm sa svake strane temeljne ploče. Podloga mora biti kompaktna, potpuno ravna i horizontalna. Prije izvedbe podbetona potrebno je očistiti podlogu matičnog tla/stijene. Ukoliko se na koti podbetona utvrdi tlo lošije nosivosti od projektirane, potrebno je napraviti iskop do čvrstog tla i napraviti zamjenu materijala. Podbeton u tom slučaju izvesti na tlu zbijenosti minimalno 100MPa.
Obračun po m2 izvedene betonske podloge.</t>
  </si>
  <si>
    <t xml:space="preserve"> - podbeton ispod temelja ogradnih zidova                       </t>
  </si>
  <si>
    <t xml:space="preserve"> - podbeton ispod temelja zida uz vanjski parking</t>
  </si>
  <si>
    <t>Izrada temelja a.b. ogradnih zidova oko objekta i temelja zida uz vanjski parking , dim.30x60cm, u betonu C30/37 u dvostranoj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</si>
  <si>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 xml:space="preserve"> - temelji ogradnih zidova</t>
  </si>
  <si>
    <t xml:space="preserve"> - temelji zida uz vanjski parking, iznad zidova ulaza u garažu (podruma C)</t>
  </si>
  <si>
    <t>Izrada a.b. ogradnih zidova oko objekta i a.b. zida uz vanjski parking, debljine 20 cm, visine 70 do 80cm u betonu C25/30, XC1 i C30/37, XC2 u dvostranoj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</si>
  <si>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 xml:space="preserve"> - a.b. ogradni zidovi, h=80cm, u betonu C30/37, XC2</t>
  </si>
  <si>
    <t xml:space="preserve"> - a.b. zid uz vanjski parking, iznad zidova ulaza u garažu (podruma C), h=70cm, u betonu C25/30, XC1</t>
  </si>
  <si>
    <t xml:space="preserve"> - a.b. zid iznad međukatne ploče ulaza (podrum ''C''), h=42cm, u betonu C25/30, XC1</t>
  </si>
  <si>
    <t>ARMATURA</t>
  </si>
  <si>
    <t>Armatura srednje složenosti.                                              Armaturu izraditi prema statičkom računu i planu pozicija armature. Obračun po kilogramu stvarno ugrađene armature (B500A i B500B).</t>
  </si>
  <si>
    <t>BETONSKI I AB RADOVI UKUPNO</t>
  </si>
  <si>
    <t xml:space="preserve">REKAPITULACIJA </t>
  </si>
  <si>
    <t>BETONSKI I AB RADOVI UKUPNO:</t>
  </si>
  <si>
    <t>KONSTRUKCIJA UKUPNO:</t>
  </si>
  <si>
    <t>MAPA IV.</t>
  </si>
  <si>
    <t>PROJEKT KONSTRUKCIJE - SKLONIŠTE</t>
  </si>
  <si>
    <t>BETONSKI I AB RADOVI</t>
  </si>
  <si>
    <t>Sve armiranobetonske i betonske konstrukcije moraju se izvoditi prema statičkom računu i nacrtima. 
Prilikom betoniranja treba u konstrukcijama izvesti sve kanale i proboje za vođenje raznih instalacija, prema građevinskim nacrtima i nacrtima instalatera kao i na zahtjev nadzornog inženjera, kako ne bi dolazilo do bilo kakvih naknadnih štemanja (usijecanja) u armiranobetonskoj konstrukciji.
Za sve estrih betone i podove tanje od 5cm predvidjeti i ponuditi mrežastu armaturu te izradu potrebnih dilatacija.</t>
  </si>
  <si>
    <t>Napomena:
Sukladno čl.209. Zakona o javnoj nabavi, sve  norme navedene u nastavku , mogu se zamijeniti jednakovrijednim normama.</t>
  </si>
  <si>
    <t>Mogu se rabiti kemijski dodaci koji zadovoljavaju uvjete norme HRN EN 934-2:2012 ili jednakovrijedne____________________.
Smiju se rabiti samo oni kemijski dodaci koji imaju potvrdu sukladnosti s uvjetima navedene norme koju je izdala ovlaštena hrvatska institucija.
Sastav betona i sastavne materijale za projektirani beton i beton zadanog sastava treba odabrati tako da zadovoljavaju svojstva uvjetovana za svježi i očvrsli beton, uključivo konzistenciju, gustoću, čvrstoću, trajnost, zaštitu ugrađenog čelika od korozije, uzimajući u obzir proizvodni proces i odabrani postupak izvedbe betonskih radova koji uključuju transport, ugradnju, zbijanje, njegovanje i moguće druge tretmane ili obrade ugrađenog betona.</t>
  </si>
  <si>
    <t>Ispitivanje uzoraka iz proizvodnje prema utvrđenom planu.
Svježi beton - konzistencija betona utvrđuje se metodama slijeganja i rasprostiranja prema HRN EN 12350-2:2019 ili jednakovrijedno___________________ i HRN EN 12350-5:2019 ili jednakovrijedno ____________________ i provodi se u laboratoriju proizvođača betona.
Količinu cementa, vode, agregata ili mineralnih dodataka utvrđuje se prema otpremnici betona sa proizvodnog pogona. Ni jedna pojedinačno utvrđena vrijednost vodocementnog faktora ne smije biti veća za više od 0,02 od granične vrijednosti. 
Sadržaj zraka u betonu utvrđuje se postupkom HRN EN 12350-7:2019 ili jednakovrijedno _________________. Donja granica je uvjetovana vrijednost od  –0,5 % do max 1,0% prema HRN EN 206:2016 ili jednakovrijedno _______________.
Sukladnost ispitivanja svježeg betona se prihvaća zadovoljenjem sukcesivnih rezultata ispitivanja u skladu sa uvjetovanim graničnim vrijednostima ili graničnim razredima ili zadanim vrijednostima uključujući dozvoljene tolerancije i maksimalno dopušteno odstupanje od tražene (uvjetovane) vrijednosti.</t>
  </si>
  <si>
    <t>• otpornu na oštećenje površine skidanjem oplate,
• dovoljnu za preuzimanje svih djelovanja na betonski element u tom trenutku,
• da izbjegne deformacije veće od specificiranih tolerancija elastičnog ili neelastičnog ponašanja betona,
• oplata rasponske konstrukcije gornje AB ploče ne smije se skidati prije postizanja 75% čvrstoće predviđene klase betona, te ne prije proteka 7 dana od betoniranja.
Skidanje same oplate treba izvoditi na način da se konstrukcija ne preoptereti i ne ošteti.
Opterećenja skela treba otpuštati postupno tako da se drugi elementi skele ne preopterete. Stabilnost skela i oplate treba održavati pri oslobađanju i uklanjanju opterećenja.
Postupak podupiranja ili otpuštanja kad se  primjenjuje za reduciranje utjecaja početnog opterećenja,  sukcesivno  opterećenje  i/ili  izbjegavanje  velike  deformacije  treba  detaljno utvrditi.
Vrsta  i  kvaliteta  površinske  obrade  ovise  o  tipu  oplate,  betonu  (agregatu,  cementu, kemijskim i mineralnim dodacima), izvedbi i zaštiti tijekom izvedbe.</t>
  </si>
  <si>
    <t xml:space="preserve"> Čelik za armiranje betona treba zadovoljavati uvjete propisane Tehničkim propisom za građevinske konstrukcije (NN 17/17). Svaki proizvod treba biti jasno označen i prepoznatljiv.
Površina armature mora biti očišćena od slobodne hrđe i tvari koje mogu štetno djelovati na čelik, beton ili vezu između njih.
Armatura će se na gradilište dovesti u savijenom stanju, a bit će rezana i savijena u armiračkom pogonu.
Čelik za armiranje betona treba rezati i savijati prema projektnim specifikacijama. Pri tome:</t>
  </si>
  <si>
    <t>• savijanje treba izvoditi jednolikom brzinom,
• savijanje   čelika  pri  temperaturi  ispod  -5 °C,   ako  je  dopušteno  projektnim specifikacijama,  treba   izvoditi  uz  poduzimanje  odgovarajućih  posebnih   mjera osiguranja,
• savijanje  armature  grijanjem  smije  se  izvoditi  samo  uz  posebno  odobrenje  u projektnim specifikacijama.
Šipke čelične armature, zavarene mreže i predgotovljeni armaturni koševi ne smiju se oštetiti tijekom prijevoza, skladištenja, rukovanja i postavljanja u projektiranu poziciju.
Prije postavljanja armature, mora se ista očistiti od prljavštine, masnoće i ljusaka od korozije. Ispod armature koja se postavlja na tlo potrebno je izvesti sloj za izravnanje.</t>
  </si>
  <si>
    <r>
      <rPr>
        <b/>
        <sz val="10"/>
        <color theme="1"/>
        <rFont val="Calibri"/>
        <family val="2"/>
        <charset val="238"/>
        <scheme val="minor"/>
      </rPr>
      <t>Jedinična cijena stavki obuhvaća:</t>
    </r>
    <r>
      <rPr>
        <sz val="10"/>
        <color theme="1"/>
        <rFont val="Calibri"/>
        <family val="2"/>
        <charset val="238"/>
        <scheme val="minor"/>
      </rPr>
      <t xml:space="preserve">
- izradu projekta betona, 
- nabavu, pripremu i izradu armature, troškove ispitivanja armature
- nabavu komponenti i izradu betona, troškove ispitivanja betona,
- transport, ugradbu i njegu betona, 
- popravke loše izvedenih djelova 
- izradu, postavu i skidanje oplate i radne skele
- izbijanje PVC cijevi te zatvaranje rupa od pašajica (spona)
- skupljanje otpadaka i čišćenje radnog prostora. 
- svi posredni i neposredni troškovi za rad, materijal, transport, alat i građevinske strojeve.
- troškove zaštite pri radu.
- podupiranje konstrukcije iznad 4 m                                                                                                                                                                                                                                                                    - izvedba otvora ili šliceva za prolaz cijevi instalacija te njihovo zatvaranje nakon izvedbe instalacija prema izvedbenom projektu</t>
    </r>
  </si>
  <si>
    <r>
      <rPr>
        <b/>
        <sz val="10"/>
        <color theme="1"/>
        <rFont val="Calibri"/>
        <family val="2"/>
        <charset val="238"/>
        <scheme val="minor"/>
      </rPr>
      <t>Jedinična cijena stavki koje se odnose na armaturu B500A i B500B obuhvaća:</t>
    </r>
    <r>
      <rPr>
        <sz val="10"/>
        <color theme="1"/>
        <rFont val="Calibri"/>
        <family val="2"/>
        <charset val="238"/>
        <scheme val="minor"/>
      </rPr>
      <t xml:space="preserve">
- dobava osnovnog materijala 
- savijanje prema izvedbenom projektu
- doprema na gradilište
- propisno skladištenje
- ugradnja prema izvedbenom projektu
- pomoćna i transportna sredstva potrebna za transport i ugradnju armature
- alate potrebne za sve radne operacije ugradnje armature</t>
    </r>
  </si>
  <si>
    <t>1.1.</t>
  </si>
  <si>
    <t xml:space="preserve"> - podbeton ispod temeljne ploče objekta na koti                                   
-5.30/-5.40</t>
  </si>
  <si>
    <r>
      <t>m</t>
    </r>
    <r>
      <rPr>
        <sz val="10"/>
        <color theme="1"/>
        <rFont val="Calibri"/>
        <family val="2"/>
        <charset val="238"/>
      </rPr>
      <t>²</t>
    </r>
  </si>
  <si>
    <t>1.2.</t>
  </si>
  <si>
    <t>1.3.</t>
  </si>
  <si>
    <t xml:space="preserve"> - AB zidovi podruma u betonu C30/37; XC2, visine  do 440cm, d= 20cm</t>
  </si>
  <si>
    <t xml:space="preserve"> - AB zidovi podruma u betonu C30/37; XC2, visine  do 440cm, d= 30cm</t>
  </si>
  <si>
    <t xml:space="preserve"> - AB zidovi podruma u betonu C30/37; XC2, visine  do 440cm, d= 40cm</t>
  </si>
  <si>
    <t>1.4.</t>
  </si>
  <si>
    <t xml:space="preserve"> - AB grede podruma, dimenzija 20x55 cm, visina podupiranja 180 cm, u betonu C30/37, XC2</t>
  </si>
  <si>
    <t xml:space="preserve"> - AB grede podruma, dimenzija 20x64 cm, visina podupiranja 196 cm, u betonu C30/37, XC2</t>
  </si>
  <si>
    <t xml:space="preserve"> - AB grede podruma, dimenzija 40x35 cm, visina podupiranja 200 cm, u betonu C30/37, XC2</t>
  </si>
  <si>
    <t xml:space="preserve"> - AB grede podruma, dimenzija 40x40 cm, visina podupiranja 200 cm, u betonu C30/37, XC2</t>
  </si>
  <si>
    <t xml:space="preserve"> - AB grede podruma, dimenzija 40x55 cm, visina podupiranja 180 cm, u betonu C30/37, XC2</t>
  </si>
  <si>
    <t xml:space="preserve"> - AB grede podruma, dimenzija 40x148 cm, visina podupiranja 270 cm, u betonu C30/37, XC2</t>
  </si>
  <si>
    <t xml:space="preserve"> - AB grede podruma,promjenjive visine 40x20(12) cm, visina podupiranja 220 cm, u betonu C30/37, XC2</t>
  </si>
  <si>
    <t>1.5.</t>
  </si>
  <si>
    <t>AB PLOOČA MEĐUKATNE</t>
  </si>
  <si>
    <t>Izrada a.b. ploče glavnog objekta u betonu C40/50; XC2, u glatkoj oplati. Ugradnja betona strojno s pervibriranjem. Cijenom sadržana izrada, montaža i demontaža potrebne oplate te njeno podupiranje. U ovoj stavci obuhvaćeno je i izvedba otvora ili šliceva za prolaz cijevi instalacija te njihovo zatvaranje nakon izvedbe instalacija. Obračun po m3 ugrađenog betona.</t>
  </si>
  <si>
    <t xml:space="preserve"> - AB ploča iznad podruma na koti -1.60/-2.00, d= 40cm, visina podupiranja 270 cm</t>
  </si>
  <si>
    <t xml:space="preserve"> - AB ploča iznad podruma na koti -0.12/-0.52, d= 40cm, visina podupiranja 418 cm</t>
  </si>
  <si>
    <t xml:space="preserve"> - AB ploča u nagibu iznad podruma od kote -1.60/-2.00 do kote -1.80/-2.20, d= 40cm, visina podupiranja od 250 do 270 cm</t>
  </si>
  <si>
    <t>1.6.</t>
  </si>
  <si>
    <t>Armatura srednje složenosti.
Armaturu izraditi prema statičkom računu i planu pozicija armature. Obračun po kilogramu stvarno ugrađene armature (B500A i B500B).</t>
  </si>
  <si>
    <t>SKLONIŠTE KONSTRUKCIJA UKUPNO:</t>
  </si>
  <si>
    <t>MAPA V.</t>
  </si>
  <si>
    <t>PROJEKT ELEKTROINSTALACIJA</t>
  </si>
  <si>
    <t>PROJEKT ELEKTROINSTALACIJA - ZGRADA</t>
  </si>
  <si>
    <r>
      <t xml:space="preserve">Projektant: </t>
    </r>
    <r>
      <rPr>
        <b/>
        <sz val="10"/>
        <rFont val="Arial"/>
        <family val="2"/>
        <charset val="238"/>
      </rPr>
      <t>Vojislav Štrbac, dipl.ing.el.</t>
    </r>
  </si>
  <si>
    <t>INSTALACIJE SLABE STRUJE</t>
  </si>
  <si>
    <t>INSTALACIJA GOVORNE VEZE DIZALA I RECEPCIJE</t>
  </si>
  <si>
    <t>Dobava, polaganje i spajanje kabela F-AYY 2x2x0,8 mm.</t>
  </si>
  <si>
    <t>Dobava i polaganje cijevi CS20.</t>
  </si>
  <si>
    <t>Spajanje sa kućnom telefonskom instalacijom. Komplet</t>
  </si>
  <si>
    <t>Ispitivanje instalacije i puštanje u pogon. Komplet</t>
  </si>
  <si>
    <t>Izrada projekta izvedenog stanja u tri tiskana primjerka. Komplet</t>
  </si>
  <si>
    <t>Dobava i montaža kabelskog zdenca MZD1. Komplet</t>
  </si>
  <si>
    <t xml:space="preserve">Dobava i montaža PEHD cijevi promjera 50 mm. Polaže se </t>
  </si>
  <si>
    <t>Dobava i polaganje češljeva za PEHD cijevi promjera 50 mm. Komplet.</t>
  </si>
  <si>
    <t>Dobava i montaža PVC uvodnica 50 mm. Komplet</t>
  </si>
  <si>
    <t>Ručni iskop rupe za montažu zdenca MZD1 u zemlji III kategorije.</t>
  </si>
  <si>
    <r>
      <t>m</t>
    </r>
    <r>
      <rPr>
        <vertAlign val="superscript"/>
        <sz val="10"/>
        <rFont val="Arial"/>
        <family val="2"/>
        <charset val="238"/>
      </rPr>
      <t>3</t>
    </r>
  </si>
  <si>
    <t>Ručni iskop rova u zemlji III kategorije za polaganje PEHD cijevi duljine 160 m, dubine 1,2 m i širine 0,6 m. Komplet</t>
  </si>
  <si>
    <t xml:space="preserve">Polaganje posteljice od 10 cm u zemljani rov i nabijanje. </t>
  </si>
  <si>
    <t>Izrada  geodetskog snimka instalacije DTK nakon završetka radova u elektronskom obliku i uplanjivanje u snimke podzemnih instalacija. Komplet</t>
  </si>
  <si>
    <t>Ispitivanje instalacije i izdavanje uvjerenja od strane ovlaštene tvrtke.</t>
  </si>
  <si>
    <t xml:space="preserve"> INSTALACIJA STRUKTURNOG KABLIRANJA</t>
  </si>
  <si>
    <t>Komunikacijski ormar KO-1</t>
  </si>
  <si>
    <t>Samostojeći komunikacijski ormar, 42U ; 600x600 mm</t>
  </si>
  <si>
    <t xml:space="preserve">patch panel 24xRJ45 Cat 5 UTP sa stražnjim držačem kabela, </t>
  </si>
  <si>
    <t xml:space="preserve">vodilica horizontalna 1HU, </t>
  </si>
  <si>
    <t>napojna letva za UPS, 8xschuko, 1U</t>
  </si>
  <si>
    <t>set za uzemljenje</t>
  </si>
  <si>
    <t>optička ladica za spoj 12 singlemode niti 9/125, LC konektori, pig-tailovi, kazete i uvodnice uključeni</t>
  </si>
  <si>
    <t>optička ladica za spoj 4 singlemode niti 9/125, LC konektori, pig-tailovi, kazete i uvodnice uključeni</t>
  </si>
  <si>
    <t>prespojni patch kabel Cat 5 UTP, 1m, sivi</t>
  </si>
  <si>
    <t>polica fiksna 450 mm</t>
  </si>
  <si>
    <t>vijci, matice, vezice i sl.</t>
  </si>
  <si>
    <t>UPS 1500VA/1000W Line Interactive, 19" montaža, 1U, 15 min.autonomije</t>
  </si>
  <si>
    <t>Komunikacijski ormar KO-2</t>
  </si>
  <si>
    <t>Komunikacijski ormar KO-3</t>
  </si>
  <si>
    <t>Komunikacijski ormar KO-4</t>
  </si>
  <si>
    <t>Stanski komunikacijski ormarić, dimenzija 365x325x100 mm, p/ž ugradnja, opremljen sa:</t>
  </si>
  <si>
    <t>nosač za 4 Keystone modula Cat.6 UTP</t>
  </si>
  <si>
    <t>Keystone modul Cat 6 UTP</t>
  </si>
  <si>
    <t>oprema za spoj 4 MM optičke niti (nosači, konektori, spojnice uključeni)</t>
  </si>
  <si>
    <t>horizontalna vodilica kabela</t>
  </si>
  <si>
    <t>prespojni patch kabel Cat 6 UTP, 0,5 m</t>
  </si>
  <si>
    <t xml:space="preserve">priključnica 230V, n/ž </t>
  </si>
  <si>
    <t>Komplet</t>
  </si>
  <si>
    <t>Dobava, montaža i spajanje kabela UTP Cat.6A.  Kabel se polaže  većim dijelom u cijev CSS20. Komplet</t>
  </si>
  <si>
    <t>Svjetlovodni kabel 4G50/125, 4 multimode niti (ISO/IEC 11801), kabel se polaže većim dijelom u cijev CSS20 . Komplet</t>
  </si>
  <si>
    <t>Dobava i montaža modularnih priključnica RJ45 Cat.6A ,1M; p/žb. Komplet sa okvirom i poklopcem</t>
  </si>
  <si>
    <t xml:space="preserve">Ispitivanje UTP dionica s izdavanjem rezultata mjerenja elektroničkom obliku, uključeno označavanje priključnica </t>
  </si>
  <si>
    <t>Ispitivanje niti svjetlovodnog kabela s izdavanjem rezultata mjerenja u elektroničkom obliku</t>
  </si>
  <si>
    <t>niti</t>
  </si>
  <si>
    <t>Dobava i polaganje cijevi CSS40. Komplet sa prolaznim kutijama</t>
  </si>
  <si>
    <t>Izrada dokumentacije izvedenog stanja cjelokupne instalacije strukturnog kabliranja. Komplet</t>
  </si>
  <si>
    <t>Sitni potrošni spojni i montažni materijal. Komplet</t>
  </si>
  <si>
    <t>TV SUSTAV</t>
  </si>
  <si>
    <t>ANTENSKI SUSTAV, OPREMA ZA PRIJENOS TV SIGNALA</t>
  </si>
  <si>
    <t>Komponente sustava:</t>
  </si>
  <si>
    <t>antenski stup 50/3000mm s priborom za montažu,učvršćenje i sidrenje</t>
  </si>
  <si>
    <t>SAT antena offset aluminij 1,20 m</t>
  </si>
  <si>
    <t>nosač sat antene 60mm</t>
  </si>
  <si>
    <t>nosač za četiri  LNB-a</t>
  </si>
  <si>
    <t xml:space="preserve">LNB pretvarač quattro 0,1dB </t>
  </si>
  <si>
    <t>-antena UHF min dobitak 12 dB 21-69</t>
  </si>
  <si>
    <t>antena FM radio</t>
  </si>
  <si>
    <t xml:space="preserve">sabirnica za uzemljenje opleta koax kabela za 12 priključaka sa odvodnicima prenapona </t>
  </si>
  <si>
    <t>pribor za uzemljenje stupa</t>
  </si>
  <si>
    <t>sitni nespecifirani montažni materijal</t>
  </si>
  <si>
    <t>umjeravanje antena</t>
  </si>
  <si>
    <t xml:space="preserve">Dobava i ugradnja n/ž metalnog ormarića za smještaj distribucijskog  pojačala i distribucijske opreme dim 400x500x150 mm s vratima, sabirnicom uzemljenja i 2x šuko priključnicom. </t>
  </si>
  <si>
    <t xml:space="preserve">Dobava i ugradnja distribucijskog pojačala napajanje 230 VAC ,   5-860 MHz  36dB pojačanje, izlaz 105 dB, metalno kućište,  s regulacijom pojačanja i karakteristike gušenja s povratnim pojasom 5-65MHz </t>
  </si>
  <si>
    <t xml:space="preserve">Dobava i ugradnja modula završne antenske utičnice  (5-2400MHz) u ugradnu instalacijsku kutiju. Komplet </t>
  </si>
  <si>
    <t>Dobava i ugradnja multiprekidača TMS 9x32. Komplet</t>
  </si>
  <si>
    <t>Dobava, polaganje i spajanje koaksijalni kabel 1.14/4,8 trishield u cijevi CSS25.</t>
  </si>
  <si>
    <t>Koaksijalni kabel CATV-DROP CABLE 1.13/4,8 AF u cijevi CSS25</t>
  </si>
  <si>
    <t>Dobava i montaža  odcjepnika:</t>
  </si>
  <si>
    <t>-5 kom četverograni otcjepnik; prigušenje 20 dB</t>
  </si>
  <si>
    <t>-5 kom četverograni otcjepnik; prigušenje 16 dB</t>
  </si>
  <si>
    <t>-5 kom četverograni otcjepnik; prigušenje 12 dB</t>
  </si>
  <si>
    <t>-4 kom četverograni otcjepnik; prigušenje 10 dB</t>
  </si>
  <si>
    <t>-6 kom trograni otcjepnik; prigušenje 20 dB</t>
  </si>
  <si>
    <t>-6 kom trograni otcjepnik; prigušenje 16 dB</t>
  </si>
  <si>
    <t>-6 kom trograni otcjepnik; prigušenje 12 dB</t>
  </si>
  <si>
    <t>4 kom trograni otcjepnik; prigušenje 10 dB</t>
  </si>
  <si>
    <t>-2 kom dvograni otcjepnik 20 dB</t>
  </si>
  <si>
    <t>-2 kom dvograni otcjepnik 16 dB</t>
  </si>
  <si>
    <t>-2 kom dvograni otcjepnik 12 dB</t>
  </si>
  <si>
    <t>Dobava i montaža ugradnog katnog TV ormara duljine 500 visine 700 dubine 150 mm. U ormar se ugrađuju otcjepnici i oprema TK operatera. Komplet</t>
  </si>
  <si>
    <t>Dobava i polaganje cijevi CSS40</t>
  </si>
  <si>
    <t>Izrada dokumentacije izvedenog stanja</t>
  </si>
  <si>
    <t>INSTALACIJA DOJAVE CO</t>
  </si>
  <si>
    <r>
      <rPr>
        <b/>
        <sz val="10"/>
        <color theme="1"/>
        <rFont val="Calibri"/>
        <family val="2"/>
        <charset val="238"/>
        <scheme val="minor"/>
      </rPr>
      <t>Mikroprocesorska plinodojavna centrala</t>
    </r>
    <r>
      <rPr>
        <sz val="10"/>
        <color theme="1"/>
        <rFont val="Calibri"/>
        <family val="2"/>
        <charset val="238"/>
        <scheme val="minor"/>
      </rPr>
      <t xml:space="preserve"> sljedećih karakteristika:</t>
    </r>
  </si>
  <si>
    <t>- mogućnost priključivanja do 98 adresabilnih detektora</t>
  </si>
  <si>
    <t>- RS485 komunikacija sa detektorima</t>
  </si>
  <si>
    <t>- 3 linijska RS485 komunikacijska modula</t>
  </si>
  <si>
    <t xml:space="preserve">- pet programabilnih nivoa za ukjučivanja relejnih izlaza po svakom detektoru </t>
  </si>
  <si>
    <t>- od 10 do 30 izlaznih programabilnih releja, max. 250VAC 5A, za upravljanje različitim funkcijama</t>
  </si>
  <si>
    <t>- 1 izlazni relej, max. 250VAC 5A, za generalni alarm</t>
  </si>
  <si>
    <t>- 4 digitalna ulaza</t>
  </si>
  <si>
    <t>- do 12 analognih izlaza,  4-20mA</t>
  </si>
  <si>
    <t>- alfanumerički LCD 16x2 znaka za prikaz koncentracije plina</t>
  </si>
  <si>
    <t>- nivo pristupa sa i/ili bez lozinke</t>
  </si>
  <si>
    <t>- mogućnost priključivanja paralelnog upravljačko-indikacijskog panela</t>
  </si>
  <si>
    <t>- mogućnost priključivanja vanjskog printera</t>
  </si>
  <si>
    <t>- rezervno akumulatorsko napajanje</t>
  </si>
  <si>
    <t>- RS485-LON komunikacija</t>
  </si>
  <si>
    <t>- radni uvjeti -5 C do +40 C , 15-95% RH , kućište IP65</t>
  </si>
  <si>
    <t>proizvod u skladu sa normom: 
HRN EN 50545/2014 (ili jednakovrijedno __________________________)</t>
  </si>
  <si>
    <r>
      <rPr>
        <b/>
        <sz val="10"/>
        <color theme="1"/>
        <rFont val="Calibri"/>
        <family val="2"/>
        <charset val="238"/>
        <scheme val="minor"/>
      </rPr>
      <t xml:space="preserve">Detektor za detekciju  plina (ugljični monoksid CO) </t>
    </r>
    <r>
      <rPr>
        <sz val="10"/>
        <color theme="1"/>
        <rFont val="Calibri"/>
        <family val="2"/>
        <charset val="238"/>
        <scheme val="minor"/>
      </rPr>
      <t xml:space="preserve">
sljedećih karakteristika:</t>
    </r>
  </si>
  <si>
    <t>- elektrokemijski senzor u zaštitnom kućištu IP65</t>
  </si>
  <si>
    <t>- raspon mjerenja od 0-300 ppm sa točnošću ±3ppm za CO</t>
  </si>
  <si>
    <t>- analogni ulaz 4-20mA</t>
  </si>
  <si>
    <t>- do 2 beznaponska relejna izlaza 30VDC/0,5A</t>
  </si>
  <si>
    <t>- RS485 komunikacija sa centralom</t>
  </si>
  <si>
    <t>- napajanje 18-28 VDC</t>
  </si>
  <si>
    <t xml:space="preserve">- radni uvjeti -10 C do +50 C , 15-95% RH </t>
  </si>
  <si>
    <t>Komplet sa p/žb kutijom</t>
  </si>
  <si>
    <t>Kompletno programiranje i konfiguriranje centrale dojave plina, provjera svih funkcija sustava</t>
  </si>
  <si>
    <t>Puštanje u rad i ispitivanje sustava do razine projektnom pune funkcionalnosti.</t>
  </si>
  <si>
    <t>Dobava, polaganje i spajanje kabela JY(ST)Y 4x2x2x0,8 mm. Komplet</t>
  </si>
  <si>
    <t>Dobava i polaganje PNT cijevi promjera 16 mm. Komplet</t>
  </si>
  <si>
    <t>Dobava i montaža akustično svjetlosnog panela sa natpisom POZOR CO  i UGASITE MOTOR I NAPUSTITE GARAŽU. Komplet</t>
  </si>
  <si>
    <t>Dobava, polaganje i spajanje kabela PPY 3x1,5 mm2. Komplet</t>
  </si>
  <si>
    <t>Instalacija, dokumentiranje i školovanje korisnika. Komplet</t>
  </si>
  <si>
    <t>VIDEOINTERFONSKA INSTALACIJA</t>
  </si>
  <si>
    <t>Dobava, montaža i spajanje 4 digitalna c/b video pozivna tabloa, antivandal izvedba sa  video modulom i govornim modulom. Montira se u pojedini tablo:</t>
  </si>
  <si>
    <t>-1 kom sa 27 pozivne tipke</t>
  </si>
  <si>
    <t>-1 kom sa 33 pozivne tipke</t>
  </si>
  <si>
    <t>-1 kom sa 49 pozivne tipke</t>
  </si>
  <si>
    <t>-1 kom sa 43 pozivne tipke</t>
  </si>
  <si>
    <t xml:space="preserve">Napajačka jedinica razdjelnik zajedničke potrošnje. </t>
  </si>
  <si>
    <t>Kućni digitalni  video govorni uređaj sa c/b monitorom, slušalicom, tipkom za otvaranje vrata te zidnim nosačem.</t>
  </si>
  <si>
    <t>Video distributor po katovima p/žb kutijom 150x100 mm</t>
  </si>
  <si>
    <t>Elektroprihvatnik s deblokadom, napajanje 12 Vac. 
Bravarski radovi nisu uključeni.</t>
  </si>
  <si>
    <t>Dobava, montaža i spajanje p/žb tastera za zvono ispred ulaznih vrata stana</t>
  </si>
  <si>
    <t>Dobava i  polaganje kabela u cijevi tip :</t>
  </si>
  <si>
    <t>STP CAT 6/CSS20-m 316</t>
  </si>
  <si>
    <t>UTP CAT 6/CSS20- m 1826</t>
  </si>
  <si>
    <t>LiYCY 2x0,75 mm2/CSS16-m 34</t>
  </si>
  <si>
    <t>LiYCY 2x1,5 mm2/CSS16-m 316</t>
  </si>
  <si>
    <t>LiYCY 2x0,5 mm2/CSS16-m 468</t>
  </si>
  <si>
    <t>1.7.</t>
  </si>
  <si>
    <t>INSTALACIJA M-BUS VODOMJERA</t>
  </si>
  <si>
    <t>Dobava i montaža nadgradnog metalnog ormara GOV u kojem je smještena slijedeća oprema: -1 kom PW60 upravljačka jedinica do 60 ulaza; -1 kom napojne jedinice PR11/10; -1 kom modem.</t>
  </si>
  <si>
    <t>Kabel JY(ST)Y 2x2x0,8 mm u cijevi CSS20.</t>
  </si>
  <si>
    <t>Dobava i montaža u vodomjernom ormaru po katovima jedinice za vodomjer:</t>
  </si>
  <si>
    <t>-16 kom jedinice za 4 vodomjera M4</t>
  </si>
  <si>
    <t>-26 kom jedinice za 3 vodomjera M3</t>
  </si>
  <si>
    <t>-6 kom jedinice za 2 vodomjera M2</t>
  </si>
  <si>
    <t>1.8.</t>
  </si>
  <si>
    <t>INSTALACIJA M-BUS PLINOMJERA</t>
  </si>
  <si>
    <t>Dobava i montaža nadgradnog metalnog ormara GOP u kojem je smještena slijedeća oprema: -1 kom PW60 upravljačka jedinica do 60 ulaza; -1 kom napojne jedinice PR11/10; -1 kom modem</t>
  </si>
  <si>
    <t>Dobava, polaganje i spajanje kabela JY(ST)Y 2x2x0,8 mm u cijevi CSS20. Komplet</t>
  </si>
  <si>
    <t>Dobava i montaža  po katovima jedinice za plinomjer. Montiraju se u p/žb kutiju</t>
  </si>
  <si>
    <t>-16 kom jedinice za 4 plinomjera M4</t>
  </si>
  <si>
    <t>-26 kom jedinice za 3 plinomjera M3</t>
  </si>
  <si>
    <t>-6 kom jedinice za 2 plinomjera M2</t>
  </si>
  <si>
    <t>INSTALACIJE SLABE STRUJE UKUPNO:</t>
  </si>
  <si>
    <t>INSTALACIJE JAKE STRUJE</t>
  </si>
  <si>
    <t>2.1.</t>
  </si>
  <si>
    <t>KABELI</t>
  </si>
  <si>
    <t xml:space="preserve">Dobava , doprema i polaganje KB 1 kV </t>
  </si>
  <si>
    <t>FG16R16  4x50 mm² + 1x25 mm²/ CSS50+CSS25</t>
  </si>
  <si>
    <t>Komplet sa cijevima, izradom svih spojeva, sitnim montažnim i spojnim materijalom</t>
  </si>
  <si>
    <t>FG16R16  4x35 mm² + 1x16 mm²/ CSS40+CSS25.</t>
  </si>
  <si>
    <t xml:space="preserve">Dobava, doprema i polaganje kabela IY(St)Y 2x2x0,8 mm/CSS20 . </t>
  </si>
  <si>
    <t>NYM-J  3x10 mm² /CSS40.</t>
  </si>
  <si>
    <t>NYM-J  5x10 mm²/CSS40 .</t>
  </si>
  <si>
    <t>NHXMH  5x4 mm² /CSS32.</t>
  </si>
  <si>
    <t>NHXMH  5x2,5 mm² /CSS32.</t>
  </si>
  <si>
    <t>NHXMH  3x1,5 mm²/CSS20 .</t>
  </si>
  <si>
    <t>NHXMH  3x2,5 mm²/CSS25 .</t>
  </si>
  <si>
    <t>NHXMH  3x6 mm² .</t>
  </si>
  <si>
    <t>Komplet sa izradom svih spojeva, cijevima, sitnim montažnim i spojnim materijalom</t>
  </si>
  <si>
    <t xml:space="preserve">NHXHFE 180 E30 3x1,5 mm² </t>
  </si>
  <si>
    <t>Ispitivanje niskonaponske  instalacije od strane ovlaštene ustanove te izdavanje odgovarajućih certifikata. Komplet</t>
  </si>
  <si>
    <t>2.2.</t>
  </si>
  <si>
    <t>PREKIDAČI I PRIKLJUČNICE</t>
  </si>
  <si>
    <r>
      <t xml:space="preserve">Obični prekidač 10A, 230 V, p/žb sa kutijom </t>
    </r>
    <r>
      <rPr>
        <sz val="10"/>
        <color indexed="8"/>
        <rFont val="Technic"/>
        <charset val="2"/>
      </rPr>
      <t>ø</t>
    </r>
    <r>
      <rPr>
        <sz val="10"/>
        <color indexed="8"/>
        <rFont val="Calibri"/>
        <family val="2"/>
        <charset val="238"/>
        <scheme val="minor"/>
      </rPr>
      <t xml:space="preserve">60mm, modularne izvedbe. </t>
    </r>
  </si>
  <si>
    <r>
      <t xml:space="preserve">Izmjenični prekidač 10A, 230 V, p/žb sa kutijom </t>
    </r>
    <r>
      <rPr>
        <sz val="10"/>
        <color indexed="8"/>
        <rFont val="Technic"/>
        <charset val="2"/>
      </rPr>
      <t>ø</t>
    </r>
    <r>
      <rPr>
        <sz val="10"/>
        <color indexed="8"/>
        <rFont val="Calibri"/>
        <family val="2"/>
        <charset val="238"/>
        <scheme val="minor"/>
      </rPr>
      <t>60mm, modularne izvedbe</t>
    </r>
  </si>
  <si>
    <r>
      <t xml:space="preserve">Križni prekidač 10A, 230 V, p/žb sa kutijom </t>
    </r>
    <r>
      <rPr>
        <sz val="10"/>
        <color indexed="8"/>
        <rFont val="Technic"/>
        <charset val="2"/>
      </rPr>
      <t>ø</t>
    </r>
    <r>
      <rPr>
        <sz val="10"/>
        <color indexed="8"/>
        <rFont val="Calibri"/>
        <family val="2"/>
        <charset val="238"/>
        <scheme val="minor"/>
      </rPr>
      <t>60mm, modularne izvedbe</t>
    </r>
  </si>
  <si>
    <t>Običn prekidač 10A, 230 V, n/žb</t>
  </si>
  <si>
    <t>Taster rasvjete, 10A,230V, p/žb  u kutiji  ø60mm</t>
  </si>
  <si>
    <r>
      <t>Detektor pokreta sa mogućnošću odgode isključenja 1-10 minuta</t>
    </r>
    <r>
      <rPr>
        <sz val="10"/>
        <color indexed="8"/>
        <rFont val="Calibri"/>
        <family val="2"/>
        <charset val="238"/>
        <scheme val="minor"/>
      </rPr>
      <t xml:space="preserve"> </t>
    </r>
  </si>
  <si>
    <t>Tipkalo za isključenje napajanja, 230 V, IP44</t>
  </si>
  <si>
    <t>Šuko priključnica, 16 A, 230 V, p/žb , modularne izvedbe</t>
  </si>
  <si>
    <t>Dvostruka šuko priključnica, 16 A, 230 V, p/žb , modularne izvedbe</t>
  </si>
  <si>
    <t>Šuko priključnice sa poklopcem, 16 A/230 V, p/žb</t>
  </si>
  <si>
    <t xml:space="preserve">Izrada izvoda i spajanje: vanjske jedinice klime, ventilatora, motora vrata, crpki, centrala odimljavanja, centrale CO; crpne stanice, el.grijaćih traka, izvoda za komunikacijske ormare, grijača uljevnih grla, izvoda za auomatiku plinskih bojlera, napa. Komplet </t>
  </si>
  <si>
    <t>2.3.</t>
  </si>
  <si>
    <t>PRIRODNO ODIMLJAVANJE</t>
  </si>
  <si>
    <r>
      <rPr>
        <b/>
        <sz val="10"/>
        <color theme="1"/>
        <rFont val="Calibri"/>
        <family val="2"/>
        <charset val="238"/>
        <scheme val="minor"/>
      </rPr>
      <t>Centrala za upravljanje otvorima za odimljavanje sa akumulatorima za 72 sata autonomije</t>
    </r>
    <r>
      <rPr>
        <sz val="10"/>
        <color theme="1"/>
        <rFont val="Calibri"/>
        <family val="2"/>
        <charset val="238"/>
        <scheme val="minor"/>
      </rPr>
      <t xml:space="preserve">
Centrala se sastoji od:</t>
    </r>
  </si>
  <si>
    <t>1 kom centrala tip kao  RWA E260 N GEZE ili odgovarajući proizvod</t>
  </si>
  <si>
    <t>2 kom ručno  tipkalo  tip kao GEZE  FT 4 ili odgovarajući proizvod</t>
  </si>
  <si>
    <t xml:space="preserve">1 kom  tipkalo za provjetravanje   </t>
  </si>
  <si>
    <t>1 kom  modul za upravljanje motorima za otvaranje otvora za odimljavanje i dozračivanje</t>
  </si>
  <si>
    <t>1 kom optički javljač požara</t>
  </si>
  <si>
    <t>Komplet sa spajanjem i puštanjem u rad</t>
  </si>
  <si>
    <r>
      <t xml:space="preserve">Centrala oznake COD 1 
</t>
    </r>
    <r>
      <rPr>
        <sz val="10"/>
        <color theme="1"/>
        <rFont val="Calibri"/>
        <family val="2"/>
        <charset val="238"/>
        <scheme val="minor"/>
      </rPr>
      <t>za upravljanje ventilacijom ustave garaže sa akumulatorima za 72 sata autonomije  koji se sastoji od:</t>
    </r>
  </si>
  <si>
    <t>1 kom ručno  tipkalo  tip kao GEZE  FT 4 ili odgovarajući proizvod</t>
  </si>
  <si>
    <t>1 kom relejni izlaz za uključivanje ventilacije ustave /zapornice garaže i isključivanje opće ventilacije garaže</t>
  </si>
  <si>
    <r>
      <rPr>
        <b/>
        <sz val="10"/>
        <color theme="1"/>
        <rFont val="Calibri"/>
        <family val="2"/>
        <charset val="238"/>
        <scheme val="minor"/>
      </rPr>
      <t>Centrala oznake COD 2</t>
    </r>
    <r>
      <rPr>
        <sz val="10"/>
        <color theme="1"/>
        <rFont val="Calibri"/>
        <family val="2"/>
        <charset val="238"/>
        <scheme val="minor"/>
      </rPr>
      <t xml:space="preserve"> 
za upravljanje ventilacijom ustave garaže i požarnim vratima  garaže sa akumulatorima za 72 sata autonomije koji se sastoji od:</t>
    </r>
  </si>
  <si>
    <t>5 kom optički javljač požara</t>
  </si>
  <si>
    <t>2 kom elektromagnet za držanje požarnih vrata</t>
  </si>
  <si>
    <t>Dobava, polaganje i spajanje kabela</t>
  </si>
  <si>
    <t>272 m kabela NHXH E30 4x2,5 mm2</t>
  </si>
  <si>
    <t>398 m kabela JB-H(St)H 4x2x0,8 mm</t>
  </si>
  <si>
    <t>104 m kabela JB-H(St)H 2x0,8 mm</t>
  </si>
  <si>
    <t>65 m kabela NHXH E30 3x1,5 mm2</t>
  </si>
  <si>
    <t>40 m CSS25</t>
  </si>
  <si>
    <t xml:space="preserve">Komplet </t>
  </si>
  <si>
    <t>2.4.</t>
  </si>
  <si>
    <t>RASVJETA</t>
  </si>
  <si>
    <r>
      <rPr>
        <b/>
        <sz val="10"/>
        <color theme="1"/>
        <rFont val="Calibri"/>
        <family val="2"/>
        <charset val="238"/>
        <scheme val="minor"/>
      </rPr>
      <t>Nadgradna vodotijesna LED svjetiljka</t>
    </r>
    <r>
      <rPr>
        <sz val="10"/>
        <color theme="1"/>
        <rFont val="Calibri"/>
        <family val="2"/>
        <charset val="238"/>
        <scheme val="minor"/>
      </rPr>
      <t xml:space="preserve">
polikarbonatno kućište, polikarbonatni difuzor, dimenzije 1200x87x80mm(±5%), snaga svjetiljke maksimalno 18W, svjetlosni tok svjetiljke minimalno 2800lm, korelirana temperatura nijanse bijelog svjetla 4000K, standardna devijacija boje svjetla (SDCM) maksimalno 3, indeks uzvrata boje minimalno 80, zaštita IP66, IK08, električna klasa I, temperaturno područje rada od -20˚C do +40˚C, svjetiljka treba imati izjavu za potvrđivanje CE znaka, životni vijek svjetiljke minimalno 100.000 sati pri 70% svjetlosnog toka
 Tip: _____________________________
Proizvođač:_______________________</t>
    </r>
  </si>
  <si>
    <t>Obračun po broju komada</t>
  </si>
  <si>
    <r>
      <rPr>
        <b/>
        <sz val="10"/>
        <color theme="1"/>
        <rFont val="Calibri"/>
        <family val="2"/>
        <charset val="238"/>
        <scheme val="minor"/>
      </rPr>
      <t>Nadgradna vodotijesna LED svjetiljka</t>
    </r>
    <r>
      <rPr>
        <sz val="10"/>
        <color theme="1"/>
        <rFont val="Calibri"/>
        <family val="2"/>
        <charset val="238"/>
        <scheme val="minor"/>
      </rPr>
      <t xml:space="preserve">
polikarbonatno kućište, polikarbonatni difuzor, dimenzije 1200x87x80mm(±5%), snaga svjetiljke maksimalno 31W, svjetlosni tok svjetiljke minimalno 4800lm, korelirana temperatura nijanse bijelog svjetla 4000K, standardna devijacija boje svjetla (SDCM) maksimalno 3, indeks uzvrata boje minimalno 80, zaštita IP66, IK08, električna klasa I, temperaturno područje rada od -20˚C do +40˚C, svjetiljka treba imati izjavu za potvrđivanje CE znaka, životni vijek svjetiljke minimalno 100.000 sati pri 70% svjetlosnog toka
 Tip:________________________
Proizvođač:________________</t>
    </r>
  </si>
  <si>
    <r>
      <rPr>
        <b/>
        <sz val="10"/>
        <color theme="1"/>
        <rFont val="Calibri"/>
        <family val="2"/>
        <charset val="238"/>
        <scheme val="minor"/>
      </rPr>
      <t>Nadgradna vodotijesna LED svjetiljka</t>
    </r>
    <r>
      <rPr>
        <sz val="10"/>
        <color theme="1"/>
        <rFont val="Calibri"/>
        <family val="2"/>
        <charset val="238"/>
        <scheme val="minor"/>
      </rPr>
      <t xml:space="preserve">
polikarbonatno kućište, polikarbonatni difuzor, dimenzije 1200x87x80mm(±5%), snaga svjetiljke maksimalno 36W, svjetlosni tok svjetiljke minimalno 5000lm, korelirana temperatura nijanse bijelog svjetla 3000K, standardna devijacija boje svjetla (SDCM) maksimalno 5, indeks uzvrata boje minimalno 80, zaštita IP66, IK08, električna klasa I, temperaturno područje rada od -20˚C do +40˚C, svjetiljka treba imati izjavu za potvrđivanje CE znaka, životni vijek svjetiljke minimalno 100.000 sati pri 70% svjetlosnog toka
 Tip:__________________________ , Proizvođač ________________________</t>
    </r>
  </si>
  <si>
    <r>
      <rPr>
        <b/>
        <sz val="10"/>
        <color theme="1"/>
        <rFont val="Calibri"/>
        <family val="2"/>
        <charset val="238"/>
        <scheme val="minor"/>
      </rPr>
      <t>Cestovna LED svjetiljka</t>
    </r>
    <r>
      <rPr>
        <sz val="10"/>
        <color theme="1"/>
        <rFont val="Calibri"/>
        <family val="2"/>
        <charset val="238"/>
        <scheme val="minor"/>
      </rPr>
      <t xml:space="preserve">
kućište svjetiljke od visokotlačno lijevanog aluminija, pokrov optike od stakla, dimenzija 520x234x95mm (±5%), asimetrični snop distribucije svjetlosti, snaga svjetiljke maksimalno 58W, svjetlosni tok svjetiljke minimalno 5740lm, indeks uzvrata boje minimalno 80, korelirana temperatura nijanse bijelog svjetla 3000K, zaštite IP66, IK08, električna klasa II, s prenaponskom zaštitom 10kV (Imax=10kA), udio svjetlosnog toka iznad horizontalne ravnine svjetiljke (ULOR faktor) 0%, s DALI regulabilnom predspojnom napravom, predspojna naprava s automatskom autonomnom regulacijom snage u 5 karakterističnih točaka/3 razine inteziteta svjetla, temperaturno područje rada od -40˚C do +50˚C, svjetiljka treba imati ENEC plus certifikat i izjavu za potvrđivanje CE znaka, životni vijek svjetiljke minimalno 100.000 sati pri 94% svjetlosnog toka
Tip:______________________
Proizvođač:_________________</t>
    </r>
  </si>
  <si>
    <r>
      <rPr>
        <b/>
        <sz val="10"/>
        <color theme="1"/>
        <rFont val="Calibri"/>
        <family val="2"/>
        <charset val="238"/>
        <scheme val="minor"/>
      </rPr>
      <t>Čelični cijevni konusni stup visine H = 6m</t>
    </r>
    <r>
      <rPr>
        <sz val="10"/>
        <color theme="1"/>
        <rFont val="Calibri"/>
        <family val="2"/>
        <charset val="238"/>
        <scheme val="minor"/>
      </rPr>
      <t xml:space="preserve">
Stup mora imati antikorozivnu zaštitu izvana i iznutra, mora biti opremljen vratima, letvicom za ovjes stupne razdjelnice, stupnom razdjelnicom, vijkom za uzemljenje izvana i iznutra, s pripadajućim temeljnim vijcima i maticama, naglavnik stupa Ф 60 mm
Tip: _________________________
Proizvođač: _____________________</t>
    </r>
  </si>
  <si>
    <r>
      <rPr>
        <b/>
        <sz val="10"/>
        <color theme="1"/>
        <rFont val="Calibri"/>
        <family val="2"/>
        <charset val="238"/>
        <scheme val="minor"/>
      </rPr>
      <t>Nadgradna sigurnosna svjetiljka</t>
    </r>
    <r>
      <rPr>
        <sz val="10"/>
        <color theme="1"/>
        <rFont val="Calibri"/>
        <family val="2"/>
        <charset val="238"/>
        <scheme val="minor"/>
      </rPr>
      <t xml:space="preserve">
autonomija 3h, u pripravnom spoju, svjetlosni tok LED izvora minimalno 100lm, zaštita IP42, IK04, električna klasa II, svjetiljka treba imati ENEC certifikat i izjavu za potvrđivanje CE znaka
Tip:_____________________________
Proizvođač:_________________________</t>
    </r>
  </si>
  <si>
    <t>Dobava, montaža i spajanje nadgradne sigurnosne svjetiljke, autonomija 3h, u pripravnom spoju, svjetlosni tok LED izvora minimalno 100lm, zaštita IP65, IK07, električna klasa II, svjetiljka treba imati ENEC certifikat i izjavu za potvrđivanje CE znaka
Tip__________________________
Proizvođač:__________________</t>
  </si>
  <si>
    <r>
      <t xml:space="preserve">Nadgradna sigurnosna svjetiljka autonomije 3h
U trajnom spoju, svjetlosni tok LED izvora minimalno 100lm, zaštita IP42, IK04, električna klasa II, s piktogramom usmjerenja </t>
    </r>
    <r>
      <rPr>
        <b/>
        <sz val="10"/>
        <color theme="1"/>
        <rFont val="Calibri"/>
        <family val="2"/>
        <charset val="238"/>
        <scheme val="minor"/>
      </rPr>
      <t>"Ravno"</t>
    </r>
    <r>
      <rPr>
        <sz val="10"/>
        <color theme="1"/>
        <rFont val="Calibri"/>
        <family val="2"/>
        <charset val="238"/>
        <scheme val="minor"/>
      </rPr>
      <t>, vidljivost piktograma minimalno 20m, svjetiljka treba imati ENEC certifikat i izjavu za potvrđivanje CE znaka
Tip:______________________________
Proizvođač____________________</t>
    </r>
  </si>
  <si>
    <r>
      <rPr>
        <b/>
        <sz val="10"/>
        <color theme="1"/>
        <rFont val="Calibri"/>
        <family val="2"/>
        <charset val="238"/>
        <scheme val="minor"/>
      </rPr>
      <t>Nadgradna sigurnosna svjetiljka autonomije 3h</t>
    </r>
    <r>
      <rPr>
        <sz val="10"/>
        <color theme="1"/>
        <rFont val="Calibri"/>
        <family val="2"/>
        <charset val="238"/>
        <scheme val="minor"/>
      </rPr>
      <t xml:space="preserve">
u trajnom spoju, svjetlosni tok LED izvora minimalno 100lm, zaštita IP42, IK04, električna klasa II, s piktogramom usmjerenja</t>
    </r>
    <r>
      <rPr>
        <b/>
        <sz val="10"/>
        <color theme="1"/>
        <rFont val="Calibri"/>
        <family val="2"/>
        <charset val="238"/>
        <scheme val="minor"/>
      </rPr>
      <t xml:space="preserve"> "Lijevo-Desno"</t>
    </r>
    <r>
      <rPr>
        <sz val="10"/>
        <color theme="1"/>
        <rFont val="Calibri"/>
        <family val="2"/>
        <charset val="238"/>
        <scheme val="minor"/>
      </rPr>
      <t>, vidljivost piktograma minimalno 20m, svjetiljka treba imati ENEC certifikat i izjavu za potvrđivanje CE znaka
Tip:__________________________
Proizvođač:__________________</t>
    </r>
  </si>
  <si>
    <r>
      <t>N</t>
    </r>
    <r>
      <rPr>
        <sz val="10"/>
        <color indexed="8"/>
        <rFont val="Calibri"/>
        <family val="2"/>
        <charset val="238"/>
        <scheme val="minor"/>
      </rPr>
      <t>adgradna  svjetiljka  IP40, sa LED žaruljom 24W. Komplet</t>
    </r>
  </si>
  <si>
    <r>
      <t>Na</t>
    </r>
    <r>
      <rPr>
        <sz val="10"/>
        <color indexed="8"/>
        <rFont val="Calibri"/>
        <family val="2"/>
        <charset val="238"/>
        <scheme val="minor"/>
      </rPr>
      <t>dgradna  svjetiljka  IP44, sa LED žaruljom 18W. Komplet</t>
    </r>
  </si>
  <si>
    <r>
      <t>N</t>
    </r>
    <r>
      <rPr>
        <sz val="10"/>
        <color indexed="8"/>
        <rFont val="Calibri"/>
        <family val="2"/>
        <charset val="238"/>
        <scheme val="minor"/>
      </rPr>
      <t>adgradna  svjetiljka  IP44, sa LED žaruljom 20W. Komplet</t>
    </r>
  </si>
  <si>
    <t>Izrada izvoda za zidnu svjetiljku iznad ogledala u kupatilu. Komplet</t>
  </si>
  <si>
    <t>2.5.</t>
  </si>
  <si>
    <t>RAZVODNE PLOČE</t>
  </si>
  <si>
    <r>
      <rPr>
        <b/>
        <sz val="10"/>
        <color theme="1"/>
        <rFont val="Calibri"/>
        <family val="2"/>
        <charset val="238"/>
        <scheme val="minor"/>
      </rPr>
      <t xml:space="preserve">Samostojeći nadgradni razdjelnik GRP-1  </t>
    </r>
    <r>
      <rPr>
        <sz val="10"/>
        <color theme="1"/>
        <rFont val="Calibri"/>
        <family val="2"/>
        <charset val="238"/>
        <scheme val="minor"/>
      </rPr>
      <t xml:space="preserve">
dim. cca. Šxvxdub 1600x(2000+100)x400mm
prema IEC 60439-1; Icc=25 kA, u kojem su smješteni slijedeći elementi :</t>
    </r>
  </si>
  <si>
    <t>-1 kom tropolna rastavna sklopka-osigurač  sa ulošcima 160 A</t>
  </si>
  <si>
    <r>
      <t>-1</t>
    </r>
    <r>
      <rPr>
        <sz val="10"/>
        <color indexed="8"/>
        <rFont val="Calibri"/>
        <family val="2"/>
        <charset val="238"/>
        <scheme val="minor"/>
      </rPr>
      <t xml:space="preserve"> kom tropolna rastavna sklopka-osigurač  sa ulošcima 100A  </t>
    </r>
  </si>
  <si>
    <t>-1  kom n.n. prekidač AS250,3P; 25kA;OI230V</t>
  </si>
  <si>
    <t>-1 kom autom. osigurač C6A</t>
  </si>
  <si>
    <t>-4 kom katodni odvodnik TIP 1+2</t>
  </si>
  <si>
    <t>-1 kom IP sabirnica (bakrena šina)</t>
  </si>
  <si>
    <t>-9 kom osigurač NVO sa ulošcima 63A</t>
  </si>
  <si>
    <t>-3 kom osigurač NVO sa ulošcima 80A</t>
  </si>
  <si>
    <t>SEKCIJA ODBK</t>
  </si>
  <si>
    <r>
      <t>-</t>
    </r>
    <r>
      <rPr>
        <sz val="10"/>
        <color indexed="8"/>
        <rFont val="Calibri"/>
        <family val="2"/>
        <charset val="238"/>
        <scheme val="minor"/>
      </rPr>
      <t>1 kom komunikator za daljinsku komunikaciju-HEP</t>
    </r>
  </si>
  <si>
    <t>-1 kom magnetska ili optička priključnica-HEP</t>
  </si>
  <si>
    <t>-1 kom  rastavna letvica 2/10</t>
  </si>
  <si>
    <t>-1 kom montažni nosač za regletu</t>
  </si>
  <si>
    <t xml:space="preserve">Komplet sa ožičenjem , Cu sabirnicama , natpisnim pločicama i ostalim sitnim spojnim i montažnim materijalom </t>
  </si>
  <si>
    <r>
      <rPr>
        <b/>
        <sz val="10"/>
        <color theme="1"/>
        <rFont val="Calibri"/>
        <family val="2"/>
        <charset val="238"/>
        <scheme val="minor"/>
      </rPr>
      <t xml:space="preserve">Samostojeći nadgradni razdjelnik GRP-2  </t>
    </r>
    <r>
      <rPr>
        <sz val="10"/>
        <color theme="1"/>
        <rFont val="Calibri"/>
        <family val="2"/>
        <charset val="238"/>
        <scheme val="minor"/>
      </rPr>
      <t xml:space="preserve">
dim. cca. Šxvxdub 1600x(2000+100)x400mm,  prema IEC 60439-1; Icc=25 kA, u kojem su smješteni slijedeći elementi :</t>
    </r>
  </si>
  <si>
    <t>-12 kom osigurač NVO sa ulošcima 63A</t>
  </si>
  <si>
    <r>
      <rPr>
        <b/>
        <sz val="10"/>
        <color theme="1"/>
        <rFont val="Calibri"/>
        <family val="2"/>
        <charset val="238"/>
        <scheme val="minor"/>
      </rPr>
      <t xml:space="preserve">Samostojeći nadgradni razdjelnik GRP-3 </t>
    </r>
    <r>
      <rPr>
        <sz val="10"/>
        <color theme="1"/>
        <rFont val="Calibri"/>
        <family val="2"/>
        <charset val="238"/>
        <scheme val="minor"/>
      </rPr>
      <t xml:space="preserve"> 
dim. cca. Šxvxdub 1600x(2000+100)x400mm,  prema IEC 60439-1; Icc=25 kA, u kojem su smješteni slijedeći elementi :</t>
    </r>
  </si>
  <si>
    <t>-24 kom osigurač NVO sa ulošcima 63A</t>
  </si>
  <si>
    <r>
      <rPr>
        <b/>
        <sz val="10"/>
        <color theme="1"/>
        <rFont val="Calibri"/>
        <family val="2"/>
        <charset val="238"/>
        <scheme val="minor"/>
      </rPr>
      <t xml:space="preserve">Samostojeći nadgradni razdjelnik GRP-4  </t>
    </r>
    <r>
      <rPr>
        <sz val="10"/>
        <color theme="1"/>
        <rFont val="Calibri"/>
        <family val="2"/>
        <charset val="238"/>
        <scheme val="minor"/>
      </rPr>
      <t xml:space="preserve">
dim. cca. Šxvxdub 1600x(2000+100)x400mm,  prema IEC 60439-1; Icc=25 kA, u kojem su smješteni slijedeći elementi :</t>
    </r>
  </si>
  <si>
    <t>-27 kom osigurač NVO sa ulošcima 63A</t>
  </si>
  <si>
    <t>-3 kom osigurač NVO sa ulošcima 40A</t>
  </si>
  <si>
    <t>-1 kom trofazno dvotarifno brojilo sa maksigrafom -HEP</t>
  </si>
  <si>
    <r>
      <rPr>
        <b/>
        <sz val="10"/>
        <color theme="1"/>
        <rFont val="Calibri"/>
        <family val="2"/>
        <charset val="238"/>
        <scheme val="minor"/>
      </rPr>
      <t xml:space="preserve">Ugradni razdjelnik ER-4  </t>
    </r>
    <r>
      <rPr>
        <sz val="10"/>
        <color theme="1"/>
        <rFont val="Calibri"/>
        <family val="2"/>
        <charset val="238"/>
        <scheme val="minor"/>
      </rPr>
      <t xml:space="preserve">
dim. cca. Šxvxdub 1110x460x200mm,  prema IEC 60439-1; Icc=25 kA, u kojem su smješteni slijedeći elementi :</t>
    </r>
  </si>
  <si>
    <t>-1  kom sklopka 0-1; 63A;3P</t>
  </si>
  <si>
    <t>-4  kom osigurač EZ 35A</t>
  </si>
  <si>
    <t>-4  kom jednofazno brojilo-HEP</t>
  </si>
  <si>
    <r>
      <rPr>
        <b/>
        <sz val="10"/>
        <color theme="1"/>
        <rFont val="Calibri"/>
        <family val="2"/>
        <charset val="238"/>
        <scheme val="minor"/>
      </rPr>
      <t xml:space="preserve">Ugradni razdjelnik ER-4 </t>
    </r>
    <r>
      <rPr>
        <sz val="10"/>
        <color theme="1"/>
        <rFont val="Calibri"/>
        <family val="2"/>
        <charset val="238"/>
        <scheme val="minor"/>
      </rPr>
      <t xml:space="preserve"> 
dim. cca. Šxvxdub 1110x460x200mm,  prema IEC 60439-1; Icc=25 kA, u kojem su smješteni slijedeći elementi :</t>
    </r>
  </si>
  <si>
    <t>-3  kom osigurač EZ 35A</t>
  </si>
  <si>
    <t>-3  kom jednofazno brojilo-HEP</t>
  </si>
  <si>
    <t>-3  kom osigurač EZ 50A</t>
  </si>
  <si>
    <t>-1  kom trofazno brojilo-HEP</t>
  </si>
  <si>
    <r>
      <rPr>
        <b/>
        <sz val="10"/>
        <color theme="1"/>
        <rFont val="Calibri"/>
        <family val="2"/>
        <charset val="238"/>
        <scheme val="minor"/>
      </rPr>
      <t xml:space="preserve">Ugradni razdjelnik ER-3  </t>
    </r>
    <r>
      <rPr>
        <sz val="10"/>
        <color theme="1"/>
        <rFont val="Calibri"/>
        <family val="2"/>
        <charset val="238"/>
        <scheme val="minor"/>
      </rPr>
      <t xml:space="preserve">
dim. cca. Šxvxdub 930x460x200mm,  prema IEC 60439-1; Icc=25 kA, u kojem su smješteni slijedeći elementi :</t>
    </r>
  </si>
  <si>
    <t>-2  kom osigurač EZ 35A</t>
  </si>
  <si>
    <t>-2  kom jednofazno brojilo-HEP</t>
  </si>
  <si>
    <r>
      <rPr>
        <b/>
        <sz val="10"/>
        <color theme="1"/>
        <rFont val="Calibri"/>
        <family val="2"/>
        <charset val="238"/>
        <scheme val="minor"/>
      </rPr>
      <t>Ugradni razdjelnik ER-2</t>
    </r>
    <r>
      <rPr>
        <sz val="10"/>
        <color theme="1"/>
        <rFont val="Calibri"/>
        <family val="2"/>
        <charset val="238"/>
        <scheme val="minor"/>
      </rPr>
      <t xml:space="preserve">
dim. cca. Šxvxdub 710x460x200mm,  prema IEC 60439-1; Icc=25 kA, u kojem su smješteni slijedeći elementi :</t>
    </r>
  </si>
  <si>
    <r>
      <rPr>
        <b/>
        <sz val="10"/>
        <color theme="1"/>
        <rFont val="Calibri"/>
        <family val="2"/>
        <charset val="238"/>
        <scheme val="minor"/>
      </rPr>
      <t xml:space="preserve">Zidni razdjelnik RP-G  </t>
    </r>
    <r>
      <rPr>
        <sz val="10"/>
        <color theme="1"/>
        <rFont val="Calibri"/>
        <family val="2"/>
        <charset val="238"/>
        <scheme val="minor"/>
      </rPr>
      <t xml:space="preserve">
dim. cca.800x800x400 mm  , atestiran prema IEC 60439-1, Icc=25 kA, u kojem su smješteni slijedeći elementi:</t>
    </r>
  </si>
  <si>
    <t>-1  kom n.n. prekidač AS80,R63,3P; 25kA;OI230V</t>
  </si>
  <si>
    <t>-2 kom autom. osigurač C6A</t>
  </si>
  <si>
    <t>-1 kom kombinirano zaštitna sklopka KZS25A, 4p, 30mA</t>
  </si>
  <si>
    <t>-2 kom kombinirano zaštitna sklopka KZS20A, 4p, 30mA</t>
  </si>
  <si>
    <t>-12 kom autom. osigurač C10A</t>
  </si>
  <si>
    <t>-4 kom stubišni automat sa mogućnošću podešavanja vremena isključenja</t>
  </si>
  <si>
    <t>-1 kom uklopni sat sa fotosenzorom</t>
  </si>
  <si>
    <t>-18 kom preklopka 1,0,2 ; 12A; 1P</t>
  </si>
  <si>
    <t>-1 kom sklopnik 25A; 4P</t>
  </si>
  <si>
    <t>-2 kom kombinirano zaštitna sklopka KZS10A, 2p, 30mA</t>
  </si>
  <si>
    <t>-6 kom kombinirano zaštitna sklopka KZS16A, 2p, 30mA</t>
  </si>
  <si>
    <t>-11 kom autom. osigurač C4A</t>
  </si>
  <si>
    <t>-2 kom autom. osigurač C6A;2P</t>
  </si>
  <si>
    <t>-3 kom transformator 230/24V; 100VA</t>
  </si>
  <si>
    <t>-4 kom relej 24V; 4P</t>
  </si>
  <si>
    <t>-4 kom sklopnik 12A;2P</t>
  </si>
  <si>
    <t>-4 kom signalna žarulja 230V;zelena</t>
  </si>
  <si>
    <t>-12 kom sklopnik 16A;2P</t>
  </si>
  <si>
    <t>-12 kom signalna dioda 24V;zelena</t>
  </si>
  <si>
    <t>-12 kom signalna dioda 24V;crvena</t>
  </si>
  <si>
    <t>-12 kom motorna zaštitna sklopka 1-3A;2P</t>
  </si>
  <si>
    <r>
      <rPr>
        <b/>
        <sz val="10"/>
        <color theme="1"/>
        <rFont val="Calibri"/>
        <family val="2"/>
        <charset val="238"/>
        <scheme val="minor"/>
      </rPr>
      <t xml:space="preserve">Zidni razdjelnik RP-ZP-1  </t>
    </r>
    <r>
      <rPr>
        <sz val="10"/>
        <color theme="1"/>
        <rFont val="Calibri"/>
        <family val="2"/>
        <charset val="238"/>
        <scheme val="minor"/>
      </rPr>
      <t xml:space="preserve">
dim. cca.600x800x400 mm  , atestiran prema IEC 60439-1, Icc=25 kA, u kojem su smješteni slijedeći elementi:</t>
    </r>
  </si>
  <si>
    <t>-1  kom OSO 20A/3P-HEP</t>
  </si>
  <si>
    <t>-1 kom autom. osigurač C25A/3P</t>
  </si>
  <si>
    <t>-2 kom strujno zaštitna sklopka FID25A, 4p, 30mA</t>
  </si>
  <si>
    <t>-13 kom autom. osigurač C10A</t>
  </si>
  <si>
    <t>-1 kom bistabilni relej</t>
  </si>
  <si>
    <t>-5 kom stubišni automat</t>
  </si>
  <si>
    <t>-3 kom kombinirano zaštitna sklopka KZS10A, 2p, 30mA</t>
  </si>
  <si>
    <t>-1 kom autom. osigurač C4A</t>
  </si>
  <si>
    <t>-1 kom autom. osigurač C10A/2P</t>
  </si>
  <si>
    <r>
      <t>-</t>
    </r>
    <r>
      <rPr>
        <sz val="10"/>
        <color indexed="8"/>
        <rFont val="Calibri"/>
        <family val="2"/>
        <charset val="238"/>
        <scheme val="minor"/>
      </rPr>
      <t xml:space="preserve">1  kom trafo 230/24V 200VA  </t>
    </r>
  </si>
  <si>
    <t>-4 kom autom. osigurač B2A/2P</t>
  </si>
  <si>
    <t>-1 kom mjesto za ugradnju termostat grijaćeg kabela</t>
  </si>
  <si>
    <t>-1 kom mjesto za ugradnju regulatora grijača uljevnih grla</t>
  </si>
  <si>
    <t xml:space="preserve">Komplet sa ožičenjem, Cu sabirnicama, natpisnim pločicama i ostalim sitnim spojnim i montažnim materijalom </t>
  </si>
  <si>
    <r>
      <rPr>
        <b/>
        <sz val="10"/>
        <color theme="1"/>
        <rFont val="Calibri"/>
        <family val="2"/>
        <charset val="238"/>
        <scheme val="minor"/>
      </rPr>
      <t xml:space="preserve">Zidni razdjelnik RP-ZP-2  </t>
    </r>
    <r>
      <rPr>
        <sz val="10"/>
        <color theme="1"/>
        <rFont val="Calibri"/>
        <family val="2"/>
        <charset val="238"/>
        <scheme val="minor"/>
      </rPr>
      <t xml:space="preserve">
dim. cca.600x800x400 mm  , atestiran prema IEC 60439-1, Icc=25 kA, u kojem su smješteni slijedeći elementi:</t>
    </r>
  </si>
  <si>
    <t>-2 kom bistabilni relej</t>
  </si>
  <si>
    <t>-6 kom autom. osigurač B2A/2P</t>
  </si>
  <si>
    <r>
      <rPr>
        <b/>
        <sz val="10"/>
        <color theme="1"/>
        <rFont val="Calibri"/>
        <family val="2"/>
        <charset val="238"/>
        <scheme val="minor"/>
      </rPr>
      <t xml:space="preserve">Zidni razdjelnik RP-ZP-3  </t>
    </r>
    <r>
      <rPr>
        <sz val="10"/>
        <color theme="1"/>
        <rFont val="Calibri"/>
        <family val="2"/>
        <charset val="238"/>
        <scheme val="minor"/>
      </rPr>
      <t xml:space="preserve">
dim. cca.600x800x400 mm  , atestiran prema IEC 60439-1, Icc=25 kA, u kojem su smješteni slijedeći elementi:</t>
    </r>
  </si>
  <si>
    <t>-17 kom autom. osigurač C10A</t>
  </si>
  <si>
    <t>-3 kom bistabilni relej</t>
  </si>
  <si>
    <t>-8 kom stubišni automat</t>
  </si>
  <si>
    <t>-2 kom autom. osigurač C4A</t>
  </si>
  <si>
    <t>-2 kom autom. osigurač C10A/2P</t>
  </si>
  <si>
    <r>
      <t>-2</t>
    </r>
    <r>
      <rPr>
        <sz val="10"/>
        <color indexed="8"/>
        <rFont val="Calibri"/>
        <family val="2"/>
        <charset val="238"/>
        <scheme val="minor"/>
      </rPr>
      <t xml:space="preserve">  kom trafo 230/24V 200VA  </t>
    </r>
  </si>
  <si>
    <t>-8 kom autom. osigurač B2A/2P</t>
  </si>
  <si>
    <t>-2 kom mjesto za ugradnju regulatora grijača uljevnih grla</t>
  </si>
  <si>
    <r>
      <rPr>
        <b/>
        <sz val="10"/>
        <color theme="1"/>
        <rFont val="Calibri"/>
        <family val="2"/>
        <charset val="238"/>
        <scheme val="minor"/>
      </rPr>
      <t xml:space="preserve">Zidni razdjelnik RP-ZP-4 </t>
    </r>
    <r>
      <rPr>
        <sz val="10"/>
        <color theme="1"/>
        <rFont val="Calibri"/>
        <family val="2"/>
        <charset val="238"/>
        <scheme val="minor"/>
      </rPr>
      <t xml:space="preserve"> 
dim. cca.600x800x400 mm  , atestiran prema IEC 60439-1, Icc=25 kA, u kojem su smješteni slijedeći elementi:</t>
    </r>
  </si>
  <si>
    <t>-9 kom stubišni automat</t>
  </si>
  <si>
    <r>
      <t>-1</t>
    </r>
    <r>
      <rPr>
        <sz val="10"/>
        <color indexed="8"/>
        <rFont val="Calibri"/>
        <family val="2"/>
        <charset val="238"/>
        <scheme val="minor"/>
      </rPr>
      <t xml:space="preserve">  kom trafo 230/24V 200VA  </t>
    </r>
  </si>
  <si>
    <t>15.</t>
  </si>
  <si>
    <r>
      <rPr>
        <b/>
        <sz val="10"/>
        <color theme="1"/>
        <rFont val="Calibri"/>
        <family val="2"/>
        <charset val="238"/>
        <scheme val="minor"/>
      </rPr>
      <t>Dvoredni ugradni razdjelnik RP-S</t>
    </r>
    <r>
      <rPr>
        <sz val="10"/>
        <color theme="1"/>
        <rFont val="Calibri"/>
        <family val="2"/>
        <charset val="238"/>
        <scheme val="minor"/>
      </rPr>
      <t xml:space="preserve">
dim. cca.442x346x92mm,  atestiran prema IEC 60439-1 u kojem su smješteni slijedeći elementi :</t>
    </r>
  </si>
  <si>
    <t>-1  kom OSO 25A-HEP</t>
  </si>
  <si>
    <t>-2 kom katodni odvodnik TIP 2</t>
  </si>
  <si>
    <t>-2 kom autom. osigurač C10A</t>
  </si>
  <si>
    <t>-1 kom strujno zaštitna sklopka FID40A, 2p, 30mA</t>
  </si>
  <si>
    <t>16.</t>
  </si>
  <si>
    <r>
      <rPr>
        <b/>
        <sz val="10"/>
        <color theme="1"/>
        <rFont val="Calibri"/>
        <family val="2"/>
        <charset val="238"/>
        <scheme val="minor"/>
      </rPr>
      <t>Dvoredni ugradni razdjelnik RP-S1</t>
    </r>
    <r>
      <rPr>
        <sz val="10"/>
        <color theme="1"/>
        <rFont val="Calibri"/>
        <family val="2"/>
        <charset val="238"/>
        <scheme val="minor"/>
      </rPr>
      <t xml:space="preserve">
dim. cca.442x346x92mm,  atestiran prema IEC 60439-1 u kojem su smješteni slijedeći elementi :</t>
    </r>
  </si>
  <si>
    <t>17.</t>
  </si>
  <si>
    <r>
      <rPr>
        <b/>
        <sz val="10"/>
        <color theme="1"/>
        <rFont val="Calibri"/>
        <family val="2"/>
        <charset val="238"/>
        <scheme val="minor"/>
      </rPr>
      <t>Nadgradni razdjelnik RP-PP</t>
    </r>
    <r>
      <rPr>
        <sz val="10"/>
        <color theme="1"/>
        <rFont val="Calibri"/>
        <family val="2"/>
        <charset val="238"/>
        <scheme val="minor"/>
      </rPr>
      <t xml:space="preserve">
dim. cca.600x600x400mm,  atestiran prema IEC 60439-1 u kojem su smješteni slijedeći elementi :</t>
    </r>
  </si>
  <si>
    <t>-1  kom OSO 25A/3P-HEP</t>
  </si>
  <si>
    <t>-4 kom katodni odvodnik TIP 2</t>
  </si>
  <si>
    <t>-1  kom n.n. prekidač AS63,R25,3P; 25kA;OI230V</t>
  </si>
  <si>
    <t>-5 kom autom. osigurač C10A</t>
  </si>
  <si>
    <t>-1 kom autom. osigurač C16A</t>
  </si>
  <si>
    <t>-1 kom KZS40A, 4p, 30mA</t>
  </si>
  <si>
    <t>-1 kom autom. osigurač C16A/3P</t>
  </si>
  <si>
    <t>2.6.</t>
  </si>
  <si>
    <t>IZJEDNAČENJE POTENCIJALA</t>
  </si>
  <si>
    <r>
      <t xml:space="preserve">Sabirni vodič za izjednačenje potencijala tip P/PF 16 mm². 
Vodič se  polaže u PVC cijevi </t>
    </r>
    <r>
      <rPr>
        <sz val="10"/>
        <color indexed="8"/>
        <rFont val="Arial"/>
        <family val="2"/>
      </rPr>
      <t xml:space="preserve">ø26 mm.  </t>
    </r>
  </si>
  <si>
    <r>
      <t xml:space="preserve">Isto kao prethodna stavka - 1. samo P/PF 4 mm². 
Vodič se  polaže u PVC cijevi </t>
    </r>
    <r>
      <rPr>
        <sz val="10"/>
        <color indexed="8"/>
        <rFont val="Calibri"/>
        <family val="2"/>
        <charset val="238"/>
        <scheme val="minor"/>
      </rPr>
      <t>ø16 mm. Obračun po kompletu.</t>
    </r>
  </si>
  <si>
    <t xml:space="preserve">Dobava i montaža kutije za izjednačenje potencijala tip kao PS-49 </t>
  </si>
  <si>
    <t>Izrada spoja premoštenja metalnih vrata i dovratnika i sl.Cu užetom 25 mm² kabel stopicama i vijcima M 10x15 mm</t>
  </si>
  <si>
    <t>Razni sitni montažni, spojni i nespecificirani materijal. Komplet</t>
  </si>
  <si>
    <t>Ispitivanje instalacije od strane ovlaštene ustanove i izdavanje certifikata</t>
  </si>
  <si>
    <t>2.7.</t>
  </si>
  <si>
    <t>PROTIVPOŽARNA ZAŠTITA KABELA</t>
  </si>
  <si>
    <t xml:space="preserve">Nabava, isporuka i nanošenje PROMAFOAM –C protupožarne pjene u kombinaciji sa kamenom vunom  , proizvod PROMAT ili sl. , kao završni sloj pri zatvaranju otvora u požarnim zidovima   </t>
  </si>
  <si>
    <t xml:space="preserve">Nabava, isporuka i postavljanje protupožarni  jastučni tamponi PROMASTOP-PS 300/750 , proizvod PROMASTOP ili sl. , koje se postavljaju  pri zatvaranju otvora u požarnim zidovima . </t>
  </si>
  <si>
    <t>2.8.</t>
  </si>
  <si>
    <t>SUSTAV ZAŠTITE OD DJELOVANJA MUNJE</t>
  </si>
  <si>
    <r>
      <rPr>
        <b/>
        <sz val="10"/>
        <color theme="1"/>
        <rFont val="Calibri"/>
        <family val="2"/>
        <charset val="238"/>
        <scheme val="minor"/>
      </rPr>
      <t>Plosnati vodič Fe/Zn 25x4  mm u temeljima građevine</t>
    </r>
    <r>
      <rPr>
        <sz val="10"/>
        <color theme="1"/>
        <rFont val="Calibri"/>
        <family val="2"/>
        <charset val="238"/>
        <scheme val="minor"/>
      </rPr>
      <t xml:space="preserve">
Komplet sa spajanjem zavarivanjem svaka 2 m  za betonsko željezo, sitnim spojnim i montažnim materijalom</t>
    </r>
  </si>
  <si>
    <r>
      <rPr>
        <b/>
        <sz val="10"/>
        <color theme="1"/>
        <rFont val="Calibri"/>
        <family val="2"/>
        <charset val="238"/>
        <scheme val="minor"/>
      </rPr>
      <t>Plosnati vodič Fe/Zn 25x4  mm</t>
    </r>
    <r>
      <rPr>
        <sz val="10"/>
        <color theme="1"/>
        <rFont val="Calibri"/>
        <family val="2"/>
        <charset val="238"/>
        <scheme val="minor"/>
      </rPr>
      <t xml:space="preserve"> po armirano betonskim stupovima građevine do mjernog spoja i glavnih razvodnih ploča 
Komplet sa spajanjem zavarivanjem svaka 2 m  za betonsko željezo, sitnim spojnim i montažnim materijalom</t>
    </r>
  </si>
  <si>
    <r>
      <rPr>
        <b/>
        <sz val="10"/>
        <color theme="1"/>
        <rFont val="Calibri"/>
        <family val="2"/>
        <charset val="238"/>
        <scheme val="minor"/>
      </rPr>
      <t xml:space="preserve">Plosnati vodič Fe/Zn 20x3  mm </t>
    </r>
    <r>
      <rPr>
        <sz val="10"/>
        <color theme="1"/>
        <rFont val="Calibri"/>
        <family val="2"/>
        <charset val="238"/>
        <scheme val="minor"/>
      </rPr>
      <t>po armirano betonskim stupovima građevine od mjernog spoja do krova 
Komplet sa spajanjem zavarivanjem svaka 2 m  za betonsko željezo, sitnim spojnim i montažnim materijalom</t>
    </r>
  </si>
  <si>
    <r>
      <rPr>
        <b/>
        <sz val="10"/>
        <color theme="1"/>
        <rFont val="Calibri"/>
        <family val="2"/>
        <charset val="238"/>
        <scheme val="minor"/>
      </rPr>
      <t xml:space="preserve">Okrugli aluminijski vodič </t>
    </r>
    <r>
      <rPr>
        <b/>
        <sz val="10"/>
        <color indexed="8"/>
        <rFont val="Calibri"/>
        <family val="2"/>
        <charset val="238"/>
        <scheme val="minor"/>
      </rPr>
      <t>ø8 mm na potpore po krovu objekta</t>
    </r>
    <r>
      <rPr>
        <sz val="10"/>
        <color indexed="8"/>
        <rFont val="Calibri"/>
        <family val="2"/>
        <charset val="238"/>
        <scheme val="minor"/>
      </rPr>
      <t xml:space="preserve">
Razmak između potpora iznosi 1,0 m. Komplet sa  sitnim spojnim i montažnim materijalom.</t>
    </r>
  </si>
  <si>
    <t xml:space="preserve">Dobava i montaža križne spojke </t>
  </si>
  <si>
    <t>Izrada spoja sa  metalnim dijelovima na krovu i pročelju objekta</t>
  </si>
  <si>
    <t>Dobava i montaža rastavne spojnice. Komplet sa ormarićem</t>
  </si>
  <si>
    <t xml:space="preserve">Dobava i montaža odvodnika prenapona za spoj metalnih masa (vodilica dizala) na gromobransku instalaciju </t>
  </si>
  <si>
    <t xml:space="preserve">Dobava i montaža loveće palice s potporama i postoljem s amortizerom, proizvod HERMI  visine 3 m </t>
  </si>
  <si>
    <t>Nosač okrugle žice promjera 8 mm  T oblika po krova. 
Komplet sa spojnim i montažnim materijalom</t>
  </si>
  <si>
    <t>Dobava i montaža nosača okrugle žice promjera 8 mm  T oblik na betonskoj kocki po krova. Komplet sa spojnim i montažnim materijalom</t>
  </si>
  <si>
    <t>Sitni montažni i spojni materijal. Komplet</t>
  </si>
  <si>
    <t>Ispitivanje gromobranske instalacije od strane ovlaštene ustanove te izdavanje odgovarajućih certifikata. Komplet</t>
  </si>
  <si>
    <t>INSTALACIJE JAKE STRUJE UKUPNO:</t>
  </si>
  <si>
    <t xml:space="preserve">GRAĐEVINSKI I PRIPREMNO - ZAVRŠNI RADOVI NA GRADILIŠTU </t>
  </si>
  <si>
    <t>3.1.</t>
  </si>
  <si>
    <t>GRAĐEVINSKI RADOVI</t>
  </si>
  <si>
    <t>Cijevi od tvrde plastike promjera 110 mm za uvod energetskih kabela. Polaže se : 8 m</t>
  </si>
  <si>
    <t xml:space="preserve">Kabelska uvodnica kao ROXTEC za uvod energetskih kabela. </t>
  </si>
  <si>
    <t>-4 kom za kabele 4x150 mm2</t>
  </si>
  <si>
    <t>-4 kom za Cu  uže 50 mm2</t>
  </si>
  <si>
    <t>3.2.</t>
  </si>
  <si>
    <t xml:space="preserve">Pripremni radovi gradilišta uključivo: </t>
  </si>
  <si>
    <t>a ) pregled projektne dokumentacije ( glavni / izvedbeni projekti )</t>
  </si>
  <si>
    <t>b ) snimanje stanja gradilišta prije početka radova i uvođenja u posao</t>
  </si>
  <si>
    <t>c ) izrada eleborata zaštite na radu i prijava gradilišta nadležnoj inspekciji rada</t>
  </si>
  <si>
    <t>d ) formiranje radnih i sanitarnih prostora na gradilištu ( kancelarijski i sanitarni prostori  za tehničko osoblje )</t>
  </si>
  <si>
    <t>e ) formiranje garderobnih i sanitarnih prostora na gradilištu ( za radno osoblje )</t>
  </si>
  <si>
    <t xml:space="preserve">f ) formiranje radnih i skladišnih prostora na gradilištu ( priručne radionice i skladišta za opremu, materijal i alat ) </t>
  </si>
  <si>
    <t>g ) formiranje gradilišnih priključaka potrebnih za izvođenje predmetnih radova ( voda, električna energija )- energente osigurava Investitor</t>
  </si>
  <si>
    <t xml:space="preserve">h ) unošenje svih izmjena u projektnu dokumentaciju do kojih je došlo tijekom građenja, a koja će se koristiti prilikom izrade projekta izvedenog stanja </t>
  </si>
  <si>
    <t>3.3.</t>
  </si>
  <si>
    <t>ZAVRŠNI RADOVI</t>
  </si>
  <si>
    <t xml:space="preserve">Završni radovi gradilišta uključivo: </t>
  </si>
  <si>
    <t>završno čišćenje i uređenje gradilišta, uključivo demontaža i odvoz svih privremenih građevina ( kontejnera, skladišta, sanitarnih čvorova i sl. )</t>
  </si>
  <si>
    <t>izrada spiska rezervnih dijelova potrebnih za održavanje instalacija u garancijskom periodu, uključivo popis aktivnosti potrebnih na redovnom održavanju za pojedinu instalaciju posebno</t>
  </si>
  <si>
    <t>Obračun po kompletu izvedenih radova</t>
  </si>
  <si>
    <t xml:space="preserve">Aktivnosti za tehnički pregled uključivo: </t>
  </si>
  <si>
    <t xml:space="preserve">a ) sudjelovanje u Tehničkom pregledu prostora i postupku ishođenja uporabne dozvole - priprema tehničke dokumentacije kako slijedi : </t>
  </si>
  <si>
    <t>-Izjava o kvaliteti i ispravnosti izvedenih radova</t>
  </si>
  <si>
    <t>-Građevinski dnevnici ovjereni od strane nadzornog  inženjera</t>
  </si>
  <si>
    <t>-Rješenje o registraciji firme</t>
  </si>
  <si>
    <t>-Imenovanje odgovorne osobe za vođenje građenja</t>
  </si>
  <si>
    <t>-Ugovor o izvođenju predmetnih radova</t>
  </si>
  <si>
    <t xml:space="preserve">-Cjeloviti popis tehničke dokumentacije koja se prilaže za TEHNIČKI PREGLED </t>
  </si>
  <si>
    <t>U sklopu dokumentacije za tehnički pregled Izvoditelj treba priložiti:</t>
  </si>
  <si>
    <t>-Izjave o sukladnosti ( certifikati ) za ugrađene materijale</t>
  </si>
  <si>
    <t>-Izjave o sukladnosti ( certifikati ) za ugrađenu opremu</t>
  </si>
  <si>
    <t>-Zapisnik o puštanju u probni rad i redovan pogon elektro instalacija sigurnosnih sustava ( vatrodojava,  prirodno odimljavanje ), uključivo:</t>
  </si>
  <si>
    <t>-Uvjerenje / Zapisnik o ispitivanju svih elektroinstalacija</t>
  </si>
  <si>
    <t xml:space="preserve">- Uvjerenje / Zapisnik o mjerenju nivoa buke u prostorima i okolini - mjerenje danju / noću      </t>
  </si>
  <si>
    <t xml:space="preserve">-Uvjerenje / Zapisnik o mjerenju parametara radnog okoliša u prostorijama </t>
  </si>
  <si>
    <t>sva mjerenja moraju biti izvršena od  strane ovlaštene ustanove</t>
  </si>
  <si>
    <t>- Zapisnik o izvršenoj protupožarnoj zaštiti prolaza instalacije između posebnih požarnih zona, uključujući izjave o sukladnosti za upotrijebljene materijale</t>
  </si>
  <si>
    <t>GRAĐEVINSKI I PRIPREMNO - ZAVRŠNI RADOVI NA GRADILIŠTU  UKUPNO:</t>
  </si>
  <si>
    <t>ELEKTROINSTALACIJE UKUPNO:</t>
  </si>
  <si>
    <t>MAPA VI.</t>
  </si>
  <si>
    <t>PROJEKT ELEKTROINSTALACIJA - SKLONIŠTE</t>
  </si>
  <si>
    <r>
      <rPr>
        <b/>
        <sz val="10"/>
        <color theme="1"/>
        <rFont val="Calibri"/>
        <family val="2"/>
        <charset val="238"/>
        <scheme val="minor"/>
      </rPr>
      <t xml:space="preserve">Nadgradni razdjelnik RP-SKL  dim. cca. šxvxdub 800x800x250 mm,  prema IEC 60439-1; Icc=25 kA. </t>
    </r>
    <r>
      <rPr>
        <sz val="10"/>
        <color theme="1"/>
        <rFont val="Calibri"/>
        <family val="2"/>
        <charset val="238"/>
        <scheme val="minor"/>
      </rPr>
      <t xml:space="preserve">
Razdjelnik predviđen u zaštiti IP54, izrađen od dekapiranog lima i profila, obojen temeljnom bojom i sivosrebrenim pečenim lakom. Razdjelnik je podijeljen u dvije sekcije međusobno odvojene mehaničkom pregradom. U jednoj su smješteni uređaji koji rade pri mrežnom naponu 400/230V, a u drugoj uređaji koji rade pri naponu 24V  DC. Vrata razdjelnika su opremljena bravicama sa cilindrom. Razdjelnik se montira na okvir od čeličnih profila preko gumenih amortizera (8 kom). Kabeli se uvode u razdjelnik sa gornje strane kroz uvodnice, u kojem su smješteni slijedeći elementi  po sekcijama:</t>
    </r>
  </si>
  <si>
    <t>SEKCIJA I</t>
  </si>
  <si>
    <t>-1  kom FID40A/4p/0,03A</t>
  </si>
  <si>
    <t>-3 kom osigurač C10A/3p</t>
  </si>
  <si>
    <t>-9 kom autom. osigurač C10A</t>
  </si>
  <si>
    <r>
      <t>-3</t>
    </r>
    <r>
      <rPr>
        <sz val="10"/>
        <color indexed="8"/>
        <rFont val="Calibri"/>
        <family val="2"/>
        <charset val="238"/>
        <scheme val="minor"/>
      </rPr>
      <t xml:space="preserve">  kom sklopnik 3p; 16A</t>
    </r>
  </si>
  <si>
    <t xml:space="preserve">-3  kom preklopka 1,0,2 ; 12A </t>
  </si>
  <si>
    <r>
      <t>-3</t>
    </r>
    <r>
      <rPr>
        <sz val="10"/>
        <color indexed="8"/>
        <rFont val="Calibri"/>
        <family val="2"/>
        <charset val="238"/>
        <scheme val="minor"/>
      </rPr>
      <t xml:space="preserve">  kom sklopnik 2p; 16A</t>
    </r>
  </si>
  <si>
    <t>-1 kom osigurač C16A/3p</t>
  </si>
  <si>
    <t>-6 kom autom. osigurač C16A</t>
  </si>
  <si>
    <t>-1 kom osigurač B16A</t>
  </si>
  <si>
    <t xml:space="preserve">-1  kom sklopka 1,0; 12A </t>
  </si>
  <si>
    <t>SEKCIJA II-24V</t>
  </si>
  <si>
    <t>-1  kom sklopka GN16-91U</t>
  </si>
  <si>
    <r>
      <t>-2</t>
    </r>
    <r>
      <rPr>
        <sz val="10"/>
        <color indexed="8"/>
        <rFont val="Calibri"/>
        <family val="2"/>
        <charset val="238"/>
        <scheme val="minor"/>
      </rPr>
      <t xml:space="preserve">  kom sklopnik  230V; 4NC; 4NO; 16A</t>
    </r>
  </si>
  <si>
    <r>
      <t>-8</t>
    </r>
    <r>
      <rPr>
        <sz val="10"/>
        <color indexed="8"/>
        <rFont val="Calibri"/>
        <family val="2"/>
        <charset val="238"/>
        <scheme val="minor"/>
      </rPr>
      <t xml:space="preserve"> kom relej PR59C24</t>
    </r>
  </si>
  <si>
    <t>-15 kom osigurač EZ25/4A</t>
  </si>
  <si>
    <t>-4 kom signalna žarulja 24V DC crvena</t>
  </si>
  <si>
    <t>-1 kom tipkalo NPTO-32</t>
  </si>
  <si>
    <t>UKUPNO:</t>
  </si>
  <si>
    <t>RAZVODNE PLOČE UKUPNO:</t>
  </si>
  <si>
    <t>KABELSKI RAZVOD</t>
  </si>
  <si>
    <t>Dobava , doprema i polaganje kabela NYM-J 5x10 mm²</t>
  </si>
  <si>
    <t>Kabel se polaže od GRP-4 dijelom u cijevi CSS40, a dijelom na OG obujmice (4 kom/m). Komplet sa izradom svih spojeva, sitnim montažnim i spojnim materijalom</t>
  </si>
  <si>
    <t xml:space="preserve">Obračun po m'. </t>
  </si>
  <si>
    <t>NHXMH  5x2,5 mm². Kabel se polaže na OG obujmice (4 kom/m)</t>
  </si>
  <si>
    <t>Komplet sa izradom svih spojeva, ,sitnim montažnim i spojnim materijalom</t>
  </si>
  <si>
    <t>NHXMH  2x6 mm² . Kabel se polaže na OG obujmice (4 kom/m)</t>
  </si>
  <si>
    <t>Komplet sa izradom svih spojeva,  sitnim montažnim i spojnim materijalom</t>
  </si>
  <si>
    <t xml:space="preserve">Obračun po kompletu. </t>
  </si>
  <si>
    <t>NHXMH  3x1,5 mm² .Kabel se polaže na OG obujmice (4 kom/m)</t>
  </si>
  <si>
    <t>NHXMH  3x2,5 mm². Kabel se polaže na OG obujmice (4 kom/m)</t>
  </si>
  <si>
    <t>Komplet sa izradom svih spojeva, sitnim montažnim i spojnim materijalom</t>
  </si>
  <si>
    <t>Dobava, doprema i polaganje kabela IY(St)Y 2x0,8 mm za govorni uređaj korisnika (unutrašnja jedinica). Kabel se polaže na OG obujmice (4 kom/m)</t>
  </si>
  <si>
    <t>NHXMH  2x2,5 mm² .Kabel se polaže na OG obujmice (4 kom/m)</t>
  </si>
  <si>
    <t>KABELSKI RAZVOD UKUPNO:</t>
  </si>
  <si>
    <r>
      <t>Dobava i montaža običnog prekidača 10A, 230 V,n/žb , sive boje (za osnovnu rasvjetu-230V)</t>
    </r>
    <r>
      <rPr>
        <sz val="10"/>
        <color indexed="8"/>
        <rFont val="Calibri"/>
        <family val="2"/>
        <charset val="238"/>
        <scheme val="minor"/>
      </rPr>
      <t xml:space="preserve">. Komplet sa spajanjem  </t>
    </r>
  </si>
  <si>
    <r>
      <t>Dobava i montaža običnog prekidača 10A, 230 V,n/žb , plave boje (za pomoćnu rasvjetu-24V)</t>
    </r>
    <r>
      <rPr>
        <sz val="10"/>
        <color indexed="8"/>
        <rFont val="Calibri"/>
        <family val="2"/>
        <charset val="238"/>
        <scheme val="minor"/>
      </rPr>
      <t xml:space="preserve">. Komplet sa spajanjem  </t>
    </r>
  </si>
  <si>
    <r>
      <t>Dobava i montaža detektora pokreta sa mogućnošću odgode isključenja 1-10 minuta. Komplet</t>
    </r>
    <r>
      <rPr>
        <sz val="10"/>
        <color indexed="8"/>
        <rFont val="Calibri"/>
        <family val="2"/>
        <charset val="238"/>
        <scheme val="minor"/>
      </rPr>
      <t xml:space="preserve">  </t>
    </r>
  </si>
  <si>
    <t>3.4.</t>
  </si>
  <si>
    <r>
      <t>Dobava i montaža izmjeničnog prekidača 10A, 230 V,n/žb , sive boje (za osnovnu rasvjetu-230V)</t>
    </r>
    <r>
      <rPr>
        <sz val="10"/>
        <color indexed="8"/>
        <rFont val="Calibri"/>
        <family val="2"/>
        <charset val="238"/>
        <scheme val="minor"/>
      </rPr>
      <t xml:space="preserve">. Komplet sa spajanjem  </t>
    </r>
  </si>
  <si>
    <t>3.5.</t>
  </si>
  <si>
    <r>
      <t>Dobava i montaža izmjeničnog prekidača 10A, 230 V,n/žb, plave boje (za pomoćnu rasvjetu-24V)</t>
    </r>
    <r>
      <rPr>
        <sz val="10"/>
        <color indexed="8"/>
        <rFont val="Calibri"/>
        <family val="2"/>
        <charset val="238"/>
        <scheme val="minor"/>
      </rPr>
      <t xml:space="preserve">. Komplet sa spajanjem  </t>
    </r>
  </si>
  <si>
    <t>3.6.</t>
  </si>
  <si>
    <t xml:space="preserve">Dobava i montaža  priključnice  sa poklopcem, 16 A/230 V, n/žb, IP44. Komplet sa spajanjem </t>
  </si>
  <si>
    <t>3.7.</t>
  </si>
  <si>
    <t xml:space="preserve">Dobava i montaža trofazne priključnice  sa poklopcem, 16 A, 3x400/230 V, n/žb, IP44. Komplet sa spajanjem </t>
  </si>
  <si>
    <t>3.8.</t>
  </si>
  <si>
    <t xml:space="preserve">Dobava i montaža  krajnjih prekidača ulaznih vrata skloništa. Komplet sa spajanjem </t>
  </si>
  <si>
    <t>3.9.</t>
  </si>
  <si>
    <t xml:space="preserve">Alarmno nepromočivo zvono 24V. Komplet sa spajanjem </t>
  </si>
  <si>
    <t>3.10.</t>
  </si>
  <si>
    <t xml:space="preserve">Izrada izvoda i spajanje:ručnih generatora, krajnjih prekidača,ventilacijskih uređaja, ispravljača, akumulatora, el.zvona. Komplet </t>
  </si>
  <si>
    <t>PREKIDAČI I PRIKLJUČNICE UKUPNO</t>
  </si>
  <si>
    <t>4.1.</t>
  </si>
  <si>
    <t>Dobava i montaža LED svjetiljke za osnovnu rasvjetu , IP44; 20W. Komplet sa gumenim amortizerima (2 kom/svjetiljci).</t>
  </si>
  <si>
    <t>4.2.</t>
  </si>
  <si>
    <t>Dobava i montaža LED svjetiljke za pomoćnu rasvjetu , IP44; 5W. Komplet sa gumenim amortizerima (2 kom/svjetiljci).</t>
  </si>
  <si>
    <t>RASVJETA UKUPNO:</t>
  </si>
  <si>
    <t>OPREMA SKLONIŠTA</t>
  </si>
  <si>
    <t>5.1.</t>
  </si>
  <si>
    <t xml:space="preserve">Dobava i montažaispravljača 24V/16A za punjenje akumulatorske baterije sa automatskom regulacijom. Ispravljač se montira na okvire od L profila preko gumenih amortizera. </t>
  </si>
  <si>
    <t>5.2.</t>
  </si>
  <si>
    <t>Dobava,  montaža i spajanje aku baterije 12V 180 Ah. Akumulatorske baterije montiraju se na okvir proizvođača.</t>
  </si>
  <si>
    <t>5.3.</t>
  </si>
  <si>
    <t>Dobava,  montaža i spajanje centralnog interfonskog mjesta u zaštiti IP54. Uređej treba biti u nžb izvedbi i treba zadovoljavati  zahtjevima zaštite od udara. Komplet</t>
  </si>
  <si>
    <t>5.4.</t>
  </si>
  <si>
    <t>Dobava,  montaža i spajanje ručnog generatora istosmjernog napona 24V/60W. Komplet sa generatorskim sustavom u hermetičnoj kutiji, pogonske ručke i nosač za temeljnu ploču.</t>
  </si>
  <si>
    <t>5.5.</t>
  </si>
  <si>
    <t>Izrada proboja od željezno pocinčanih cijevi duljine 400 mm:</t>
  </si>
  <si>
    <t>2 kom 1 col</t>
  </si>
  <si>
    <t>10 kom 3/4 cola</t>
  </si>
  <si>
    <t>3 kom 1/2 cola</t>
  </si>
  <si>
    <t>OPREMA SKLONIŠTA UKUPNO:</t>
  </si>
  <si>
    <t>6.1.</t>
  </si>
  <si>
    <t>Dobava,  montaža i spajanje vodiča za izjednačenja potencijala metalnih masa u skloništu. Na sabirni vod P16 mm2 položen na OG obujmice, spojiti vodom P6 mm2 sve metalne mase: ventilacijski kanali, metalna kućišta uređaja, vovdovodne cijevi, protuudarni ventili i slično). Sabirni vod spojiti sa zaštitnom sabirnicom razdjelnika skloništa. Polaže se:</t>
  </si>
  <si>
    <t>P 16 mm2       70 m</t>
  </si>
  <si>
    <t>P 6 mm2         90 m</t>
  </si>
  <si>
    <t>Komplet sa sitnim spojnim materijalom i priborom(vijci, matice i sl.)</t>
  </si>
  <si>
    <t>6.2.</t>
  </si>
  <si>
    <t xml:space="preserve">Ispitivanje instalacije i izdavanje atesta. </t>
  </si>
  <si>
    <t>IZJEDNAČENJE POTENCIJALA UKUPNO:</t>
  </si>
  <si>
    <t>INSTALACIJA TELEFONA</t>
  </si>
  <si>
    <t>7.1.</t>
  </si>
  <si>
    <r>
      <rPr>
        <b/>
        <sz val="10"/>
        <color theme="1"/>
        <rFont val="Calibri"/>
        <family val="2"/>
        <charset val="238"/>
        <scheme val="minor"/>
      </rPr>
      <t xml:space="preserve">Telefonska priključnica RJ11  n/žb. </t>
    </r>
    <r>
      <rPr>
        <sz val="10"/>
        <color theme="1"/>
        <rFont val="Calibri"/>
        <family val="2"/>
        <charset val="238"/>
        <scheme val="minor"/>
      </rPr>
      <t xml:space="preserve">
Komplet sa kutijom</t>
    </r>
  </si>
  <si>
    <t>7.2.</t>
  </si>
  <si>
    <r>
      <t xml:space="preserve">Dobava, montaža i spajanje </t>
    </r>
    <r>
      <rPr>
        <b/>
        <sz val="10"/>
        <color theme="1"/>
        <rFont val="Calibri"/>
        <family val="2"/>
        <charset val="238"/>
        <scheme val="minor"/>
      </rPr>
      <t xml:space="preserve">kabela Ti44 2x2x0,8 mm. </t>
    </r>
    <r>
      <rPr>
        <sz val="10"/>
        <color theme="1"/>
        <rFont val="Calibri"/>
        <family val="2"/>
        <charset val="238"/>
        <scheme val="minor"/>
      </rPr>
      <t xml:space="preserve">
Kabel se polaže  većim dijelomna Og obujmice i dijelom u cijev CSS20.</t>
    </r>
  </si>
  <si>
    <t>INSTALACIJA TELEFONA UKUPNO:</t>
  </si>
  <si>
    <t>TV INSTALACIJA</t>
  </si>
  <si>
    <t>8.1.</t>
  </si>
  <si>
    <r>
      <rPr>
        <b/>
        <sz val="10"/>
        <color theme="1"/>
        <rFont val="Calibri"/>
        <family val="2"/>
        <charset val="238"/>
        <scheme val="minor"/>
      </rPr>
      <t xml:space="preserve">TV priključnica  n/žb (završne i prolazne). </t>
    </r>
    <r>
      <rPr>
        <sz val="10"/>
        <color theme="1"/>
        <rFont val="Calibri"/>
        <family val="2"/>
        <charset val="238"/>
        <scheme val="minor"/>
      </rPr>
      <t xml:space="preserve">
Komplet sa kutijom</t>
    </r>
  </si>
  <si>
    <t>8.2.</t>
  </si>
  <si>
    <r>
      <t xml:space="preserve">Dobava i montaža </t>
    </r>
    <r>
      <rPr>
        <b/>
        <sz val="10"/>
        <color theme="1"/>
        <rFont val="Calibri"/>
        <family val="2"/>
        <charset val="238"/>
        <scheme val="minor"/>
      </rPr>
      <t>UKV antene</t>
    </r>
    <r>
      <rPr>
        <sz val="10"/>
        <color theme="1"/>
        <rFont val="Calibri"/>
        <family val="2"/>
        <charset val="238"/>
        <scheme val="minor"/>
      </rPr>
      <t xml:space="preserve"> .</t>
    </r>
  </si>
  <si>
    <t>8.3.</t>
  </si>
  <si>
    <t>Dobava, polaganje i spajanje koaksijalni kabel 75 Ω, dijelom u cijev dijelom n/žb.</t>
  </si>
  <si>
    <t>TV INSTALACIJA UKUPNO:</t>
  </si>
  <si>
    <t>IZJEDNAČENJE POTENCIJALA UKUPNO</t>
  </si>
  <si>
    <t>TV INSTALACIJA UKUPNO</t>
  </si>
  <si>
    <t>MAPA VIII.</t>
  </si>
  <si>
    <t>STROJARSKI PROJEKT</t>
  </si>
  <si>
    <t>STROJARSKI PROJEKT - TERMOINSTALACIJE</t>
  </si>
  <si>
    <r>
      <t xml:space="preserve">Projektant: </t>
    </r>
    <r>
      <rPr>
        <b/>
        <sz val="10"/>
        <rFont val="Arial"/>
        <family val="2"/>
        <charset val="238"/>
      </rPr>
      <t>Vlado Nigojević, dipl.ing.str. S 395</t>
    </r>
  </si>
  <si>
    <t>Napomena</t>
  </si>
  <si>
    <t>Ako nije drugačije dogovoreno u predračunsku sumu je uračunato:</t>
  </si>
  <si>
    <t>Cjelokupna isporuka opreme, regulacija i potrebna ispitivanja na nepropusnost ugrađene instalacije grijanja, hlađenja i ventilacije, te sva potrebna ispitivanja od ovlaštene firme za dokazivanje kvalitete ugrađene instalacije.</t>
  </si>
  <si>
    <t>Obuka osoblja koje rukuje uređajima s objašnjenjem sistema i rada pojedinih dijelova, također i  davanje pismenog uputstva za rukovanje i održavanje.</t>
  </si>
  <si>
    <t>Naknada za montere, njihove pomoćnike, rukovodioce gradilišta i izradbu građevinske knjige.</t>
  </si>
  <si>
    <t>Potrebni materijali i radovi (osnovni i pomoćni), skele, strojevi i alat, kao i sve nabave/dobave, montaže/demontaže, uklanjanja, izrade i transporti, ukrcaj, iskrcaj, energenti, odvoz na deponij, građevinska pripomoć pri ugradnji instalacija, te ishođenje sve potrebne dokumentacije, uključivo takse.</t>
  </si>
  <si>
    <t>Transport cjelokupnog materijala i alata na gradilištu i s gradilišta, kao i namještanja skele.</t>
  </si>
  <si>
    <t>Izvoditelj je dužan pribaviti sve potrebne potvrde, izjave, certifikate i sl., a tijekom gradnje i za potrebe tehničkog pregleda dužan je izvršiti sva potrebna ispitivanja kvalitete izvršenih radova o svojem trošku što je propisano važećom zakonskom i tehničkom regulativom.</t>
  </si>
  <si>
    <t>Izrada projekta izvedenog stanja.</t>
  </si>
  <si>
    <t>Puštanje u rad specificirane opreme do potpune pogonske gotovosti, uključivo probni pogon, balansiranje svih sustava, ali bez troškova vode i energije.</t>
  </si>
  <si>
    <t>Svi ponuđeni proizvodi moraju zadovoljiti tražene tehničke parametre i karakteristike  opisanih proizvoda ili imati bolje tehničke parametre i karakteristike od traženih minimalnoimalnih. Ukoliko se u opisu proizvoda upućuje na robne marke, tipove proizvoda, norme  i slično podrazumijeva se da ponuditelj može ponuditi jednakovrijedan proizvod bez obzira je li taj proizvod popraćen izrazom „ili jednakovrijedan“. Za svaku navedenu normu navedenu po dotičnom normizacijskom sustavu dozvoljeno je nuditi jednakovrijednu normu, tehničko odobrenje odnosno uputu iz odgovarajuće hrvatske, europske ili međunarodne nomenklature</t>
  </si>
  <si>
    <t>U svim stavkama troškovnika uključena je dobava, transport i ugradnja sve navedene opreme</t>
  </si>
  <si>
    <t>INSTALACIJA SUSTAVA GRIJANJA I HLAĐENJA STAMBENOG PROSTORA</t>
  </si>
  <si>
    <t>Vanjska jedinica multisplit sustava u izvedbi dizalice topline  zrak/zrak  namijenjena za spoj na 2 - 5 unutarnjih jedinica. Uređaj je namijenjen za vanjsku montažu - zaštićen od vremenskih utjecaja, s ugrađenim hermetičkim DC inverter kompresorima,  zrakom hlađenim kondenzatorom i svim potrebnim elementima za zaštitu, kontrolu i regulaciju uređaja i funkcionalni rad. Rashladni medij R-32.</t>
  </si>
  <si>
    <t>Istrujavanje zraka je horizontalno što omogućuje jednostavnu ugradnju u arhitektonske niše i fasadno na konzole.</t>
  </si>
  <si>
    <t>Maksimalni broj unutarnjih jedinica je 3.</t>
  </si>
  <si>
    <t>Maksimalno dozvoljene udaljenosti: ukupno cijevni razvod do 50 metara; visinska razlika između vanjske i unutarnje jedinice iznosi 15 m; visinska razlika između pojedinih unutarnjih jedinica iznosi 7,5 m.</t>
  </si>
  <si>
    <t>Tehničke karakteristike:</t>
  </si>
  <si>
    <t>Qh,nom = minimalno 5.2 kW
Tv = 35°C ST
Tp = 27°C ST, 46%RH
EER:  minimalno 4.16 (114% opterećenja)
SEER   minimalno 8.51 (A++)
Qg,nom =  minimalno 6.3 kW
COP:  minimalno 4,77 (114% opterećenja)
SCOP  minimalno 4.60 (A++)
Tv= 7°C ST
Tp = 20°C ST</t>
  </si>
  <si>
    <t>Radno područje - grijanje: od -15° do 24°C</t>
  </si>
  <si>
    <t>Radno područje - hlađenje: od -10° do 46°C</t>
  </si>
  <si>
    <t>Nivo zvučnog tlaka: maksimalno  46 dB(A) na udaljenosti 1m od jedinice</t>
  </si>
  <si>
    <t>Nivo zvučne snage: maksimalno  61 dB(A) na udaljenosti 1m od jedinice</t>
  </si>
  <si>
    <r>
      <rPr>
        <b/>
        <sz val="10"/>
        <color theme="1"/>
        <rFont val="Calibri"/>
        <family val="2"/>
        <charset val="238"/>
        <scheme val="minor"/>
      </rPr>
      <t xml:space="preserve">Vanjska jedinica multisplit sustava u izvedbi dizalice topline  zrak/zrak  namijenjena za spoj na 2 - 5 unutarnjih jedinica. </t>
    </r>
    <r>
      <rPr>
        <sz val="10"/>
        <color theme="1"/>
        <rFont val="Calibri"/>
        <family val="2"/>
        <charset val="238"/>
        <scheme val="minor"/>
      </rPr>
      <t xml:space="preserve">
Uređaj je namijenjen za vanjsku montažu - zaštićen od vremenskih utjecaja, s ugrađenim hermetičkim DC inverter kompresorima,  zrakom hlađenim kondenzatorom i svim potrebnim elementima za zaštitu, kontrolu i regulaciju uređaja i funkcionalni rad. Rashladni medij R-32.</t>
    </r>
  </si>
  <si>
    <t>Qh,nom =  minimalno 6.8 kW
Priključna snaga:
Tv = 35°C ST
Tp = 27°C ST, 46%RH
EER:  minimalno 3.78 
SEER:  minimalno 7.75 (A++)
Qg,nom =  minimalno 8.0 kW
COP:  minimalno 4,42 (114% opterećenja)
SCOP:  minimalno 4.32 (A+)
Tv= 7°C ST
Tp = 20°C ST</t>
  </si>
  <si>
    <t>Nivo zvučnog tlaka: 46 dB(A) na udaljenosti 1m od jedinice</t>
  </si>
  <si>
    <t>Dimenzije: d x š = 880 x 310 mm ; h = 638 mm</t>
  </si>
  <si>
    <t>Napajanje : 220-240 V / 50 Hz ~1</t>
  </si>
  <si>
    <r>
      <rPr>
        <b/>
        <sz val="10"/>
        <color theme="1"/>
        <rFont val="Calibri"/>
        <family val="2"/>
        <charset val="238"/>
        <scheme val="minor"/>
      </rPr>
      <t xml:space="preserve">Komercijalni klima uređaj za cijelogodišnje hlađenje/grijanje sa vanjskom i unutarnjom jedinicom sa ukrasnom maskom, predviđena za  montažu na zid. </t>
    </r>
    <r>
      <rPr>
        <sz val="10"/>
        <color theme="1"/>
        <rFont val="Calibri"/>
        <family val="2"/>
        <charset val="238"/>
        <scheme val="minor"/>
      </rPr>
      <t xml:space="preserve">
Vanjska jedinica zaštićena je od vremenskih utjecaja i isporučuje se sa ugrađenim hermetičkim DC inverter kompresorom te zrakom hlađenim kondenzatorom i svim ostalim potrebnim elementima za funkcionalan rad. Istrujavanje zraka vanjske jedinice je horizontalno što omogućuje jednostavnu ugradnju u arhitektonske niše i fasadno na konzole. Unutarnja jedinica isporučuje se u kompletu sa ventilatorom, izmjenjivačem topline s direktnom ekspanzijom freona te svim potrebnim elementima za zaštitu, kontrolu i regulaciju uređaja i temperature.</t>
    </r>
  </si>
  <si>
    <t>Maksimalno dozvoljene udaljenosti: ukupno cijevni razvod do 30 metara; visinska razlika između vanjske i unutarnje jedinice iznosi 20 m</t>
  </si>
  <si>
    <t>model vanjska (1-faz.)</t>
  </si>
  <si>
    <t>Učin hlađenja: minimalno 6.50 [kW] pri temperaturi vanjskog zraka 35°C i stanju zraka u prostoru 27°C / 46% RH</t>
  </si>
  <si>
    <t>EER:  minimalno 3,57</t>
  </si>
  <si>
    <t>SEER:  minimalno 6,9</t>
  </si>
  <si>
    <t>Učin grijanja: minimalno 6.25 [kW] pri temperaturi vanjskog zraka 7°C i temperaturi zraka u prostoru 20°C</t>
  </si>
  <si>
    <t>COP:  minimalno 3,43</t>
  </si>
  <si>
    <t>SCOP:  minimalno 3,9</t>
  </si>
  <si>
    <t>Učin grijanja:  minimalno 4.56 [kW] pri temperaturi vanjskog zraka -15°C i temperaturi zraka u prostoru 20°C</t>
  </si>
  <si>
    <t>Nivo zvučnog tlaka unutarnje jedinice: 42/37/32/25 dB(A)</t>
  </si>
  <si>
    <t>Nivo zvučnog tlaka vanjske jedinice:  maksimalno 48/48 dB(A)</t>
  </si>
  <si>
    <t>Radna tvar: R32</t>
  </si>
  <si>
    <t>radno područje: grijanje: od -20 do 24 [°C]</t>
  </si>
  <si>
    <t>radno područje: hlađenje: od -15 do 50 [°C]</t>
  </si>
  <si>
    <t>Stavka uključuje bežični daljinski upravljač s displayom i timerom.</t>
  </si>
  <si>
    <t>Obračun po kompletu</t>
  </si>
  <si>
    <r>
      <rPr>
        <b/>
        <sz val="10"/>
        <color theme="1"/>
        <rFont val="Calibri"/>
        <family val="2"/>
        <charset val="238"/>
        <scheme val="minor"/>
      </rPr>
      <t xml:space="preserve">Vanjska jedinica mini VRF sustava u izvedbi dizalice topline zrak/zrak ili zrak/voda ovisno o tipu priključnih unutarnjih jedinica sa tehnologijom za iznimnu učinkovitost sustava u grijanju. </t>
    </r>
    <r>
      <rPr>
        <sz val="10"/>
        <color theme="1"/>
        <rFont val="Calibri"/>
        <family val="2"/>
        <charset val="238"/>
        <scheme val="minor"/>
      </rPr>
      <t xml:space="preserve">
Simultani start i ubrzanje rada kompresora omogućuju brzo hlađenje i grijanje. Proizvođač VRF sustava mora imati EUROVENT certifikat.</t>
    </r>
  </si>
  <si>
    <t>Maksimalno dozvoljene udaljenosti: ukupno cijevni razvod do 150 metara; najudaljenija dionica cjevovoda je  (65) m; visinska razlika između vanjske i unutarnje jedinice iznosi 25 m, visinska razlika između pojedinih unutarnjih jedinica iznosi 15 m.</t>
  </si>
  <si>
    <t>Slijedećih tehničkih karakteristika:</t>
  </si>
  <si>
    <t>Učin hlađenja:  minimalno 14.0 [kW] pri temperaturi vanjskog zraka 35°C i stanju zraka u prostoru 27°C / 46% RH</t>
  </si>
  <si>
    <t>Priključna snaga: 4.0 [kW]</t>
  </si>
  <si>
    <t>EER:  minimalno 3,50</t>
  </si>
  <si>
    <t>ESEER:  minimalno 6.71</t>
  </si>
  <si>
    <t>Učin grijanja:  minimalno 14.0 [kW] pri temperaturi vanjskog zraka 7°C i temperaturi zraka u prostoru 20°C</t>
  </si>
  <si>
    <t>Priključna snaga: 3.4  [kW]</t>
  </si>
  <si>
    <t>COP:  minimalno 4,12</t>
  </si>
  <si>
    <t>SCOP: /</t>
  </si>
  <si>
    <t>Nivo zvučnog tlaka: maksimalno 55 dB (A) na udaljenosti 1m od jedinice</t>
  </si>
  <si>
    <t>Radna tvar: R410A</t>
  </si>
  <si>
    <t>radno područje grijanja: od -20° do 24°C</t>
  </si>
  <si>
    <t>radno područje hlađenja: od -5° do 48°C</t>
  </si>
  <si>
    <r>
      <rPr>
        <b/>
        <sz val="10"/>
        <color theme="1"/>
        <rFont val="Calibri"/>
        <family val="2"/>
        <charset val="238"/>
        <scheme val="minor"/>
      </rPr>
      <t xml:space="preserve">Unutarnja jedinica multi  split sustava s maskom  koja sprječava udar hladnog zraka ,predviđena za  montažu na zid.  </t>
    </r>
    <r>
      <rPr>
        <sz val="10"/>
        <color theme="1"/>
        <rFont val="Calibri"/>
        <family val="2"/>
        <charset val="238"/>
        <scheme val="minor"/>
      </rPr>
      <t xml:space="preserve">
Opremljena je ventilatorom, izmjenjivačem topline s direktnom ekspanzijom freona,wifi modulom za kontrolu jedinice preko interneta  te svim potrebnim elementima za zaštitu, kontrolu i regulaciju uređaja i temperature, sljedećih tehničkih karakteristika: </t>
    </r>
  </si>
  <si>
    <t>Učin hlađenja:   minimalno 2.0  kW</t>
  </si>
  <si>
    <t xml:space="preserve">Učin grijanja:   minimalno 2.2  kW </t>
  </si>
  <si>
    <t>Protok zraka :max : 540 m3/h</t>
  </si>
  <si>
    <t xml:space="preserve">Zvučna snaga min/max :   54 dB    </t>
  </si>
  <si>
    <t xml:space="preserve">Zvučni tlak min/,ax : 36 / 19 dB          </t>
  </si>
  <si>
    <t>Infracrveni daljinski upravljač uključen</t>
  </si>
  <si>
    <r>
      <rPr>
        <b/>
        <sz val="10"/>
        <color theme="1"/>
        <rFont val="Calibri"/>
        <family val="2"/>
        <charset val="238"/>
        <scheme val="minor"/>
      </rPr>
      <t xml:space="preserve">Unutarnja jedinica multi  split sustava s  maskom  koja sprječava udar hladnog zraka ,predviđena za  montažu na zid.  </t>
    </r>
    <r>
      <rPr>
        <sz val="10"/>
        <color theme="1"/>
        <rFont val="Calibri"/>
        <family val="2"/>
        <charset val="238"/>
        <scheme val="minor"/>
      </rPr>
      <t xml:space="preserve">
Opremljena je ventilatorom, izmjenjivačem topline s direktnom ekspanzijom freona,wifi modulom za kontrolu jedinice preko interneta  te svim potrebnim elementima za zaštitu, kontrolu i regulaciju uređaja i temperature, sljedećih tehničkih karakteristika: </t>
    </r>
  </si>
  <si>
    <t>Učin hlađenja:   minimalno 3.5  kW</t>
  </si>
  <si>
    <t xml:space="preserve">Učin grijanja:   minimalno 3.5  kW </t>
  </si>
  <si>
    <t>Zvučna snaga: maksimalno 56 dB</t>
  </si>
  <si>
    <t>Zvučni tlak min/max : 38 / 19 dB</t>
  </si>
  <si>
    <t>Predizolirane bakrene cijevi u kolutu za freonsku instalaciju plinske i tekuće faze namjenjene za rashladni medij R-410A . U kompletu sa spojnicama i koljenima, spojnim i pričvrsnim materijalom. Cijevi moraju biti odmašćene, očišćene i osušene prije ugradnje.</t>
  </si>
  <si>
    <r>
      <rPr>
        <sz val="10"/>
        <color theme="1"/>
        <rFont val="Calibri"/>
        <family val="2"/>
        <charset val="238"/>
      </rPr>
      <t xml:space="preserve">ɸ </t>
    </r>
    <r>
      <rPr>
        <sz val="10"/>
        <color theme="1"/>
        <rFont val="Calibri"/>
        <family val="2"/>
        <charset val="238"/>
        <scheme val="minor"/>
      </rPr>
      <t xml:space="preserve">6,4 </t>
    </r>
  </si>
  <si>
    <t>ɸ 9,5</t>
  </si>
  <si>
    <t>Napojni kabeli između unutrašnjih i vanjske jedinice</t>
  </si>
  <si>
    <t>PPYOO 3 × 1,5 mm2</t>
  </si>
  <si>
    <t>Komunikacijski kabeli između unutrašnjih i vanjske jedinice</t>
  </si>
  <si>
    <t>Liycy 2 × 1,25 mm2</t>
  </si>
  <si>
    <t>Kompozitne PP-R cijevi  za odvod kondenzata SDR 7,4 MF faserkompozitna cijev za temeljni horizontalani i vertikalni  razvod cijevi sa ugradnjom metalnih obujmica sa gumom na razmaku  prema uputama u tehničkom katalogu proizvođača cijevi dimenzija</t>
  </si>
  <si>
    <t xml:space="preserve">U stavku uključiti fazone za PP – R cijevi, kao koljena, T-komadi, redukcije i obilazni lukovi, čvrste točke, uključivo pričvrsni i ovjesni materijal za PP – R cijevi </t>
  </si>
  <si>
    <t>d50</t>
  </si>
  <si>
    <t>d32</t>
  </si>
  <si>
    <t>Betonsko postolje za postavljanje vanjskih jedinica split sistema koja se postavlja na krov.</t>
  </si>
  <si>
    <t>Nadopunjavanje instalacije s plinom R 410, uz prethodno vakumiranje sustava (kom. 153)</t>
  </si>
  <si>
    <t>Obračun po kg</t>
  </si>
  <si>
    <t>Spajanje vanjskih i unutranjh jedinica na sustav napajanja električnom energijom</t>
  </si>
  <si>
    <t>INSTALACIJA SUSTAVA GRIJANJA I HLAĐENJA STAMBENOG PROSTORA UKUPNO:</t>
  </si>
  <si>
    <t>INSTALACIJA SUSTAVA VENTILACIJE STAMBENOG PROSTORA</t>
  </si>
  <si>
    <r>
      <rPr>
        <b/>
        <sz val="10"/>
        <color theme="1"/>
        <rFont val="Calibri"/>
        <family val="2"/>
        <charset val="238"/>
        <scheme val="minor"/>
      </rPr>
      <t xml:space="preserve">Mali sobni/kupaonski ventilator za izbacivanje zraka iz prostorije, otpornim plastičnim kučištem, bijele boje, sa IP X5 zaštitom. </t>
    </r>
    <r>
      <rPr>
        <sz val="10"/>
        <color theme="1"/>
        <rFont val="Calibri"/>
        <family val="2"/>
        <charset val="238"/>
        <scheme val="minor"/>
      </rPr>
      <t xml:space="preserve">
Motor je dvobrzinski, pogodan za kontinuirani rad, bez potreba za održavanjem. Jednostavan za montažu.</t>
    </r>
  </si>
  <si>
    <t>Volumen zraka: minimalno minimalno 78 m3/h
Ekstreni pad tlaka: minimalno 63 Pa
Elek. Podaci: 230V/50Hz
Snaga motora: 6/8 W
Zvučni tlak: makaimalno 27 dB(A)/3m
Priključak: 100 mm</t>
  </si>
  <si>
    <t>Dodatna oprema:</t>
  </si>
  <si>
    <t>vremenska sklopka: VZ</t>
  </si>
  <si>
    <t>Modeli:</t>
  </si>
  <si>
    <t>- s podesivom odgodom paljenja i vremenom rada ventilatora</t>
  </si>
  <si>
    <r>
      <rPr>
        <b/>
        <sz val="10"/>
        <color theme="1"/>
        <rFont val="Calibri"/>
        <family val="2"/>
        <charset val="238"/>
        <scheme val="minor"/>
      </rPr>
      <t xml:space="preserve">Spiro cijevi izrađene iz pocinčane beskonačne trake, normalnim N falcanjem, tako da je glatka s unutrašnje strane. </t>
    </r>
    <r>
      <rPr>
        <sz val="10"/>
        <color theme="1"/>
        <rFont val="Calibri"/>
        <family val="2"/>
        <charset val="238"/>
        <scheme val="minor"/>
      </rPr>
      <t xml:space="preserve">
Cijevi se isporučuju u dužinama od 6m. U isporuku je uključena odgovarajuća količina spojnica, za spajanje ravnih dionica međusobno, kao i fazonskih komada.  U stavku uključiti zavjesni, pričvrsni i brtveni materijal.
Dimenzije Ø D,nazivni (mm):</t>
    </r>
  </si>
  <si>
    <r>
      <rPr>
        <sz val="10"/>
        <color theme="1"/>
        <rFont val="Calibri"/>
        <family val="2"/>
        <charset val="238"/>
      </rPr>
      <t xml:space="preserve">ɸ </t>
    </r>
    <r>
      <rPr>
        <sz val="10"/>
        <color theme="1"/>
        <rFont val="Calibri"/>
        <family val="2"/>
        <charset val="238"/>
        <scheme val="minor"/>
      </rPr>
      <t>125mm</t>
    </r>
  </si>
  <si>
    <t>ɸ 100mm</t>
  </si>
  <si>
    <t>Fazonski komadi za spiro cijev, dimenzija:</t>
  </si>
  <si>
    <t>Spajanje odsisnih ventilatora nna sustav napajanja električnom energijomu ( kom 157)</t>
  </si>
  <si>
    <t>INSTALACIJA SUSTAVA VENTILACIJE STAMBENOG PROSTORA UKUPNO:</t>
  </si>
  <si>
    <t>INSTALACIJA VENTILACIJE GARAŽE</t>
  </si>
  <si>
    <t xml:space="preserve"> Aksijalni zidni ventilator sustava OV 99.1 i OV 99.2s pravokutnom zidnom pločom, DN 350, sa zaštitnom prežicom na strani usisa kao zaštita od slučajnog dodira. Ventilator ne zahtijeva održavanje.</t>
  </si>
  <si>
    <t>Karakteristike ventilatora:</t>
  </si>
  <si>
    <t>Volumen zraka: minimalno 2.400 m³/h
Smjer strujanja: reverzibilni
Elek. Podaci: 230V/50Hz
Snaga motora: 128 W
Razina jačine zvukaLWA7: maksimalno 70 dB(A)</t>
  </si>
  <si>
    <t>Montaža: Zid</t>
  </si>
  <si>
    <t>Temp zraka kod Imax: -20 do +60°C</t>
  </si>
  <si>
    <t>Priključak: DN 350 mm</t>
  </si>
  <si>
    <t>Dodatna oprema za funkcionalno djelovanje:</t>
  </si>
  <si>
    <t xml:space="preserve">Uputnik/regulator </t>
  </si>
  <si>
    <t xml:space="preserve">Servisna sklopka </t>
  </si>
  <si>
    <t>Centrifugalni cijevni ventilator s  direktnim pogonom ventilatora, s nazad zakrivljenim lopaticama, u kučištu izrađenom iz čeličnog lima obojeno zaštitnim epoxy premazom, sa termičkom zaštitom motora, bez potrebe za održavanjem. Motor ventilatora je EC izvedbe. U sklpu isporuke ventilatora nalaze se i montažne nogice.</t>
  </si>
  <si>
    <t>Tehničke karakteristike:
Volumen zraka: minimalno 750 m3/h
Raspoloživi pad tlaka: minimalno 50 Pa
Elek. Podaci: 230V/50Hz
Snaga motora: 85 W
Zaštita: IP X4
Priključak: 200 mm
Radno područje: od -10 do +60 °C</t>
  </si>
  <si>
    <t xml:space="preserve">Dodatna oprema:Brze spojnice, kom. 2, nepovratna klapna </t>
  </si>
  <si>
    <t xml:space="preserve">Potisni garažni jednobrzinski ventilatora za stropnu ugradnju.  
Namjenjen za transport CO dimih plinova i odimljavanje zraka temperature od -20°C  do 50°C.
Dva paralelna centrifugalna impelera izrađena od plastike pogonjena su EC motorima visoke učinkovitosti, smanjene potrošnje energije i niskih operativnih troškova. Ventilatorska jedinica isporučuje se serijski sa  nagibno podesivim usmjernicima protoka preko cijele širine, za efikano usmjerenje potisnog mlaza. </t>
  </si>
  <si>
    <t>Karakteristike ventilatora:
Napon V= 200-240
Frekvencija Hz= 50/60
Faza ~ = 3
Snaga: 0,34 kW
Jačina struje A= 2,84
Protok zraka: minimalno 2520 m3/h
Potisak N=  minimalno 13
Okretaja/min. Min-1  = 2510</t>
  </si>
  <si>
    <t>Maksimalna temperatura transportnog zraka °C= 50 (konstantno)</t>
  </si>
  <si>
    <t>Nivo zvučnog tlaka na 3.m: maksimalno 60 dB(A)</t>
  </si>
  <si>
    <t>Izolacijska klasa, motor= F</t>
  </si>
  <si>
    <t>Klasa kućišta, motor IP= 55</t>
  </si>
  <si>
    <t>Mali sobni/kupaonski ventilator za izbacivanje zraka iz prostorije, otpornim plastičnim kučištem, bijele boje, sa IP X5 zaštitom. Motor je dvobrzinski, pogodan za kontinuirani rad, bez potreba za održavanjem. Jednostavan za montažu.</t>
  </si>
  <si>
    <t>Tehničke karakteristike:
Volumen zraka: minimalno 78 m3/h
Ekstreni pad tlaka: minimalno 63 Pa
Elek. Podaci: 230V/50Hz
Snaga motora: 6/8 W
Zvučni tlak: maksimalno 27/32 dB(A)/3m
Priključak: 100 mm</t>
  </si>
  <si>
    <t>Dodatna oprema: vremenska sklopka</t>
  </si>
  <si>
    <t>Modeli s podesivom odgodom paljenja i vremenom rada ventilatora</t>
  </si>
  <si>
    <t>Aluminijska vidno nepropusna prestrujna ventilacijska rešetka za ugradnju u vrata, pogodne za transfer zraka između prostorija. Izrađena od eloksiranog aluminija s jednim redom horizontalnih nepomičnih lamela, razmaka 20 mm i protuokvirom sa stražnje strane vrata, za vrata debljine od 25 mm do 53 mm.</t>
  </si>
  <si>
    <t>525x125</t>
  </si>
  <si>
    <t>Protupožarni ventil požarne otpornosti EI90  izrađen iz pocinčanog lima za sprečavanje širenja požara kroz klimatizacijske i ventilacijske sustave. Ugrađuju se na mjestima prolaza ventilacijskih cijevi kroz požarne zidove i stropove koji odvajaju objekt u zasebne protupožarne cjeline.</t>
  </si>
  <si>
    <t>Ako je protupožarni ventil ugrađen u protupožarni zid protupožarna odpornost iznosi 90 minuta.</t>
  </si>
  <si>
    <t>Termički okidač aktivira ventil pri temperaturi od 70°C.</t>
  </si>
  <si>
    <t>Ventil upotrebljavamo u kanalima za dovod i odvod zraka. Protok zraka je moguće regulirati posebnim regulacijskim sustavom.</t>
  </si>
  <si>
    <t>S ventilom isporučiti montažni okvir, brtveni i pričvrsni materijal.</t>
  </si>
  <si>
    <t>Dimenzija venila:</t>
  </si>
  <si>
    <t>ɸ 150mm</t>
  </si>
  <si>
    <t>Spiro cijevi izrađene iz pocinčane beskonačne trake, normalnim N falcanjem, tako da je glatka s unutrašnje strane. Cijevi se isporučuju u dužinama od 6m. U isporuku je uključena odgovarajuća količina spojnica, za spajanje ravnih dionica međusobno, kao i fazonskih komada.  U stavku uključiti zavjesni, pričvrsni i brtveni materijal.
Dimenzije Ø D,nazivni (mm):</t>
  </si>
  <si>
    <t>ɸ 200mm</t>
  </si>
  <si>
    <t>Zaštitna mrežica na spiro cijevima diemnziaj cijevi:</t>
  </si>
  <si>
    <t xml:space="preserve">Spajanja ventilatora na sustav napajanja električnom energijom (kom. 20) </t>
  </si>
  <si>
    <t>INSTALACIJA VENTILACIJE GARAŽE UKUPNO:</t>
  </si>
  <si>
    <t xml:space="preserve">INSTALACIJA RADIJATORSKOG GRIJANJA </t>
  </si>
  <si>
    <t xml:space="preserve">Lijevano-aluminijski radijator visine članka 676 mm, osnog razmaka priključaka 600 mm, širine članka 80, komplet s ugradbenim  ventilom, s čepovima, redukcijama, te zapornim ventilima, ogrijevnog kapaciteta po članku minimalno 120 W. S radijatorima isporučiti konzole, pričvrsnice i odstojnike. Radijatori imaju sljedeći broj članaka: </t>
  </si>
  <si>
    <t>čl. 15</t>
  </si>
  <si>
    <t>čl. 9</t>
  </si>
  <si>
    <t>čl. 6</t>
  </si>
  <si>
    <t xml:space="preserve">Kupaonski radijator za grijanje, visine minimalno 1462 mm, širine minimalno 428 mm radijator za ugradnju na zid, ogrijevnog kapaciteta minimalno 300 W, za  DT vode 15oC. </t>
  </si>
  <si>
    <t>Čelični radijator u bijeloj boji. Izrađen od čeličnih cijevi. Vertikalni kolektori Ø 40 x 30 mm. Horizontalne cijevi promjera Ø 23 x 1,5 mm</t>
  </si>
  <si>
    <t>Priključci ½ "</t>
  </si>
  <si>
    <t>Ispitni tlak 10,3 bara.</t>
  </si>
  <si>
    <t>Radni tlak 8 bara</t>
  </si>
  <si>
    <t>S radijatorom  isporučiti zidne nosače, tiplima i vijcima, slijepim čepovima.</t>
  </si>
  <si>
    <t xml:space="preserve">Kompaktni kompozitni višeslojni razdjelnik s indikatorom protoka za 2 kruga
Kompozitni razdjelnik podnog grijanja za stambene i javne građevine. Razdjelnik podnog grijanja dolazi u setu sa nosačim podesive visine od 200-240 mm, termometrima na razdjelniku i sabirniku, indikatorima (mjeračima) protoka i spojevima za montažu termopogona za  svaki krug podnog grijanja.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0-5 L/min
- Polaz (Kv): 0,98
- Povrat (Kv): 1,56
- Dimenzija priključnih ventila: 1"
- Eurokonus priključci: 3/4"
- Udaljenost od centra do centra izlaz: 50 mm
- Priključak termopogon: M30x1,5 mm
- Materijal razdjelnika: kompaktni višeslojni kompozit 
- Dimenzije (VxŠxD): 335x518x99 mm   </t>
  </si>
  <si>
    <t xml:space="preserve">Kompaktni kompozitni višeslojni razdjelnik s indikatorom protoka za 3 kruga
Kompozitni razdjelnik podnog grijanja za stambene i javne građevine. Razdjelnik podnog grijanja dolazi u setu sa nosačim podesive visine od 200-240 mm, termometrima na razdjelniku i sabirniku, indikatorima (mjeračima) protoka i spojevima za montažu termopogona za  svaki krug podnog grijanja.
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0-5 L/min
- Polaz (Kv): 0,98 
- Povrat (Kv): 1,56
- Dimenzija priključnih ventila: 1"
- Eurokonus priključci: 3/4"
- Udaljenost od centra do centra izlaz: 50 mm
- Priključak termopogon: M30x1,5 mm
- Materijal razdjelnika: kompaktni višeslojni kompozit
- Dimenzije (VxŠxD): 335x518x99 mm   </t>
  </si>
  <si>
    <t xml:space="preserve">Kompaktni kompozitni višeslojni razdjelnik s indikatorom protoka za 4 kruga
Kompozitni razdjelnik podnog grijanja za stambene i javne građevine. Razdjelnik podnog grijanja dolazi u setu sa nosačim podesive visine od 200-240 mm, termometrima na razdjelniku i sabirniku, indikatorima (mjeračima) protoka i spojevima za montažu termopogona za  svaki krug podnog grijanja.
Tehničke karakteristike:
- Medij: voda/glikol
- Max. koncetracija glikola: 45%
- Radna temperatura medija: 0-60°C
- Max. temperatura medija: 90°C na 3 bar
- Radni tlak : 0,2-6 bar
- Max. ispitni tlak s vodom (24h &lt; 30°C): 10 bar
- Max. ispitni tlak s inertnim plinom (24h &lt; 30°C): 10 ba
- Max. protok na razdjelniku: 3,5 m³/h
- Indikator (mjerač) protoka: 0-5 L/min
- Polaz (Kv): 0,98
- Povrat (Kv): 1,56
- Dimenzija priključnih ventila: 1"
- Eurokonus priključci: 3/4"
- Udaljenost od centra do centra izlaz: 50 mm
- Priključak termopogon: M30x1,5 mm
- Materijal razdjelnika: kompaktni višeslojni kompozit
- Dimenzije (VxŠxD): 335x518x99 mm  </t>
  </si>
  <si>
    <t>Kompaktni kompozitni višeslojni razdjelnik s indikatorom protoka za 6 krugova
Kompozitni razdjelnik podnog grijanja za stambene i javne građevine. Razdjelnik podnog grijanja dolazi u setu sa nosačim podesive visine od 200-240 mm, termometrima na razdjelniku i sabirniku, indikatorima (mjeračima) protoka i spojevima za montažu termopogona za  svaki krug podnog grijanja.</t>
  </si>
  <si>
    <t xml:space="preserve">Tehničke karakteristike:
- Medij: voda/glikol
- Max. koncetracija glikola: 45%
- Radna temperatura medija: 0-60°C
- Max. temperatura medija: 90°C na 3 bar
- Radni tlak : 0,2-6 bar
- Max. ispitni tlak s vodom (24h &lt; 30°C): 10 bar
- Max. ispitni tlak s inertnim plinom (24h &lt; 30°C): 10 bar
- Max. protok na razdjelniku: 3,5 m³/h 
- Indikator (mjerač) protoka: 0-5 L/min
- Polaz (Kv): 0,98
- Povrat (Kv): 1,56
- Dimenzija priključnih ventila: 1" 
- Eurokonus priključci: 3/4"  
- Udaljenost od centra do centra izlaz: 50 mm
- Priključak termopogon: M30x1,5 mm
- Materijal razdjelnika: kompaktni višeslojni kompozit
- Dimenzije (VxŠxD): 335x518x99 mm   </t>
  </si>
  <si>
    <t>Kuglasti ventili s punim protokom i slavinom za ispust sa izborom smjera ispuštanja</t>
  </si>
  <si>
    <t>Kućište: prešano od mjedi Ms 58
Kugla: prešano od mjedi Ms 58,
dijamantirana i kromirana
Brtva kugle: PTFE
Brtva osovine: PTFE
Ručica: silumin
Kvaliteta kuglastih ventila sukladna je po
DIN 3537 1. dio (propisani broj ciklusa otvaranja je 200 do 3000, zavisno od dimenzije), tako da se po definiranim postupcima kontrolira u skladu sa DIN 3230. Izdati su odgovarajući slovenski i međunarodni certifikati.
Kuglasti ventil s punim protokom. Upotrebljava se za sve neagresivne medije, kao što su voda, ulje, zrak, nafta, ulja za podmazivanje.
Područje primjene je za temperaturu medija od -30°C do +150°C (voda od 0°C do 110°C) i za tlakove do max. 6300 kPa (63 bar) - prema dijagramu PN-T.</t>
  </si>
  <si>
    <t>NO 25</t>
  </si>
  <si>
    <t>Hvatač nečistoća za vodu.
Kućište: prešano od mjedi EN 12420 ili jednakovrijedno ____________________ 
Sito mrežasto: kromirani čelik
perforacija 0,5 mm
Zaporni čep: prešano od mjedi EN 12420 ili jednakovrijedno ____________________ 
Brtva čepa: NBR 70ShA
Područje primjene:
Radna temp.:
 -10°C do 110°C
voda 0,5°C do 95°C
Tlak: PN 16
Medij: neagresivni mediji (voda,zrak, ulje...)
nije za vodenu paru</t>
  </si>
  <si>
    <t>Tlačno neovisni termostatski radijatorski ventil s predregulacijskom skalom od 1-7 i N za podešavanje protoka od: 25-135l/h (14 vrijednosti), certificiran prema HRN EN 215 ili jednakovrijedno ____________________ za dvocijevne sustave grijanja s prisilnom cirkulacijom, za ugradnju na radijatore. Mogućnost podešavanja protoka (l/h) bez korištenja alata, mogućnost mjerenja pada tlaka preko ventila, PN10 radne temperature do 95°C, kutne ili ravne izvedba</t>
  </si>
  <si>
    <t>NO 15</t>
  </si>
  <si>
    <t>Radijatorski zaporni ventil povrata (prigušnica) za ugradnju u povrat radijatora, kutne ili ravne izvedbe</t>
  </si>
  <si>
    <t>NO15</t>
  </si>
  <si>
    <t>Odzračni ventil ugrađen u čep radijatora</t>
  </si>
  <si>
    <t>Slavina za pražnjenje radijatora za ugradnju u čep radijatora</t>
  </si>
  <si>
    <t>Termostatski radijatorski ventil za dvocijevne sustave, za ugradnju na radijatore. Za kompletan ventili su potrebni ventil s lukom i s predregulacijom, razdjelnik za bočni priključak, te spojna cijev.</t>
  </si>
  <si>
    <t>Termostatska glava s tekućinskim punjenjem, za regulaciju temperature prostora, s zaštitom od smrzavanja, sa mogućnošću potpunog zatvaranja radijatora.</t>
  </si>
  <si>
    <t>Pres fitinzi od mesinga otpornog na otcinčavanje, s dvostrukom O-brtvom, plastični izolacijski prsten i stezna čahura od nehrđajućeg čelika s kontrolnim otvorima za PE-X i višeslojne vezujuće platika/metal cijevi namijenjeni za sanitarne instalacije i instalacije grijanja klase primjene 1, 2, 4 i 5 prema ISO 10508 ili jednakovrijedno ____________________.</t>
  </si>
  <si>
    <t>Višeslojna PE RT - Al - PE HD cijev za kućne tehničku primjenu, otporna na difuziju kisika, visoke otpornosti na istezanje, fleksibilna, postojanost ispitana prema SKZ-ispitnoj metodi HR 3.16 ili jednakovrijedno ____________________, aluminijski sloj SKZ A 275 0,4/0,5 mm , čeono zavarent, SKZ znak kvalitete A 237, unutarnja cijev od PE-RT visoko otporan na temperaturu DIN 16 833 ili jednakovrijedno ____________________, Dowlex 2344 E, tolerancije prema DIN 4726 , DVGW, ÖVGW dopuštenju ili jednakovrijedno ____________________.  Automatsko ispitivanje zavara, permanentno ispitivanje površine s 3 kamere, 100% tlačenje s 50 bar unutarnjeg tlaka. Linearni koeficijent istezanja 2,3 x 10-5[K-1]</t>
  </si>
  <si>
    <t>max. pogonska temperatura 95°C (kratkotrajno 110°C) 
max. pogonski tlak 10 bar</t>
  </si>
  <si>
    <t xml:space="preserve">Površinska hrapavost (prema Prandtl-Colebrook) l= 0,007 mm </t>
  </si>
  <si>
    <t>Cijevi su toplinski izolirane toplinskom izolacijom debljine minimalno 6 mm.</t>
  </si>
  <si>
    <t>Cijevi za grijanje i sanitarne instalacije s toplinskom izolacijom od PE-LD pjene s folijom od PP, koeﬁ cijent provođenja topline 0,04 W/mK prema DIN EN 8497 ili jednakovrijedno ____________________, požarna otpornost B1 prema DIN 4102 ili jednakovrijedno ____________________, ne sadrži CFC i HCFC, koeficijent paropropusnosti ≥ 6000 prema DIN 52615 ili jednakovrijedno ____________________, vanjski sloj sive boje, oznaka crnom bojom.</t>
  </si>
  <si>
    <t>26 x 2,3 mm</t>
  </si>
  <si>
    <t xml:space="preserve">16 x 2,0 mm  </t>
  </si>
  <si>
    <t>Bojanje vidljivog dijela cjevovoda bijelim lakom otpornim na toplinu uključivo dva premaza temeljne boje</t>
  </si>
  <si>
    <t xml:space="preserve">Probijanje otvora za cijevi i radijatora u zidovima (cca kom. 200) </t>
  </si>
  <si>
    <t>Obračuin po brojui kompleta.</t>
  </si>
  <si>
    <t>INSTALACIJA RADIJATORSKOG GRIJANJA  UKUPNO:</t>
  </si>
  <si>
    <t>TERMOINSTALACIJE UKUPNO:</t>
  </si>
  <si>
    <t>MAPA IX.</t>
  </si>
  <si>
    <t>STROJARSKI PROJEKT - PLINSKE INSTALACIJE</t>
  </si>
  <si>
    <t>INSTALACIJA PLINSKIH TROŠILA</t>
  </si>
  <si>
    <r>
      <rPr>
        <b/>
        <sz val="10"/>
        <color theme="1"/>
        <rFont val="Calibri"/>
        <family val="2"/>
        <charset val="238"/>
        <scheme val="minor"/>
      </rPr>
      <t xml:space="preserve">Plinski kondenzacijski kombinirani uređaj za grijanje prostora s integriranim zagrijavanje pitke vode. </t>
    </r>
    <r>
      <rPr>
        <sz val="10"/>
        <color theme="1"/>
        <rFont val="Calibri"/>
        <family val="2"/>
        <charset val="238"/>
        <scheme val="minor"/>
      </rPr>
      <t xml:space="preserve">
Prikladno za ugradnju kod višestrukog korištenja na odvodno/dovodnom dimnjaku (pretlak LAS sustava), sa već ugrađenom membranskom nepovratnom dimovodnom zaklopkom.</t>
    </r>
  </si>
  <si>
    <t xml:space="preserve">Plinski kondenzacijski kotao prema 
EN 15502 ili jednakovrijedno ____________________ kao zidni uređaj s izmjenjivačem topline za pogon neovisan o zraku u prostoru ili za pogon ovisan o zraku u prostoru prema TRGI, CE certificiran i tipski ispitan ili jednakovrijedno ____________________. Za zatvorene instalacije grijanja prema EN 12828 ili jednakovrijedno ____________________. U uređaj su integrirani: kompletna toplinska ćelija s izmjenjivačem topline s Inox-Radial grijaćim površinama od plemenitog čelika, ugrađena ekspanzijska posuda, nepovratna dimovodna zaklopka i modulacijski cilindrični plamenik MatriX-Plus, kompletno s ventilatorom s upravljanim brojem okretaja i integriranim plinski kombi regulatorom, elektroničkom regulacijom izgaranja Lambda Pro, ionizacijskim nadziranjem plamena i električnim visokonaponskim paljenjem. Ispitan i odobren za zemni i tekući plin prema EN 15502 ili jednakovrijedno ____________________. Hidraulika s ugrađenom visokoučinkovitom cirkulacijskom crpkom upravljanom brojem okretaja, pločastim izmjenjivačem i automatskim odzračnikom. S ugrađenom oblogom kotla od čeličnog lima premazanog epoksidnom smolom. </t>
  </si>
  <si>
    <t>S digitalnom regulacijom kruga kotla i kruga grijanja, LED zaslon i tipke osjetljive na dodir za konstantan, povišeni ili rad prema vanjskoj temperaturi. Za rad s kliznom sniženom temperaturom vode u kotlu. Za sustave grijanja s jedinim krugom grijanja s mješačem. Za krug grijanja bez mješača s hidrauličkom skretnicom i crpkom kruga grijanja potrebno je proširenje (pribor). Vremenski intervali za krugove grijanja i grijanje PTV-a mogu se zasebno podesiti. S automatskim prebacivanjem ljetno/zimsko vrijeme, integrirani sustav dijagnostike, obavijest o potrebnom održavanju putem aplikacije i kontrolirano sušenje estriha. Postavke za režime rada, funkciju udobnosti, test dimnjačara, isključivanje crpke kruga grijanja i plamenika ovisno o potražnji, kao i ljetni način rada i promjenjivu granicu grijanja. Mogućnost podešavanja sobne temperature, temperature pitke vode i provjera temperatura</t>
  </si>
  <si>
    <t>Opseg isporuke/Opremljenost</t>
  </si>
  <si>
    <t>• Modulirajući i uz podršku ventilatorom predmiješajući plamenik s Lambda Pro</t>
  </si>
  <si>
    <t>• 	Membranska nepovratna dimovodna zaklopka</t>
  </si>
  <si>
    <t>• Ugrađena sigurnosna armatura</t>
  </si>
  <si>
    <t>• Visokoučinkovita crpka sa upravljanim brojem okretaja i 3-putni ventil</t>
  </si>
  <si>
    <t>• Ekspanzijska posuda (8 litara)</t>
  </si>
  <si>
    <t>• Integriran set za nadopunu s cijevnim odvajanjem</t>
  </si>
  <si>
    <t>• Spremno za povezivanje, povezane cijevi i ožičeno</t>
  </si>
  <si>
    <t>• Kotlovski nastavni komad</t>
  </si>
  <si>
    <t>• Hidraulički pribor za priključivanje</t>
  </si>
  <si>
    <t>• Plinska kutna slavina sa sigurnosnim termičkim zaporom</t>
  </si>
  <si>
    <t>Nazivni toplinski učina kod pogona na zemni plin</t>
  </si>
  <si>
    <t>• 50/30°C:  3,2 - 25 kW</t>
  </si>
  <si>
    <t>• 80/60°C:  2,9 - 22,9 kW</t>
  </si>
  <si>
    <t>• Učin PTV:  31,1 kW</t>
  </si>
  <si>
    <t>Dimenzije</t>
  </si>
  <si>
    <t>• Duljina 300 mm</t>
  </si>
  <si>
    <t>• Širina 400 mm</t>
  </si>
  <si>
    <t>• Visina 700 mm</t>
  </si>
  <si>
    <t>• Težina 35 kg</t>
  </si>
  <si>
    <t>Dozvoljeni radni tlak: maksimalno  3 bar</t>
  </si>
  <si>
    <t>Dimovodni priključak: minimalno  60 mm</t>
  </si>
  <si>
    <t>Priključak dovodnog zraka: minimalno  100 mm</t>
  </si>
  <si>
    <t>Tehnički podaci za određivanje razreda energetske učinkovitosti (ErP-oznaka)</t>
  </si>
  <si>
    <t>Kombinirani uređaj za grijanje - kotao za grijanje</t>
  </si>
  <si>
    <t>• Primjena za srednje temperature za grijanje prostora: da</t>
  </si>
  <si>
    <t>• Profil potrošnje XL</t>
  </si>
  <si>
    <t>• Tipično korištenje 19,07 kWh</t>
  </si>
  <si>
    <t>• Energetska učinkovitost grijanja prostora</t>
  </si>
  <si>
    <t>uvjetovana godišnjim dobima</t>
  </si>
  <si>
    <t>• Energetska učinkovitost pripreme potrošne tople vode: A</t>
  </si>
  <si>
    <t>• Energetska učinkovitost grijanja prostora uvjetovana godišnjim dobima: minimalno 94%</t>
  </si>
  <si>
    <t>• Energetska učinkovitost pripreme potrošne tople vode: minimalo 82%</t>
  </si>
  <si>
    <t>• Nazivni toplinski učin: minimalno  23 kW</t>
  </si>
  <si>
    <t>• Godišnja potrošnja energije: maksimalno 12056 kWh</t>
  </si>
  <si>
    <t>• Godišnja potrošnja struje: maksimalno  44,8 kWh</t>
  </si>
  <si>
    <t>• Razina zvučne snage: maksimalno 46 dB</t>
  </si>
  <si>
    <t>• Moguće nisko opterećenje nincs</t>
  </si>
  <si>
    <t>Regulator temperature</t>
  </si>
  <si>
    <t>• Energetski razred regulatora temperature II</t>
  </si>
  <si>
    <t>• Doprinos učinkovitosti grijanja prostora 2 %</t>
  </si>
  <si>
    <t>Daljinsko bežično upravljanje s integriranim senzorom sobne temperature i osvijetljenim grafičkim zaslonom sa sljedećim funkcijama</t>
  </si>
  <si>
    <t>• Bežična komunikacija s generatorom topline putem Low-Power- -Funk</t>
  </si>
  <si>
    <t>• Unos do 3 zadane vrijednosti za sobnu temperaturu i jednu zadanu vrijednost za temperaturu tople vode</t>
  </si>
  <si>
    <t>• Vremenski programi za grijanje i toplu vodu (s dnevnim i tjednim programima)</t>
  </si>
  <si>
    <t>• Zahtjevi za energetski učinkovitim grijanjem (ispunjava ErP Level 4)</t>
  </si>
  <si>
    <t>• Baterijski pogon 2 x 1,5 V (Typ AA)</t>
  </si>
  <si>
    <t>• Zaslon prikazuje sobnu temperaturu, vrijeme i radno stanje</t>
  </si>
  <si>
    <t>• Vrlo jednostavna instalacija: nisu potrebni žičani vodovi</t>
  </si>
  <si>
    <t>Set odvodnih lijevaka koji se sastoji se od odvodnih lijevaka sa sifonom, rozeta i pričvršćenje crijeva.</t>
  </si>
  <si>
    <t>AZ-revizijski luk 87° D=60/100</t>
  </si>
  <si>
    <t>AZ cijev 1 m (može se skratiti)</t>
  </si>
  <si>
    <t>Veličina sustava 60/100 mm, plastični materijal (PPs) / aluminijski lim premazan epoksidnom smolom, bijele boje.</t>
  </si>
  <si>
    <t>Zidna zaslonka D=100 za Vitodens</t>
  </si>
  <si>
    <t>Spajanje plinskog kondenzacijskog uređaja (kom 153) i plinskih štednjaka (kom 152.) na plinsku instalaciju i dimnjak, ispitivanje i odzračivanje plinske instalacije. Podešavanje parametara od strane ovlaštenog servisera.</t>
  </si>
  <si>
    <t>Sitni potrošni materijal</t>
  </si>
  <si>
    <t>Ispitivanje instalacije plina na tlak i nepropusnost sa neutralnim plinom prema propisima GPZ, od plinomjera pa do trošila. Ispitivanje izvršiti uz prisustvo nadzornog inženjera i predstavnika distributera plina. Nakon završetka ispitivanja zapisnik predati Investitoru i nadzornom inženjeru.</t>
  </si>
  <si>
    <t xml:space="preserve">Transport navedene opreme do mjesta ugradnje kao i raznošenje opreme i alata po gradilištu. Povrat eventualno preostalog materijala na skladište izvođača, te čišćenje radilišta nakon završene montaže.  </t>
  </si>
  <si>
    <t>Projekt izvedenog stanja na temelju promjena koje u jednoj kopiji ucrta izvođač uz isporuku dokumentacije u četiri kopije</t>
  </si>
  <si>
    <t xml:space="preserve">Prikupljanje i ishođenje svih potrebnih izjava o sukladnosti opreme, atesta od ovlaštenih kuća,  zapisnika o  ispitivanju instalacije, zapisnika o ispitivanju mikroklime, potrebnih pri tehničkom pregledu objekta, te obučavanje osoblja za rad sa opremom i instalacijom.                                       </t>
  </si>
  <si>
    <t>INSTALACIJA PLINSKIH TROŠILA UKUPNO:</t>
  </si>
  <si>
    <t>INSTALACIJA KUĆNOG PRIKLJUČKA</t>
  </si>
  <si>
    <t>Građevinski radovi na izvedbi nemjerenog dijela završene montaže plinske instalacije. U stavku su uključeni svi potrebni radovi na iskopu i ukopavanju plinske cijevi, prolaz kroz zidove građevine i dr.</t>
  </si>
  <si>
    <t>Osnovni građevinski radovi sadržavaju:</t>
  </si>
  <si>
    <t>- iskolčenje trase</t>
  </si>
  <si>
    <t>- ručni i strojni iskop rova širine oko 0,5 m te  dubine  1,0 m;</t>
  </si>
  <si>
    <t>- planiranje dna rova prema projektiranom nagibu;</t>
  </si>
  <si>
    <t>- razastiranje čistog suhog pijeska u rovu plinovoda. Debljina sloja iznosi 15 cm. Pijesak služi kao posteljica za cijev</t>
  </si>
  <si>
    <t>- nasipavanje čistog suhog pijeska u rovu plinovoda s nadslojem od tjemena cijevi u debljini od 10 cm. Nasipavanje vršiti tek kada je cjevovod spojen i tlačno ispitan. Nakon nasipavanja oblogu lagano nabiti.spojen i tlačno ispitan;</t>
  </si>
  <si>
    <t>- zatrpavanje rova plinovoda materijalom iz iskopa.
Zatrpavanje izvoditi nakon izvedbe obloge cijevi pijeskom i to u dvije faze: prvo se zatrpa rov u sloju cca 30 cm uz pažljivo nabijanje, a nakon toga se vrši zatrpavanje uz razastiranje materijala u sloju od 30 cm uz nabijanje. Na zelenoj površini potrebno je izvesti nadvišenje zbog mogućeg slijeganja. Ispod prometnih i pješačkih površina izvesti betonsku podlogu debljine  MB20 debljine</t>
  </si>
  <si>
    <t>Ukupna duljina trase je oko 350 m</t>
  </si>
  <si>
    <t>PE sedlo sa zakretnim izlazom ELGEF Plus d110/d32 PE 100 klase SDR 11, zajedno sa svim pomoćnim materijalom za spajanje i brtvljenje. dimenzija:</t>
  </si>
  <si>
    <t>d 160/63</t>
  </si>
  <si>
    <t>d 63/32</t>
  </si>
  <si>
    <t>d 63/50</t>
  </si>
  <si>
    <t>PEHD (DIN8074, DIN8075, DIN 8075 Dio 1, HRN EN 11201-2) cijevi ili jednakovrijedno ____________________ koje su izrađene od polietilena visoke gustoće PE 100 za plin, za radni tlak od 10 bara. Isporuka u palicama duljine 12 m (veći profili) ili u kolutima (manji profili) s tvorničkim atestom i kompatibilnosti s fitinzima proizvodnje kao “Georg Fisher”. PE cijevi spajaju se elektrospojnicama. PE cjevovod polaže se u ravnim potezima i savijanjem s minimalnim polumjerom zakrivljenosti r=35d ako je temperatura okoline 10°C ili više. U slučaju nižih temperatura savijati s polumjerom prema uputama proizvođača cijevi. Lomovi koji nisu izvedeni savijanjem izvode se ugradnjom standardnih koljena od 11°, 22°, 30°, °45°, 60° ili 90°.U cijenu uključen raznos uzduž jarka, spuštanje u jarak, kao i sav brtveni materijal i materijal za izradu spojeva. Cijevi se polažu na pripremljenu posteljicu u rovu tako da po cijeloj svojoj dužini leže na rastresitoj podlozi. Spajanje, brtvljenje i polaganje cijevi izvoditi strogo prema uputama proizvođača cijevi. 
Ova stavka obuhvaća kompletan rad na montaži cijevi sa svim spojnim i brtvenim materijalom.</t>
  </si>
  <si>
    <t>d 63</t>
  </si>
  <si>
    <t>d 50</t>
  </si>
  <si>
    <t>d 32</t>
  </si>
  <si>
    <t>PE fazonski komadi za tlak 10 bara za PE cijevi sa elektrofuzijskim spojevima. U stavku uključen sav potreban spojni i brtveni materijal. Stavkom obuhvaćeno kompletan dovoz na gradilište iz skladišta, privremeno deponiranje, probno i konačno slaganje, strojni i ljudski rad, spojni, brtveni i pomoćni materijal. Obračun po ugrađenom komadu.</t>
  </si>
  <si>
    <t>PE d63 ,  vučeni luk 90°</t>
  </si>
  <si>
    <t>PE d50 ,  vučeni luk 90°</t>
  </si>
  <si>
    <t>PE elektrospojnica serije PE 100 SDR 11 kvalitete prema DIN 8075 i dimenzija prema DIN 8074 ili ISO 4437 ili jednakovrijedno ____________________ dimenzija:</t>
  </si>
  <si>
    <t>Prelazni komad Če/PE iz polietilena serije  PE 100 SDR 11 kvalitete DIN 8075 ili jednakovrijedno ____________________ i dimenzija prema DIN 8074 ili ISO 4437 ili jednakovrijedno ____________________ i čelične cijevi prema DIN 2441 ili jednakovrijedno ____________________ dimenzija:</t>
  </si>
  <si>
    <t>NO 40/d 50</t>
  </si>
  <si>
    <t>NO 25/d 32</t>
  </si>
  <si>
    <t xml:space="preserve"> </t>
  </si>
  <si>
    <t>Izolacijski komad prema DIN 3389 ili jednakovrijedno ____________________ prikladan za plin, označen ("G").</t>
  </si>
  <si>
    <t>NO 40</t>
  </si>
  <si>
    <t>Nazidni ormarić izrađen od čeličnog lima debljine 2 mm s jednokrilnim ventiliranim vratima. Dubina prema položaju slavine, konstrukcija prema tipskom rješenju GPZ-a dimenzija 850 x 800 x 350</t>
  </si>
  <si>
    <t>Nazidni ormarić izrađen od čeličnog lima debljine 2 mm s jednokrilnim ventiliranim vratima. Dubina prema položaju slavine, konstrukcija prema tipskom rješenju GPZ-a dimenzija 700 x 600 x 350</t>
  </si>
  <si>
    <t>Plinski prirubnički regulator tlaka DN40 PN16 komplet  sa protuprirubnicama i montažnim materijalom, proizvod Actaris, tip 233-8-4  (kl. RG5 SG10), komplet  s protuprirubnicama i montažnim materijalom slijedečih karakteristika:</t>
  </si>
  <si>
    <t xml:space="preserve">pul = 5,0 bar  </t>
  </si>
  <si>
    <t xml:space="preserve">pizl = 50 mbar  </t>
  </si>
  <si>
    <t>Qmax = 321,0 m3/h</t>
  </si>
  <si>
    <t>Plinski prirubnički regulator tlaka DN25 PN16 komplet  sa protuprirubnicama i montažnim materijalom, proizvod Actaris, tip 133-4  (kl. RG5 SG10), komplet  s protuprirubnicama i montažnim materijalom, slijedečih karakteristika:</t>
  </si>
  <si>
    <t>pul = 5,0 bar</t>
  </si>
  <si>
    <t>Qmax = 60,0 m3/h</t>
  </si>
  <si>
    <t xml:space="preserve">Dobava i ugradnja prirubničkog filtra za plin DN40 PN16 ili jednakovrijedno ____________________, komplet  s protuprirubnicama i montažnim materijalom </t>
  </si>
  <si>
    <t xml:space="preserve">Dobava i ugradnja prirubničkog filtra za plin DN25 PN16 komplet  sa protuprirubnicama i montažnim materijalom </t>
  </si>
  <si>
    <t>Plinska kuglasta slavina, prirubničke  kratke izvedbe izrađena od ČL.1330, ugradbene duljine prema DIN 3202-F18 ili jednakovrijedno ____________________, komplet s brtvom i vijcima dimenzija:</t>
  </si>
  <si>
    <t xml:space="preserve">NP 16 NO 100 </t>
  </si>
  <si>
    <t>NP 16 NO 80</t>
  </si>
  <si>
    <t xml:space="preserve">NP 16 NO 50 </t>
  </si>
  <si>
    <t>NP 16 NO 25</t>
  </si>
  <si>
    <t>Čelična cijev poluteška, navojna, bešavna prema DIN 2448 ili jednakovrijedno ____________________ izrađene od materijala Č.1212 dimenzija:</t>
  </si>
  <si>
    <t>NO 20</t>
  </si>
  <si>
    <t>Uvarni čelični luk 90o, dimenzija prema DIN 2605 ili jednakovrijedno ____________________ izvedba 3, izrađen iz materijala Č.1212 dimenzija:</t>
  </si>
  <si>
    <t>Prirubnica s grlom za navarivanje dimenzija prema DIN 2633/75 ( ISO R 2084) ili jednakovrijedno ____________________ materijala izrade W.Nr. 1.0570 ( Č.0562) za cijevi dimenzija:</t>
  </si>
  <si>
    <t xml:space="preserve">NO 100 </t>
  </si>
  <si>
    <t>NO 80</t>
  </si>
  <si>
    <t xml:space="preserve">NO 40 </t>
  </si>
  <si>
    <t>U stavku uključiti vijke i brtve.</t>
  </si>
  <si>
    <t>18.</t>
  </si>
  <si>
    <t>PE traka s metalnom žicom za detekciju neposredno iznad kućnog priključka</t>
  </si>
  <si>
    <t>19.</t>
  </si>
  <si>
    <t>PE traka s natpisom “PAŽNJA PLIN” za obilježavanje plinovoda s postavljanjem cca 50 cm od nivelete uređenog terena</t>
  </si>
  <si>
    <t>20.</t>
  </si>
  <si>
    <t>Čišćenje, odmaščivanje i antikorozivna zaštita čeličnih dijelova. Antokorozivna zaštita izvodi se prajmerom i plasticol trakom kod podzemne  ugradnje. Na vijčanim spojevima prirubnica sa zupčanim podloškama koje služe u svrhu premoštenja matica i vijak moraju biti obojani crvenom bojom</t>
  </si>
  <si>
    <t>21.</t>
  </si>
  <si>
    <t>22.</t>
  </si>
  <si>
    <t>Pričvrsni i ovjesni materijal</t>
  </si>
  <si>
    <t>23.</t>
  </si>
  <si>
    <t>Ispitivanje instalacije plina na tlak i nepropusnost sa neutralnim plinom prema propisima GPZ, od spoja na priključak plinovoda do glavnog zapora u fasadnim ormarićima. Ispitivanje izvršiti uz prisustvo nadzornog inženjera i predstavnika distributera plina. Nakon završetka ispitivanja zapisnik predati Investitoru i nadzornom inženjeru</t>
  </si>
  <si>
    <t>24.</t>
  </si>
  <si>
    <t xml:space="preserve">Geodetsko snimanje plinovoda sa izradom pripadajuće dokumentacije. Stavka obuhvaća:  </t>
  </si>
  <si>
    <t>- geodetsko snimanje položenog cjevovoda</t>
  </si>
  <si>
    <t>- strojarsko snimanje</t>
  </si>
  <si>
    <t>- snimanje zavara</t>
  </si>
  <si>
    <t>25.</t>
  </si>
  <si>
    <t>26.</t>
  </si>
  <si>
    <t>INSTALACIJA KUĆNOG PRIKLJUČKA UKUPNO:</t>
  </si>
  <si>
    <t>INSTALACIJA NEMJERENOG PLINA</t>
  </si>
  <si>
    <t>Niskotlačni plinski cjevovod iz čelične bešavne cijevi prema HRN EN10220 ili jednakovrijedno ____________________, ispitane na čvrstoću i nepropusnost, očišćene i odmašćene, položene slobodno na zidu sa pomoćnim materijalom za pričvršćenje. dimenzija:</t>
  </si>
  <si>
    <t>NO 100</t>
  </si>
  <si>
    <t>NO 65</t>
  </si>
  <si>
    <t>NO 50</t>
  </si>
  <si>
    <t>NO 32</t>
  </si>
  <si>
    <t>Čelična zaštitna cijev za prolaz kroz zid, izrađena iz čelik, antikorozivno zaštićenu u dva premaza i tijesno omotanu plastizol trakom, uz prethodno čišćenjem i uspostavom zida i ispunom međuprostora cijevi protupožarnim kitom kod prolaza kroz požarne zidove i premazivanje prodora oko zaštitne cijevi protupožarnim silikonom ili vatrootpornim kitom kod prolaza kroz ostale zidove.</t>
  </si>
  <si>
    <t>(za cijev NO 100) NO 150, L=400 mm</t>
  </si>
  <si>
    <t>(za cijev NO 80) NO 125, L=400 mm</t>
  </si>
  <si>
    <t>(za cijev NO 40) NO 65, L=400 mm</t>
  </si>
  <si>
    <t>(za cijev NO 32) NO 50, L=400 mm</t>
  </si>
  <si>
    <t>(za cijev NO 25) NO 40, L=400 mm</t>
  </si>
  <si>
    <t>Redukcija za cijevi prema DIN2605 ili jednakovrijedno ____________________, materijal ST35 (HRNČ2121) dimenzija:</t>
  </si>
  <si>
    <t>NO 100/80</t>
  </si>
  <si>
    <t>NO 100/65</t>
  </si>
  <si>
    <t>NO 80/65</t>
  </si>
  <si>
    <t>NO 65/50</t>
  </si>
  <si>
    <t>NO 65/32</t>
  </si>
  <si>
    <t>NO 50/32</t>
  </si>
  <si>
    <t>NO 40/32</t>
  </si>
  <si>
    <t>NO 32/25</t>
  </si>
  <si>
    <t>T-komad za cijevi prema DIN2605 ili jednakovrijedno ____________________, materijal ST35 (HRNČ2121) dimenzija:</t>
  </si>
  <si>
    <t>NO 100/NO 100/NO 100</t>
  </si>
  <si>
    <t>NO 80/NO 80/NO 80</t>
  </si>
  <si>
    <t>NO 65/NO 65/NO 65</t>
  </si>
  <si>
    <t>NO 50/NO 50/NO 50</t>
  </si>
  <si>
    <t>NO 40/NO 40/NO 40</t>
  </si>
  <si>
    <t>NO 32/NO 32/NO 32</t>
  </si>
  <si>
    <t>NO 25/NO 25/NO 25</t>
  </si>
  <si>
    <t>Antikorozivna zaštita čeličnih cijevi, uvarnih elemenata i nosača cijevi. U sklopu ove stavke uključeno je odmaščivanje, ručno čišćenje površina i otprašivanje. Antikorozivna zaštita izvodi se u dva premaza temeljnom bojom. Plinska cijev premazuje se još sa završnim premazom žute boje RAL 1021, prema DIN 2403 ili jednakovrijedno ____________________.</t>
  </si>
  <si>
    <t>Ispitivanje instalacije plina na tlak i nepropusnost sa neutralnim plinom prema propisima GPZ, od glavnog zapora u fasadnom ormariću do plinomjera. Ispitivanje izvršiti uz prisustvo nadzornog inženjera i predstavnika distributera plina. Nakon završetka ispitivanja zapisnik predati Investitoru i nadzornom inženjeru</t>
  </si>
  <si>
    <t>INSTALACIJA NEMJERENOG PLINA UKUPNO:</t>
  </si>
  <si>
    <t>INSTALACIJA MJERENOG PLINA</t>
  </si>
  <si>
    <t>Membranski plinomjer s regulatorom tlaka  za prirodni plin, baždaren kapaciteta 0,04-6 m3/h, proizvod Actaris G-4 RF1 + ZR-20D1", s radijskim daljinskim očitavanjem u kompletu sa spojnim koljenima, konzolama, držačima za ugradnju i svim ostalim spojnim i montažnim materijalom. Plinomjer se isporučuje sa Reed kontaktom za radijsko daljinsko očitanje potrošnje plina.</t>
  </si>
  <si>
    <t>Modul za radijsko daljinsko očitavanje potrošene količine plina</t>
  </si>
  <si>
    <t>Plinski ventil ravni sa protupožarnom zaštitom</t>
  </si>
  <si>
    <t xml:space="preserve">Uvarni čelični luk 90° prema DIN2605 ili jednakovrijedno ____________________, materijal ST35 (HRNČ2121) </t>
  </si>
  <si>
    <t>NO 25/20</t>
  </si>
  <si>
    <t>NO 25/15</t>
  </si>
  <si>
    <t>Pričvrsnice, ovjesi i konzole, sve kompletirano sidrenim vijcima s čeličnim tiplovima i maticama te sav ostali sitni i pričvrsni materijal potreban za montažu cjevovoda</t>
  </si>
  <si>
    <t>NO 40, L=200 mm</t>
  </si>
  <si>
    <t>NO 32, L=200 mm</t>
  </si>
  <si>
    <t>NO 25, L=200 mm</t>
  </si>
  <si>
    <t>Ispitivanje instalacije plina na tlak i nepropusnost sa neutralnim plinom prema propisima GPZ, od plinomjera do plinskih potrošača. Ispitivanje izvršiti uz prisustvo nadzornog inženjera i predstavnika distributera plina. Nakon završetka ispitivanja zapisnik predati Investitoru i nadzornom inženjeru</t>
  </si>
  <si>
    <t>INSTALACIJA MJERENOG PLINA UKUPNO:</t>
  </si>
  <si>
    <t>INSTALACIJA NEMJERENOG PLINA UKUPNO</t>
  </si>
  <si>
    <t>STROJARSKE INSTALACIJE - PLIN UKUPNO:</t>
  </si>
  <si>
    <t>MAPA VII.</t>
  </si>
  <si>
    <t>STROJARKSI PROJEKT</t>
  </si>
  <si>
    <t>PROJEKT VODOVODA I KANALIZACIJE - ZGRADA</t>
  </si>
  <si>
    <r>
      <t xml:space="preserve">Projektant: </t>
    </r>
    <r>
      <rPr>
        <b/>
        <sz val="10"/>
        <rFont val="Arial"/>
        <family val="2"/>
        <charset val="238"/>
      </rPr>
      <t>Ivo Žuvela, dipl.ing.stroj. S434</t>
    </r>
  </si>
  <si>
    <t>MAPA X.</t>
  </si>
  <si>
    <t>PROJEKT VODOVODA I KANALIZACIJE - SKLONIŠTE</t>
  </si>
  <si>
    <t>VANJSKI VODOVOD</t>
  </si>
  <si>
    <t>Iskolčenje trase kanala, s obilježavanjem i osiguravanjem karakterističnih iskolčenih točaka na terenu.</t>
  </si>
  <si>
    <t xml:space="preserve">Strojni iskop terena u uskom otkopu maksimalne dubine do 1.50 m, za potrebe izvođenja vodovodne instalacije. Točna količina iskopanog materijala određene kategorije utvrdit će se na terenu prilikom samog iskopa. Obračun količina iskopa izvršen s pretviđenim nagibom pokosam 1:5. Stavka obuhvaća iskop zemljanog rova, sa pravilnim zasjecanjem bočnih strana. Materijal iz iskopa odbacivati na udaljenost 1,0 m od ruba rova. U stavci uključeno eventualno potrebno razupiranje za spriječavanje odronjavanja bočnih strana kanala. Obračun po m3 iskopanog materijala u sraslom stanju i to A,B,C ktg prema stvarnom stanju. </t>
  </si>
  <si>
    <t>Obračun po m3 materijala u sraslom stanju.</t>
  </si>
  <si>
    <t xml:space="preserve">Iskop građevne jame  za izradu vodomjernog okna prema dogovoru s komunalnim poduzećem, u materijalu tla A, B i C kategorije. Točna količina iskopanog materijala određene kategorije utvrdit će se na terenu prilikom samog iskopa. Obračun količina iskopa izvršen s pretviđenim nagibom pokosa 1:5. Stavka obuhvaća iskop gređevne jame sa pravilnim zasjecanjem bočnih strana. Materijal iz iskopa odbacivati na udaljenost 1,5 m od ruba gređevne jame. U stavci uključeno eventualno potrebno razupiranje za spriječavanje odronjavanja bočnih strana gređevne jame. Obračun po m3 iskopanog materijala u sraslom stanju i to A,B,C ktg prema stvarnom stanju. </t>
  </si>
  <si>
    <t>Planiranje podtla, s potrebnim zbijanjem. Planiranje se provodi s točnošću ±2.0 cm. Zbijanjem treba postići modul zbijenosti od min. 30 N/mm2. Obračun po m2 isplanirane i zbijene površine, uključivo sva potrebna mjerenja i ispitivanja. Sva ispupčenja sasjeći, a udubine ispuniti odgovarajućim materijalom (napr. tucanikom). Višak materijala odbaciti iz rova.</t>
  </si>
  <si>
    <t>Obračun po m2.</t>
  </si>
  <si>
    <t>Nabava, doprema i nasipanje, te pažljivo nabijanje neagresivnog pješčanog materijala, krupnoće zrna do 5 mm za izvedbu posteljice za cijevi debljine 15 cm, širine cca 80 cm. Pripremljeni materijal ubaciti u rov, razgrnuti ga i poravnati prema normalnom profilu, ali tako da se ne zatrpaju mjesta gdje je izvedeno spajanje cjevovoda. Po završenom ispitivanju cjevovoda na nepropusnost, zatrpavanje se vrši po čitavoj duljini do spomenute visine sloja uz oprezno bočno nabijanje, da se ne oštete položene cijevi. Obračun po m3 ugrađenog pijeska.</t>
  </si>
  <si>
    <t>Obračun po m3.</t>
  </si>
  <si>
    <t>Izrada zaštite tjemena cijevi nevezanim materijalom veličine zrna do 10 mm, visine do 30 cm iznad tjemena cijevi. Zaštitu izvoditi uz pažljivo lagano nabijanje i polijevanje vodom, da se ne oštete cijevi i spojevi.</t>
  </si>
  <si>
    <t>Izvedba nasipa od kamenog  materijala iz iskopa, u rastresitom stanju, koeficijent rastresitosti 1,25,  s planiranjem   i zbijanjem. Nasip se izvodi i zbija u slojevima debljine do 30 cm. Traženi modul zbijenosti ME=50 N/mm2 treba dokazati ispitivanjem kružnom pločom Φ 30 cm.</t>
  </si>
  <si>
    <t xml:space="preserve">Odvoz viška iskopanog materijala u rastresitom stanju, koeficijent rastresitosti 1,25, od mjesta iskopa do legalne deponije koju osigurava izvoditelj radova. Stavka obuhvaća utovar, prijevoz i istovar materijala na deponij, uključujući i taksu za deponiju, te pribavljanje potvrde o zbrinutom otpadu i predaja iste investitoru. </t>
  </si>
  <si>
    <t>ZIDARSKI I BETONSKI RADOVI</t>
  </si>
  <si>
    <t>Izrada arm.-betonskog okna (vodomjerno) u dvostranoj oplati iz betona C 30/37.  Debljina zidova i pokrovne ploče je 20 cm. Ploča se izvodi od betona C30/37. U ploči se  ostavlja otvor  600 x 600 mm, iznad kojih se montira   lijevanoželjezni poklopac s okvirom.  Za silaz u okno ugrađuju se lijevanoželjezne stupaljke  na međusobnom razmaku od 30 cm. Prva stupaljka se  montira 70 cm ispod terena.  U stavci je uračunato: - izrada tucaničke podloge - betoniranje ploče dna okna - betoniranje zidova okna od betona C16/20 - betoniranje arm.-bet. pokrovne ploče okna  - betonski oslonci od C16/20 za fazonske komade i armaturu U ploči dna okna predviđen otvor 20 x 20 cm za drenažu okna.   Obračun po kompletno izvedenom oknu.</t>
  </si>
  <si>
    <t>Okno je približno svjetlih dimenzija:   -4,05 x 2,00 x 1,80 m</t>
  </si>
  <si>
    <t>Izrada betonskih blokova za učvršćivanje cjevovoda iz C16/20 prosječno 0.15 m3 betona po bloku.</t>
  </si>
  <si>
    <t xml:space="preserve">Izrada betonske ploče dim. 35x35x10 cm, kao podloge za ugradnju ulične kape nad zasunom s ugradbenom garniturom, betonom C12/15 ili jednakovrijedno. U sredini betonske ploče ostaviri otvor Ø15 cm za prolaz upravljačke garniture.Stavkka obuhvaća nabavu i ugradbu potrebne armature, svu drvenu oplatu, kao i sve ostale radove do potpunog dovršenja posla. </t>
  </si>
  <si>
    <t>Izrada betonskog postolja dim. 12 x 80 x 12(h) cm iz C16/20 za montažu ormarića s opremom za vanjski nadzemni PP hidrant.</t>
  </si>
  <si>
    <t>INSTALATERSKI RADOVI</t>
  </si>
  <si>
    <t>Izrada spoja na javni vodovod, u svemu po uvjetima Komunalnog poduzeća, uključivo potrebne demontaže na postojećem cjevovodu, uz potrebna pražnjenja instalacije. U stavku uključeni svi iskopi i građevinski radovi kroz javnu površinu, te instalacijski materijal, a u svrhu spajanja na javnu vodovodnu mrežu.</t>
  </si>
  <si>
    <t xml:space="preserve">Ф 125                    </t>
  </si>
  <si>
    <t>Nabava, doprema i raznošenje uz rov, spuštanje u rov i montaža vodovodnih cijevi od tvrdog polietilena visoke gustoće (PE-HD), prema odredbama DIN-a 8074 I 8075, ili jednakovrijedno, za pogonski tlak od 1,6 MPa u kvaliteti ISO 9001-9002, ili jednakovrijedno. Cijevi se međusobno spajaju elektrootpornim zavarivanjem sa elektrofusijskim spojnicama, a polažu na posteljicu pijeska min. debljine 10 cm. Cijevi se isporučuju u kolutu. U stavci uključena i dobava fazonskih komada.</t>
  </si>
  <si>
    <t>d 110</t>
  </si>
  <si>
    <t>Nabava, doprema i raznošenje uz rov, spuštanje u rov i montaža vodovodnih cijevi od tvrdog polietilena visoke gustoće (PE-HD), prema odredbama DIN-a 8074 I 8075, za pogonski tlak od 1,0 MPa u kvaliteti ISO 9001-9002, ili jednakovrijedno. Cijevi se međusobno spajaju elektrootpornim zavarivanjem sa elektrofusijskim spojnicama, a polažu na posteljicu pijeska min. debljine 10 cm. Cijevi se isporučuju u kolutu. U stavci uključena i dobava fazonskih komada.</t>
  </si>
  <si>
    <t>d 76</t>
  </si>
  <si>
    <t>d 25</t>
  </si>
  <si>
    <t xml:space="preserve">Nabava, doprema i montaža čeličnih pocinčanih vodovodnih cijevi.
Međusobno spajanje cijevi vršiti navojnim fitinzima, a brtvljenje teflon trakom, izolirane odgovarajućom toplinskom izolacijom (cijevi u vodomjernom oknu). </t>
  </si>
  <si>
    <t>Obračun po m' ugrađene cijevi</t>
  </si>
  <si>
    <t>Nabava, doprema i montaža ovalnih zasuna od lijevanog željeza za radni pritisak 16 bara, zajedno s vijcima i brtvama.</t>
  </si>
  <si>
    <t>NO 100, s kolom</t>
  </si>
  <si>
    <t>NO 100, s ugradbenom garniturom (dubina ugradnje h=1,00m)</t>
  </si>
  <si>
    <t>Kombinirano vodovodno mjerilo s prirubnicama.</t>
  </si>
  <si>
    <t>Vodovodno mjerilo s prirubnicama.</t>
  </si>
  <si>
    <t>Montažno - demontažni komad</t>
  </si>
  <si>
    <t>Nabava, doprema i montaža ventila protivpovratnog toka, prirubničkog, za radni pritisak 16 bara, zajedno s vijcima i brtvama. U stavci uračunata i dva zasuna EVX, od kojih zasun s tlačne strane ima testni kuglasti ventil.</t>
  </si>
  <si>
    <t>Nabava, doprema i montaža ventila protivpovratnog toka, navojnog, za radni pritisak 16 bara. U stavci uračunata i dva kuglasta navojna ventila, od kojih ventil s tlačne strane ima testni priključak.</t>
  </si>
  <si>
    <t xml:space="preserve">Odvajač nečistoća prirubničkog NP 10. </t>
  </si>
  <si>
    <t>Nabava, doprema i montaža vodovodnog mjerila s dva zaporna ventila od kojih je jedan s ispustom u svemu prema zahtjevima komunalnog poduzeća.</t>
  </si>
  <si>
    <t>Čelična prirubnica s navojem.</t>
  </si>
  <si>
    <t>NO 50/50</t>
  </si>
  <si>
    <t>Nabava, doprema i montaža fazonskih komada iz lijevanog željeza za vodovod NP 16 s prirubničkim spojevima, uključivo potrebni vijci i brtve.</t>
  </si>
  <si>
    <t>Obračun po kilogramu</t>
  </si>
  <si>
    <t>Prirubnički tuljak s letećom prirubnicom za PEHD, elektrofusijski.</t>
  </si>
  <si>
    <t>d 75 (Ms navojni fiting)</t>
  </si>
  <si>
    <t>d  63 (Ms navojni fiting)</t>
  </si>
  <si>
    <t>d  25 (Ms navojni fiting)</t>
  </si>
  <si>
    <t>Ljevano-željezna ovalna kapa nad zasunom s ugradbenom garniturom.</t>
  </si>
  <si>
    <t>Vodonepropusni lijevanoželjezni poklopac s okvirom dim 60x60 cm, s natpisom VODA.</t>
  </si>
  <si>
    <t>- za ispitno opterećenje 400 kN</t>
  </si>
  <si>
    <t>Kuglasta navojna slavina za vodovodnu instalaciju  NP 10, s ručkom i ispustom.</t>
  </si>
  <si>
    <t>Obračun po ugrađeno komadu</t>
  </si>
  <si>
    <t>Dobava i montaža lijevanoželjeznog nadzemnog hidranta NO 100 , s dva "B" i jednim "A" vatrogasnim priključkom za dubinu ugradnje 1,00 m  s automatskim ispustom. U poziciju uključen i potreban spojni materijal za spoj na hidrantski vod, brtve, matice vijci sve do pogonske gotovosti.</t>
  </si>
  <si>
    <t>Nabava, doprema i montaža samostojećeg limenog ormarića s protivpožarnom opremom. Antikorozivna zaštita ormarića uključena, kao i podložna betonska ploča.</t>
  </si>
  <si>
    <t>- komplet za gašenje vodom, (trevira crijevo Φ52 duljine 15m kom2, mlaznica kom2,  ključ za spojnice,  ključ za hidrant, dvokraki hidrantski nastavak).</t>
  </si>
  <si>
    <t>Ispitivanje  vanjske  instalacije na probni pritisak od 16 bara u trajanju od najmanje 2 h, po dionicama koje odredi nadzorni inženjer. Provođenje tlačne probe se vrši prema tehničkom opisu, odnosno prema uputi proizvođača cijevi, u skladu sa pozitivnim propisima.O tlačnoj probi voditi zaseban zapisnik, na osnovu kojega nadležni distributer izdaje atest. Obračun sve kompletno po tekućem metru cijevi za uspiješno provedenu tlačnu probu.</t>
  </si>
  <si>
    <t>Ispitivanje  vanjske  instalacije na probni pritisak od 10 bara u trajanju od najmanje 2 h, po dionicama koje odredi nadzorni inženjer. Provođenje tlačne probe se vrši prema tehničkom opisu, odnosno prema uputi proizvođača cijevi, u skladu sa pozitivnim propisima.O tlačnoj probi voditi zaseban zapisnik, na osnovu kojega nadležni distributer izdaje atest. Obračun sve kompletno po tekućem metru cijevi za uspiješno provedenu tlačnu probu.</t>
  </si>
  <si>
    <t>Čišćenje i ispiranje postavljenog cjevovoda nakon kompletno dovršenih radova, čistom vodom brzinom najmanje 1,5 m/s. Ispiranje se vrši dok se na ispustima ne pojavi čista voda.</t>
  </si>
  <si>
    <t>Dezinfekcija cjevovoda prije stavljanja u pogon, a vrši se s 30g čistog klora s 1 m3 vode. Voda ostaje u cjevovodu 24 sata. Dezinfekcija je uspješna ako analizirani uzorak dade zadovoljavajući laboratorijski rezultat.</t>
  </si>
  <si>
    <t>Laboratorijsko ispitivanje kvalitete vode, uzimanjem uzoraka na hidrantu.</t>
  </si>
  <si>
    <t>Ishođenje atesta za vanjsku hidrantsku mrežu od ovlaštene tvrtke.</t>
  </si>
  <si>
    <t>27.</t>
  </si>
  <si>
    <t>Traka upozorenja s natpisom VODOVOD. 
Traku montirati na cjevovodu vanjskog vodovoda neposredno iznad zaštite tjemena cijevi.</t>
  </si>
  <si>
    <t>28.</t>
  </si>
  <si>
    <t>Geodetski snimak izvedenog cjevovoda,                                                                                                izrada izvedbenih shema i priprema dokumentacije izvedenog stanja za predaju investitoru.</t>
  </si>
  <si>
    <t>VANJSKI VODOVOD UKUPNO:</t>
  </si>
  <si>
    <t>VANJSKA KANALIZACIJA</t>
  </si>
  <si>
    <t xml:space="preserve">Iskop rova za polaganje kanalizacijskih cijevi cijevi, te montaže revizijskih okana u materijalu tla A, B i C kategorije dubine do 1,50 m. Točna količina iskopanog materijala određene kategorije utvrdit će se na terenu prilikom samog iskopa. Obračun količina iskopa izvršen s pretviđenim nagibom pokosam 1:5. Stavka obuhvaća iskop zemljanog rova, sa pravilnim zasjecanjem bočnih strana. Materijal iz iskopa odbacivati na udaljenost 1,0 m od ruba rova. U stavci uključeno eventualno potrebno razupiranje za spriječavanje odronjavanja bočnih strana kanala. Obračun po m3 iskopanog materijala u sraslom stanju i to A,B,C ktg prema stvarnom stanju. </t>
  </si>
  <si>
    <t xml:space="preserve">Iskop rova za polaganje kanalizacijskih cijevi cijevi, te montaže revizijskih okana u materijalu tla A, B i C kategorije dubine do 3,00 m. Točna količina iskopanog materijala određene kategorije utvrdit će se na terenu prilikom samog iskopa. Obračun količina iskopa izvršen s pretviđenim nagibom pokosam 1:5. Stavka obuhvaća iskop zemljanog rova, sa pravilnim zasjecanjem bočnih strana. Materijal iz iskopa odbacivati na udaljenost 1,0 m od ruba rova. U stavci uključeno eventualno potrebno razupiranje za spriječavanje odronjavanja bočnih strana kanala. Obračun po m3 iskopanog materijala u sraslom stanju i to A,B,C ktg prema stvarnom stanju. </t>
  </si>
  <si>
    <t xml:space="preserve">Iskop građevne jame  za montažu odvajača ulja i lakih tekućina , dubine do 4,50 m, prema detalju, u materijalu tla A, B i C kategorije. Točna količina iskopanog materijala određene kategorije utvrdit će se na terenu prilikom samog iskopa. Obračun količina iskopa izvršen s pretviđenim nagibom pokosa 1:5. Stavka obuhvaća iskop gređevne jame sa pravilnim zasjecanjem bočnih strana. Materijal iz iskopa odbacivati na udaljenost 1,5 m od ruba gređevne jame. U stavci uključeno eventualno potrebno razupiranje za spriječavanje odronjavanja bočnih strana gređevne jame.Obračun po m3 iskopanog materijala u sraslom stanju i to A,B,C ktg prema stvarnom stanju. Ponudu ispuniti cijenom B kategorije i odrediti jediničnu cijenu A i C kategorije. </t>
  </si>
  <si>
    <t>Planiranje podtla, s potrebnim zbijanjem. Planiranje se provodi s točnošću ±2.0 cm. Zbijanjem treba postići modul zbijenosti od min. 30 N/mm2. Obračun po m2 isplanirane i zbijene površine, uključivo sva potrebna mjerenja i ispitivanja. Sva ispupčenja sasjeći, a udubine ispuniti odgovarajućim materijalom ( tucanikom). Višak materijala odbaciti iz rova.</t>
  </si>
  <si>
    <t xml:space="preserve"> m²</t>
  </si>
  <si>
    <t>Nabava, doprema i nasipanje, te pažljivo nabijanje neagresivnog pješčanog materijala, krupnoće zrna do 5 mm za izvedbu posteljice za cijevi debljine 15 cm, širine cca 80-100 cm. Pripremljeni materijal ubaciti u rov, razgrnuti ga i poravnati prema normalnom profilu, ali tako da se ne zatrpaju mjesta gdje je izvedeno spajanje cjevovoda. Po završenom ispitivanju cjevovoda na nepropusnost, zatrpavanje se vrši po čitavoj duljini do spomenute visine sloja uz oprezno bočno nabijanje, da se ne oštete položene cijevi.</t>
  </si>
  <si>
    <t>Obračun po m3 ugrađenog pijeska.</t>
  </si>
  <si>
    <t>Izvedba nasipa od kamenog  materijala iz iskopa,  s planiranjem   i zbijanjem),   Nasip se izvodi i zbija u slojevima debljine do 30 cm. Traženi modul zbijenosti ME=50 N/mm2 treba dokazati ispitivanjem kružnom pločom Φ 30 cm.</t>
  </si>
  <si>
    <t>1.9.</t>
  </si>
  <si>
    <t xml:space="preserve">Odvoz viška iskopanog materijala od mjesta iskopa do legalne deponije koju osigurava izvoditelj radova. Stavka obuhvaća utovar, prijevoz i istovar materijala na deponij, uključujući i taksu za deponiju, te pribavljanje potvrde o zbrinutom otpadu i predaja iste investitoru. </t>
  </si>
  <si>
    <t>Radovi na postojećem revizijskom oknu (kolektoru) mješovite kanalizacije radi priključka nove kanalizacije</t>
  </si>
  <si>
    <t>Štemanje otvora za montažu cijevi Φ 300 mm nove kanalizacije. Po postavi cijevi oštemanu rupu treba zaliti sitnozrnim betonom. Stavkom je obuhvaćeno štemanje otvora, troškovi svih elemenata i materijala potrebnih za izvedbu spoja kojim će se postići vodonepropusnost, troškovi motaže, zatvaranje otvora sitnozrnim betonom i eventualna prilagodba postojeće kinete.</t>
  </si>
  <si>
    <t>Dobava materijala i izvedba betonskog revizijskog okna kanalizaciie (kontrolno okno kanalizacije), od betona C30/37 s dodacima za vodonepropusnost. Stjenke, dno i ploča okna debljine 15-20 cm, armirana potrebnom armaturom. Na dnu okna izvesti   kinetu   od   mršavog   betona   C 16/20,   završno zaglađenu.     Kinete      i      stijenke      okna      obraditi vodonepropusnim cementnom žbukom.  Prilikom montaže cijevi, u širini betonske stjenke okna, na cijevi se navuku - montiraju gumene brtve, za pričvrscenje PVC cijevi u beton pri betoniranju revizionog okna tako da  se   može   postići  vodonepropusna   veza   između betona i PVC cijevi. Gumene brtve  od tvrde plastike prema Onorm B-5184 ili DIN 19534, ili jednakovrijedno.</t>
  </si>
  <si>
    <t>Priprema za ugradnju poklopca U stavku uključiti nabavu i ugradbu potrebne armature, svu drvenu oplatu, kao i sve ostale radove do potpunog dovršenja posla. Obračun po kompletu.</t>
  </si>
  <si>
    <t xml:space="preserve"> - svjetla dim. okna 100 x 100 x 223(h) cm </t>
  </si>
  <si>
    <t>Izvedba betonskih radova pri montaži odvajača ulja i lakih tekućina po naputku isporučioca opreme. U stavci su uključeni svi betonski radovi, oplata i sl.</t>
  </si>
  <si>
    <t>Izvedba betonskih radova pri montaži kanala za linijsku odvodnju oborinskih voda. U stavci su uključeni svi betonski radovi, oplata i sl.</t>
  </si>
  <si>
    <t xml:space="preserve"> - izrada betonske  podloge marke C16/20, debljine 15 cm </t>
  </si>
  <si>
    <t xml:space="preserve"> - kanal bočno založiti betonom</t>
  </si>
  <si>
    <t>Montažna segmentna polietilenska (PEHD) ili polipropilenska (PP) okna za kanalizaciju DN 800. 
Okna moraju biti sastavljena od brizganih dijelova. Zbog osiguranja vodonepropusnosti svi elementi okna moraju biti izrađeni tehnikom roto lijeva i tvornički zavareni. Cijevni priključci izvode se u bazi okna tvornički zavareni od spojnica prema promjeru i kutu određenom projektom. Okna se sastoje iz  baze sa izvedenom kinetom i zavarenim adapterima, orebrenih prstena sa brtvama (ne cijevi) te  konusa koji omogućava suženje unutarnjeg promjera na DN 625/DN 630. Konus treba biti ispitan na tlačno opterećenje do 50 [kN]. Dno okna je sastavljeno od dva nosiva sloja, tvornički zavarenih, s posebnom nosivom troslojnom rebrastom strukturom iznutra, te ravnim dnom cijelim promjerom okna. Horizontalni lomovi nivelete trebaju biti isključivo unutar okna.</t>
  </si>
  <si>
    <t>Dijelovi okna se međusobno spajaju pomoću brtvi ili zavarivanjem čime se osigurava nepropusnost. Cjevovod se spaja na adaptere  okna originalnim spojnicama i brtvama. Okna trebaju biti sukladna prema svim zahtjevima HRN EN 13598-2:2009  ili jednakovrijedno. Okno treba biti ispitano i vodonepropusno u skladu s normom HRN EN 1277  ili jednakovrijedno. Obodna čvrstoča treba biti ispitana prema HRN EN ISO 9969  ili jednakovrijedno. Brtveni elementi moraju biti u skladu s HRN EN 681-1  ili jednakovrijedno. Otpornost kinete na udarac treba biti dokazano prema EN 1411  ili jednakovrijedno. Proračunom je potrebno dokazati otpornost okna na djelovanje uzgona bez dodatnog betoniranja. Stavkom su obuhvaćeni i radovi pri nabavi i ugradnji predgotovljenog  armirano betonskog prstena oko ruba vrha okna, u koji se ugrađuje poklopac, a prema naputcima isporučioca revizijskog okna. Priprema za ugradnju poklopca  veličine  Ø60 cm,  s odgovarajućim    profilom koji se ugrađuje prilikom montaže predgotovljenog armirano betonskog prstena.  U stavku uključiti i sve ostale radove do potpunog dovršenja posla. Okno ugraditi po točnim naputcima isporučioca i proizvođača. Obračun po komadu.</t>
  </si>
  <si>
    <t>PROLAZNA</t>
  </si>
  <si>
    <t>okno dubine do 250cm</t>
  </si>
  <si>
    <t>okno dubine do 300cm</t>
  </si>
  <si>
    <t>SABIRNA (dva ulaza)</t>
  </si>
  <si>
    <t>okno dubine do 150cm</t>
  </si>
  <si>
    <t>okno dubine do 200cm</t>
  </si>
  <si>
    <t>Nabava ,doprema i montaža montažnih segmentnih polietilenskih (PEHD) ili polipropilenskih (PP) okana za kanalizaciju DN 625/DN 630. Okna moraju biti sastavljena od brizganih dijelova. Zbog osiguranja vodonepropusnosti svi elementi okna moraju biti izrađeni tehnikom roto lijeva i tvornički zavareni. Cijevni priključci izvode se u bazi okna tvornički zavareni od spojnica prema promjeru i kutu određenom projektom. Dno okna je sastavljeno od dva nosiva sloja, tvornički zavarenih, s posebnom nosivom troslojnom rebrastom strukturom iznutra, te ravnim dnom cijelim promjerom okna. Horizontalni lomovi nivelete trebaju biti isključivo unutar okna.</t>
  </si>
  <si>
    <t>SABIRNA (tri ulaza)</t>
  </si>
  <si>
    <t xml:space="preserve">Nabava i ugradnja slivnika od rebrastih cijevi , promjera 630 mm. Način spajanja djelova mora osiguravati trajnu vodonepropusnost u svim smjerovima, pod utjecajem vanjskog prometnog opterećenja. Ponuditelj je uz ponudu dužan dostaviti: ISO 9001 certifikat proizvođača okana, Izjavu o sukladnosti prema prEN 13598, ili jednakovrijedno. Ovlaštenje od strane ovlaštene kuće u RH da je okno u skladu sa prEN13598-2:2004, ili jednakovrijedno. Katalog na hrvatskom jeziku. Stavkom su obuhvačeni i građevinski radovi pri izradi armirano betonskog prstena oko ruba vrha slivnika, u koji se ugrađuje rešetka, a prema naputcima isporučioca slivnika. Ugradnja rešetke  veličine  40 x 40 cm,  s odgovarajućim profilom koji   se   ugrađuje   prilikom betoniranje armirano betonskog prstena.  U stavku uključiti nabavu i ugradbu potrebne armature, svu drvenu oplatu, kao i sve ostale radove do potpunog dovršenja posla. Slivnik ugraditi po točnim naputcima isporučioca i proizvođača. </t>
  </si>
  <si>
    <t>Dobava,  prijenos i  montaža gravitacijskih rebrastih (korugiranih) kanalizacijskih cijevi od PP-a (ID), s dvostrukom stjenkom,  za  vanjsku kanalizaciju, SN8, prema normi HR EN 1401-1, ili jednakovrijedno. Cijevi su profilirane vanjske stijenke i glatke unutrašnje. Cijevi moraju biti minimalne obodne krutosti SN8 (8kN/m2), te načina spajanja pomoću zasebne spojnice i gumene brtve. Troškovnička stavka obuhvača komplet koji čini cijev, spojnica i dbije brtve. Cijevi se polažu na predhodno izvedenu posteljicu od pijeska u padu prema revizijskim oknima. Cijevi se polažu u projektiranom padu. Spajanje cijevi spojnicamaa. U cijenu stavke uračunati su i svi potrebni fazonski komadi!  Ujedno uračunati su i svi spojevi na okna. Obračun po m'.</t>
  </si>
  <si>
    <t>D 300 (ID)</t>
  </si>
  <si>
    <t>D 250 (ID)</t>
  </si>
  <si>
    <t>D 200 (ID)</t>
  </si>
  <si>
    <t>Fazonski komadi za cijevi prethodne stavke</t>
  </si>
  <si>
    <t>D 100 (ID)</t>
  </si>
  <si>
    <t>PVC ili PP kanalizacijskih cijevi, klase SN8
Međusobno spajanih originalnim kolčacima s gumenim brtvama, uključivo potrebni pričvrsni materijal.</t>
  </si>
  <si>
    <t>D 160</t>
  </si>
  <si>
    <t>D 125</t>
  </si>
  <si>
    <t>D 110</t>
  </si>
  <si>
    <t>Nabava, doprema i montaža lijevanoželjeznog poklopca s okvirom, dim. Φ 600 mm  , bez ventilacijskih otvora, s natpisom KANALIZACIJA, nad revizijskim oknima. Obračun po komadu.</t>
  </si>
  <si>
    <t xml:space="preserve"> - N.O. 400 kN</t>
  </si>
  <si>
    <t xml:space="preserve"> - N.O. 125 kN</t>
  </si>
  <si>
    <t>Nabava, doprema i montaža lijevanoželjeznog poklopca s okvirom, dim. 600 x 600 mm   , bez ventilacijskih otvora, s natpisom KANALIZACIJA,nad kontrolnim oknom. Obračun po komadu.</t>
  </si>
  <si>
    <t>Lijevanoželjezne kišne rešetke s okvirom, za slivnik, dim. 40 x 40 cm</t>
  </si>
  <si>
    <t>Dobava i ugradnja separatora naftnih derivata iz armiranog betona (prema HRN EN 206-1) razreda čvrstoče C35/45,ili jednakovrijedno, razreda izloženosti: XA3, XF4. Separator konstruiran, izrađen i testiran prema HRN EN 858, ili jednakovrijedno, dio 4-6  s by-passom, nazivne veličine NG20 (protok kroz separator min. 20l/s) dok je ukupni protok Qmax= min. 160l/s. Separator mora imati učinkovitosti izdvajanja naftnih derivata klase I - naftnih derivata u izlaznoj vodi do 5mg/l.</t>
  </si>
  <si>
    <t xml:space="preserve">Separator treba biti siguran od djelovanja sila uzgona do visine podzemne vode do uljeva u separator, interijer separatora  treba biti premazan višeslojnim zaštitnim epoksidnim premazom. Separator mora imati koalescentni filter koji se može za potrebe čišćenja i održavanja jednostavno izvaditi. Separator mora imati sigurnosni plovak tariranim na spec. težinu naftnih derivata kao osiguranje od nekontroliranog odljeva izdvojenih derivata iz separatora.  Unutarnji elementi separatora trebaju biti izrađeni iz PEHD-a. Pristup u separator treba biti u skladu s HRN EN 476, ili jednakovrijedno. Separator treba imati Integriranu taložnicu zapremnine min.5000 litara. </t>
  </si>
  <si>
    <t>Maksimalna zapremnina izdvojenih naftnih derivata 759 litara, ukupni kapacitet max. 6270 litara. 
Priključci DN400 utični spoj s kliznom brtvom. Ugradbena dubina, mjereno od kote poklopca do kote dna cijevi uljeva T=2360mm (točnu dubinu cijevi na uljevu treba provjeriti prije naručivanja separatora). Separator se treba isporučivati s poklopcem klase D400, svijetlog otvora promjera min. 600mm.
Ukupna masa 10750kg, a najtežeg dijela 7650kg.</t>
  </si>
  <si>
    <t>- kanali za odvodnju  (u projektu oznaka "a" i "b")</t>
  </si>
  <si>
    <t>Dobava i montaža kanala za linijsku odvodnju oborinskih voda , klase opterećenja D400. Svjetla širina kanala je 300 mm,  te građevinska duljina segmenata 100 i 50 cm. Kanal je izrađen iz ojačanog betona. Kanal se izvodi polaganjem na betonsku podlogu marke C16/20, debljine sloja 15 cm, a kanal je potrebno slagati segmentima u padu prema taložniku. Dobava i montaža pokrovne rešetke iz lijevanog željeza za opterećenje D400 (mosna), sa sistemom bezvijčane ukrute.</t>
  </si>
  <si>
    <t>- segmenti s padom</t>
  </si>
  <si>
    <t>L = 500cm</t>
  </si>
  <si>
    <t>NAPOMENA: Prije narudžbe kanala provjeriti točne mjere na objektu i konzultirati isporučioca opreme.</t>
  </si>
  <si>
    <t xml:space="preserve">Dobava i montaža sabirnika kanala za linijsku odvodnju oborinskih voda , klase opterećenja D400, sa pjeskolovom i odvodom sa strane. Svjetla širina sabirnika je 300 mm,te građevinska duljina 50 cm. Sabirnik je izrađen iz ojačanog betona. Sabirnik se izvodi polaganjem na betonsku podlogu marke C16/20 debljine sloja 15 cm, a sabirnik je potrebno bočno založiti betonom, sve do potpune funkcionalnosti. Dobava i montaža pokrovne rešetke iz lijevanog željeza za opterećenje C250 (mosna), sa sistemom bezvijčane ukrute . </t>
  </si>
  <si>
    <t>Ispitivanje postavljene kanalizacijske mreže na nepropusnost, izdavanje atesta i izvještaj o ispitivanju od strane ovlaštene institucije. Obračun po m'  ispitanog cjevovoda i po komadu.</t>
  </si>
  <si>
    <t>- kanalizacijske cijevi</t>
  </si>
  <si>
    <t>- revizijska okna</t>
  </si>
  <si>
    <t>- atest (komplet od 3 primjerka)</t>
  </si>
  <si>
    <t>Geodetski snimak izvedene instalacije sa situacijskim i visinskim položajem revizijskih okana, izrada izvedbenih shema i priprema dokumentacije izvedenog stanja za predaju investitoru.</t>
  </si>
  <si>
    <t xml:space="preserve"> Obračun po m' cjevovoda.</t>
  </si>
  <si>
    <t>Izrada spoja mješovite kanalizacije na postojeći  mješoviti kolektor, u svemu po uvjetima Komunalnog poduzeća, uključivo i građevinska obrada spoja. U stavku uključeni svi iskopi i građevinski radovi kroz javnu površinu, te instalacijski materijal, a u svrhu spajanja na javni fekalni kolektor. Obračun po kompletu.</t>
  </si>
  <si>
    <t>VANJSKA KANALIZACIJA UKUPNO:</t>
  </si>
  <si>
    <t>INSTALACIJA U OBJEKTU</t>
  </si>
  <si>
    <t>A)</t>
  </si>
  <si>
    <t>3A,1</t>
  </si>
  <si>
    <t>VODOVODNA INSTALACIJA</t>
  </si>
  <si>
    <t>Nabava, doprema i montaža čeličnih pocinčanih vodovodnih cijevi. Međusobno spajanje cijevi vršiti navojnim fitinzima, a brtvljenje teflon trakom. Cijevi položene u podu izolirane su bitumeniziranom trakom. Za cijevi hidrantske mreže predviđen premaz primerom i crvenim zaštitnim lakom u dva sloja (cijevi predviđene za unutarnju hidrantsku PP mrežu unutar objekta). Obračun po m'  ugrađene cijevi.</t>
  </si>
  <si>
    <t xml:space="preserve">NO 50 </t>
  </si>
  <si>
    <t>Nabava, doprema i montaža višeslojnih PE-X cijevi, za radni pritisak 10 bara. Stavkom su obuhvaćeni svi radovi potrebni za njihovu pravilnu montažu: potreban materijal za spajanje i ovješenje, te zaštitne cijevi sa brtvenim materijalom za mjesta prolaza instalacije vodovoda kroz konstruktivne zidove i po potrebi priručna skela. 
Pres fitinzi od mesinga otpornog na otcinčavanje, s dvostrukom O-brtvom, plastični izolacijski prsten i stezna čahura od nehrđajućeg čelika s kontrolnim otvorima za PE-X i višeslojne vezujuće plastika/metal cijevi namijenjeni za sanitarne instalacije klase primjene 1, 2, 4 i 5 prema ISO10508, ili jednakovrijedno.Cijevi su predviđene u svim razvodima unutar objekta. Obračun po m'  ugrađene cijevi.</t>
  </si>
  <si>
    <t>d 75 (NO 65)</t>
  </si>
  <si>
    <t>d 65 (NO 50)</t>
  </si>
  <si>
    <t>d 50 (NO 40)</t>
  </si>
  <si>
    <t>d 40 (NO 32)</t>
  </si>
  <si>
    <t>d 32 (NO 25)</t>
  </si>
  <si>
    <t>d 25 (NO 20)</t>
  </si>
  <si>
    <t>d 20 (NO 15)</t>
  </si>
  <si>
    <t>Nabava, doprema i montaža toplinske izolacije s parnom branom , povezana ljepilom i ljepivom trakom,  za cijevi u st.3.A.1.2., vidljivo vođene i one postavljene u instalacijskim šahtovima, te  vođenim u slojevima poda (topla voda i cirkulacija), zajedno s originalnim izolacijskim obujmicama na mjestima vješanja cjevovoda.</t>
  </si>
  <si>
    <t>Nabava, doprema i montaža zaštitne izolacije, povezanom ljepivom trakom, predviđene u razvodima  u zidovima sanitarnih čvorova i kuhinje, te hladne vode u slojevima poda (cijevi u st .3.1.2.).</t>
  </si>
  <si>
    <t>d 40</t>
  </si>
  <si>
    <t xml:space="preserve">d 20 </t>
  </si>
  <si>
    <t>d 15</t>
  </si>
  <si>
    <t xml:space="preserve">Samoregulirajući grijači kabel snage 18 W7m kod +5 za cjevovod unutarnje hidrantske PP mreže u negrijanim prostorima (podrum), NO 50, komplet s termostatom i priborom za montažu. </t>
  </si>
  <si>
    <t>-duljine cjevovoda L = 160,00 m</t>
  </si>
  <si>
    <t>Nabava, doprema i montaža izolacije cjevovoda unutarnje hidrantske PP mreže u negrijanim prostorima (garaža), cijevacima od kamene vune, debljine min. 25 mm, kaširana aluminijskom folijom, s pripadajućim ljepilom i samoljepivom trakom, za cijevi dimenzija:</t>
  </si>
  <si>
    <t>Nabava, doprema i montaža kuglastih navojnih slavina za vodovodnu instalaciju  NP 10, s poniklovanom kapom i rozetom.</t>
  </si>
  <si>
    <t>Obračun po ugrađenom komadu.</t>
  </si>
  <si>
    <t xml:space="preserve">Nabava, doprema i montaža zidnog protupožarnog hidranta 50 mm u limenoj kutiji iz inoxa, dim. 50x50x14 cm s 15 m gumiranog crijeva i univerzalnom mlaznicom, za podžbuknu ugradnju.Prednja strana hidranta su puna limena vrata iz inoxa. </t>
  </si>
  <si>
    <t xml:space="preserve">Obračun po ugrađenom kompletu. </t>
  </si>
  <si>
    <t xml:space="preserve">Nabava, doprema i montaža zidnog protupožarnog hidranta 50 mm u limenoj kutiji iz inoxa, dim. 50x50x14 cm s 20 m gumiranog crijeva i univerzalnom mlaznicom, za podžbuknu ugradnju.Prednja strana hidranta su puna limena vrata iz inoxa. </t>
  </si>
  <si>
    <t xml:space="preserve">Nabava, doprema i montaža aparata za početno gašenje požara, točan broj prema elaboratu zaštite od požara, na odgovarajućim nosačima na zidu. Broj aparata uskladiti prema protivpožarnom elaboratu.
Obračun po kompletu. </t>
  </si>
  <si>
    <t>S9</t>
  </si>
  <si>
    <t>S6</t>
  </si>
  <si>
    <t>CO 2-5</t>
  </si>
  <si>
    <t>Nabava, doprema i montaža aparata za početno gašenje požara, punjen ugljičnim dioksidom (CO2), na odgovarajućim nosačima na zidu. Količina sredstva za gašenje 5 kg. Broj i položaj aparata provjeriti prema EZOP-u i grafičkim prilozima u arhitektonskom dijelu projekta.</t>
  </si>
  <si>
    <t>Nabava, doprema i montaža ormarića za vertikalnu ugradnju vodomjera pred stanovima. U stavku uračunati i sustav M-Bus sustava.</t>
  </si>
  <si>
    <t>OVV-2</t>
  </si>
  <si>
    <t>OVV-3</t>
  </si>
  <si>
    <t>OVV-4</t>
  </si>
  <si>
    <t>Nabava, doprema i montaža mjernog ormarića (centrala) , komplet opremljena povezana elektrovezom s internim  mjerilima . (OPCIJA)</t>
  </si>
  <si>
    <t>Nabava, doprema i ugradnja kabela IySty 10x2x0.8 za povezivanje vodomjera i centralne jedinice, položen u PVC fleksibilnu instalacijsku cijev D20.(OPCIJA)</t>
  </si>
  <si>
    <t>Izvedba protivpožarnih brtvljenja na instalaciji vodovoda, na prolazu iz jednog PP sektora u drugi.</t>
  </si>
  <si>
    <t>Ispitivanje postavljenog cjevovoda na nepropusnost tlačnom probom.</t>
  </si>
  <si>
    <t>Čišćenje i ispiranje postavljenog cjevovoda nakon kompletno dovršenih radova.</t>
  </si>
  <si>
    <t>Dezinfekcija cjevovoda prije stavljanja u pogon, a vrši se s 30g čistog klora s 1 m3 vode. Voda ostaje u cjevovodu 24 sata.</t>
  </si>
  <si>
    <t>Laboratorijsko ispitivanje kvalitete vode, uzimanjem uzoraka na 1/2 točećih mjesta.</t>
  </si>
  <si>
    <t>Ishođenje atesta za unutarnju hidrantsku mrežu od ovlaštene tvrtke.</t>
  </si>
  <si>
    <t>3A,2</t>
  </si>
  <si>
    <t>VERTIKALNA KANALIZACIJA</t>
  </si>
  <si>
    <t>Nabava, doprema i montaža polipropilenskih kanalizacijskih cijevi niske šumnosti, spajanih međusobno naglavcima s gumenim prstenom,  ili jednako vrijedno, uključivo potrebni pričvrsni materijal, za verikale kanalizacije. Obračun po m' ugrađene cijevi.</t>
  </si>
  <si>
    <t>D 75</t>
  </si>
  <si>
    <t>Fazonski komadi za cijevi iz prethodne stavke (st 3.2.1.)</t>
  </si>
  <si>
    <t xml:space="preserve">Nabava, doprema i montaža polipropilenskih kanalizacijskih cijevi , spajanih međusobno naglavcima s gumenim prstenom,  uključivo potrebni pričvrsni materijal, za oduške vertikala, razvod u sanitarnim čvorovima i sl..Stavkom obuhvaćeni nosaći cjevovoda iz čeličnih profila. </t>
  </si>
  <si>
    <t>Obračun po m' ugrađene cijevi.</t>
  </si>
  <si>
    <t>D 50</t>
  </si>
  <si>
    <t>Fazonski komadi za cijevi iz prethodne stavke (st 3.2.3.)</t>
  </si>
  <si>
    <t>Nabava, doprema i montaža kanalizacijskih  cijevi iz nodularnog lijeva , spajane međusobno obujmicama s gumenim prstenom, uključivo pričvrsni materijal. Obračun po m' ugrađene cijevi.</t>
  </si>
  <si>
    <r>
      <rPr>
        <sz val="10"/>
        <color theme="1"/>
        <rFont val="Calibri"/>
        <family val="2"/>
        <charset val="238"/>
      </rPr>
      <t>ɸ</t>
    </r>
    <r>
      <rPr>
        <sz val="10"/>
        <color theme="1"/>
        <rFont val="Calibri"/>
        <family val="2"/>
        <charset val="238"/>
        <scheme val="minor"/>
      </rPr>
      <t>150 mm</t>
    </r>
  </si>
  <si>
    <r>
      <rPr>
        <sz val="10"/>
        <color theme="1"/>
        <rFont val="Calibri"/>
        <family val="2"/>
        <charset val="238"/>
      </rPr>
      <t>ɸ</t>
    </r>
    <r>
      <rPr>
        <sz val="10"/>
        <color theme="1"/>
        <rFont val="Calibri"/>
        <family val="2"/>
        <charset val="238"/>
        <scheme val="minor"/>
      </rPr>
      <t>125 mm</t>
    </r>
  </si>
  <si>
    <r>
      <rPr>
        <sz val="10"/>
        <color theme="1"/>
        <rFont val="Calibri"/>
        <family val="2"/>
        <charset val="238"/>
      </rPr>
      <t>ɸ</t>
    </r>
    <r>
      <rPr>
        <sz val="10"/>
        <color theme="1"/>
        <rFont val="Calibri"/>
        <family val="2"/>
        <charset val="238"/>
        <scheme val="minor"/>
      </rPr>
      <t>100 mm</t>
    </r>
  </si>
  <si>
    <r>
      <rPr>
        <sz val="10"/>
        <color theme="1"/>
        <rFont val="Calibri"/>
        <family val="2"/>
        <charset val="238"/>
      </rPr>
      <t>ɸ7</t>
    </r>
    <r>
      <rPr>
        <sz val="10"/>
        <color theme="1"/>
        <rFont val="Calibri"/>
        <family val="2"/>
        <charset val="238"/>
        <scheme val="minor"/>
      </rPr>
      <t>0 mm</t>
    </r>
  </si>
  <si>
    <r>
      <rPr>
        <sz val="10"/>
        <color theme="1"/>
        <rFont val="Calibri"/>
        <family val="2"/>
        <charset val="238"/>
      </rPr>
      <t>ɸ 5</t>
    </r>
    <r>
      <rPr>
        <sz val="10"/>
        <color theme="1"/>
        <rFont val="Calibri"/>
        <family val="2"/>
        <charset val="238"/>
        <scheme val="minor"/>
      </rPr>
      <t>0 mm</t>
    </r>
  </si>
  <si>
    <t>Fazonski komadi za cijevi iz prethodne stavke (st 3.2.5.)</t>
  </si>
  <si>
    <t>Nabava, doprema i montaža podnog slivnika DN50 horizontalni sa 3 bočna priključka DN40, protokom min. 0,50 l/s, prirubnicom za prihvat odgovarajućeg pribora za spoj sa hidroizolacijom, mokrim umetkom zatvarača zadaha sa protupovratnim osiguračem, nastavnim okvirom podesivim po visini 12 - 70 mm / 123 x 123 mm ±5%  sa mogućnošću odvodnje procjedne vode sa hidroizolacije, uljevnom INOX rešetkom 115 x 115 mm ±5%, nosivosti min. 300 kg. Prilikom spajanja na hidroizolaciju potrebno je upotrijebiti odgovarajući proizvod za spoj sa hidroizolacijom.</t>
  </si>
  <si>
    <t>Obračun po ugrađenom kompletu.</t>
  </si>
  <si>
    <t xml:space="preserve">Nabava, doprema i montaža velikog slivnika DN160 vertikalni, sa protokom min. 4,30 l/s, sa pjeskolovom, suhim zatvaračem zadaha otpornim na smrzavanje, plastičnim okvirom 260 x 260 mm mm ±5% , uljevnom lijevano željeznom rešetkom 226 x 226 mm ±5% , nosivosti min. 12.500 kg. </t>
  </si>
  <si>
    <t>Nabava, doprema i montaža ugradbenog  sifona za perilicesuđa, protoka 0,38 l/s, sa priključnim koljenom 3/4'', izlazom DN40/50, sa 50 mm visine vodenog stupca u sifonu, blokadom povratnog toka, INOX poklopcem 110 x 160 mm, građevinskom zaštitom i otvorom za čišćenje</t>
  </si>
  <si>
    <t>Nabava, doprema i montaža polipropilenskog slivnika s plaštem za podvlačenje ispod hidroizolacije, horizontalni.  (izolacijsku prirubnicu prilagoditi prihvatu hidroizolacije), s odvodom  Ø100 mm.</t>
  </si>
  <si>
    <t>Slivnik se sastoji od:</t>
  </si>
  <si>
    <t xml:space="preserve">krovnog slivnika za ravne krovove DN110 sa protokom min. 6,00 l/s , horizontalni sa toplinski izoliranom stijenkom, hvatačem lišća,  tvornički navarenom bitumenskom prirubnicom min. Ø500 mm za spajanje sa bitumenskom krovnom hidroizolacijom. </t>
  </si>
  <si>
    <t xml:space="preserve">procjednog prstena Ø150 mm za odvodnju vode na spoju krovnog slivnika vezanog za parnu branu i nastavnog elementa. </t>
  </si>
  <si>
    <t xml:space="preserve">nastavnog elementa min. 300 mm za krovni slivnik, DN125 sa PP prirubnicom za lijepljene (varenje) sa FPO-folijama na bazi PP-a. </t>
  </si>
  <si>
    <t>NAPOMENA: Prije narudžbe slivnika provjeriti odgovaraju li predviđeni slivnici tipu hidroizolacije, prema projektu fizike zgrade, te konzultirati isporučioca opreme.</t>
  </si>
  <si>
    <t>Precrpna stanica za vodu iz umivaonika u prostoriji kućnog majstora, u podrumu objekta. 
Postrojenje s centrifugalnom pumpom u kompaktnoj izvedbi s vodoravnim usisnim i okomitim tlačnim nastavkom, koje se sastoji od samousisne, jednostupanjske Jet pumpe, uklj. nosivi okvir. Izravno u vidu prirubnice spojen jednofazni motor s integriranom sklopkom za termičku zaštitu motora i kondenzatorom. 
Upravljanje pumpom preko elektroničkog kontrolnika tlaka i strujanja s integriranom zaštitom od nedostatka vode i blokadom povratnog toka. Svi dijelovi koji dolaze u dodir s medijem su nekorodirajući. Instalacija pumpi prethodno montirana i ožičena tako da bude spremna za priključak s kabelom duljine 2 m i mrežnim utikačem te je stoga idealna za prijenosnu primjenu u području vrtova i hobija.</t>
  </si>
  <si>
    <t>Maks. visina dobave: 41,81 m</t>
  </si>
  <si>
    <t>Maksimalni radni tlak: 6 bar</t>
  </si>
  <si>
    <t>Min. temperatura medija: 5 °C</t>
  </si>
  <si>
    <t>Maks. temperatura medija: 35 °C</t>
  </si>
  <si>
    <t>Tlačni vod od PEHD tlačnih vodovodnih cijevi DN 40, NP 10.</t>
  </si>
  <si>
    <t>Obračun po m i kompletu  ugrađene cijevi.</t>
  </si>
  <si>
    <t>L  = 10m</t>
  </si>
  <si>
    <t>L = 6m</t>
  </si>
  <si>
    <t xml:space="preserve">Brtvena garnitura vodonepropusnosna do 6 m vodenog stupca za brtvljenje cijevi DN160 mm za cijevne prolaze sa masivnom usnom brtvom, bitumenskom manžetom Ø560 mm za spajanje sa bitumenskom hidroizolacijom i stabilnom plastičnom navoj maticom sa mogućnošću otklona zbog slijeganja cijevi ±10%. </t>
  </si>
  <si>
    <t xml:space="preserve">Brtvena garnitura vodonepropusnosna do 6 m vodenog stupca za brtvljenje cijevi DN125 mm za cijevne prolaze sa masivnom usnom brtvom, bitumenskom manžetom Ø500 mm za spajanje sa bitumenskom hidroizolacijom i stabilnom plastičnom navoj maticom sa mogućnošću otklona zbog slijeganja cijevi ±10%. </t>
  </si>
  <si>
    <t xml:space="preserve">Brtvena garnitura vodonepropusnosna do 6 m vodenog stupca za brtvljenje cijevi DN110 mm za cijevne prolaze sa masivnom usnom brtvom, bitumenskom manžetom Ø500 mm za spajanje sa bitumenskom hidroizolacijom i stabilnom plastičnom navoj maticom sa mogućnošću otklona zbog slijeganja cijevi ±10%. </t>
  </si>
  <si>
    <t>Protupožarna obujmica 125/5”. 
U stavku uključiti brtvljenje prodora između cijevi i betona vatrozaštitnom pjenom i pribavljanje atesta od ovlaštenog izvođača radova.</t>
  </si>
  <si>
    <t>Protupožarna obujmica 110/4”
U stavku uključiti brtvljenje prodora između cijevi i betona vatrozaštitnom pjenom i pribavljanje atesta od ovlaštenog izvođača radova.</t>
  </si>
  <si>
    <t>Protupožarna obujmica 75/2.5”
U stavku uključiti brtvljenje prodora između cijevi i betona vatrozaštitnom pjenom i pribavljanje atesta od ovlaštenog izvođača radova.</t>
  </si>
  <si>
    <t>Premaz lijevanoželjeznih kanalizacijskih cijevi protivpožarnim kitom u dužini od cca 0,50 m, na prolazu iz jednog PP sektora u drugi.</t>
  </si>
  <si>
    <t>Revizijska vrata sa pritisnim zatvaračem, izrađena od pocinčanog čeličnog lima, ispred revizija. Obračun po ugrađenom komadu.</t>
  </si>
  <si>
    <t>dim. 20 x 20cm</t>
  </si>
  <si>
    <t>Nosači cjevovoda iz čeličnih profila, uključivo izrada, čišćenje i vruće pocinčavanje.</t>
  </si>
  <si>
    <t>3A,3</t>
  </si>
  <si>
    <t>HORIZONTALNA KANALIZACIJA</t>
  </si>
  <si>
    <r>
      <rPr>
        <b/>
        <sz val="10"/>
        <color theme="1"/>
        <rFont val="Calibri"/>
        <family val="2"/>
        <charset val="238"/>
        <scheme val="minor"/>
      </rPr>
      <t xml:space="preserve">Montažna segmentna polietilenska (PEHD) ili polipropilenska (PP) okna za kanalizaciju DN 625/DN 630. </t>
    </r>
    <r>
      <rPr>
        <sz val="10"/>
        <color theme="1"/>
        <rFont val="Calibri"/>
        <family val="2"/>
        <charset val="238"/>
        <scheme val="minor"/>
      </rPr>
      <t xml:space="preserve">
Okna moraju biti sastavljena od brizganih dijelova. Zbog osiguranja vodonepropusnosti svi elementi okna moraju biti izrađeni tehnikom roto lijeva i tvornički zavareni. Cijevni priključci izvode se u bazi okna tvornički zavareni od spojnica prema promjeru i kutu određenom projektom. Dno okna je sastavljeno od dva nosiva sloja, tvornički zavarenih, s posebnom nosivom troslojnom rebrastom strukturom iznutra, te ravnim dnom cijelim promjerom okna. Horizontalni lomovi nivelete trebaju biti isključivo unutar okna.</t>
    </r>
  </si>
  <si>
    <t>Dijelovi okna se međusobno spajaju pomoću brtvi ili zavarivanjem čime se osigurava nepropusnost. Cjevovod se spaja na adaptere  okna originalnim spojnicama i brtvama. 
Okna trebaju biti sukladno: 
HRN EN 13598-2:2009  ili jednakovrijedno _____________________. 
Okno treba biti ispitano i vodonepropusno sukladno:
HRN EN 1277  ili jednakovrijedno _____________________________ . 
Obodna čvrstoča treba biti ispitana sukladno:
HRN EN ISO 9969  ili jednakovrijedno __________________________. 
Brtveni elementi sukladno:
HRN EN 681-1  ili jednakovrijedno _____________________________.
Otpornost kinete na udarac treba biti dokazano prema:
EN 1411  ili jednakovrijedno __________________________________.
Proračunom je potrebno dokazati otpornost okna na djelovanje uzgona bez dodatnog betoniranja. Stavkom su obuhvaćeni i radovi pri nabavi i ugradnji predgotovljenog  armirano betonskog prstena oko ruba vrha okna, u koji se ugrađuje poklopac, a prema naputcima isporučioca revizijskog okna. Priprema za ugradnju poklopca  veličine  Ø60 cm,  s odgovarajućim    profilom    koji   se   ugrađuje   prilikom montaže predgotovljenog armirano betonskog prstena.  U stavku uključiti i sve ostale radove do potpunog dovršenja posla. Okno ugraditi po točnim naputcima isporučioca i proizvođača. Obračun po komadu</t>
  </si>
  <si>
    <t>okno dubine 150cm</t>
  </si>
  <si>
    <t>Dobava i montaža PVC ili PP kanalizacijskih cijevi SN 4 , međusobno spajanih originalnim kolčacima s gumenim brtvama, uključivo potrebni pričvrsni materijal. Cijevi polagati u pripremljeni rov širine cca 50 cm i dubine cca 40-50 cm ispod temeljne ploče. Dno i strane rova obložiti i zagladiti mršavim betonom, na koji se lijepi hidroizolacija. Prije polaganja cijevi na hidroizlaciji izvesti posteljicu od mršavog betona debljine cca 10 cm. Po  polaganju cjevocvoda, rov zapuniti betonom, da zajedno s armirano betonskom pločom temelja čini jednu cjelinu (u objektu). Obračun po m' ugrađene cijevi.</t>
  </si>
  <si>
    <t>DN 160</t>
  </si>
  <si>
    <t>Fazonski komadi za cijevi iz prethodne stavke ( st 3.3.2.)</t>
  </si>
  <si>
    <t>Lijevanoželjezni poklopac s okvirom, dim.  600 x 600 mm, plinonepropusni s ispunom kao okolni pod, za revizijska okna u objektu. Obračun po  ugrađenom komadu.</t>
  </si>
  <si>
    <t>nazivno opterećenje: N.O. 250 kN</t>
  </si>
  <si>
    <t>Lijevanoželjezni poklopac s okvirom, dim. 600 x 600 mm   , bez ventilacijskih otvora, s natpisom KANALIZACIJA, nad precrpnom stanicom. Obračun po  ugrađenom komadu.</t>
  </si>
  <si>
    <t>N.O. 400kN</t>
  </si>
  <si>
    <t>knalaizacijske cijevi</t>
  </si>
  <si>
    <t>revizijska okna</t>
  </si>
  <si>
    <t>atest (komplet od 3 primjerka)</t>
  </si>
  <si>
    <t>PRECRPNA STANICA</t>
  </si>
  <si>
    <t>Centrifugalna potopna motorna pumpa za otpadne vode s vortex radnim kolom i vodoravnim prirubničkim priključkom. 
Prirubnički priključak kao kombinirana prirubnica s integriranim učvršćivanjem i plosnatom brtvom. Hidrauličko kućište i radno kolo od kopolimera. Trofazni motor s vanjskim hlađenjem s termičkim nadzorom motora. Brtvena komora napunjena uljem s dvostrukim brtvljenjem. Kućište motora od plemenitog čelika.</t>
  </si>
  <si>
    <t>Medij : Otpadna voda 100 %
Protok : 8,00 l/s
Visina dobave : 6,00 m
Temperatura medija : 20 °C
Min. temperatura medija : 3 °C
Maks. temperatura medija : 40 °C
Maksimalni pogonski tlak : 1,9 bar
Maks. dubina uranjanja : 7 m</t>
  </si>
  <si>
    <t>Mrežni priključak : 3~400V/50 Hz
Nazivna snaga P2 : 1,50 kW
Nazivni broj okretaja : 2850 1/min
Nazivna struja (oko) : 3,6 A
Faktor snage : 0,84
Vrsta zaštite : IP 68
Klasa izolacije : F
Duljina priključnog kabela : 10 m
Vrsta priključnog kabela : Odvojiv
Mrežni utikač : Ne</t>
  </si>
  <si>
    <t>Stacionarno mokro postavljanje DN 80
Oprema: Ovjesna naprava DN 80/2RK
Ovjesna naprava za montažu u pumpnom oknu za jednostavnu instalaciju pumpe za otpadne vode na tla čni cjevovod. Opseg isporuke:
- Koljeno stope s držačem dvostruke cijevi
- Prirubnica spojke za montažu na tlačnom nastavku
- Profilna brtva
- Materijal za montažu
Lokalno je potrebno staviti na raspolaganje dvije vodeće cijevi 26,9x2mm</t>
  </si>
  <si>
    <t>Komplet zasuna DN 80
Zasun s plo častim elementom i fiksnim HT/KG prirubničkim priključcima za blokiranje mreže cjevovoda. Uklj. dodatnu opremu za montažu.</t>
  </si>
  <si>
    <t>Nepovratni ventil                                                                            
Blokada povratnog toka DN 80
Blokada povratnog toka prema DIN 12050-4 ili jednakovrijedno, za automatsko zatvaranje tla čnog voda radi sprečavanja njegovog pražnjenja i tlačnih udara koji nastaju uslijed toga. Uklj. materijal za montažu.
- Priključak: Prirubnica
- Element za zatvaranje: opružni zaklopac</t>
  </si>
  <si>
    <t>Upravljanje razinama s osjetnikom razine
Oprema: Senzor razine 0 - 2,5 mWS s 10 m kabela PG14 
Senzor razine s ATEX odobrenjem za upravljanje razinama u medijima s fekalijama. Pomo ću senzora razine mjeri se hidrostatski tlak u mediju te se preko membrane pretvara u elektronički signal direktno u osjetniku tlaka. Signal se prenosi uključnom uređaju te se odgovarajuće analizira.
Pri uporabi u područjima ugroženima eksplozijom za priključak se mora predvidjeti Zenerova barijera!
Maks. opteretivost kontakta : 4...20 mA
Stupanj zaštite : IP 68
Oblik kontakta : Sonda razine
Mjerno područje : 0-2,5</t>
  </si>
  <si>
    <t>Fazonski komad iz lijevanog željeza za vodovod NP 10 s prirubničkim spojevima, uključivo potrebni vijci i brtve.</t>
  </si>
  <si>
    <t>Priprema za montažu lijevanoželjeznog poklopca s okvirom, dim.  600 x 600 mm (poklopac obuhvaćen posebnom stavkom).</t>
  </si>
  <si>
    <t>Tlačni vod od PEHD tlačnih vodovodnih cijevi D 90, NP 10.</t>
  </si>
  <si>
    <t>Obračun po m  ugrađene cijevi.</t>
  </si>
  <si>
    <t>3A,4</t>
  </si>
  <si>
    <t>SANITARNI UREĐAJI</t>
  </si>
  <si>
    <t>Isporuka/doprema sanitarnih uređaja je isporuka uređaja fcco gradilište. Isporuka obuhvaća sanitarne uređaje i armaturu, tvorničke nosače sanitarija, uključivo i sifone za spoj na odvodnu instalaciju. Stavka montaže obuhvaća čuvanje do ugradnje, prijenos do mjesta skladištenja i ugradnje sanitarnih uređaja i armature, te montažu sanitarnih uređaja i armature , kao i sav sitni montažni materijal kao što su adapteri za spoj na instalaciju, brtve, produžeci i spojne cijevi, tipli i sl.</t>
  </si>
  <si>
    <t>NAPOMENA: Izvođač se obvezuje, prije narudžbe sanitarnih uređaja, iste usaglasiti s projektantskim i stručnim nadzorom.</t>
  </si>
  <si>
    <t>Sanitarnu galanteriju kupuju i ugrađuju kupci stanova.</t>
  </si>
  <si>
    <r>
      <rPr>
        <b/>
        <sz val="10"/>
        <color theme="1"/>
        <rFont val="Calibri"/>
        <family val="2"/>
        <charset val="238"/>
        <scheme val="minor"/>
      </rPr>
      <t>Konzolna WC školjka</t>
    </r>
    <r>
      <rPr>
        <sz val="10"/>
        <color theme="1"/>
        <rFont val="Calibri"/>
        <family val="2"/>
        <charset val="238"/>
        <scheme val="minor"/>
      </rPr>
      <t xml:space="preserve">
Dimenzije školjke su 360 x 530 mm ±5%, izrađena od bijele keramike. Sjedalo i poklopac s pričvrsnim materijalom. Boja daske bijela. Dobava i montaža montažnog instalacijskog elementa za WC školjku visine ugradnje 112 cm ±4% s niskošumnim ugradbenim vodokotlićem (učvršćenje u dvije točke) i štednom dvokoličinskom (6/3lit) plastičnom tipkom za aktiviranje ispiranja. Instalacijski element samonosiv za ugradnju u suhomontažnu zidnu ili predzidnu konstrukciju obloženu gipskartonskim pločama, komplet s integriranim kutnim ventilom priključka vode ½", niskošumnim uljevnim ventilom, odvodnim koljenom d90/110 mm sa zvučno izoliranom ubujmicom, spojnim komadom za WC školjku s brtvenim manžetama i setom zvučne izolacije, vijcima za učvršćenje keramike i svim potrebnim priborom za ugradnju prema uputama proizvođača.</t>
    </r>
  </si>
  <si>
    <t>- WC školjka s pričvrsnim materijalom</t>
  </si>
  <si>
    <t xml:space="preserve">- montažni instalacijski element za WC školjku s niskošumnim ugradbenim vodokotlićem </t>
  </si>
  <si>
    <t>- sjedalo i poklopac s pričvrsnim materijalom</t>
  </si>
  <si>
    <t>- kutni ventil s spojnim cijevima</t>
  </si>
  <si>
    <t>- montaža kompleta</t>
  </si>
  <si>
    <t>Obračun po ugrađenom kompletu</t>
  </si>
  <si>
    <r>
      <rPr>
        <b/>
        <sz val="10"/>
        <color theme="1"/>
        <rFont val="Calibri"/>
        <family val="2"/>
        <charset val="238"/>
        <scheme val="minor"/>
      </rPr>
      <t>Umivaonik od keramike I klase , dim. 75x50 cm ±5%, s pripadajućim polustalkom</t>
    </r>
    <r>
      <rPr>
        <sz val="10"/>
        <color theme="1"/>
        <rFont val="Calibri"/>
        <family val="2"/>
        <charset val="238"/>
        <scheme val="minor"/>
      </rPr>
      <t xml:space="preserve">
Dobava i montaža jednoručne poniklovane mješalice za umivaonik ½ , TV+HV, instalacija jednog otvora, metalna ručka, prilagodiv limitator brzine protoka vode, prilagodiva minimalna brzina protoka vode približno 2,5 l/min,  perlator, fleksibilne spojne cijevi, gornji dio sifona 1/¼, izborni regulator temperature, akustična grupa I, komplet s pripadajućim odvodnim sifonom. Dobava i montaža montažnog instalacijskog elementa za umivaonik visine ugradnje 112 cm  (učvršćenje u dvije točke). Instalacijski element samonosiv za ugradnju u  suhomontažnu zidnu ili predzidnu konstrukciju obloženu gipskartonskim pločama, komplet s  odvodnim koljenom d50 mm i sifonskom brtvom 44/32 mm, pločom s armaturnim priključcima ½" s uključenom zvučnom izolacijom, vijcima za učvršćenje keramike i svim potrebnim pričvrsnim priborom i spojnim materijalom. Dobava i montaža kutnih ventila (chrom), Ø 15/10 mm, sa spojnim cijevima Ø 10 mm. </t>
    </r>
  </si>
  <si>
    <t>- umivaonik s pričvrsnim materijalom</t>
  </si>
  <si>
    <t>- polustalak s pričvrsnim materijalom</t>
  </si>
  <si>
    <t>- mješalica s pričvrsnim materijalom i sifonom</t>
  </si>
  <si>
    <t>- instalacijski element s pričvrsnim materijalom</t>
  </si>
  <si>
    <t>- kutni ventili s spojnim cijevima</t>
  </si>
  <si>
    <t>Ležeća kada iz akrila dim. 170x75 cm ±5%, s oblogom i pripadajućim elementima</t>
  </si>
  <si>
    <t>- kada s oblogom</t>
  </si>
  <si>
    <t xml:space="preserve">- zidna baterija s tušem i zidnim klizačem (držačem) </t>
  </si>
  <si>
    <t>- odvodni sifon</t>
  </si>
  <si>
    <r>
      <rPr>
        <b/>
        <sz val="10"/>
        <color theme="1"/>
        <rFont val="Calibri"/>
        <family val="2"/>
        <charset val="238"/>
        <scheme val="minor"/>
      </rPr>
      <t xml:space="preserve">Keramička tuš kada, dim. 80x80 cm ±5% </t>
    </r>
    <r>
      <rPr>
        <sz val="10"/>
        <color theme="1"/>
        <rFont val="Calibri"/>
        <family val="2"/>
        <charset val="238"/>
        <scheme val="minor"/>
      </rPr>
      <t>s pripadajućim elementima. U stavku uračunata i staklena tuš kabina.</t>
    </r>
  </si>
  <si>
    <t>- tuš kada</t>
  </si>
  <si>
    <t>- staklena tuš kabina</t>
  </si>
  <si>
    <r>
      <rPr>
        <b/>
        <sz val="10"/>
        <color theme="1"/>
        <rFont val="Calibri"/>
        <family val="2"/>
        <charset val="238"/>
        <scheme val="minor"/>
      </rPr>
      <t>Zidni pisoar,od keramike I klase, sa stražnjim dovodom vode, dim. 675 x 130 mm ±5%, boja bijela, komplet sa sifonom.</t>
    </r>
    <r>
      <rPr>
        <sz val="10"/>
        <color theme="1"/>
        <rFont val="Calibri"/>
        <family val="2"/>
        <charset val="238"/>
        <scheme val="minor"/>
      </rPr>
      <t xml:space="preserve">
U stavci je uključena i dobava i montaža svih elemenata potrebnih za ugradnju i funkcionalnost istog što uključuje sve ovo navedeno.Pisoar predviđen sa  samozatvarajućom ugradbenom slavinom za pisoar. Dobava i montaža instalacijskog elementa, samonosiv za ugradnju u suhomontažnu zidnu ili predzidnu konstrukciju obloženu gipskartonskim pločama,ugradbena visina 100 cm ±5%, ugradbena širina 50 cm s izljevnim koljenom Ø50 s brtvom, vijcima za učvršćenje keramike i svim potrebnim pričvrsnim priborom i spojnim materijalom.</t>
    </r>
  </si>
  <si>
    <t>- pisoar s pričvrsnim materijalom</t>
  </si>
  <si>
    <t>- samozatvarajuća ugradbena slavina</t>
  </si>
  <si>
    <t>- kutni ventil s spojnom cijevi</t>
  </si>
  <si>
    <t>Izrada priključaka za sudoper. 
Stavka obuhvaća vodovodni priključak s čepom  i izvod kanalizacije na visini 40 cm od gotovog poda s adekvatnom zaštitom od začepljenja uslijed nepažnje.</t>
  </si>
  <si>
    <t>Poniklovani kutnoi ventil s rozetom i holenderom, za spoj perilica rublja i suđa.</t>
  </si>
  <si>
    <t>Izrada spoja na plinski bojler.
Uključivo sigurnosno-nepovratni ventil i spojne cijevi.</t>
  </si>
  <si>
    <t>B</t>
  </si>
  <si>
    <t>GRAĐEVINSKI RADOVI (uz horizontalnu kanalizaciju u objektu)</t>
  </si>
  <si>
    <t>NAPOMENA: Troškovnikom nisu obuhvaćeni radovi na praćenju izgradnje u smislu ostavljanja proboja i šliceva te izrada šliceva u zidovima za polaganje cjevovoda, već je to obuhvaćeno paušalnom stavkom.</t>
  </si>
  <si>
    <t>3B.1</t>
  </si>
  <si>
    <t xml:space="preserve">Iskop rova za polaganje kanalizacijskih cijevi unutar objekta u materijalu tla A, B i C kategorije,širine 80 cm dubine do 1,50 m. Točna količina iskopanog materijala određene kategorije utvrdit će se na terenu prilikom samog iskopa. Obračun količina iskopa izvršen s pretviđenim nagibom pokosam 1:5. Stavka obuhvaća iskop zemljanog rova, sa pravilnim zasjecanjem bočnih strana. Materijal iz iskopa odbacivati na udaljenost 1,0 m od ruba rova. U stavci uključeno eventualno potrebno razupiranje za spriječavanje odronjavanja bočnih strana kanala. Obračun po m3 iskopanog materijala u sraslom stanju i to A,B,C ktg prema stvarnom stanju. </t>
  </si>
  <si>
    <t xml:space="preserve">Iskop rova za izradu precrpne stanice  u materijalu tla A, B i C kategorije dubine do 3,00 m. Točna količina iskopanog materijala određene kategorije utvrdit će se na terenu prilikom samog iskopa. Obračun količina iskopa izvršen s pretviđenim nagibom pokosam 1:5. Stavka obuhvaća iskop zemljanog rova, sa pravilnim zasjecanjem bočnih strana. Materijal iz iskopa odbacivati na udaljenost 1,0 m od ruba rova. U stavci uključeno eventualno potrebno razupiranje za spriječavanje odronjavanja bočnih strana kanala. Obračun po m3 iskopanog materijala u sraslom stanju i to A,B,C ktg prema stvarnom stanju. </t>
  </si>
  <si>
    <t>3B.2</t>
  </si>
  <si>
    <t>BETONSKI, ARMIRANO - BETONSKI I ZIDARSKI RADOVI</t>
  </si>
  <si>
    <t>Oblaganje dna i strana rova mršavim betonom , na koji se lijepi hidroizolacija. Prije polaganja cijevi na hidroizlaciji izvesti posteljicu od mršavog betona debljine cca 10 cm. Po  polaganju cjevocvoda, rov zapuniti betonom, da zajedno s armirano betonskom pločom temelja čini jednu cjelinu.</t>
  </si>
  <si>
    <t>Dobava materijala i izvedba betonske precrpne stanice, od betona C30/37 s dodacima za vodonepropusnost. Stjenke, dno i ploča okna debljine 20 cm, armirana potrebnom armaturom. Na dnu okna izvesti   kinetu   od   mršavog   betona   C 16/20,   završno zaglađenu. Kinete i stijenke okna      obraditi vodonepropusnim cementnom žbukom.  Prilikom montaže cijevi, u širini betonske stjenke okna, na cijevi se navuku - montiraju gumene brtve, za pričvrscenje PVC cijevi u beton pri betoniranju revizionog okna tako da  se   može   postići  vodonepropusna   veza   između betona i PVC cijevi. Gumene brtve  od tvrde plastike prema Onorm B-5184 ili DIN 19534, ili jednakovrijedno.</t>
  </si>
  <si>
    <t xml:space="preserve">Priprema za ugradnju poklopca U stavku uključiti nabavu i ugradbu potrebne armature, svu drvenu oplatu, kao i sve ostale radove do potpunog dovršenja posla. </t>
  </si>
  <si>
    <t xml:space="preserve"> - svjetla dim. okna 140 x 140 x 262(h) cm </t>
  </si>
  <si>
    <t>INSTALACIJA U OBJEKTU UKUPNO</t>
  </si>
  <si>
    <t>REKAPITULACIJA VODOVODA I KANALIZACIJE</t>
  </si>
  <si>
    <t>Cijev protuudarnog ventila ugradnju u zid debljine 40 cm, 1 bar, dimenzija:</t>
  </si>
  <si>
    <t xml:space="preserve"> NO 200 C-PUV 3</t>
  </si>
  <si>
    <t>kompl.</t>
  </si>
  <si>
    <t>Usisna cijev za normalnu ventilaciju za ugradnju u zid debljine 40 cm, duljine L= 400 mm, dimenzija:</t>
  </si>
  <si>
    <t>NO 200 C-NV 200</t>
  </si>
  <si>
    <t>Usisna cijev za zaštitnu ventilaciju za ugradnju u zid debljine 40 cm dimenzija:</t>
  </si>
  <si>
    <t>NO 150 C-ZV 150</t>
  </si>
  <si>
    <t>Cijev ventila za reguliranje pretlaka C-VRP za ugradnju u zid debljine 40 cm, duljine L= 400 mm, dimenzija:</t>
  </si>
  <si>
    <t xml:space="preserve">NO 150 </t>
  </si>
  <si>
    <t>Cijev ventila za reguliranje pretlaka C-VRP za ugradnju u zid debljine 10 cm, duljine L= 100 mm, dimenzija:</t>
  </si>
  <si>
    <t>NO 150 C-VRP 150</t>
  </si>
  <si>
    <t>Cijev za odvod zraka za dva ventila C-OZ2 za ugradnju u zid debljine 40 cm, dimenzija:</t>
  </si>
  <si>
    <t>Cijev za odvod zraka za jedan ventil C-OZ1 za ugradnju u zid debljine 40 cm dimenzija:</t>
  </si>
  <si>
    <t>Cijev sa slavinom NO 20 za odvod kondenzata iz pješčanog predfiltra</t>
  </si>
  <si>
    <t>C-OK 20</t>
  </si>
  <si>
    <t>Rešetka šahta za sakupljanje kondenzata</t>
  </si>
  <si>
    <t>Poklopac šahta za odvod kondenzata</t>
  </si>
  <si>
    <t>Cijev za mjerač pretlaka C-MP</t>
  </si>
  <si>
    <t>Cijev za nepropusnu uvodnicu C-NU za ugradnju u zid debljine 40 cm</t>
  </si>
  <si>
    <t>Pješčani predfiltar, komplet za jedinicu 1,0 m * 2,0 m</t>
  </si>
  <si>
    <t>(ispuna: visina 120 cm, granulacija 4-8 mm)</t>
  </si>
  <si>
    <t>Komplet sadržava:</t>
  </si>
  <si>
    <t>- rešetku R 710 - kom . 6</t>
  </si>
  <si>
    <t>- polurešetku PR 710 - kom 2</t>
  </si>
  <si>
    <t>- poklopac rešetke pR - kom 12</t>
  </si>
  <si>
    <t>NBC zaštitni filtar za protočnu količinu zraka:</t>
  </si>
  <si>
    <r>
      <t>- dobavna količina zraka: minimalno 300 (250) m</t>
    </r>
    <r>
      <rPr>
        <vertAlign val="superscript"/>
        <sz val="10"/>
        <rFont val="Arial"/>
        <family val="2"/>
      </rPr>
      <t>3</t>
    </r>
    <r>
      <rPr>
        <sz val="10"/>
        <rFont val="Arial"/>
        <family val="2"/>
      </rPr>
      <t xml:space="preserve">/h  </t>
    </r>
  </si>
  <si>
    <t>- pad tlaka = minimalno 350 (210) Pa</t>
  </si>
  <si>
    <t>(jedan u pričuvi)</t>
  </si>
  <si>
    <t>Filtar za prašinu za protočnu količinu zraka slijedećih karakteristika:</t>
  </si>
  <si>
    <t>- dobavna količina zraka:  minimalno 600 m3/h</t>
  </si>
  <si>
    <t>- pad tlaka :  minimalno 1 bar</t>
  </si>
  <si>
    <t>Protuudarni ventil NO 200, 1 bar</t>
  </si>
  <si>
    <t>Ventil za reguliranje pretlaka dimenzija:</t>
  </si>
  <si>
    <t>Protuudarni ventil za reguliranje pretlaka:</t>
  </si>
  <si>
    <t>Ventilacijski uređaj s motornim i ručnim pogonom slijedećih značajki:</t>
  </si>
  <si>
    <r>
      <t xml:space="preserve"> - količina zraka q</t>
    </r>
    <r>
      <rPr>
        <vertAlign val="subscript"/>
        <sz val="10"/>
        <rFont val="Arial"/>
        <family val="2"/>
      </rPr>
      <t>Z/N</t>
    </r>
    <r>
      <rPr>
        <sz val="10"/>
        <rFont val="Arial"/>
        <family val="2"/>
      </rPr>
      <t>:  minimalno 600/300 m</t>
    </r>
    <r>
      <rPr>
        <vertAlign val="superscript"/>
        <sz val="10"/>
        <rFont val="Arial"/>
        <family val="2"/>
      </rPr>
      <t>3</t>
    </r>
    <r>
      <rPr>
        <sz val="10"/>
        <rFont val="Arial"/>
        <family val="2"/>
      </rPr>
      <t>/h</t>
    </r>
  </si>
  <si>
    <r>
      <t>-vanjski oad tlaka</t>
    </r>
    <r>
      <rPr>
        <vertAlign val="subscript"/>
        <sz val="10"/>
        <rFont val="Arial"/>
        <family val="2"/>
      </rPr>
      <t>N/Z</t>
    </r>
    <r>
      <rPr>
        <sz val="10"/>
        <rFont val="Arial"/>
        <family val="2"/>
      </rPr>
      <t>:  minimalno 1270/860 Pa</t>
    </r>
  </si>
  <si>
    <r>
      <t>P</t>
    </r>
    <r>
      <rPr>
        <vertAlign val="subscript"/>
        <sz val="10"/>
        <rFont val="Arial"/>
        <family val="2"/>
      </rPr>
      <t>EM</t>
    </r>
    <r>
      <rPr>
        <sz val="10"/>
        <rFont val="Arial"/>
        <family val="2"/>
      </rPr>
      <t xml:space="preserve"> = 0,30 kW, n</t>
    </r>
    <r>
      <rPr>
        <vertAlign val="subscript"/>
        <sz val="10"/>
        <rFont val="Arial"/>
        <family val="2"/>
      </rPr>
      <t>EM</t>
    </r>
    <r>
      <rPr>
        <sz val="10"/>
        <rFont val="Arial"/>
        <family val="2"/>
      </rPr>
      <t xml:space="preserve"> = 2800 min</t>
    </r>
  </si>
  <si>
    <t>U = 220/380 V, I = 0,8 A</t>
  </si>
  <si>
    <r>
      <t>P</t>
    </r>
    <r>
      <rPr>
        <vertAlign val="subscript"/>
        <sz val="10"/>
        <rFont val="Arial"/>
        <family val="2"/>
      </rPr>
      <t>r</t>
    </r>
    <r>
      <rPr>
        <sz val="10"/>
        <rFont val="Arial"/>
        <family val="2"/>
      </rPr>
      <t xml:space="preserve"> &lt; 60 W, n</t>
    </r>
    <r>
      <rPr>
        <vertAlign val="subscript"/>
        <sz val="10"/>
        <rFont val="Arial"/>
        <family val="2"/>
      </rPr>
      <t>r</t>
    </r>
    <r>
      <rPr>
        <sz val="10"/>
        <rFont val="Arial"/>
        <family val="2"/>
      </rPr>
      <t xml:space="preserve"> = 30÷45 min </t>
    </r>
    <r>
      <rPr>
        <vertAlign val="superscript"/>
        <sz val="10"/>
        <rFont val="Arial"/>
        <family val="2"/>
      </rPr>
      <t>-1</t>
    </r>
  </si>
  <si>
    <t>- centrifugalni ventilator s multiplikatorom, ručicom, generatorom, i protokomjerom svjetiljkom za nuždu, motornom sklopkom CV 600/300</t>
  </si>
  <si>
    <t>- usisnu cijev s regulatorom protoka UC 175</t>
  </si>
  <si>
    <t>- elastične spojne cijevi s brzovezujućom</t>
  </si>
  <si>
    <t>- spojnicom ECS 175</t>
  </si>
  <si>
    <t>- brzozatvarajuće ventile (kom 1 / 1) BZV 175 / 125</t>
  </si>
  <si>
    <t>- koljeno s prirubnicom KP 175/90</t>
  </si>
  <si>
    <t>- T-spoj s prirubnicom TSP 175/125</t>
  </si>
  <si>
    <t>- gumenu spojnicu GS 175</t>
  </si>
  <si>
    <t>- uputu za rukovanje</t>
  </si>
  <si>
    <t>kompl</t>
  </si>
  <si>
    <t>Cjevovod za razvod zraka iz aluminijskih spiro cijevi komplet sa  spojnim i ovjesnim elementima dimenzija:</t>
  </si>
  <si>
    <r>
      <rPr>
        <sz val="10"/>
        <rFont val="Symbol"/>
        <family val="1"/>
        <charset val="2"/>
      </rPr>
      <t>f</t>
    </r>
    <r>
      <rPr>
        <sz val="10"/>
        <rFont val="Arial"/>
        <family val="2"/>
      </rPr>
      <t xml:space="preserve"> 200</t>
    </r>
  </si>
  <si>
    <r>
      <rPr>
        <sz val="10"/>
        <rFont val="Symbol"/>
        <family val="1"/>
        <charset val="2"/>
      </rPr>
      <t>f</t>
    </r>
    <r>
      <rPr>
        <sz val="10"/>
        <rFont val="Arial"/>
        <family val="2"/>
      </rPr>
      <t xml:space="preserve"> 150 </t>
    </r>
  </si>
  <si>
    <t>Fazonski komadi iz aluminijskih spiro cijevi komplet sa  spojnim i ovjesnim elementima dimenzija</t>
  </si>
  <si>
    <t>- koljeno</t>
  </si>
  <si>
    <t xml:space="preserve"> K-200/90º</t>
  </si>
  <si>
    <t>kom.</t>
  </si>
  <si>
    <t xml:space="preserve"> K-150/90º</t>
  </si>
  <si>
    <t>- "T" nastavak</t>
  </si>
  <si>
    <t xml:space="preserve">  T - 200/200</t>
  </si>
  <si>
    <t>- redukcije</t>
  </si>
  <si>
    <t xml:space="preserve"> RD - 200/150</t>
  </si>
  <si>
    <t>Elastični spoj NO 150 za spajanje cjevovoda na mjestima prolaza kroz zid</t>
  </si>
  <si>
    <t xml:space="preserve">kom </t>
  </si>
  <si>
    <t>Zračni istrujni ventil NO 100 s T-spojem</t>
  </si>
  <si>
    <t>ZIV 150</t>
  </si>
  <si>
    <t>Leptirasta regulacijska zaklopka</t>
  </si>
  <si>
    <t>LRZ 150</t>
  </si>
  <si>
    <t>Mjerač pretlaka s termometrom i higrometrom</t>
  </si>
  <si>
    <t>MP+T+H</t>
  </si>
  <si>
    <t>Indikator ugljičnog monoksida</t>
  </si>
  <si>
    <t>Nepropusna uvodnica za prolaz cijevi ili el. kabela kroz zid</t>
  </si>
  <si>
    <t>MAPA XI.</t>
  </si>
  <si>
    <t>STROJARSKI PROJEKT - SKLONIŠTE</t>
  </si>
  <si>
    <t>INSTALACIJA STROJARSKIH INSTALACIJA SKLONIŠTA UKUPNO:</t>
  </si>
  <si>
    <t>GRAĐEVINSKO - ZANATSKI RADOVI UKUPNO</t>
  </si>
  <si>
    <t>UREĐENJE TERENA UKUPNO</t>
  </si>
  <si>
    <t>KONSTRUKCIJA ZGRADA UKUPNO</t>
  </si>
  <si>
    <t>KONSTRUKCIJA SKLONIŠTE  UKUPNO</t>
  </si>
  <si>
    <t>ELEKTROINSTALACIJE ZGRADA UKUPNO:</t>
  </si>
  <si>
    <t>ELEKTROINSTALACIJE SKLONIŠTE UKUPNO:</t>
  </si>
  <si>
    <t>STROJARSKI RADOVI - TERMOINSTALACIJE ZGRADA UKUPNO</t>
  </si>
  <si>
    <t>ViK RADOVI UKUPNO</t>
  </si>
  <si>
    <t>DIZALO RADOVI UKUPNO</t>
  </si>
  <si>
    <t>širina stubišnog kraka: 120cm
gazište dim. 120x30cm - 81 komad
čelo dim. 120x15cm - 90 komada
ploča polupodesta: 270x30cm - 5 komada
ploča podesta: 450x30cm - 5 komada
sokl (h=10cm) - ulazi u jediničnu cijenu</t>
  </si>
  <si>
    <t>T</t>
  </si>
  <si>
    <t>M3</t>
  </si>
  <si>
    <t>M4</t>
  </si>
  <si>
    <t>M5</t>
  </si>
  <si>
    <t>M6</t>
  </si>
  <si>
    <t>M8</t>
  </si>
  <si>
    <t>M9</t>
  </si>
  <si>
    <t>M7/10</t>
  </si>
  <si>
    <t>M11</t>
  </si>
  <si>
    <t>M12</t>
  </si>
  <si>
    <r>
      <rPr>
        <b/>
        <sz val="22"/>
        <rFont val="Arial"/>
        <family val="2"/>
        <charset val="238"/>
      </rPr>
      <t xml:space="preserve">  TROŠKOVNIK        </t>
    </r>
    <r>
      <rPr>
        <b/>
        <sz val="14"/>
        <rFont val="Arial"/>
        <family val="2"/>
        <charset val="238"/>
      </rPr>
      <t xml:space="preserve">             </t>
    </r>
  </si>
  <si>
    <t xml:space="preserve">MAPA II. </t>
  </si>
  <si>
    <t>ARHITEKTONSKI PROJEKT SKLONIŠTA</t>
  </si>
  <si>
    <r>
      <t xml:space="preserve">Projektant: </t>
    </r>
    <r>
      <rPr>
        <b/>
        <sz val="11"/>
        <rFont val="Arial"/>
        <family val="2"/>
        <charset val="238"/>
      </rPr>
      <t>Ivan Vulić, dipl.ing.arh.</t>
    </r>
  </si>
  <si>
    <r>
      <t xml:space="preserve">Sklonište za zaštitu stanovništva od ratnih djelovanja projektirano je u skladu sa:
</t>
    </r>
    <r>
      <rPr>
        <i/>
        <sz val="10"/>
        <color theme="1"/>
        <rFont val="Arial"/>
        <family val="2"/>
        <charset val="238"/>
      </rPr>
      <t>Pravilnikom o tehničkim normativima za skloništa SL 55/83.</t>
    </r>
  </si>
  <si>
    <t>opis stavke</t>
  </si>
  <si>
    <t>jedinica mjere</t>
  </si>
  <si>
    <t>količina</t>
  </si>
  <si>
    <t>jedinična cijena</t>
  </si>
  <si>
    <t>ukupno</t>
  </si>
  <si>
    <t>Obrađeno u troškovniku arhitektonskog projekta 
STAMBENE ZGRADE.</t>
  </si>
  <si>
    <t>Obrađeno projektom i troškovnikom konstrukcije skloništa.</t>
  </si>
  <si>
    <t>4</t>
  </si>
  <si>
    <t>Zidarski radovi podrazumijevaju nabavu i dobavu sveg materijala, sve dokumentacije i izvođenje radova zidanja, žbukanja, izradu cementnih glazura i namaza, a.b.estriha, te zidarske pripomoći pri izvođenju ostalih radova.</t>
  </si>
  <si>
    <t xml:space="preserve">Radove izvoditi prema:
Tehničkim propisima za građevinske konstrukcije (NN 17/17, NN 75/20) i Tehnički propis o građevnim proizvodima (NN 35/18, 104/19) -  te normama koji primjenjeni propisi propisuju za materijale  koji se ugrađuju ili njima jednakovrijednim. </t>
  </si>
  <si>
    <t>Svi upotrebljeni materijali za izvedbu zidarskih radova moraju u pogledu kvalitete odgovarati HRN ili njima jednakovrijednim, a kako slijedi:
• Voda i pijesak - HRN EN 1008:2002; 
HRN EN 13139:2013 (ili jednakovrijedno: _________)
• Cement - HRN EN 197-1:2012
  (ili jednakovrijedno:__________________________)
• Vapno - HRN EN 459-1:2010
   (ili jednakovrijedno: _________________________)</t>
  </si>
  <si>
    <t>Zidarske radove izvesti u svemu prema troškovniku i projektu. Ako koja troškovnička stavka izvođaču nije jasna, mora prije davanja ponude pravovremeno tražiti objašnjenje naručitelja. Ukoliko se traži stavkom troškovnika, materijal koji nije obuhvaćen propisima koji se u stavci navode, onda se ima u svemu izvesti prema uputama proizvođača, te priložiti potrebne certifikate od za to ovlaštenih ustanova.</t>
  </si>
  <si>
    <t>Osnovni materijal kojim se izvodi zidanje (kamen, betonski, pjenobetonski i plinobetonski elementi, opeka) mora u pogledu kemijskog sastava, mehaničkih svojstava i dimenzija odgovarati važećim propisima i standardima.</t>
  </si>
  <si>
    <t xml:space="preserve">ZIDANJE   </t>
  </si>
  <si>
    <t xml:space="preserve">Zidanje se mora izvoditi sa pravilnim zidarskim vezovima, a preklop mora iznositi najmanje jednu četvrtinu dužine zidnog elementa, debljina ležajnica ne smije biti veća od 15 mm, a širina sudarnica ne smije biti manja od 10 mm niti veća od 15 mm. Ukoliko se zida za vrijeme zime, zidove treba zaštiti od niskih temperatura ( i mraza), a zidovi čije izvođenje nije završeno prije nastupanja nepovoljnih uvjeta (mraz) moraju se zaštiti na odgovarajući način. Svako naknadno bušenje ili izrada užljebina u zidovima zgrade koje nije bilo predviđeno projektom, može se izvoditi samo ako je prethodnim statičkim proračunom utvrđeno da nosivost zida poslije tog bušenja odnosno izrade žlijeba nije manja od propisane nosivosti. 
Poprečni i uzdužni zidovi moraju na spoju biti međusobno povezani zidarskim vezom, tj. za pregradne zidove treba ispustiti zupce u masivnom zidu na svaki drugi red za ½ opeke. Zidove uz vertikalni serklaž također zupčasto izvesti.
Pregradne zidove ankerima / sidrima povezati za nosivu konstrukciju. Ankere postavljati u minimalno svako treći red, te po minimalno 1 na svaki m1 spoja sa stropnom pločom. Vanjske fuge ostaviti prazne od 1,5 do 2 cm za vezu žbuke prigodom žbukanja zidova. Za vrijeme zidanja opeku kvasiti vodom, a pri zidanju cementnim mortom opeka mora ležati u vodi neposredno prije zidanja. Reške dimnjaka i ventilacionih kanala zagladiti. </t>
  </si>
  <si>
    <t>Mort za zidanje i žbukanje mora biti klase predviđene stavkom troškovnika.</t>
  </si>
  <si>
    <t>Kao vezivo, ako opisom nije drugačije predviđeno, upotrebljava se hidratizirano vapno ili portland cement, što ovisi o vrsti morta. Mort se u načelu priprema strojno, a izuzetno za manje količine, ručno. Sastav morta, omjer pojednih komponenti, konzistencija svježeg morta i mehanička svojstva stvrdnutog morta moraju odgovarati propisima i standardima.</t>
  </si>
  <si>
    <t>Pregradni zidani zidovi se ne smiju izvoditi prije izvedbe stropne konstrukcije da ne bi preuzeli vertikalno opterećenje. Kod zidanja montažnih dimnjaka i ventilacija postupati po uputama proizvođača (mort, izolacija, preklopi, unutrašnje i vanjske cijevi itd.). 
Posebno se ne naplaćuje ni zatvaranje (žbukanje šliceva, žljebova i sl.) iza položene instalacije. Zazidavanje (zatvaranje) žljebova u zidovima ostavljenih za instalacije kanalizacije i grijanja nakon izvođenja tih instalacija, opekom, rabicom ili na drugi način, ne plaća se posebno, ukoliko troškovnikom nije posebno propisano.</t>
  </si>
  <si>
    <t>Žbukati tek kada se zidovi osuše i slegne zgrada. Ne smije se žbukati kad postoji opasnost od smrzavanja ili ekstremno visokih temperatura 30° ili više. Zidovi moraju biti prije žbukanja čisti, a fuge udubljene  (1,5 cm od ravnine zida), da se žbuka može dobro primiti. Prije žbukanja dobro je da se zidovi navlaže, a osobito kod cementnog morta. Ukoliko na zidovima izbija salitra – treba ih četkom očistiti i oprati rastvorom solne kiseline u vodi (omjer 1:10) o trošku izvođača i dodavati sredstvo protiv izbijanja salitre u mort.</t>
  </si>
  <si>
    <t xml:space="preserve">Površine žbuke moraju biti glatke i ravne bez pukotina i visova. Uglovi i završeci oštri, ravni, okomiti, vodoravni ili u pravcu označenim u nacrtima. Sudar žbuka sa svim elementima ugrađenim u zid mora biti potpuno zatvoren i fino obrađen. Ploha žbuke ne smije prekoračiti ravnine ugrađenih okvira, doprozornika i dovratnika. </t>
  </si>
  <si>
    <t>Svi uglovi i sudari moraju biti oštro i ravno odrezani i pod ravnim kutem izvedeni, sa prethodnom postavom originalnih metalnih kutnih i zidnih plosnih i kutnih profila na svim rubovima zida, sredini zidova te doprozornicima i natprozornicima.</t>
  </si>
  <si>
    <t>Također na svim spojevima zidnih i stropnih površina te armiranobetonskih površina sa površinama nekog drugog materijala (gips ploče, blokovi) postaviti PVC mrežicu radi sprečavanja nastajanja pukotina.</t>
  </si>
  <si>
    <t>Kod tradicionalnih žbuka (glatka, špricana, grebana) izrada u slijedećim fazama:
1. čišćenje podloge
2. grubi špric
3. gruba žbuka
4. završni sloj (fina žbuka, fina + pjeskarenje, fina grebana)</t>
  </si>
  <si>
    <t>Prva faza žbukanja je bacanje grubog šprica (oštri pijesak, cement, voda) zidarskom žlicom, a ne tavom. Na grubi špric bacati grubu žbuku kojom se definira ravnina žbukane plohe. Fina žbuka služi samo za zaglađivanje površina. Treba je izraditi tako da površine budu posve ravne i glatke, a uglovi i bridovi, te spojevi zida i stropa izvedeni oštro ukoliko u troškovniku nije drugačije označeno.</t>
  </si>
  <si>
    <t>Rabiciranje žbuke izvodi se pomoću tekstilno staklene mrežice otporne na alkalije ili sitno pletene mreže od nehrđajućeg čelika.
Kod obrade fasade plemenitom žbukom, žbuka mora biti kvalitetna, tvorničke izvedbe u izabranoj boji i kvaliteti. Kod izrade fasadnih žbuka raditi prema uputstvu proizvođača.
Žbukanje zidova i stropova jednoslojnim strojnim žbukama izvoditi uz prethodni špric, a debljinu sloja izvoditi od 1-2 cm, ovisno o vrsti žbuke (gipsana ili produžna).</t>
  </si>
  <si>
    <t>Podloga za žbukanje: blok opeka / armirani beton.</t>
  </si>
  <si>
    <t>Stavka može obuhvatiti sljedeće radove (obim radova naveden je uz svaku pojedinu stavku):</t>
  </si>
  <si>
    <t>PE folija</t>
  </si>
  <si>
    <t>Tvornički pripremljen suhi materijal za izvedbu cementnih glazura, ručno i strojno obradiv. Može se primjeniti za sve uobičajene građevinske podloge kao plivajući, klizni ili vezani estrih.
Cementna glazura je zaglađena i armirana, a izvodi se od sitnofrakcijskog agregata, odnosno pijeska i običnog cementa ili brzoveznog / brzosušećeg cementa.</t>
  </si>
  <si>
    <t>Površina estriha se dijeli u polja površine a x b = 25m2. Odnos stranica a:b mora biti manji ili jednak odnosu 1:2,5 , a dužina veće stranice ne smije biti veća od 6m. 
Estrih se u normalnim uvjetima suši 3-4 tjedna, dok mu vlažnost ne padne ispod 3% . Potom se mogu izvoditi daljnji radovi. 
Obračun je po m2 estriha, ovisno o debljini.</t>
  </si>
  <si>
    <t>POD SKLONIŠTA</t>
  </si>
  <si>
    <t>AB estrih, d = 8 - 25 cm
P.E. folija x2, d = 0.20mm</t>
  </si>
  <si>
    <t>Jedinična cijena stavke obuhvaća: ugradnju gotove mješavine kvarcnog posipa, za ojačanje industrijskog poda na svježu, tek lagano prohodnu betonsku površinu ravnomjernim posipavanjem i strojnom ugradnjom. 
Otpornost na habanje ≤ 9 cm³/ 50 cm², sukladno 
EN 13813 (A6) (ili jednakovrijedno _______________). 
Potrošnja: cca 5 kg/m². 
Njegovanje i impregniranje zaglađene površine sa akrilnom emulzijom na bazi otapala, prskanjem ili valjkom radi zaštite od preranog i brzog sušenja odmah po mehaničkoj obradi betona (prohodnost). Strojno rezanje dilatacionih reški u predviđenom rasteru (max 5m x 5m, odnosno dijagonalne ne veće od 9mm) u debljini 1/3 debljine sloja. Oko slivnika i stupova treba napraviti kvadratni (ili poligonalni) izrez, kako bi se spriječilo širenje pukotina od naprezanja u uglavima elemenata prodora kroz estrih. Zapunjavanje dilatacionih reški sa poliuretanskim trajnoelastičnim brtvilom, uz prethodno premazivanje sa temeljnim epoksi-poliuretanskim premazom na bazi otapala. Stavka uključuje ugradnju podnih čel. valjanih vruče cinčanih "L" profila, debljine 5mm, dimenzije prema debljini poda po vidljivom rubu, vratima, završetku i dilataciji. 
Obračun po m2 obrađene površine.</t>
  </si>
  <si>
    <t>ANT 2 - POD SKLONIŠTA</t>
  </si>
  <si>
    <t>4.3.</t>
  </si>
  <si>
    <t>4.4.</t>
  </si>
  <si>
    <t>GRUBO I FINO ČIŠĆĆENJE</t>
  </si>
  <si>
    <t>4.5.</t>
  </si>
  <si>
    <t>ASFALTERSKI RADOVI</t>
  </si>
  <si>
    <t>RADOVI NA ZASTORU KOLNIKA - STROP SKLONIŠTA - AOT 1</t>
  </si>
  <si>
    <t>Stavka podrazumijeva kolnik u građevinskoj parceli, te dio na javnoj prometnici radi uklapanja.</t>
  </si>
  <si>
    <t xml:space="preserve">HABAJUĆI SLOJ 
asfaltbeton  AC11 surf Pmb 45/80-65 AG3 M3, debljine 4 cm u uvaljanom stanju. </t>
  </si>
  <si>
    <t>bitumenizirani nosivi sloja kolnika, asfaltbetonskom mješavinom AC 22 base (BIT 50/70) AG6 M2, debljine 6 cm u uvaljanom stanju.</t>
  </si>
  <si>
    <t>NOSIVI SLOJ KOLNIKA
AB ploča debljine: d = 40 cm
- obrađeno projektom konstrukcije skloništa.</t>
  </si>
  <si>
    <t>ASFALTERSKI RADOVI UKUPNO</t>
  </si>
  <si>
    <t>U području spojeva pregradnih zidova s bočnim građevnim elementima na profile je potrebno nanijeti brtveni kit ili PE brtvenu traku kako bi osigurali dobar spoj. Kod očekivanih progiba međukatnih konstrukcija od &gt; 10mm, potrebno je izvesti klizne spojeve. Ojačanja su uračunata u cijenu.</t>
  </si>
  <si>
    <r>
      <t>Za vlažne prostore - mali % vlage: upotrebljavaju se impregnirane ploče oznakom '</t>
    </r>
    <r>
      <rPr>
        <b/>
        <sz val="10"/>
        <rFont val="Arial"/>
        <family val="2"/>
        <charset val="238"/>
      </rPr>
      <t>H2</t>
    </r>
    <r>
      <rPr>
        <sz val="10"/>
        <rFont val="Arial"/>
        <family val="2"/>
        <charset val="238"/>
      </rPr>
      <t xml:space="preserve">' ili </t>
    </r>
    <r>
      <rPr>
        <b/>
        <sz val="10"/>
        <rFont val="Arial"/>
        <family val="2"/>
        <charset val="238"/>
      </rPr>
      <t>DFH 2IR</t>
    </r>
    <r>
      <rPr>
        <sz val="10"/>
        <rFont val="Arial"/>
        <family val="2"/>
        <charset val="238"/>
      </rPr>
      <t>.</t>
    </r>
  </si>
  <si>
    <t>Kod višeslojnih obloga pojedine ploče treba postaviti uz međusobni pomak prema shemi polaganja. Svaki sloj ploča treba pritisnuti za potkonstrukciju i zasebno pričvrstiti vijcima</t>
  </si>
  <si>
    <t>Pregradni zidovi od gips-kartonskih elemenata u pravilu su debljine 10 - 15 cm. Visine su od poda do AB ploče i samonosivi su. Oplata je u pravilu dvostruka (dvije ploče).</t>
  </si>
  <si>
    <t xml:space="preserve">U cijenu su uključeni svi posredni i neposredni troškovi za rad, materijal (uključivo termoizolaciju i parnu branu), transport, alat i građevinske strojeve, uzimanje uzoraka i troškovi ispitivanja. Izvođenje ove vrste radova podrazumijeva angažiranje stručne radne snage i pripadajućeg originalnog alata. </t>
  </si>
  <si>
    <r>
      <t xml:space="preserve">IZRADA UNUTARNJIH ZIDOVA GIPS - KARTONSKIM PLOČAMA
</t>
    </r>
    <r>
      <rPr>
        <sz val="10"/>
        <rFont val="Arial"/>
        <family val="2"/>
        <charset val="238"/>
      </rPr>
      <t>Nenosiv pregradni zid s jednostrukom metalnom potkonstrukcijom, obostrano dvoslojno polaganje</t>
    </r>
    <r>
      <rPr>
        <b/>
        <sz val="10"/>
        <rFont val="Arial"/>
        <family val="2"/>
        <charset val="238"/>
      </rPr>
      <t xml:space="preserve">
</t>
    </r>
    <r>
      <rPr>
        <sz val="10"/>
        <rFont val="Arial"/>
        <family val="2"/>
        <charset val="238"/>
      </rPr>
      <t>Oznaka u nacrtu:</t>
    </r>
    <r>
      <rPr>
        <b/>
        <sz val="10"/>
        <rFont val="Arial"/>
        <family val="2"/>
        <charset val="238"/>
      </rPr>
      <t xml:space="preserve"> ZNN 3</t>
    </r>
  </si>
  <si>
    <t>Obračun po m2 ožbukane površine. Otvori do 3,0m2 se ne odbijaju. Obrada otvora i ugradnja ojačanih pofila oko otvora i za ugradnju opreme, prema preporuci proizvođača, sadržana u jediničnoj cijeni.</t>
  </si>
  <si>
    <t>Izvodi se profilima od čeličnog pocinčanog lima (min debljine 0,60mm) na razmaku od maksimalno 62,50 cm.
Podkonstrukcija je širine 5 / 10 cm.</t>
  </si>
  <si>
    <t>Zapreminska težina ploče cca 40 kg/m3. 
Format ploča je 7500 x 625 x 50/100 mm (+/- 5%)</t>
  </si>
  <si>
    <t>ZNN 3</t>
  </si>
  <si>
    <t>d = 10/15cm (2,5+5/10+2,5cm)
razmak podkonstrukcije 62,5cm
h= 250cm, l=9,20m'</t>
  </si>
  <si>
    <t>7</t>
  </si>
  <si>
    <t>Izolaterski radovi podrazumijevaju izradu hidroizolacija, parnih brana, termoizolacija podova i vanjskih zidova i unutarnjih zidova, zvučnih izolacija i postavu raznih folija.</t>
  </si>
  <si>
    <t>Materijal za izolaciju treba odgovarati postojećim propisima i standardima HRN za izolaterske radove.</t>
  </si>
  <si>
    <t xml:space="preserve">HIDROIZOLACIJE </t>
  </si>
  <si>
    <t>HRN EN 13984:2013 
(ili jednakovrijedno __________________________) 
- Savitljive hidroizolacijske trake - Plastične i elastomerne; paronepropusne trake - Definicije i značajke 
- HRN EN 13984:2013
(ili jednakovrijedno __________________________)
- HRN EN 13859-1:2014 
(ili jednakovrijedno __________________________) 
- Savitljive hidroizolacijske trake - Definicije i značajke podložnih traka - 1. dio: Podložne trake za prijeklopno pokrivanje krovova 
- HRN EN 13859-1:2014
(ili jednakovrijedno ________________________).
- HRN EN 13956:2012 
(ili jednakovrijedno _________________________) 
- Savitljive hidroizolacijske trake - Plastične i elastomerne hidroizolacijske trake za krovove - Definicije i značajke 
- EN 13956:2005 
(ili jednakovrijedno _________________________).</t>
  </si>
  <si>
    <t>Hidroizolacije na bazi bitumena
Izvode se kao premazi i kao premazi s izolacionim trakama (ljepenkama) koje mogu biti s:
· uloškom od sirovog krovnog papira
· uloškom od aluminijske ili bakrene folije
· uloškom od staklenog voala ili staklene tkanine
Izolacionu ljepenku i ostale vrste izolacionih traka i ploča treba rezati ravno i pravokutno. Zaderani i krpani komadi isključeni su od ugradbe. Svi preklopi moraju biti najmanje 10 cm široki i lijepljeni bitumenom – hladnom bitumenskom masom ili vrućom bitumenskom izolacionom masom. Kod polaganja dvaju ili više slojeva izolacionih traka ili ploča preklopi ne smiju ležati jedan na drugom, već moraju biti pomaknuti.</t>
  </si>
  <si>
    <t>Kod hidroizolacije zidova ljepenka treba na svaku stranu zida imati prehvat širine od 10 cm, koji treba spojiti s horizontalnom izolacijom podova. Površine na koje se polaže izolacija, trebaju biti posve ravne, suhe, očišćene od prašine i nečistoće i dovoljno glatke, da izolacija dobro prijanja. Izolacija treba prilegnuti na površinu ravno, bez nabora i mjehura.
Posebnu pažnju obratiti na zaštitu od požara kod rada s vrućim bitumenskim premazima i varenim ljepenkama zbog velike zapaljivosti bitumena. U slučaju požara gasiti pijeskom ili pjenom. Gašenje vodom je opasno zbog prskanja vrelog bitumena.</t>
  </si>
  <si>
    <t>Premazi – bitumenske emulzije upotrebljavaju se za izradu prethodnih hidroizolacijskih namaza tekuće konzistencije te za izradu osnovnih tekućih i tjestastih hidroizolacijskih slojeva. Premazi se sastoje od bitumena, mineralnog punila, emulgatora i vode. Mogu se dodavati i polimerna vlakna Bitumenske hidroizolacije se ugrađuju na suhu, nemasnu i podlogu očišćenu od prašine.</t>
  </si>
  <si>
    <t xml:space="preserve">TPO </t>
  </si>
  <si>
    <t>Izvode se u trakama, prema uputama odabranog proizvođača: slobodno položene ili mehanički učvršćene s preklopima i zavarivanjem vrućim zrakom. Površina na koju se polažu izolacione trake mora biti očišćena i suha, maksimalne vlage koju propisuje proizvođač. Preklopi lijepljeni (elastomeri) ili zavareni vrućim zrakom (termoplasti). Svi detalji spojeva, preklopa, fazonski komadi, mehanička spojna sredstva, … moraju se ugrađivati uz striktno pridržavanje uputa odabranog proizvođača.</t>
  </si>
  <si>
    <t xml:space="preserve">POLIETILENSKA FOLIJA (PE) </t>
  </si>
  <si>
    <t>Polietilenska folija postavlja se kao zaštitni ili dilatacioni sloj u sastavu višeslojnih konstrukcija podova i ravnih krovova. Trake folije polažu se s preklopom od 10cm. Preklopi se lijepe samoljepljivom plastičnom trakom širine 5cm. Folija se uz zidove podiže do kote gotova poda. 
Debljina folije: d = 0,15mm - 0,20mm.</t>
  </si>
  <si>
    <t xml:space="preserve">PARNA BRANA </t>
  </si>
  <si>
    <t xml:space="preserve">Parna brana je visoko vrijedni izolacioni sloj koji se postavlja ispod toplinske izolacije. Prije polaganja parne brane moraju biti izvedena podnožja u uglovima (holkeri), tako da se izolacijske trake ne lome pod pravim kutem, nego se koso postavljaju na vertikalnu plohu. Podloga mora biti očišćena od prašine, mora biti ravna i potpuno suha. Max. vlažnost podloge je 3% mase. Parna brana se može polagati samo po suhom vremenu. Za parnu branu primjenjuju se bitumenske folije sa ulošcima metalne (aluminijske) folije, a kao sredstvo za ljepljenje je bitumen i bitumenska masa u vrućem stanju. </t>
  </si>
  <si>
    <t>- mineralna vuna (MW) 
HRN EN 14303:2016
( ili jednakovrijedno __________________________).
- ekspandirani polistiren (EPS) 
HRN EN 14309:2016
(ili jednakovrijedno ___________________________).
- ekstrudirani polistiren (XPS) 
HRN EN 14307:2016
( ili jednakovrijedno __________________________).
- tvrda poliuretanska pjena (PUR) 
HRN EN 14308:2016
( ili jednakovrijedno __________________________).
- polietilenska pjena (PEF) 
HRN EN 14313:2016
( ili jednakovrijedno __________________________).
- proizvodi od pjenastog stakla (CG) 
HRN EN 14305:2016
( ili jednakovrijedno __________________________).
- proizvodi od kalcijevog silikata (CS) 
HRN EN 14306:2016
( ili jednakovrijedno __________________________).
- proizvodi od savitljive elastomerne pjene (FEF) 
HRN EN 14304:2016
( ili jednakovrijedno __________________________).</t>
  </si>
  <si>
    <t xml:space="preserve">Jedinična cijena uključuje:
tehnološku razradu svih detalja, pripremu podloga, čišćenje zaprljanih podloga vodom pod tlakom i sredstvima / impregnacijama koja propisuje proizvođač hidroizolacije, dobavu i ugradnju svih opisanih materijala i elemenata, postavu i skidanje radne skele sa zaštitnom tkaninom, sve posredne i neposredne troškove za rad, materijal, alat i građevinske strojeve, sve transporte, odvoz i zbrinjavanje smeća, završno čišćenje prije primopredaje radova, nadoknadu eventualne štete nastale iz nepažnje na svojim ili tuđim radovima, poduzimanje mjera zaštite na radu, zidarske pripomoći kod ugradbe (rad i materijal)                                        </t>
  </si>
  <si>
    <t>HIDROIZOLACIJA - KONSTRUKCIJE U TLU</t>
  </si>
  <si>
    <t>HORIZONTALNA HIDROIZOLACIJA</t>
  </si>
  <si>
    <r>
      <rPr>
        <b/>
        <sz val="10"/>
        <rFont val="Arial"/>
        <family val="2"/>
        <charset val="238"/>
      </rPr>
      <t>HIDROIZOLACIJA ISPOD TEMELJA
O</t>
    </r>
    <r>
      <rPr>
        <sz val="10"/>
        <color theme="1"/>
        <rFont val="Arial"/>
        <family val="2"/>
        <charset val="238"/>
      </rPr>
      <t>bračun po m² površine</t>
    </r>
  </si>
  <si>
    <r>
      <rPr>
        <b/>
        <sz val="10"/>
        <rFont val="Arial"/>
        <family val="2"/>
        <charset val="238"/>
      </rPr>
      <t xml:space="preserve">HIDROIZOLACIJA NA TEMELJU
</t>
    </r>
    <r>
      <rPr>
        <sz val="10"/>
        <rFont val="Arial"/>
        <family val="2"/>
        <charset val="238"/>
      </rPr>
      <t>širine 40cm
Obračun po m² površine</t>
    </r>
  </si>
  <si>
    <t>VERTIKALNA HIDROIZOLACIJA</t>
  </si>
  <si>
    <t>debljina temelja: d = 60cm, l = 95.40m
Obračun po m² površine.</t>
  </si>
  <si>
    <r>
      <rPr>
        <b/>
        <sz val="10"/>
        <rFont val="Arial"/>
        <family val="2"/>
        <charset val="238"/>
      </rPr>
      <t>HIDROIZOLACIJA UKOPANOG ZIDA</t>
    </r>
    <r>
      <rPr>
        <sz val="10"/>
        <rFont val="Arial"/>
        <family val="2"/>
        <charset val="238"/>
      </rPr>
      <t>, 
h = 340cm, l = 91.50m
Obračun po m² površine</t>
    </r>
  </si>
  <si>
    <t>TERMOIZOLACIJA - KONSTRUKCIJE U TLU</t>
  </si>
  <si>
    <t>Pri izolaciji zidnih konstrukcija u zemlji upotrebljavaju se ploče od ekstrudiranog polistirena, XPS. Vanjska toplinska izolacija zidova podzemnih građevinskih površina smještena na vanjskoj strani hidroizolacije jednoslojno postavljena.</t>
  </si>
  <si>
    <t>Ploče termoizolacije prilijepiti na zid nanošenjem ljepila po rubovima i na tri točke u sredini ploče ili pak ljepilom premazati cijelu površinu ploče sukladno s uputama proizvođača ljepila. 
Upotrebljavaju se ljepila koja ne sadrže otapala ili bitumenski premaz. Osim toga, zbog svoje čvrstoće, ploče termoizolacije moraju biti postavljene i na podnožju (coklu) zgrade.</t>
  </si>
  <si>
    <t xml:space="preserve">Ploče od ekstrudiranog polistirena potrebno je na području podnožja zgrade (cokla) i iznad zemljane površine zaštititi od mehaničkih oštećenja i UV-zračenja.
Odgovarajućim mjerama potrebno je osigurati da iza sloja toplinske izolacije ne prodre voda (npr. voda koja teče po površini zemlje ili oborinske vode koje se skupljaju na fasadi). Na podnožju zgrade potrebno je pravilno izvesti spojeve s hidro-izolacijom. Spoj izolacije konstrukcije u zemlji i na zidu iznad zemljane površine potrebno je izvesti tako da ne dođe do pojava neželjenih toplinskih mostova. 
Zasipanje iskopa se izvodi u slojevima pješčano – šljunčane mješavine pri čemu je potrebno paziti da ne dođe do oštećenja ploča toplinske izolacije. </t>
  </si>
  <si>
    <r>
      <rPr>
        <b/>
        <sz val="10"/>
        <rFont val="Arial"/>
        <family val="2"/>
        <charset val="238"/>
      </rPr>
      <t xml:space="preserve">XPS </t>
    </r>
    <r>
      <rPr>
        <sz val="10"/>
        <rFont val="Arial"/>
        <family val="2"/>
        <charset val="238"/>
      </rPr>
      <t xml:space="preserve">
termoizolacija ukopanog zida skloništa - ZNT 1
debljina izolacije: d = 5cm
Obračun po m²</t>
    </r>
  </si>
  <si>
    <t>7.3.</t>
  </si>
  <si>
    <t>ZAŠTITA VERTIKALNE IZOLACIJE</t>
  </si>
  <si>
    <t xml:space="preserve">Čepasta drenažna folija na vertikalnoj površini kao zaštita vertikalne hidroizolacije na bazi polietilena velike gustoće (HDPE), slijedećih karakteristika: debljina: 7.5 mm, tlačna čvrstoća: min. 200 kN/m2 (ISO 826 ili jednakovrijedno ____________), vlačna čvrstoća, uzdužno/poprečno: min. 250/250 N/5cm (ISO 10319 ili jednakovrijedno _________), izduženje pri slomu, uzdužno/poprečno: min 20/25 % (ISO 10319 ili jednakovrijedno ____________). Folija se pričvršćuje na podlogu bez bušenja hidroizolacijske membrane. Radove izvesti prema uputama proizvođača materijala. </t>
  </si>
  <si>
    <r>
      <rPr>
        <b/>
        <sz val="10"/>
        <color theme="1"/>
        <rFont val="Arial"/>
        <family val="2"/>
        <charset val="238"/>
      </rPr>
      <t>ZNT 1</t>
    </r>
    <r>
      <rPr>
        <sz val="10"/>
        <color theme="1"/>
        <rFont val="Arial"/>
        <family val="2"/>
        <charset val="238"/>
      </rPr>
      <t xml:space="preserve"> - obračun po m² površine</t>
    </r>
  </si>
  <si>
    <t>7.4.</t>
  </si>
  <si>
    <t>BITUMENSKA HIDROIZOLACIJA KROVNE KONSTRUKCIJE - V4 x2</t>
  </si>
  <si>
    <r>
      <rPr>
        <b/>
        <sz val="10"/>
        <color theme="1"/>
        <rFont val="Arial"/>
        <family val="2"/>
        <charset val="238"/>
      </rPr>
      <t>AOT 1</t>
    </r>
    <r>
      <rPr>
        <sz val="10"/>
        <color theme="1"/>
        <rFont val="Arial"/>
        <family val="2"/>
        <charset val="238"/>
      </rPr>
      <t xml:space="preserve"> - obračun po m² površine</t>
    </r>
  </si>
  <si>
    <r>
      <rPr>
        <b/>
        <sz val="10"/>
        <color theme="1"/>
        <rFont val="Arial"/>
        <family val="2"/>
        <charset val="238"/>
      </rPr>
      <t>HOLKER</t>
    </r>
    <r>
      <rPr>
        <sz val="10"/>
        <color theme="1"/>
        <rFont val="Arial"/>
        <family val="2"/>
        <charset val="238"/>
      </rPr>
      <t xml:space="preserve">
Uz pročelje zgrade visine 35cm, uz kraj parkirnih površina visine 10cm
Obračun po m'</t>
    </r>
  </si>
  <si>
    <t>8</t>
  </si>
  <si>
    <t xml:space="preserve">Bravarski radovi podrazumijevaju izradu nosivih čeličnih konstrukcija, izradu vrata i prozora, zaštitnih rešetki i žaluzina, izradu ograda i rukohvata, fasadnih obloga te izradu ostalih bravarskih elemenata. Osnovni materijali za izradu bravarskih radova su čelični limovi, čelične šipke, čelične mreže, čelične cijevi bez šava i čelični profili. 
Čelik mora odgovarati standardu 
HRN EN10025, S275, (ili jednakovrijedno __________________). </t>
  </si>
  <si>
    <t xml:space="preserve">Presjeci čeličnih profila i debljine limova moraju odgovarati zadanim opterećenjima i biti u skladu s detaljima priloženim u projektu. Profili i limovi spajaju se u konstruktivne cjeline spojnim sredstvima (zakovice, vijci i varovi) koja moraju odgovarati važećim standardima, moraju biti pravilno dimenzionirana i ugrađena. Vrsta spoja određena je opisom stavke. </t>
  </si>
  <si>
    <t>Svi dijelovi konstrukcije i elementi pojedinih pozicija moraju biti proračunati i dimenzionirani tako da sigurno prihvaćaju opterećenja posebice vjetra (tlak, usis) i drugih atmosferskih utjecaja i funkcija elemenata. Sile koje se javljaju u elementima i fasadi u cjelini moraju se prenijeti na osnovnu konstrukciju građevine, dok se deformacije i opterećenja (sile) sa građevine ne smiju nikako prenositi na fasadu i/ili njene elemente. Na spoju raznih kvaliteta lima izvesti potrebno galvansko razdvajanje. Izvedba razdvajanja mora biti otporno i postojano na atmosferilije i smrzavanje.</t>
  </si>
  <si>
    <t>Troškovi ispitivanja i certifikati moraju biti uključeni u cijenu stavke troškovnika. Ukoliko pojedinom stavkom nije drugačije propisano, ugradba će se izvesti rudarskim vijcima na dozvoljenom broju mjesta, te će se smatrati da je sav materijal i rad za ovakav način ugradbe uračunat u jediničnu cijenu.</t>
  </si>
  <si>
    <t xml:space="preserve">Izrađeni elementi se prije ugradnje pocinčavaju ili zaštićuju temeljnim antikorozivnim premazom. Prije ličenja ili pocinčavanja s bravarije mora biti uklonjena rđa, a potom površinu treba odmastiti. Čim se površina osuši, istu treba zaštititi pocinčavanjem ili dati dvokratni premaz temeljnom bojom. Boja je na bazi alkidnih smola sa pigmentom od olovnog oksida ili željeznog oksida i cinka. Boju treba odgovarajućim sintetskim razrjeđivačem razrijediti na viskozitet pogodan za nanošenje. Ova zaštita se obračunava u bravarskim radovima. Eventualni drugi vid antikorozivne zaštite posebno je opisan u stavci. </t>
  </si>
  <si>
    <r>
      <t xml:space="preserve">Zahtjev  antikorozivne zaštite sukladno normi:
</t>
    </r>
    <r>
      <rPr>
        <i/>
        <sz val="10"/>
        <rFont val="Arial"/>
        <family val="2"/>
        <charset val="238"/>
      </rPr>
      <t>ISO 12944:2018 ili jednakovrijedno _____________.</t>
    </r>
    <r>
      <rPr>
        <sz val="10"/>
        <rFont val="Arial"/>
        <family val="2"/>
        <charset val="238"/>
      </rPr>
      <t xml:space="preserve">
trajanje sustava: Visoka trajnost (H) 15-25 godina.
kategorija agresivnosti sredine - vani: C4
kategorija agresivnosti sredine - unutra: C3</t>
    </r>
  </si>
  <si>
    <t xml:space="preserve">Elementi za vanjsku ugradnju se pocinčavaju i liče, a unutarnji elementi samo liče. Pregrade u ostavama se pocinčavaju.
Finalna površinska zaštita je sadržana u cijeni bravarskih radova, ukoliko nije drukčije naglašeno stavkom. Površinska obrada elemenata od nehrđajućeg čelika je poliranje ili četkanje (opis u stavci), te se obračunava u stavci. </t>
  </si>
  <si>
    <t xml:space="preserve">Izvođač se obavezuje da na licu mjesta provjeri osnovne mjere te izradi radioničke nacrte za ključne detalje. Detalji moraju slijediti odrednice date kroz principijelne detalje priložene u projektu. Izrada bravarije može početi tek kad projektant objekta potpiše radioničke nacrte. </t>
  </si>
  <si>
    <t>Sve metalne elemente bravarije treba uzemljiti.</t>
  </si>
  <si>
    <t>Svi detalji vatrootpornih vrata ili stijena prema odabranom proizvođaču, i uz pregled radioničkih nacrta od strane projektanta.</t>
  </si>
  <si>
    <t>U cijenu obračunato sve u kompletu, do pune gotovosti vrata. Okov, brave i kvake odobrava projektant.</t>
  </si>
  <si>
    <t>Zaštita od korozije i završni premazi sastavni su dijelovi svake bravarske stavke i moraju se uključiti u jediničnu cijenu.</t>
  </si>
  <si>
    <t>Prije izrade bravarskih stavki sve mjere ugradbe i broj komada obavezno je kontrolirati na objektu.</t>
  </si>
  <si>
    <t xml:space="preserve">Čelični dijelovi sredstava za zatvaranje trebaju biti zaštićeni od korozije sredstvima za premazivanje ili metalizacijom. Sredstva za premazivanje radi zaštite od korozije, nakon sušenja na zraku, ne smiju oslobađati otrovne tvari pri temperaturi od 363  K. </t>
  </si>
  <si>
    <t>Ulazna vrata skloništa trebaju biti konstruirana tako da sredstvo za zatvaranje ulaznog otvora bude zaštićeno od neposrednog mehaničkog, toplinskog i radijacijskog djelovanja oružja.</t>
  </si>
  <si>
    <t>Sredstva za zatvaranje moraju biti konstruirana tako da se okviri i krila pri montaži i u eksploataciji ne deformiraju. Mehanizam za zatvaranje i otvaranje mora biti osiguran da se ne može sam otvoriti. Smjerovi pokretanja mehanizma za otvaranje / zatvaranje trebaju biti vidljivo obilježeni.</t>
  </si>
  <si>
    <t>Napomena: 
U stavku je uključeno opšav kontakta dovratnika odnosno doprozornika stavke sa zidarskim otvorom, u vidu L profila dimenzije 30x30x3 mm odnosno prilagođene detalju ugradnje.</t>
  </si>
  <si>
    <t>GARAŽNA VRATA - OTVOR U VRIJEME MIRA</t>
  </si>
  <si>
    <t>GARAŽNA VRATA</t>
  </si>
  <si>
    <t>Tipska pokretna pregrada od čeličnih profila s ispunom od arm. betona, s vodilicom u podu za zaokretanje pregrade –vrata.
Debljina pregrade d = 40cm</t>
  </si>
  <si>
    <r>
      <t xml:space="preserve">Stavka </t>
    </r>
    <r>
      <rPr>
        <b/>
        <sz val="10"/>
        <color theme="1"/>
        <rFont val="Arial"/>
        <family val="2"/>
        <charset val="238"/>
      </rPr>
      <t>BR S1</t>
    </r>
    <r>
      <rPr>
        <sz val="10"/>
        <color theme="1"/>
        <rFont val="Arial"/>
        <family val="2"/>
        <charset val="238"/>
      </rPr>
      <t xml:space="preserve">
dim. 500 x 220 cm</t>
    </r>
  </si>
  <si>
    <t>DEMONTAŽNA RAMPA</t>
  </si>
  <si>
    <t>pocinčani, rebrasti lim, debljine 5mm
visinska razlika: 10cm</t>
  </si>
  <si>
    <r>
      <t xml:space="preserve">Stavka </t>
    </r>
    <r>
      <rPr>
        <b/>
        <sz val="10"/>
        <color theme="1"/>
        <rFont val="Arial"/>
        <family val="2"/>
        <charset val="238"/>
      </rPr>
      <t>BR S1a</t>
    </r>
    <r>
      <rPr>
        <sz val="10"/>
        <color theme="1"/>
        <rFont val="Arial"/>
        <family val="2"/>
        <charset val="238"/>
      </rPr>
      <t xml:space="preserve">
dim. 500 x 70 x 10cm, debljina 5mm</t>
    </r>
  </si>
  <si>
    <t>VRATA POSEBNE IZRADE ZA SKLONIŠTA</t>
  </si>
  <si>
    <r>
      <rPr>
        <b/>
        <sz val="10"/>
        <rFont val="Arial"/>
        <family val="2"/>
        <charset val="238"/>
      </rPr>
      <t>VANJSKA VRATA USTAVE ULAZA</t>
    </r>
    <r>
      <rPr>
        <sz val="10"/>
        <rFont val="Arial"/>
        <family val="2"/>
        <charset val="238"/>
      </rPr>
      <t xml:space="preserve">
VPH - 3
jednokrilna vanjska zaokretna vrata ustave ulaza otporna na pritisak i hermetičko zatvaranje, otvaraju se prema van - suprotno od smjera udara.</t>
    </r>
  </si>
  <si>
    <r>
      <t xml:space="preserve">Stavka </t>
    </r>
    <r>
      <rPr>
        <b/>
        <sz val="10"/>
        <color theme="1"/>
        <rFont val="Arial"/>
        <family val="2"/>
        <charset val="238"/>
      </rPr>
      <t>BR S2,1</t>
    </r>
    <r>
      <rPr>
        <sz val="10"/>
        <color theme="1"/>
        <rFont val="Arial"/>
        <family val="2"/>
        <charset val="238"/>
      </rPr>
      <t xml:space="preserve">
dim. 100 x 200 cm</t>
    </r>
  </si>
  <si>
    <r>
      <rPr>
        <b/>
        <sz val="10"/>
        <rFont val="Arial"/>
        <family val="2"/>
        <charset val="238"/>
      </rPr>
      <t xml:space="preserve">VANJSKA VRATA USTAVE IZLAZA 
</t>
    </r>
    <r>
      <rPr>
        <sz val="10"/>
        <rFont val="Arial"/>
        <family val="2"/>
        <charset val="238"/>
      </rPr>
      <t>VPH - 3
jednokrilna vanjska zaokretna vrata ustave izlaza otporna na pritisak i hermetičko zatvaranje, otvaraju se prema van - na stubište, suprotno od smjera udara.</t>
    </r>
  </si>
  <si>
    <r>
      <t xml:space="preserve">Stavka </t>
    </r>
    <r>
      <rPr>
        <b/>
        <sz val="10"/>
        <color theme="1"/>
        <rFont val="Arial"/>
        <family val="2"/>
        <charset val="238"/>
      </rPr>
      <t>BR S2,2</t>
    </r>
    <r>
      <rPr>
        <sz val="10"/>
        <color theme="1"/>
        <rFont val="Arial"/>
        <family val="2"/>
        <charset val="238"/>
      </rPr>
      <t xml:space="preserve">
dim. 62.50 x 180 cm</t>
    </r>
  </si>
  <si>
    <r>
      <rPr>
        <b/>
        <sz val="10"/>
        <color theme="1"/>
        <rFont val="Arial"/>
        <family val="2"/>
        <charset val="238"/>
      </rPr>
      <t xml:space="preserve">UNUTARNJA VRATA 
</t>
    </r>
    <r>
      <rPr>
        <sz val="10"/>
        <color theme="1"/>
        <rFont val="Arial"/>
        <family val="2"/>
        <charset val="238"/>
      </rPr>
      <t>VH
jednokrilna, unutrašnja, zaokretna vrata sa hermetičkim zatvaranjem, otporna na temperaturni val.</t>
    </r>
  </si>
  <si>
    <r>
      <t xml:space="preserve">Stavka </t>
    </r>
    <r>
      <rPr>
        <b/>
        <sz val="10"/>
        <color theme="1"/>
        <rFont val="Arial"/>
        <family val="2"/>
        <charset val="238"/>
      </rPr>
      <t>BR S2,3</t>
    </r>
    <r>
      <rPr>
        <sz val="10"/>
        <color theme="1"/>
        <rFont val="Arial"/>
        <family val="2"/>
        <charset val="238"/>
      </rPr>
      <t xml:space="preserve">
dim. 100 x 200 cm</t>
    </r>
  </si>
  <si>
    <r>
      <t xml:space="preserve">Stavka </t>
    </r>
    <r>
      <rPr>
        <b/>
        <sz val="10"/>
        <color theme="1"/>
        <rFont val="Arial"/>
        <family val="2"/>
        <charset val="238"/>
      </rPr>
      <t>BR S2,4</t>
    </r>
    <r>
      <rPr>
        <sz val="10"/>
        <color theme="1"/>
        <rFont val="Arial"/>
        <family val="2"/>
        <charset val="238"/>
      </rPr>
      <t xml:space="preserve">
dim. 62.50 x 180 cm</t>
    </r>
  </si>
  <si>
    <r>
      <rPr>
        <b/>
        <sz val="10"/>
        <color theme="1"/>
        <rFont val="Arial"/>
        <family val="2"/>
        <charset val="238"/>
      </rPr>
      <t xml:space="preserve">UNUTARNJA VRATA 
</t>
    </r>
    <r>
      <rPr>
        <sz val="10"/>
        <color theme="1"/>
        <rFont val="Arial"/>
        <family val="2"/>
        <charset val="238"/>
      </rPr>
      <t>VH
jednokrilna, unutrašnja, zaokretna vrata sa hermetičkim zatvaranjem</t>
    </r>
  </si>
  <si>
    <r>
      <t xml:space="preserve">Stavka </t>
    </r>
    <r>
      <rPr>
        <b/>
        <sz val="10"/>
        <color theme="1"/>
        <rFont val="Arial"/>
        <family val="2"/>
        <charset val="238"/>
      </rPr>
      <t>BR S2,5</t>
    </r>
    <r>
      <rPr>
        <sz val="10"/>
        <color theme="1"/>
        <rFont val="Arial"/>
        <family val="2"/>
        <charset val="238"/>
      </rPr>
      <t xml:space="preserve">
dim. 62.50 x 180 cm</t>
    </r>
  </si>
  <si>
    <r>
      <rPr>
        <b/>
        <sz val="10"/>
        <color theme="1"/>
        <rFont val="Arial"/>
        <family val="2"/>
        <charset val="238"/>
      </rPr>
      <t>UNUTARNJA VRATA USTAVE REZERVNOG IZLAZA</t>
    </r>
    <r>
      <rPr>
        <sz val="10"/>
        <color theme="1"/>
        <rFont val="Arial"/>
        <family val="2"/>
        <charset val="238"/>
      </rPr>
      <t xml:space="preserve">
VO
jednokrilna, unutrašnja, obična, zaokretna vrata s cilindar bravom. 
U dnu vrata ventilacijska rešetka, dim. 40 x 60cm.</t>
    </r>
  </si>
  <si>
    <r>
      <t xml:space="preserve">Stavka </t>
    </r>
    <r>
      <rPr>
        <b/>
        <sz val="10"/>
        <color theme="1"/>
        <rFont val="Arial"/>
        <family val="2"/>
        <charset val="238"/>
      </rPr>
      <t>BR S2,6</t>
    </r>
    <r>
      <rPr>
        <sz val="10"/>
        <color theme="1"/>
        <rFont val="Arial"/>
        <family val="2"/>
        <charset val="238"/>
      </rPr>
      <t xml:space="preserve">
dim. 62.50 x 185 cm</t>
    </r>
  </si>
  <si>
    <t>PROZOR POSEBNE IZRADE ZA SKLONIŠTA</t>
  </si>
  <si>
    <t>Jednokrilni hermetički kapak neposredno izložen mehaničkom, toplinskom, radijacijskom i kemijskom djelovanju otporan na udar, natpritisak udarnog vala eksplozije, nepropusan za prodiranje kontaminiranog materijala. Hermetičko zatvaranje.</t>
  </si>
  <si>
    <r>
      <t xml:space="preserve">Stavka </t>
    </r>
    <r>
      <rPr>
        <b/>
        <sz val="10"/>
        <color theme="1"/>
        <rFont val="Arial"/>
        <family val="2"/>
        <charset val="238"/>
      </rPr>
      <t>BR S3,1</t>
    </r>
    <r>
      <rPr>
        <sz val="10"/>
        <color theme="1"/>
        <rFont val="Arial"/>
        <family val="2"/>
        <charset val="238"/>
      </rPr>
      <t xml:space="preserve">
dim. 60 x 60 cm</t>
    </r>
  </si>
  <si>
    <t>8.4.</t>
  </si>
  <si>
    <t>PROTUKIŠNA ŽALUZINA NA VENTILACIJSKIM OTVORIMA</t>
  </si>
  <si>
    <t>Prilikom ratnog stanja, montažne žaluzine se demontiraju te se betonski krov postavljen na četiri čelične cijevi (sukladno nacrtima), spusti na otvor.</t>
  </si>
  <si>
    <r>
      <t xml:space="preserve">Stavka </t>
    </r>
    <r>
      <rPr>
        <b/>
        <sz val="10"/>
        <color theme="1"/>
        <rFont val="Arial"/>
        <family val="2"/>
        <charset val="238"/>
      </rPr>
      <t>BR S3,2</t>
    </r>
    <r>
      <rPr>
        <sz val="10"/>
        <color theme="1"/>
        <rFont val="Arial"/>
        <family val="2"/>
        <charset val="238"/>
      </rPr>
      <t xml:space="preserve">
dim. 115 x 60 cm</t>
    </r>
  </si>
  <si>
    <t>8.5.</t>
  </si>
  <si>
    <t>SANITARNE KABINE</t>
  </si>
  <si>
    <t>Kabina je izrađena od HPL Compacta debljine 13 mm a spoj vrata i dovratnika je izveden sa Z preklopom i silikonskim suzama kako bi se anulirala buka pri zatvaranju. Okov i vijci su od inoxa a učvršćenje je izrađeno od eloksiranih aluminijskih profilima. 
Nogice su od inoxa s mogućnošću regulacije visine i ukrasnim rozetama za skrivanje regulacijskog vijka.
Kabina je opremljena sa tri spojnice i zasunom s indikatorom zauzetosti, a postoji i mogućnošću sigurnosnog otvaranja izvana.</t>
  </si>
  <si>
    <t>Obračun po broju kabina.</t>
  </si>
  <si>
    <t>9</t>
  </si>
  <si>
    <t>Obrada otvora je sadržana u jediničnoj cijeni.</t>
  </si>
  <si>
    <t>Podloga za ličenje:</t>
  </si>
  <si>
    <t>AB zid</t>
  </si>
  <si>
    <t>GKP zid</t>
  </si>
  <si>
    <t>Napomena: 
Sukladno pravilniku dopušteno je izravnavanje neravnina materijalom otpornim na vodu, bijeljenje vapnom i bojenje antifungicidnim sredstvima otpornim na vlagu.</t>
  </si>
  <si>
    <t>9.1.</t>
  </si>
  <si>
    <t>GLETANJE I LIČENJE UNUTRAŠNJIH ZIDOVA I STROPOVA PERIVOM BOJOM 
KLASA PERIVOSTI 2</t>
  </si>
  <si>
    <t>Podloga: gips kartonske ploče</t>
  </si>
  <si>
    <t xml:space="preserve">Podloga: armirani beton </t>
  </si>
  <si>
    <t>ZID</t>
  </si>
  <si>
    <t>STROP</t>
  </si>
  <si>
    <t>10</t>
  </si>
  <si>
    <t>POKRETNA OPREMA</t>
  </si>
  <si>
    <t>OPREMA U RATNO VRIJEME</t>
  </si>
  <si>
    <t>Sva oprema, ovisno o materijalu od kojeg je izrađena, treba biti zaštićena od korozije i truljenja i izrađena tako da udovolji uvjetima eksploatacije u vlažnmim prostorijama te da bude otporna na potres i da se ne može prevrnuti i nekonstrolirano pomicati.</t>
  </si>
  <si>
    <t>Oprema za sklonište treba biti pogodna za montažu, demontažu i skladištenje na što manjem prostoru. Gabariti opreme trebaju biti takvi da se oprema može nesmetano unositi i iznositi kroz otvore za kretanje u skloništu.</t>
  </si>
  <si>
    <t>10.3.</t>
  </si>
  <si>
    <t>DVOSTRANA KLUPA 4+4 SJEDALA</t>
  </si>
  <si>
    <t>10.4.</t>
  </si>
  <si>
    <t>DVOSTRANA KLUPA 3+3 SJEDALA</t>
  </si>
  <si>
    <t>10.5.</t>
  </si>
  <si>
    <t>JEDNOSTRANA KLUPA 4 SJEDALA</t>
  </si>
  <si>
    <t>10.6.</t>
  </si>
  <si>
    <t>JEDNOSTRANA KLUPA 3 SJEDALA</t>
  </si>
  <si>
    <t>10.7.</t>
  </si>
  <si>
    <t>TROETAŽNI LEŽAJ DVOSTRANI</t>
  </si>
  <si>
    <t>10.8.</t>
  </si>
  <si>
    <t>RADNI STOL</t>
  </si>
  <si>
    <t>10.9.</t>
  </si>
  <si>
    <t>STOL ZA BLAGOVANJE</t>
  </si>
  <si>
    <t>10.10.</t>
  </si>
  <si>
    <t>SKLOPIVE STOLICE</t>
  </si>
  <si>
    <t>10.11.</t>
  </si>
  <si>
    <t>POSUDA ZA VODU B-700</t>
  </si>
  <si>
    <t>10.12.</t>
  </si>
  <si>
    <t>PLASTIČNA KANTA ZA VODU 15 L</t>
  </si>
  <si>
    <t>10.13.</t>
  </si>
  <si>
    <t>ORMAR ZA HRANU</t>
  </si>
  <si>
    <t>10.14.</t>
  </si>
  <si>
    <t>ORMAR SA ZAVJESOM</t>
  </si>
  <si>
    <t>10.15.</t>
  </si>
  <si>
    <t>ORMAR OBIČNI ZA DOKUMENTACIJU</t>
  </si>
  <si>
    <t>10.16.</t>
  </si>
  <si>
    <t>KOMPLET ZA SAMOSPASAVANJE</t>
  </si>
  <si>
    <t>10.17.</t>
  </si>
  <si>
    <t>PRIRUČNA APOTEKA</t>
  </si>
  <si>
    <t>10.18.</t>
  </si>
  <si>
    <t>SUHI NUŽNIK</t>
  </si>
  <si>
    <t>Obrađeno projektom instalacija.</t>
  </si>
  <si>
    <t>10.19.</t>
  </si>
  <si>
    <t>SUHI PISOAR</t>
  </si>
  <si>
    <t>10.20.</t>
  </si>
  <si>
    <t>UMIVAONIK U - 30</t>
  </si>
  <si>
    <t>10.21.</t>
  </si>
  <si>
    <t>SUDA ZA OTPADNE VODE SOV - 140</t>
  </si>
  <si>
    <t>10.22.</t>
  </si>
  <si>
    <t>SUD ZA FEKALIJE SF-80</t>
  </si>
  <si>
    <t>10.23.</t>
  </si>
  <si>
    <t>SUD ZA OTPATKE SO - 110</t>
  </si>
  <si>
    <t>10.24.</t>
  </si>
  <si>
    <t>EL. KUHALO SA DVIJE PLOČE</t>
  </si>
  <si>
    <t>M2</t>
  </si>
  <si>
    <r>
      <t xml:space="preserve">Prozore i vrata izvoditi prema 
</t>
    </r>
    <r>
      <rPr>
        <i/>
        <sz val="10"/>
        <color theme="1"/>
        <rFont val="Calibri"/>
        <family val="2"/>
        <charset val="238"/>
        <scheme val="minor"/>
      </rPr>
      <t>Tehničkim propisima za prozore i vrata NN 69/06</t>
    </r>
    <r>
      <rPr>
        <sz val="10"/>
        <color theme="1"/>
        <rFont val="Calibri"/>
        <family val="2"/>
        <charset val="238"/>
        <scheme val="minor"/>
      </rPr>
      <t>,
i važećim normama (ili jednakovrijednim__________ ).</t>
    </r>
  </si>
  <si>
    <t>ARHITEKTURA SKLONIŠTE UKUPNO</t>
  </si>
  <si>
    <t>REKAPITULACIJA</t>
  </si>
  <si>
    <t>POKRETNA OPREMA UKUPNO:</t>
  </si>
  <si>
    <t>POKRETNA OPREMA UKUPNO</t>
  </si>
  <si>
    <t>Jedinična cijena obuhvaća manipulaciju elementima u toku ličenja, radne skele, materijal, rad, otklanjanje nedostataka, čišćenje bojom uprljanih površina i čišćenje otpadaka nastalih pri izvođenju ličilačkih radova. Izvođač je dužan zaštititi ostale radove i elemente prije početka radova. 
Ličenje unutrašnjih zidova i stropova obračunava se po m2, (otvori do 3m2 se ne oduzimaju).</t>
  </si>
  <si>
    <t>Obrađeno u troškovniku arhitektonskog projekta M1</t>
  </si>
  <si>
    <t>GEODETSKI RADOVI UKUPNO:</t>
  </si>
  <si>
    <t>PRIPREMNI RADOVI UKUPNO:</t>
  </si>
  <si>
    <t xml:space="preserve">Materijali iz kojih se sastoji mort (pijesak, vezivo, voda i eventualni aditivi) moraju odgovarati propisima i standardima za te materijale. Za pripremu mortova (ako to propisom nije precizirano) može se upotrijebiti prirodni pijesak bez organskih primjesa ili umjetno proizveden, drobljeni pijesak. </t>
  </si>
  <si>
    <t>Morski pijesak treba se prije upotrebe isprati. Isprati se trebaju i drugi prirodni pijesci (riječni i kopani) ako imaju primjesu gline veću od 1,5% težine pijeska. Granulacijska krivulja pijeska mora biti u skladu s propisima, a zrna ne smiju biti veća od 4mm, ni više od 10% zrna promjera manjeg od 1mm.</t>
  </si>
  <si>
    <t>Armatura: 
visoko kvalitetna vlakna (materijal: poliolefin, mrežasta strukturna vlakna, vlak - / čvrstoča na pucanje 400 N/mm2 (+/- 10%), hrapava površina vlakana)
Doziranje: 1 kg/m³
Klasa betona: C25/30                                                              Armatura je sadržana u cijeni. 
CE - certificirana prema 
EN 14889-2 ( ili jednakovrijedno ______________ ).
Završna obrada u skladu sa normom  
HR EN 13813 (ili jednakovrijedno _____________ ).</t>
  </si>
  <si>
    <t xml:space="preserve">Kod izvedbe estriha za polaganje parketa osigurati potrebno vrijeme sušenja ili koristiti specijalni brzosušeći cement. Zaglađivanje estriha mora biti u skladu sa završnom oblogom (strojnim zaglađivačima – tzv helikopterima ili ručno). Debljinu i nagibe u sanitarijama izvesti prema projektu. Zaglada treba biti kvalitetno izvedena. </t>
  </si>
  <si>
    <t>ASFALTERSKI RADOVI UKUPNO:</t>
  </si>
  <si>
    <t>GIPSARSKI RADOVI UKUPNO:</t>
  </si>
  <si>
    <t>LIČILAČKI RADOVI UKUPNO:</t>
  </si>
  <si>
    <t>_HRN U.F2.024/80 
(ili jednakovrijedno ___________________________) 
- Završni radovi u građevinarstvu. Tehnički uvjeti izvođenja izolacijskih radova na ravnim krovovima.
- HRN EN 13859-2:2014 
(ili jednakovrijedno ___________________________) 
- Savitljive hidroizolacijske trake - Definicije i značajke podložnih traka - 2. dio: Podložne trake za zidove 
- EN 13859-2:2004+A1:2008 
(ili jednakovrijedno __________________________).
- HRN EN 13967:2017
(ili jednakovrijedno __________________________) 
- Savitljive hidroizolacijske trake - plastične i elastomerne trake za zaštitu od vlage i vode iz tla
- HRN EN 13970:2005/A1:2008 
(ili jednakovrijedno __________________________) 
- Savitljive hidroizolacijske trake - Bitumenske paronepropusne trake - Definicije i značajke 
- EN 13970:2004/A1:2006
(ili jednakovrijedno __________________________).</t>
  </si>
  <si>
    <t>IZOLATERSKI RADOVI UKUPNO:</t>
  </si>
  <si>
    <t>Ovim radovima obuhvaćeni su svi radovi sa gips kartonskim pločama kao izrada pregradnih zidova (uključivši ugradnju dovratnika gdje je to potrebno i podkonstrukcije za ugradnju instalacija vodovoda, kanalizacije i sl.) te izrada obloge zidova i stropova, izradu plivajućih podova i izrada spuštenih stropova uključivši izradu otvora za ugradnju instalacijskih elemenata, rasvjetnih tijela i sl. 
Pri izvedbi gips-kartonskih radova izvođač je dužan pridržavati se svih uvjeta i opisa u troškovniku, kao i važećih propisa i uputa proizvođača.</t>
  </si>
  <si>
    <t>Potrebno je pripraviti HRN ili jednakovrijedne ateste za ponuđeni i ugrađeni materijal, a prema Zakonu o gradnji NN (153/13, 20/17, 39/19, 125/19) i uzancama za ovu vrstu poslova. 
HRN EN 520:2010  
ili jednakovrijedan ___________________________; 
Gipsane ploče; Definicije, zahtjevi i ispitne metode
HRN EN 13963:2014 
ili jednakovrijedan ___________________________;  
Materijal za obradbu i zaglađivanje spojeva gipsanih ploča. Definicije, zahtjevi i ispitne metode 
HRN EN 13964:2014  
ili jednakovrijedan _________________________; 
Ovješeni stropovi Zahtjevi i ispitne metode
HRN EN 14195:2015:2014  
ili jednakovrijedan _________________________; 
Metalni profili podkonstrukcija za sustave s gipsanim pločama Definicije, zahtjevi i ispitne metode
HRN EN 14246:2006/Ispr.:2008
ili jednakovrijedan _________________________;  
gips elementi za spuštene stropove; definicije, zahtjevi, ispitivanje
HRN EN 14246:2006/Ispr.:2008 
ili jednakovrijedan _________________________; 
gips elementi za spuštene stropove; definicije, zahtjevi, ispitivanje</t>
  </si>
  <si>
    <r>
      <t xml:space="preserve">Pri izradi pregradnih zidova, pri oblaganju zidova i stropova, i pri izradi spuštenih stropova, za podkonstrukciju koristiti originalne profile od čeličnog pocinčanog lima proizvođača gips-kartonskih ploča s pripadajućim priborom za međusobnu vezu profila i za učvršćenje profila na osnovnu konstrukciju. 
</t>
    </r>
    <r>
      <rPr>
        <b/>
        <sz val="10"/>
        <color theme="1"/>
        <rFont val="Calibri"/>
        <family val="2"/>
        <charset val="238"/>
        <scheme val="minor"/>
      </rPr>
      <t>Obavezno je držati se sistema jednog proizvođača.</t>
    </r>
  </si>
  <si>
    <t>Kod otvora vrata svaki dovratnik izvesti od ojačanih UA profila, a sve prema uputama proizvođača. Učvršćenje ploča na potkonstrukciju izvoditi originalnim pripadajućim vijcima za brzu montažu i odgovarajuću vrstu ploče uz obvezno upuštanje glave vijka za 2 mm (+/-2%) u odnosu na ravninu vidljive plohe obloge zida ili stropa. Učvrsna sredstva za bočne masivne građevne elemente su tipli s vijcima, a za one građevne elemente koji nisu masivni učvrsna sredstva se određuju prema vrsti podloge.</t>
  </si>
  <si>
    <r>
      <t xml:space="preserve">Prostor između profila ispunjava se termoizolacijom. Za izradu termoizolacije upotrijebit će se ploče od kamene vune proizvedene na bazi dijabaza. Vlakna kamene vune impregnirana su i vezana fenolnom smolom. 
Koeficijent toplinske provodljivosti: </t>
    </r>
    <r>
      <rPr>
        <b/>
        <sz val="10"/>
        <color theme="1"/>
        <rFont val="Calibri"/>
        <family val="2"/>
        <charset val="238"/>
        <scheme val="minor"/>
      </rPr>
      <t>max 0,041 W/mK</t>
    </r>
    <r>
      <rPr>
        <sz val="10"/>
        <color theme="1"/>
        <rFont val="Calibri"/>
        <family val="2"/>
        <charset val="238"/>
        <scheme val="minor"/>
      </rPr>
      <t xml:space="preserve">, sukladno:
HRN EN 13162 
(ili jednakovrijedno ___________________________). 
Razred reakcije na požar: </t>
    </r>
    <r>
      <rPr>
        <b/>
        <sz val="10"/>
        <color theme="1"/>
        <rFont val="Calibri"/>
        <family val="2"/>
        <charset val="238"/>
        <scheme val="minor"/>
      </rPr>
      <t>A1</t>
    </r>
    <r>
      <rPr>
        <sz val="10"/>
        <color theme="1"/>
        <rFont val="Calibri"/>
        <family val="2"/>
        <charset val="238"/>
        <scheme val="minor"/>
      </rPr>
      <t xml:space="preserve"> sukladno:
HRN EN 13501-1 
(ili jednakovrijedno ___________________________).</t>
    </r>
  </si>
  <si>
    <r>
      <rPr>
        <b/>
        <u/>
        <sz val="10"/>
        <color theme="1"/>
        <rFont val="Calibri"/>
        <family val="2"/>
        <charset val="238"/>
        <scheme val="minor"/>
      </rPr>
      <t xml:space="preserve">Q1 ili K1      </t>
    </r>
    <r>
      <rPr>
        <sz val="10"/>
        <color theme="1"/>
        <rFont val="Calibri"/>
        <family val="2"/>
        <charset val="238"/>
        <scheme val="minor"/>
      </rPr>
      <t xml:space="preserve">
Stupanj kvalitete Q1 zadovoljava zahtjeve prema površinama gips-kartonskih sustava bez posebnih opisa. Primjena se odnosi uglavnom na područje površina ispod keramičkih pločica ili drugih vrsta završnih dekorativnih zidnih obloga koje u potpunosti prekrivaju površinu suho-montažnog sustava, npr. pregradnog zida ili zidne obloge. Kod višeslojne izvedbe je bitno napomenuti da se spojevi ploča kod zahtjeva za povišenom zvučnom izolacijom ili vatrootpornošću svakako trebaju zapuniti.</t>
    </r>
  </si>
  <si>
    <r>
      <rPr>
        <b/>
        <u/>
        <sz val="10"/>
        <color theme="1"/>
        <rFont val="Calibri"/>
        <family val="2"/>
        <charset val="238"/>
        <scheme val="minor"/>
      </rPr>
      <t xml:space="preserve"> Q2 ili K2      </t>
    </r>
    <r>
      <rPr>
        <sz val="10"/>
        <color theme="1"/>
        <rFont val="Calibri"/>
        <family val="2"/>
        <charset val="238"/>
        <scheme val="minor"/>
      </rPr>
      <t xml:space="preserve">
Stupanj kvalitete Q2 predstavlja uobičajenu vrstu obrade površine kod koje se obrađuje samo površina na udaljenosti od približno 20 cm lijevo i desno od spoja dvaju ploča, kako bi se ublažio prijelaz prema površini gips-kartonske ploče. Ovako obrađena površina može biti pogodna za uobičajene završne premaze koji se nanose valjkom ili za lijepljenje tapeta.
</t>
    </r>
    <r>
      <rPr>
        <b/>
        <u/>
        <sz val="10"/>
        <color theme="1"/>
        <rFont val="Calibri"/>
        <family val="2"/>
        <charset val="238"/>
        <scheme val="minor"/>
      </rPr>
      <t xml:space="preserve">
OBRADA SPOJEVA</t>
    </r>
    <r>
      <rPr>
        <sz val="10"/>
        <color theme="1"/>
        <rFont val="Calibri"/>
        <family val="2"/>
        <charset val="238"/>
        <scheme val="minor"/>
      </rPr>
      <t xml:space="preserve"> 
vrši se specijalnom glet masom, prema preporuci proizvođača sustava, i u ovisnosti o mjestu ugradnje (suhe / važne prostorije). Kvaliteta završne obrade spojeva i površine prvog sloja prema kvaliteti Q1, a kvaliteta završne obrade drugog sloja prema kvaliteti obrade površine Q2.</t>
    </r>
  </si>
  <si>
    <t>Ukoliko se ploče polažu direktno na plohu koja se oblaže - bez podkonstrukcije - za lijepljenje se smije upotrijebiti samo originalno pripadajuće ljepilo izabranog dobavljača osnovnog materijala uz odgovarajuću impregnaciju površine.
Ploče se pričvršćuju na stupove nosive konstrukcije pomoću samorezujućih vijaka na propisanom razmaku. Ploče se polažu vertikalno.   
Fuge između ploča ispunjavaju se pripadajućim ispunjačem i ojačavaju perforiranom papirnatom trakom za spojnice, a izložene ivice ojačavaju se aluminijskim perforiranim Al profilima. Kod uglova i ivica hodnika i prostora opterećenih velikom frekvencijom prolaza tj. mogućnosti oštećenja potrebno je koristiti uglovna ojačanja. 
Kod impregniranih gips-kartonskih ploča treba koristiti impregniranu glet masu.</t>
  </si>
  <si>
    <t>Jedinična cijena obuhvaća nabavu materijala sa uključenim transportom do gradilišta, skladištenje materijala i manipulaciju materijala na gradilištu, radnu skelu, izvođenje radova, popravak loše izvedenih radova i čišćenje prostora za vrijeme i nakon završetka ove vrste radova kao i nadoknadu svih šteta nastalih izvođenjem gips-kartonskih radova na izvršenim radovima ostalih izvođača. Otvori za rasvjetu, utičnice, ventilaciju i sl. su sadržani u jediničnoj cijeni stavke. Prekidi rada (vrijeme čekanja) koji su posljedica instalacijskih radova ukalkulirani su u jedinične cijene.</t>
  </si>
  <si>
    <r>
      <t xml:space="preserve">Obloga iz gips-kartonskih ploča 
</t>
    </r>
    <r>
      <rPr>
        <b/>
        <sz val="10"/>
        <color theme="1"/>
        <rFont val="Calibri"/>
        <family val="2"/>
        <charset val="238"/>
        <scheme val="minor"/>
      </rPr>
      <t xml:space="preserve">tipa H2 </t>
    </r>
    <r>
      <rPr>
        <sz val="10"/>
        <color theme="1"/>
        <rFont val="Calibri"/>
        <family val="2"/>
        <charset val="238"/>
        <scheme val="minor"/>
      </rPr>
      <t xml:space="preserve">(mokri čvorovi) x2
</t>
    </r>
    <r>
      <rPr>
        <sz val="10"/>
        <color theme="1"/>
        <rFont val="Calibri"/>
        <family val="2"/>
        <charset val="238"/>
        <scheme val="minor"/>
      </rPr>
      <t xml:space="preserve">dim. 2000 x 1250 x 12,5 mm (+/- 5%). </t>
    </r>
  </si>
  <si>
    <t>SKLONIŠTE (ARHITEKTURA) UKUPNO:</t>
  </si>
  <si>
    <r>
      <t xml:space="preserve">porculanske pločice (retificirane)
Izgled: imitacija brušenog terazzo poda
Završna obrada: polusjajno
ton fuge: bijela
Klasa protukliznosti: </t>
    </r>
    <r>
      <rPr>
        <b/>
        <sz val="10"/>
        <rFont val="Calibri"/>
        <family val="2"/>
        <charset val="238"/>
        <scheme val="minor"/>
      </rPr>
      <t xml:space="preserve"> R11</t>
    </r>
    <r>
      <rPr>
        <sz val="10"/>
        <rFont val="Calibri"/>
        <family val="2"/>
        <charset val="238"/>
        <scheme val="minor"/>
      </rPr>
      <t xml:space="preserve">
vanjska primjena, otporna na vanjske utjecaje</t>
    </r>
  </si>
  <si>
    <t>Izvedba hidroizolacije:
Izvedba temeljnog premaza i dva sloja APP plastomerne bitumenske membrane ojačane poliesterskim platnom. Na očišćenu površinu AB ploče izvodi se hladni bitumenski premaz. Na izvedeni prednamaz ugrađuju se dva sloja punoplošno zavarene polimerbitumenske hidroizolacije. Uz zidove hidroizolacija se uzdiže 10 cm.
Karakteristike proizvoda:
Tip ojačanja: Poliestersko platno
Maksimalna vlačna čvrstoća:prema EN 12311-1 ili jednakovrijedno
- uzdužno:500 N/50 mm (- 20%)
- poprečno:400 N/50 mm (- 20%)
Posmična čvrstoća spojeva: prema EN 12317-1 ili jednakovrijedno
- uzdužno:300 N/50 mm (- 20%)
- poprečno:400 N/50 mm (- 20%)
Izduženje pri slomu: prema EN 12311-1 ili jednakovrijedno
- uzdužno: 35%
- poprečno:35%
Otpornost na udarce: 900 mm, prema EN 12691 ili jednakovrijedno</t>
  </si>
  <si>
    <t>Otvor za dvonamjenski objekt koji se upotrebljava  u vrijeme mira, zatvara se hermetički sredstvom za zatvaranje otvora otpornim na proboj. 
Otpornost na proboj komadića, natpritisak udarnog vala eksplozije, te nepropusnost za prodor kontaminiranog materijala.</t>
  </si>
  <si>
    <t>širina stubišnog kraka: 120cm
gazište dim. 120x30cm - 72 komada
čelo dim. 120x15cm - 80 komada
ploča polupodesta: 270x30cm - 4 komada
ploča podesta: 450x30cm - 5 komada
sokl (h=10cm) - ulazi u jediničnu cijenu</t>
  </si>
  <si>
    <t>PDV (25%)</t>
  </si>
  <si>
    <t>UKUPNO</t>
  </si>
  <si>
    <t>DIZALA</t>
  </si>
  <si>
    <t>Ponuditelj podnošenjem ponude potvrđuje da je tehničku dokumentaciju proučio i razumio, da je izvršio provjeru usklađenosti i količina, da u njoj nema nedostataka, te da je prihvaća kao osnov za izgradnju.</t>
  </si>
  <si>
    <t>Obveza izvođača su dokazi o nosivosti svih elemenata pročelja, ograda i portala otvora na očekivana opterećenja, u skladu s važećim normama i propisima. Dokazi moraju biti izrađeni od ovlaštene osobe i ovjereni od strane nadzora.</t>
  </si>
  <si>
    <t>Geotehnički elaborat</t>
  </si>
  <si>
    <t xml:space="preserve">Sve radove izvođač treba izvoditi prema:
Tehnički propis o racionalnoj upotrebi energije i toplinskoj zaštiti u zgradama (NN 128/15, 70/18, 73/18, 86/18, 102/20)                                                                 Pravilniku o ocjenjivanju sukladnosti, ispravama o sukladnosti i označavanju građevinskih proizvoda (NN 103/08., 147/09., 87/10., 129/11., 118/19). Tehnički propis o građevnim proizvodima (NN 35/18, 104/19)
Tehnički propis kojim se utvrđuju tehničke specifikacije za građevne proizvode u usklađenom području
(NN 4/15, 24/15, 93/15, 133/15, 36/16, 58/16, 104/16, 28/17, 88/17, 29/18, 43/19) </t>
  </si>
  <si>
    <t xml:space="preserve">Svi troškovi proizišli iz formiranja i rasformiranja gradilišta, kao i troškovi osiguranja gradilišta i radova su obaveza izvođača. </t>
  </si>
  <si>
    <t>Izvođač radova je dužan postaviti gradilišnu ploču prema članku 134.Zakona o gradnji RH (NN br. 153/13, 20/17, 39/19, 125/19). odnosno u skladu s EU odredbama.</t>
  </si>
  <si>
    <t xml:space="preserve"> - uzimanje mjera na gradnji,</t>
  </si>
  <si>
    <t xml:space="preserve"> - geodetsko praćenje u svim fazama radova (posebno za ab konstrukciju i fasadu, te za radove na uređenju terena)</t>
  </si>
  <si>
    <t xml:space="preserve"> - sav potreban materijal uključivo vezni,</t>
  </si>
  <si>
    <t xml:space="preserve"> - sav potreban rad uključivo alat i strojeve</t>
  </si>
  <si>
    <t xml:space="preserve"> - davanje traženih uzoraka,</t>
  </si>
  <si>
    <t xml:space="preserve"> - zaštitu izvedenih radova,</t>
  </si>
  <si>
    <t xml:space="preserve"> - obradu raznih kutija i sl. elektr. instalacije na površinama koje se obrađuju.</t>
  </si>
  <si>
    <t xml:space="preserve"> · postavu i skidanje radne skele sa zaštitnom tkaninom,</t>
  </si>
  <si>
    <t xml:space="preserve"> - transportne troškove materijala,</t>
  </si>
  <si>
    <t xml:space="preserve"> - troškove skladištenja</t>
  </si>
  <si>
    <t xml:space="preserve"> - troškove deponiranja</t>
  </si>
  <si>
    <t xml:space="preserve"> - privremene građedilišne priključke</t>
  </si>
  <si>
    <t xml:space="preserve"> - dovođenje struje, vode, plina i sl. od priključka na gradilištu do mjesta korištenja,</t>
  </si>
  <si>
    <t xml:space="preserve"> - čišćenje radnog prostora nakon završetka svake faze rada te prijenos otpadnog materijala na deponiju</t>
  </si>
  <si>
    <t xml:space="preserve"> - svi troškovi vezani za primjenu mjera zaštite na radu i od požara</t>
  </si>
  <si>
    <t xml:space="preserve"> - svi troškovi ispitivanja, certifikata, dokumentavije potrebne za tehnički pregled </t>
  </si>
  <si>
    <t xml:space="preserve"> - svi  troškovi koordinacije sa dobavljačima opreme. Izvođač je dužan prije izvođenja priključaka, osobito za ugrađenu opremu usuglasiti sa dobavljačima mikropriključke, prodore, kapacitete, promjere, snage i tipove priključaka.                                                Ukoliko neki od priključaka nedostaje isti je dužan u dogovoru sa projektantom izvesti.</t>
  </si>
  <si>
    <t>Napomena: Dio popstojeće opreme investitor ima namjeru koristiti u novoj zgradi. Vrstu priključaka i potreban prostor izvođač je dužan provjeriti na istim.</t>
  </si>
  <si>
    <t xml:space="preserve"> - projekt izvedenog stanja </t>
  </si>
  <si>
    <t>Za sve uređaje i opremu dobavljač je dužan dostaviti jamstvo proizvođača ili drugo jamstvo sukladno DON-u, upustvo ua upotrebu i održavanje na hrvatskom jeziku,  te obučiti korisnika za isto.</t>
  </si>
  <si>
    <t>Materijali
Pod tim se podrazumijeva cijena materijala to jest dobavna cijena i to glavnih i pomočnih materijala, tako i veznog materijala i ostalo. U tu cijenu potrebno je uključiti cijenu prijevoza bez obzira na vrstu prijevoznog sredstva, udaljenost sa svim potrebnim utovarima, istovarima, transportom, skladištenjem, i transportom do mjesta ugradbe. Nadalje uključiti cijenu čuvanja, zaštite i skladištenja materijala do ugradnje. 
Rad
U kalkulaciji rada treba uključiti sav potreban rad, kako glavni tako i pomoćni, te sav vanjski i unutarnji prijenos bilo ručni bilo pomoću strojeva. Skele ili dizalica za montažu opreme u bez obzira na visinu, ulaze u jediničnu cijenu dotične stavke  troškovnika.</t>
  </si>
  <si>
    <t>Izmjere
Ukoliko u pojedinoj stavci troškovnika nije dat način obračuna radova, isti se obračunava prema važečim građevinskim normama u upotrebi u Republici Hrvatskoj ili jednakovrijednim.</t>
  </si>
  <si>
    <t>Kod radova s materijalima koji pri izvedbi zahtijevaju preklope, preklopi se stavkama ne obračunavaju zasebno, već su uključeni u obračun.</t>
  </si>
  <si>
    <t>Ukoliko je u troškovniku nešto nejasno treba tražiti dodatna pojašnjenja  prije davanja ponude, jer se kasniji prigovori neće uzeti u obzir, kao niti priznati bilo kakvi dodatni troškovi.</t>
  </si>
  <si>
    <r>
      <t xml:space="preserve">Opće napomene     
</t>
    </r>
    <r>
      <rPr>
        <b/>
        <sz val="10"/>
        <rFont val="Arial"/>
        <family val="2"/>
        <charset val="238"/>
      </rPr>
      <t>Sve radove izvesti prema opisima pojedinih stavki troškovnika i opisa pojedinih grupa radova. Ako neke stavke imaju nejasan i nedovoljan opis, onda svaki započeti opis pojedine stavke znači cjelokupnu izradu te stavke, to jest nabavu, dopremu materijala, sve prenose i prijevoze, izradu, skidanje oplate, zaštitu, njegovanje pojedinih elemenata po izradi i nakon ugradbe, kao i ostalo. Jediničnom cijenom potrebno je obuhvatiti sve elemente navedene kako slijedi:</t>
    </r>
  </si>
  <si>
    <t>a) izvođač radova dužan je prije početka radova provjeriti kote postojeċeg stanja terena u odnosu na relativnu kotu (0,00) kod svih ulaza i kod svih nutarnjih podnih ploča kao i za ulazne instalacije.
b) ukoliko se ukažu eventualne nejednakosti između projekta i stanja na gradilišta izvođač radova dužan je pravovremeno o tome pismeno izvjestiti investitora i nadzornog inženjera te shodno s tim zatražiti potrebna objašnjenja.
c) sve mjere u projektima provjeriti na gradilištu,
d) svu potrebnu provjeru točnosti količina u dokaznici mjera i troškovniku vršiti bez posebne naplate to jest o trošku izvođača radova.</t>
  </si>
  <si>
    <t>Radove izvesti stručno, solidno i isključivo prema opisu iz ovog troškovnika, tehničkoj dokumentaciji kao i isključivo po odabiru, uputstvima i odobrenjima glavnog projektanta.
Svi radovi trebaju biti izvedeni u potpunosti u skladu sa tehničkim propisima za ovu vrstu radova i dobrim uzancama struke.
Svi materijali koji se upotrebljavaju moraju odgovarati hrvatskim normama ili jednakovrijednim, te prije početka izvođenja njihove ateste, certifikate i izjave o svojstvima predočiti nadzornom inženjeru. Oni materijali koji nisu obuhvaćeni hrvatskim normama moraju biti atestirani od strane ovlaštenih ustanova za namjenu za koju se koriste, te također rezultate ispitivanja istih predočiti nadzornom inženjeru prije početka izvođenja radova.
Nije dozvoljen početak ugradbe materijala prije predočenja važećih certifikata.</t>
  </si>
  <si>
    <t xml:space="preserve"> -unošenje svih izmjena u projektnu dokumentaciju do kojih je došlo tijekom građenja, projekt izvedenog stanja </t>
  </si>
  <si>
    <t>-Zapisnik o puštanju u probni rad i redovan pogon elektro instalacija sigurnosnih sustava      ( vatrodojava,  prirodno odimljavanje ), uključivo:</t>
  </si>
  <si>
    <t>-Uvjerenje / Zapisnik o ispitivanju svih instalacija i uređaja</t>
  </si>
  <si>
    <t>- ostala dokumentacija koja se zatraži na tehničkom pregledu</t>
  </si>
  <si>
    <t>M1(R1)</t>
  </si>
  <si>
    <t>ViK ZGRADA i SKLONIŠTE UKUPNO: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</si>
</sst>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
    <numFmt numFmtId="165" formatCode="mmm/dd"/>
    <numFmt numFmtId="166" formatCode="_-* #,##0.00\ _k_n_-;\-* #,##0.00\ _k_n_-;_-* &quot;-&quot;??\ _k_n_-;_-@"/>
    <numFmt numFmtId="167" formatCode="0.0"/>
    <numFmt numFmtId="168" formatCode="#,##0.00\ [$€-1]"/>
    <numFmt numFmtId="169" formatCode="0&quot;.&quot;"/>
    <numFmt numFmtId="170" formatCode="#,##0.00\ _k_n"/>
  </numFmts>
  <fonts count="121">
    <font>
      <sz val="10"/>
      <color theme="1"/>
      <name val="Calibri"/>
      <family val="2"/>
      <charset val="238"/>
      <scheme val="minor"/>
    </font>
    <font>
      <sz val="10"/>
      <color theme="1"/>
      <name val="Arial"/>
      <family val="2"/>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b/>
      <sz val="10"/>
      <color indexed="8"/>
      <name val="Calibri"/>
      <family val="2"/>
      <charset val="238"/>
    </font>
    <font>
      <sz val="10"/>
      <name val="Arial"/>
      <family val="2"/>
      <charset val="238"/>
    </font>
    <font>
      <b/>
      <sz val="10"/>
      <name val="Arial"/>
      <family val="2"/>
      <charset val="238"/>
    </font>
    <font>
      <b/>
      <sz val="10"/>
      <color indexed="23"/>
      <name val="Calibri"/>
      <family val="2"/>
      <charset val="238"/>
    </font>
    <font>
      <sz val="10"/>
      <name val="Calibri"/>
      <family val="2"/>
      <charset val="238"/>
    </font>
    <font>
      <b/>
      <sz val="11"/>
      <name val="Calibri"/>
      <family val="2"/>
      <charset val="238"/>
    </font>
    <font>
      <sz val="10"/>
      <color indexed="8"/>
      <name val="Calibri"/>
      <family val="2"/>
      <charset val="238"/>
    </font>
    <font>
      <b/>
      <u/>
      <sz val="10"/>
      <color indexed="8"/>
      <name val="Calibri"/>
      <family val="2"/>
      <charset val="238"/>
    </font>
    <font>
      <sz val="10"/>
      <color indexed="10"/>
      <name val="Calibri"/>
      <family val="2"/>
      <charset val="238"/>
    </font>
    <font>
      <b/>
      <sz val="10"/>
      <color indexed="10"/>
      <name val="Calibri"/>
      <family val="2"/>
      <charset val="238"/>
    </font>
    <font>
      <sz val="10"/>
      <name val="Arial"/>
      <family val="2"/>
    </font>
    <font>
      <b/>
      <sz val="16"/>
      <color theme="0"/>
      <name val="Calibri"/>
      <family val="2"/>
      <charset val="238"/>
      <scheme val="minor"/>
    </font>
    <font>
      <b/>
      <sz val="11"/>
      <color theme="1"/>
      <name val="Calibri"/>
      <family val="2"/>
      <charset val="238"/>
      <scheme val="minor"/>
    </font>
    <font>
      <b/>
      <sz val="11"/>
      <name val="Calibri"/>
      <family val="2"/>
      <charset val="238"/>
      <scheme val="minor"/>
    </font>
    <font>
      <b/>
      <sz val="36"/>
      <color theme="1"/>
      <name val="Calibri"/>
      <family val="2"/>
      <charset val="238"/>
      <scheme val="minor"/>
    </font>
    <font>
      <b/>
      <sz val="10"/>
      <color theme="1"/>
      <name val="Calibri"/>
      <family val="2"/>
      <charset val="238"/>
      <scheme val="minor"/>
    </font>
    <font>
      <b/>
      <sz val="16"/>
      <color theme="1"/>
      <name val="Calibri"/>
      <family val="2"/>
      <charset val="238"/>
      <scheme val="minor"/>
    </font>
    <font>
      <b/>
      <sz val="18"/>
      <color theme="1"/>
      <name val="Calibri"/>
      <family val="2"/>
      <charset val="238"/>
      <scheme val="minor"/>
    </font>
    <font>
      <b/>
      <sz val="12"/>
      <color theme="1"/>
      <name val="Calibri"/>
      <family val="2"/>
      <charset val="238"/>
      <scheme val="minor"/>
    </font>
    <font>
      <sz val="12"/>
      <color theme="1"/>
      <name val="Calibri"/>
      <family val="2"/>
      <charset val="238"/>
      <scheme val="minor"/>
    </font>
    <font>
      <b/>
      <sz val="10"/>
      <color theme="0" tint="-0.499984740745262"/>
      <name val="Calibri"/>
      <family val="2"/>
      <charset val="238"/>
      <scheme val="minor"/>
    </font>
    <font>
      <b/>
      <sz val="16"/>
      <name val="Calibri"/>
      <family val="2"/>
      <charset val="238"/>
      <scheme val="minor"/>
    </font>
    <font>
      <b/>
      <i/>
      <sz val="10"/>
      <color theme="1"/>
      <name val="Calibri"/>
      <family val="2"/>
      <charset val="238"/>
      <scheme val="minor"/>
    </font>
    <font>
      <sz val="10"/>
      <color rgb="FFFF0000"/>
      <name val="Calibri"/>
      <family val="2"/>
      <charset val="238"/>
      <scheme val="minor"/>
    </font>
    <font>
      <sz val="10"/>
      <name val="Calibri"/>
      <family val="2"/>
      <charset val="238"/>
      <scheme val="minor"/>
    </font>
    <font>
      <b/>
      <sz val="18"/>
      <color theme="0"/>
      <name val="Calibri"/>
      <family val="2"/>
      <charset val="238"/>
      <scheme val="minor"/>
    </font>
    <font>
      <b/>
      <sz val="14"/>
      <name val="Calibri"/>
      <family val="2"/>
      <charset val="238"/>
      <scheme val="minor"/>
    </font>
    <font>
      <b/>
      <sz val="12"/>
      <name val="Calibri"/>
      <family val="2"/>
      <charset val="238"/>
      <scheme val="minor"/>
    </font>
    <font>
      <b/>
      <sz val="10"/>
      <color rgb="FFFF0000"/>
      <name val="Calibri"/>
      <family val="2"/>
      <charset val="238"/>
      <scheme val="minor"/>
    </font>
    <font>
      <b/>
      <i/>
      <sz val="11"/>
      <color theme="1"/>
      <name val="Calibri"/>
      <family val="2"/>
      <charset val="238"/>
      <scheme val="minor"/>
    </font>
    <font>
      <sz val="11"/>
      <color theme="1"/>
      <name val="Calibri"/>
      <family val="2"/>
      <charset val="238"/>
      <scheme val="minor"/>
    </font>
    <font>
      <b/>
      <sz val="24"/>
      <color theme="1"/>
      <name val="Calibri"/>
      <family val="2"/>
      <charset val="238"/>
      <scheme val="minor"/>
    </font>
    <font>
      <i/>
      <sz val="10"/>
      <color theme="1"/>
      <name val="Calibri"/>
      <family val="2"/>
      <charset val="238"/>
      <scheme val="minor"/>
    </font>
    <font>
      <b/>
      <sz val="10"/>
      <name val="Calibri"/>
      <family val="2"/>
      <charset val="238"/>
      <scheme val="minor"/>
    </font>
    <font>
      <sz val="10"/>
      <color indexed="10"/>
      <name val="Arial"/>
      <family val="2"/>
      <charset val="238"/>
    </font>
    <font>
      <b/>
      <sz val="18"/>
      <name val="Arial"/>
      <family val="2"/>
      <charset val="238"/>
    </font>
    <font>
      <sz val="10"/>
      <color theme="1"/>
      <name val="Symbol"/>
      <family val="1"/>
      <charset val="2"/>
    </font>
    <font>
      <b/>
      <sz val="10"/>
      <name val="Calibri"/>
      <family val="2"/>
      <charset val="238"/>
    </font>
    <font>
      <sz val="10"/>
      <color theme="1"/>
      <name val="Calibri"/>
      <family val="2"/>
      <charset val="238"/>
    </font>
    <font>
      <sz val="11"/>
      <name val="Calibri"/>
      <family val="2"/>
      <charset val="238"/>
      <scheme val="minor"/>
    </font>
    <font>
      <sz val="10"/>
      <color rgb="FF00B050"/>
      <name val="Calibri"/>
      <family val="2"/>
      <charset val="238"/>
      <scheme val="minor"/>
    </font>
    <font>
      <b/>
      <sz val="10"/>
      <color rgb="FFC00000"/>
      <name val="Calibri"/>
      <family val="2"/>
      <charset val="238"/>
      <scheme val="minor"/>
    </font>
    <font>
      <sz val="10"/>
      <color rgb="FF000000"/>
      <name val="Arial"/>
      <family val="2"/>
      <charset val="238"/>
    </font>
    <font>
      <sz val="10"/>
      <color rgb="FF000000"/>
      <name val="Calibri"/>
      <family val="2"/>
      <charset val="238"/>
      <scheme val="minor"/>
    </font>
    <font>
      <b/>
      <sz val="10"/>
      <color rgb="FF000000"/>
      <name val="Arial"/>
      <family val="2"/>
      <charset val="238"/>
    </font>
    <font>
      <i/>
      <sz val="10"/>
      <color rgb="FFFF0000"/>
      <name val="Arial"/>
      <family val="2"/>
      <charset val="238"/>
    </font>
    <font>
      <sz val="10"/>
      <color theme="1"/>
      <name val="Arial"/>
      <family val="2"/>
      <charset val="238"/>
    </font>
    <font>
      <b/>
      <sz val="10"/>
      <color theme="1"/>
      <name val="Arial"/>
      <family val="2"/>
      <charset val="238"/>
    </font>
    <font>
      <sz val="11"/>
      <color theme="1"/>
      <name val="Arial"/>
      <family val="2"/>
      <charset val="238"/>
    </font>
    <font>
      <b/>
      <sz val="9"/>
      <color theme="1"/>
      <name val="Arial"/>
      <family val="2"/>
      <charset val="238"/>
    </font>
    <font>
      <b/>
      <sz val="16"/>
      <color rgb="FFC00000"/>
      <name val="Calibri"/>
      <family val="2"/>
      <charset val="238"/>
      <scheme val="minor"/>
    </font>
    <font>
      <sz val="10"/>
      <color rgb="FFC00000"/>
      <name val="Calibri"/>
      <family val="2"/>
      <charset val="238"/>
      <scheme val="minor"/>
    </font>
    <font>
      <i/>
      <sz val="10"/>
      <color rgb="FFC00000"/>
      <name val="Calibri"/>
      <family val="2"/>
      <charset val="238"/>
      <scheme val="minor"/>
    </font>
    <font>
      <b/>
      <sz val="11"/>
      <color rgb="FFC00000"/>
      <name val="Calibri"/>
      <family val="2"/>
      <charset val="238"/>
      <scheme val="minor"/>
    </font>
    <font>
      <b/>
      <sz val="12"/>
      <color rgb="FFC00000"/>
      <name val="Calibri"/>
      <family val="2"/>
      <charset val="238"/>
      <scheme val="minor"/>
    </font>
    <font>
      <sz val="10"/>
      <color theme="1"/>
      <name val="Calibri"/>
      <family val="2"/>
      <charset val="238"/>
      <scheme val="minor"/>
    </font>
    <font>
      <b/>
      <sz val="16"/>
      <color theme="0"/>
      <name val="Calibri"/>
      <family val="2"/>
      <charset val="238"/>
    </font>
    <font>
      <sz val="10"/>
      <color theme="0"/>
      <name val="Calibri"/>
      <family val="2"/>
      <charset val="238"/>
    </font>
    <font>
      <b/>
      <sz val="18"/>
      <name val="Calibri"/>
      <family val="2"/>
      <charset val="238"/>
    </font>
    <font>
      <sz val="18"/>
      <name val="Calibri"/>
      <family val="2"/>
      <charset val="238"/>
    </font>
    <font>
      <sz val="11"/>
      <name val="Calibri"/>
      <family val="2"/>
      <charset val="238"/>
    </font>
    <font>
      <b/>
      <sz val="16"/>
      <name val="Calibri"/>
      <family val="2"/>
      <charset val="238"/>
    </font>
    <font>
      <sz val="11"/>
      <color rgb="FF000000"/>
      <name val="Calibri"/>
      <family val="2"/>
      <charset val="238"/>
    </font>
    <font>
      <sz val="11"/>
      <color theme="1"/>
      <name val="Calibri"/>
      <family val="2"/>
      <charset val="238"/>
    </font>
    <font>
      <sz val="10"/>
      <color rgb="FF000000"/>
      <name val="Calibri"/>
      <family val="2"/>
      <charset val="238"/>
    </font>
    <font>
      <sz val="16"/>
      <color theme="1"/>
      <name val="Calibri"/>
      <family val="2"/>
      <charset val="238"/>
    </font>
    <font>
      <sz val="16"/>
      <name val="Calibri"/>
      <family val="2"/>
      <charset val="238"/>
    </font>
    <font>
      <sz val="10"/>
      <color rgb="FFFF0000"/>
      <name val="Calibri"/>
      <family val="2"/>
      <charset val="238"/>
    </font>
    <font>
      <b/>
      <sz val="10"/>
      <color rgb="FFFF0000"/>
      <name val="Calibri"/>
      <family val="2"/>
      <charset val="238"/>
    </font>
    <font>
      <i/>
      <sz val="10"/>
      <name val="Calibri"/>
      <family val="2"/>
      <charset val="238"/>
    </font>
    <font>
      <b/>
      <sz val="11"/>
      <color theme="0"/>
      <name val="Calibri"/>
      <family val="2"/>
      <charset val="238"/>
    </font>
    <font>
      <sz val="11"/>
      <color theme="0"/>
      <name val="Calibri"/>
      <family val="2"/>
      <charset val="238"/>
    </font>
    <font>
      <sz val="7"/>
      <name val="Calibri"/>
      <family val="2"/>
      <charset val="238"/>
    </font>
    <font>
      <sz val="7"/>
      <color theme="1"/>
      <name val="Calibri"/>
      <family val="2"/>
      <charset val="238"/>
    </font>
    <font>
      <vertAlign val="superscript"/>
      <sz val="10"/>
      <name val="Arial"/>
      <family val="2"/>
      <charset val="238"/>
    </font>
    <font>
      <sz val="10"/>
      <name val="Times New Roman"/>
      <family val="1"/>
      <charset val="238"/>
    </font>
    <font>
      <sz val="10"/>
      <color indexed="8"/>
      <name val="Technic"/>
      <charset val="2"/>
    </font>
    <font>
      <sz val="10"/>
      <color indexed="8"/>
      <name val="Calibri"/>
      <family val="2"/>
      <charset val="238"/>
      <scheme val="minor"/>
    </font>
    <font>
      <sz val="10"/>
      <color indexed="8"/>
      <name val="Arial"/>
      <family val="2"/>
    </font>
    <font>
      <b/>
      <sz val="10"/>
      <color indexed="8"/>
      <name val="Calibri"/>
      <family val="2"/>
      <charset val="238"/>
      <scheme val="minor"/>
    </font>
    <font>
      <sz val="10"/>
      <color indexed="8"/>
      <name val="Arial"/>
      <family val="2"/>
      <charset val="238"/>
    </font>
    <font>
      <sz val="10"/>
      <color rgb="FF000000"/>
      <name val="Arial"/>
      <family val="2"/>
    </font>
    <font>
      <sz val="10"/>
      <color theme="1"/>
      <name val="Arial"/>
      <family val="2"/>
    </font>
    <font>
      <vertAlign val="superscript"/>
      <sz val="10"/>
      <name val="Arial"/>
      <family val="2"/>
    </font>
    <font>
      <vertAlign val="subscript"/>
      <sz val="10"/>
      <name val="Arial"/>
      <family val="2"/>
    </font>
    <font>
      <sz val="8.5"/>
      <name val="Times New Roman"/>
      <family val="1"/>
    </font>
    <font>
      <sz val="11"/>
      <name val="Times New Roman"/>
      <family val="1"/>
    </font>
    <font>
      <sz val="8.5"/>
      <name val="Arial"/>
      <family val="2"/>
    </font>
    <font>
      <sz val="10"/>
      <name val="Arial"/>
      <family val="1"/>
      <charset val="2"/>
    </font>
    <font>
      <sz val="10"/>
      <name val="Symbol"/>
      <family val="1"/>
      <charset val="2"/>
    </font>
    <font>
      <sz val="10"/>
      <color rgb="FFFF0000"/>
      <name val="Arial"/>
      <family val="2"/>
    </font>
    <font>
      <b/>
      <sz val="26"/>
      <name val="Arial"/>
      <family val="2"/>
      <charset val="238"/>
    </font>
    <font>
      <b/>
      <sz val="22"/>
      <name val="Arial"/>
      <family val="2"/>
      <charset val="238"/>
    </font>
    <font>
      <b/>
      <sz val="14"/>
      <name val="Arial"/>
      <family val="2"/>
      <charset val="238"/>
    </font>
    <font>
      <b/>
      <sz val="14"/>
      <name val="Arial"/>
      <family val="2"/>
    </font>
    <font>
      <b/>
      <sz val="12"/>
      <name val="Arial"/>
      <family val="2"/>
    </font>
    <font>
      <sz val="11"/>
      <name val="Arial"/>
      <family val="2"/>
      <charset val="238"/>
    </font>
    <font>
      <b/>
      <sz val="11"/>
      <name val="Arial"/>
      <family val="2"/>
      <charset val="238"/>
    </font>
    <font>
      <i/>
      <sz val="10"/>
      <color theme="1"/>
      <name val="Arial"/>
      <family val="2"/>
      <charset val="238"/>
    </font>
    <font>
      <sz val="8"/>
      <color theme="1" tint="0.499984740745262"/>
      <name val="Arial"/>
      <family val="2"/>
      <charset val="238"/>
    </font>
    <font>
      <sz val="8"/>
      <color theme="1"/>
      <name val="Arial"/>
      <family val="2"/>
      <charset val="238"/>
    </font>
    <font>
      <b/>
      <sz val="18"/>
      <color indexed="9"/>
      <name val="Arial"/>
      <family val="2"/>
      <charset val="238"/>
    </font>
    <font>
      <i/>
      <sz val="10"/>
      <name val="Arial"/>
      <family val="2"/>
      <charset val="238"/>
    </font>
    <font>
      <b/>
      <sz val="18"/>
      <color theme="1"/>
      <name val="Arial"/>
      <family val="2"/>
      <charset val="238"/>
    </font>
    <font>
      <b/>
      <sz val="8"/>
      <color theme="1"/>
      <name val="Arial"/>
      <family val="2"/>
      <charset val="238"/>
    </font>
    <font>
      <b/>
      <u/>
      <sz val="10"/>
      <color theme="1"/>
      <name val="Calibri"/>
      <family val="2"/>
      <charset val="238"/>
      <scheme val="minor"/>
    </font>
    <font>
      <b/>
      <sz val="14"/>
      <color theme="0"/>
      <name val="Calibri"/>
      <family val="2"/>
      <charset val="238"/>
      <scheme val="minor"/>
    </font>
    <font>
      <b/>
      <sz val="12"/>
      <color theme="0"/>
      <name val="Calibri"/>
      <family val="2"/>
      <charset val="238"/>
      <scheme val="minor"/>
    </font>
    <font>
      <b/>
      <i/>
      <sz val="12"/>
      <name val="Arial"/>
      <family val="2"/>
      <charset val="238"/>
    </font>
    <font>
      <b/>
      <i/>
      <sz val="11"/>
      <name val="Arial"/>
      <family val="2"/>
      <charset val="238"/>
    </font>
    <font>
      <sz val="10"/>
      <color indexed="56"/>
      <name val="Arial"/>
      <family val="2"/>
      <charset val="238"/>
    </font>
    <font>
      <sz val="11"/>
      <color theme="1"/>
      <name val="Arial"/>
      <family val="2"/>
    </font>
    <font>
      <sz val="12"/>
      <color theme="1"/>
      <name val="Arial"/>
      <family val="2"/>
    </font>
    <font>
      <sz val="14"/>
      <color theme="1"/>
      <name val="Calibri"/>
      <family val="2"/>
      <charset val="238"/>
      <scheme val="minor"/>
    </font>
    <font>
      <b/>
      <sz val="14"/>
      <color theme="1"/>
      <name val="Calibri"/>
      <family val="2"/>
      <charset val="238"/>
      <scheme val="minor"/>
    </font>
  </fonts>
  <fills count="10">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3"/>
        <bgColor indexed="64"/>
      </patternFill>
    </fill>
    <fill>
      <patternFill patternType="solid">
        <fgColor indexed="8"/>
        <bgColor indexed="58"/>
      </patternFill>
    </fill>
    <fill>
      <patternFill patternType="solid">
        <fgColor theme="0" tint="-0.249977111117893"/>
        <bgColor indexed="64"/>
      </patternFill>
    </fill>
    <fill>
      <patternFill patternType="solid">
        <fgColor rgb="FFFFFF00"/>
        <bgColor indexed="64"/>
      </patternFill>
    </fill>
  </fills>
  <borders count="38">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right/>
      <top style="thin">
        <color rgb="FF000000"/>
      </top>
      <bottom style="thin">
        <color rgb="FF000000"/>
      </bottom>
      <diagonal/>
    </border>
    <border>
      <left/>
      <right/>
      <top/>
      <bottom style="thin">
        <color rgb="FF000000"/>
      </bottom>
      <diagonal/>
    </border>
    <border>
      <left/>
      <right style="thin">
        <color indexed="64"/>
      </right>
      <top style="medium">
        <color indexed="64"/>
      </top>
      <bottom style="medium">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bottom style="thin">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theme="0" tint="-0.14996795556505021"/>
      </left>
      <right style="thin">
        <color theme="0" tint="-0.14996795556505021"/>
      </right>
      <top style="thin">
        <color theme="0" tint="-0.14996795556505021"/>
      </top>
      <bottom style="medium">
        <color indexed="64"/>
      </bottom>
      <diagonal/>
    </border>
    <border>
      <left style="thin">
        <color theme="0" tint="-0.14996795556505021"/>
      </left>
      <right style="thin">
        <color theme="0" tint="-0.14996795556505021"/>
      </right>
      <top/>
      <bottom style="thin">
        <color theme="0" tint="-0.14996795556505021"/>
      </bottom>
      <diagonal/>
    </border>
    <border>
      <left/>
      <right style="thin">
        <color theme="0" tint="-0.14996795556505021"/>
      </right>
      <top style="thin">
        <color theme="0" tint="-0.14996795556505021"/>
      </top>
      <bottom style="thin">
        <color theme="0" tint="-0.249977111117893"/>
      </bottom>
      <diagonal/>
    </border>
    <border>
      <left style="thin">
        <color theme="0" tint="-0.14996795556505021"/>
      </left>
      <right style="thin">
        <color theme="0" tint="-0.14996795556505021"/>
      </right>
      <top style="thin">
        <color theme="0" tint="-0.14996795556505021"/>
      </top>
      <bottom style="thin">
        <color theme="0" tint="-0.249977111117893"/>
      </bottom>
      <diagonal/>
    </border>
    <border>
      <left style="thin">
        <color theme="0" tint="-0.14996795556505021"/>
      </left>
      <right style="thin">
        <color theme="0" tint="-0.14996795556505021"/>
      </right>
      <top style="thin">
        <color theme="0" tint="-0.1499679555650502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14996795556505021"/>
      </left>
      <right/>
      <top style="medium">
        <color indexed="64"/>
      </top>
      <bottom style="medium">
        <color indexed="64"/>
      </bottom>
      <diagonal/>
    </border>
    <border>
      <left/>
      <right style="thin">
        <color theme="0" tint="-0.14996795556505021"/>
      </right>
      <top style="medium">
        <color indexed="64"/>
      </top>
      <bottom style="medium">
        <color indexed="64"/>
      </bottom>
      <diagonal/>
    </border>
    <border>
      <left style="thin">
        <color theme="0" tint="-0.14996795556505021"/>
      </left>
      <right/>
      <top/>
      <bottom style="thin">
        <color indexed="64"/>
      </bottom>
      <diagonal/>
    </border>
    <border>
      <left style="thin">
        <color indexed="64"/>
      </left>
      <right/>
      <top/>
      <bottom/>
      <diagonal/>
    </border>
  </borders>
  <cellStyleXfs count="19">
    <xf numFmtId="0" fontId="0" fillId="0" borderId="0">
      <alignment vertical="top" wrapText="1"/>
    </xf>
    <xf numFmtId="0" fontId="17" fillId="2" borderId="0" applyAlignment="0">
      <alignment horizontal="center" vertical="center"/>
    </xf>
    <xf numFmtId="0" fontId="18" fillId="3" borderId="0">
      <alignment horizontal="left" vertical="top" wrapText="1"/>
    </xf>
    <xf numFmtId="0" fontId="19" fillId="0" borderId="1">
      <alignment horizontal="justify" vertical="justify" wrapText="1"/>
    </xf>
    <xf numFmtId="0" fontId="41" fillId="5" borderId="2">
      <alignment horizontal="left" vertical="top"/>
    </xf>
    <xf numFmtId="0" fontId="49" fillId="0" borderId="0"/>
    <xf numFmtId="0" fontId="7" fillId="0" borderId="0"/>
    <xf numFmtId="0" fontId="7" fillId="0" borderId="0"/>
    <xf numFmtId="0" fontId="48" fillId="0" borderId="0"/>
    <xf numFmtId="0" fontId="68" fillId="0" borderId="0"/>
    <xf numFmtId="0" fontId="68" fillId="0" borderId="0"/>
    <xf numFmtId="0" fontId="4" fillId="0" borderId="0"/>
    <xf numFmtId="0" fontId="53" fillId="8" borderId="0">
      <alignment horizontal="left" vertical="justify" wrapText="1"/>
    </xf>
    <xf numFmtId="0" fontId="4" fillId="0" borderId="0"/>
    <xf numFmtId="0" fontId="52" fillId="0" borderId="0" applyFont="0" applyFill="0" applyAlignment="0">
      <alignment horizontal="left" wrapText="1" indent="1"/>
    </xf>
    <xf numFmtId="0" fontId="3" fillId="0" borderId="0"/>
    <xf numFmtId="0" fontId="3" fillId="0" borderId="0"/>
    <xf numFmtId="0" fontId="16" fillId="0" borderId="0"/>
    <xf numFmtId="0" fontId="2" fillId="0" borderId="0"/>
  </cellStyleXfs>
  <cellXfs count="681">
    <xf numFmtId="0" fontId="0" fillId="0" borderId="0" xfId="0">
      <alignment vertical="top" wrapText="1"/>
    </xf>
    <xf numFmtId="0" fontId="0" fillId="0" borderId="0" xfId="0" applyAlignment="1" applyProtection="1">
      <alignment horizontal="center"/>
      <protection locked="0"/>
    </xf>
    <xf numFmtId="0" fontId="21" fillId="0" borderId="0" xfId="0" quotePrefix="1" applyFont="1">
      <alignment vertical="top" wrapText="1"/>
    </xf>
    <xf numFmtId="0" fontId="21" fillId="0" borderId="0" xfId="0" quotePrefix="1" applyFont="1" applyProtection="1">
      <alignment vertical="top" wrapText="1"/>
      <protection locked="0"/>
    </xf>
    <xf numFmtId="0" fontId="30" fillId="0" borderId="0" xfId="0" quotePrefix="1" applyFont="1">
      <alignment vertical="top" wrapText="1"/>
    </xf>
    <xf numFmtId="0" fontId="11" fillId="0" borderId="0" xfId="0" applyFont="1" applyProtection="1">
      <alignment vertical="top" wrapText="1"/>
      <protection locked="0"/>
    </xf>
    <xf numFmtId="0" fontId="6" fillId="0" borderId="0" xfId="0" applyFont="1" applyProtection="1">
      <alignment vertical="top" wrapText="1"/>
      <protection locked="0"/>
    </xf>
    <xf numFmtId="0" fontId="12" fillId="0" borderId="0" xfId="0" applyFont="1" applyProtection="1">
      <alignment vertical="top" wrapText="1"/>
      <protection locked="0"/>
    </xf>
    <xf numFmtId="0" fontId="18" fillId="3" borderId="0" xfId="2" applyAlignment="1">
      <alignment vertical="top" wrapText="1"/>
    </xf>
    <xf numFmtId="2" fontId="0" fillId="0" borderId="0" xfId="0" applyNumberFormat="1" applyAlignment="1" applyProtection="1">
      <alignment horizontal="right"/>
      <protection locked="0"/>
    </xf>
    <xf numFmtId="0" fontId="21" fillId="0" borderId="0" xfId="0" applyFont="1" applyAlignment="1" applyProtection="1">
      <alignment horizontal="right" vertical="top" wrapText="1"/>
      <protection locked="0"/>
    </xf>
    <xf numFmtId="2" fontId="18" fillId="3" borderId="0" xfId="2" applyNumberFormat="1" applyAlignment="1">
      <alignment horizontal="left" wrapText="1"/>
    </xf>
    <xf numFmtId="2" fontId="17" fillId="6" borderId="0" xfId="1" applyNumberFormat="1" applyFill="1" applyAlignment="1">
      <alignment horizontal="center"/>
    </xf>
    <xf numFmtId="2" fontId="18" fillId="3" borderId="0" xfId="2" applyNumberFormat="1">
      <alignment horizontal="left" vertical="top" wrapText="1"/>
    </xf>
    <xf numFmtId="2" fontId="29" fillId="0" borderId="0" xfId="0" applyNumberFormat="1" applyFont="1" applyAlignment="1" applyProtection="1">
      <alignment horizontal="center"/>
      <protection locked="0"/>
    </xf>
    <xf numFmtId="2" fontId="0" fillId="0" borderId="0" xfId="0" applyNumberFormat="1" applyAlignment="1" applyProtection="1">
      <alignment wrapText="1"/>
      <protection locked="0"/>
    </xf>
    <xf numFmtId="2" fontId="0" fillId="0" borderId="0" xfId="0" applyNumberFormat="1">
      <alignment vertical="top" wrapText="1"/>
    </xf>
    <xf numFmtId="2" fontId="27" fillId="5" borderId="3" xfId="1" applyNumberFormat="1" applyFont="1" applyFill="1" applyBorder="1" applyAlignment="1">
      <alignment horizontal="center"/>
    </xf>
    <xf numFmtId="2" fontId="17" fillId="2" borderId="0" xfId="1" applyNumberFormat="1" applyAlignment="1">
      <alignment horizontal="center"/>
    </xf>
    <xf numFmtId="0" fontId="0" fillId="0" borderId="5" xfId="0" applyBorder="1">
      <alignment vertical="top" wrapText="1"/>
    </xf>
    <xf numFmtId="0" fontId="20" fillId="0" borderId="0" xfId="0" applyFont="1" applyAlignment="1" applyProtection="1">
      <alignment wrapText="1"/>
      <protection locked="0"/>
    </xf>
    <xf numFmtId="0" fontId="0" fillId="0" borderId="0" xfId="0" applyProtection="1">
      <alignment vertical="top" wrapText="1"/>
      <protection locked="0"/>
    </xf>
    <xf numFmtId="0" fontId="21" fillId="0" borderId="0" xfId="0" applyFont="1" applyAlignment="1" applyProtection="1">
      <alignment wrapText="1"/>
      <protection locked="0"/>
    </xf>
    <xf numFmtId="0" fontId="22" fillId="0" borderId="0" xfId="0" applyFont="1" applyAlignment="1" applyProtection="1">
      <protection locked="0"/>
    </xf>
    <xf numFmtId="0" fontId="22" fillId="0" borderId="0" xfId="0" applyFont="1" applyAlignment="1" applyProtection="1">
      <alignment wrapText="1"/>
      <protection locked="0"/>
    </xf>
    <xf numFmtId="0" fontId="23" fillId="0" borderId="0" xfId="0" applyFont="1" applyAlignment="1" applyProtection="1">
      <alignment wrapText="1"/>
      <protection locked="0"/>
    </xf>
    <xf numFmtId="0" fontId="24" fillId="0" borderId="0" xfId="0" applyFont="1" applyAlignment="1" applyProtection="1">
      <alignment wrapText="1"/>
      <protection locked="0"/>
    </xf>
    <xf numFmtId="0" fontId="25" fillId="0" borderId="0" xfId="0" applyFont="1" applyAlignment="1" applyProtection="1">
      <alignment wrapText="1"/>
      <protection locked="0"/>
    </xf>
    <xf numFmtId="0" fontId="7" fillId="0" borderId="0" xfId="0" applyFont="1" applyAlignment="1">
      <alignment horizontal="left" vertical="top" wrapText="1"/>
    </xf>
    <xf numFmtId="0" fontId="26" fillId="4" borderId="0" xfId="0" applyFont="1" applyFill="1" applyAlignment="1" applyProtection="1">
      <alignment horizontal="center" vertical="center"/>
      <protection locked="0"/>
    </xf>
    <xf numFmtId="0" fontId="26" fillId="4" borderId="0" xfId="0" applyFont="1" applyFill="1" applyAlignment="1" applyProtection="1">
      <alignment horizontal="center" vertical="top"/>
      <protection locked="0"/>
    </xf>
    <xf numFmtId="0" fontId="26" fillId="4" borderId="0" xfId="0" applyFont="1" applyFill="1" applyAlignment="1" applyProtection="1">
      <alignment vertical="center" wrapText="1"/>
      <protection locked="0"/>
    </xf>
    <xf numFmtId="0" fontId="26" fillId="4" borderId="0" xfId="0" applyFont="1" applyFill="1" applyAlignment="1" applyProtection="1">
      <alignment horizontal="center" wrapText="1"/>
      <protection locked="0"/>
    </xf>
    <xf numFmtId="2" fontId="26" fillId="4" borderId="0" xfId="0" applyNumberFormat="1" applyFont="1" applyFill="1" applyAlignment="1" applyProtection="1">
      <alignment vertical="center"/>
      <protection locked="0"/>
    </xf>
    <xf numFmtId="0" fontId="17" fillId="2" borderId="0" xfId="1" applyAlignment="1">
      <alignment horizontal="center" vertical="center"/>
    </xf>
    <xf numFmtId="0" fontId="17" fillId="2" borderId="0" xfId="1" applyAlignment="1">
      <alignment horizontal="center" vertical="top"/>
    </xf>
    <xf numFmtId="0" fontId="17" fillId="2" borderId="0" xfId="1" applyAlignment="1">
      <alignment wrapText="1"/>
    </xf>
    <xf numFmtId="0" fontId="17" fillId="2" borderId="0" xfId="1" applyAlignment="1">
      <alignment horizontal="center"/>
    </xf>
    <xf numFmtId="2" fontId="17" fillId="2" borderId="0" xfId="1" applyNumberFormat="1" applyAlignment="1">
      <alignment vertical="center"/>
    </xf>
    <xf numFmtId="0" fontId="17" fillId="2" borderId="0" xfId="1" applyAlignment="1"/>
    <xf numFmtId="0" fontId="0" fillId="0" borderId="0" xfId="0" applyAlignment="1" applyProtection="1">
      <alignment horizontal="center" vertical="center"/>
      <protection locked="0"/>
    </xf>
    <xf numFmtId="0" fontId="0" fillId="0" borderId="0" xfId="0" applyAlignment="1" applyProtection="1">
      <alignment horizontal="center" vertical="top"/>
      <protection locked="0"/>
    </xf>
    <xf numFmtId="2" fontId="0" fillId="0" borderId="0" xfId="0" applyNumberFormat="1" applyAlignment="1" applyProtection="1">
      <alignment vertical="center"/>
      <protection locked="0"/>
    </xf>
    <xf numFmtId="164" fontId="0" fillId="0" borderId="0" xfId="0" applyNumberFormat="1" applyAlignment="1" applyProtection="1">
      <alignment wrapText="1"/>
      <protection locked="0"/>
    </xf>
    <xf numFmtId="0" fontId="18" fillId="3" borderId="0" xfId="2" applyAlignment="1">
      <alignment horizontal="center" vertical="center"/>
    </xf>
    <xf numFmtId="0" fontId="18" fillId="3" borderId="0" xfId="2" applyAlignment="1">
      <alignment horizontal="center" vertical="top"/>
    </xf>
    <xf numFmtId="0" fontId="18" fillId="3" borderId="0" xfId="2" applyAlignment="1">
      <alignment wrapText="1"/>
    </xf>
    <xf numFmtId="0" fontId="18" fillId="3" borderId="0" xfId="2" applyAlignment="1">
      <alignment horizontal="center"/>
    </xf>
    <xf numFmtId="0" fontId="21" fillId="0" borderId="0" xfId="0" applyFont="1" applyProtection="1">
      <alignment vertical="top" wrapText="1"/>
      <protection locked="0"/>
    </xf>
    <xf numFmtId="0" fontId="27" fillId="5" borderId="2" xfId="1" applyFont="1" applyFill="1" applyBorder="1" applyAlignment="1">
      <alignment horizontal="center" vertical="center"/>
    </xf>
    <xf numFmtId="0" fontId="27" fillId="5" borderId="3" xfId="1" applyFont="1" applyFill="1" applyBorder="1" applyAlignment="1">
      <alignment horizontal="center" vertical="top"/>
    </xf>
    <xf numFmtId="0" fontId="27" fillId="5" borderId="3" xfId="1" applyFont="1" applyFill="1" applyBorder="1" applyAlignment="1">
      <alignment vertical="center" wrapText="1"/>
    </xf>
    <xf numFmtId="0" fontId="27" fillId="5" borderId="3" xfId="1" applyFont="1" applyFill="1" applyBorder="1" applyAlignment="1">
      <alignment horizontal="center"/>
    </xf>
    <xf numFmtId="2" fontId="27" fillId="5" borderId="3" xfId="1" applyNumberFormat="1" applyFont="1" applyFill="1" applyBorder="1" applyAlignment="1">
      <alignment vertical="center"/>
    </xf>
    <xf numFmtId="0" fontId="19" fillId="0" borderId="1" xfId="3">
      <alignment horizontal="justify" vertical="justify" wrapText="1"/>
    </xf>
    <xf numFmtId="0" fontId="0" fillId="0" borderId="0" xfId="0" quotePrefix="1" applyProtection="1">
      <alignment vertical="top" wrapText="1"/>
      <protection locked="0"/>
    </xf>
    <xf numFmtId="0" fontId="0" fillId="0" borderId="0" xfId="0" applyAlignment="1" applyProtection="1">
      <alignment wrapText="1"/>
      <protection locked="0"/>
    </xf>
    <xf numFmtId="0" fontId="29" fillId="0" borderId="0" xfId="0" applyFont="1" applyAlignment="1" applyProtection="1">
      <alignment horizontal="center" vertical="center"/>
      <protection locked="0"/>
    </xf>
    <xf numFmtId="0" fontId="30" fillId="0" borderId="0" xfId="0" applyFont="1" applyProtection="1">
      <alignment vertical="top" wrapText="1"/>
      <protection locked="0"/>
    </xf>
    <xf numFmtId="0" fontId="29" fillId="0" borderId="0" xfId="0" applyFont="1" applyAlignment="1" applyProtection="1">
      <alignment horizontal="center"/>
      <protection locked="0"/>
    </xf>
    <xf numFmtId="0" fontId="29" fillId="0" borderId="0" xfId="0" applyFont="1" applyProtection="1">
      <alignment vertical="top" wrapText="1"/>
      <protection locked="0"/>
    </xf>
    <xf numFmtId="0" fontId="0" fillId="0" borderId="0" xfId="0" applyAlignment="1" applyProtection="1">
      <alignment horizontal="left" vertical="top" wrapText="1"/>
      <protection locked="0"/>
    </xf>
    <xf numFmtId="0" fontId="17" fillId="6" borderId="0" xfId="1" applyFill="1" applyAlignment="1">
      <alignment horizontal="center" vertical="center"/>
    </xf>
    <xf numFmtId="0" fontId="17" fillId="6" borderId="0" xfId="1" applyFill="1" applyAlignment="1">
      <alignment horizontal="center" vertical="top"/>
    </xf>
    <xf numFmtId="0" fontId="31" fillId="6" borderId="0" xfId="1" applyFont="1" applyFill="1" applyAlignment="1">
      <alignment wrapText="1"/>
    </xf>
    <xf numFmtId="0" fontId="17" fillId="6" borderId="0" xfId="1" applyFill="1" applyAlignment="1">
      <alignment horizontal="center"/>
    </xf>
    <xf numFmtId="2" fontId="17" fillId="6" borderId="0" xfId="1" applyNumberFormat="1" applyFill="1" applyAlignment="1">
      <alignment vertical="center"/>
    </xf>
    <xf numFmtId="0" fontId="17" fillId="6" borderId="0" xfId="1" applyFill="1" applyAlignment="1">
      <alignment wrapText="1"/>
    </xf>
    <xf numFmtId="0" fontId="32" fillId="5" borderId="2" xfId="1" applyFont="1" applyFill="1" applyBorder="1" applyAlignment="1">
      <alignment horizontal="center" vertical="center"/>
    </xf>
    <xf numFmtId="0" fontId="32" fillId="5" borderId="3" xfId="1" applyFont="1" applyFill="1" applyBorder="1" applyAlignment="1">
      <alignment horizontal="center" vertical="top"/>
    </xf>
    <xf numFmtId="0" fontId="32" fillId="5" borderId="3" xfId="1" applyFont="1" applyFill="1" applyBorder="1" applyAlignment="1">
      <alignment vertical="center" wrapText="1"/>
    </xf>
    <xf numFmtId="0" fontId="32" fillId="5" borderId="3" xfId="1" applyFont="1" applyFill="1" applyBorder="1" applyAlignment="1">
      <alignment horizontal="center"/>
    </xf>
    <xf numFmtId="2" fontId="32" fillId="5" borderId="3" xfId="1" applyNumberFormat="1" applyFont="1" applyFill="1" applyBorder="1" applyAlignment="1">
      <alignment vertical="center"/>
    </xf>
    <xf numFmtId="0" fontId="32" fillId="5" borderId="3" xfId="1" applyFont="1" applyFill="1" applyBorder="1" applyAlignment="1">
      <alignment wrapText="1"/>
    </xf>
    <xf numFmtId="0" fontId="32" fillId="5" borderId="3" xfId="1" applyFont="1" applyFill="1" applyBorder="1" applyAlignment="1">
      <alignment vertical="center"/>
    </xf>
    <xf numFmtId="0" fontId="0" fillId="0" borderId="0" xfId="0" quotePrefix="1">
      <alignment vertical="top" wrapText="1"/>
    </xf>
    <xf numFmtId="0" fontId="18" fillId="3" borderId="0" xfId="2">
      <alignment horizontal="left" vertical="top" wrapText="1"/>
    </xf>
    <xf numFmtId="0" fontId="21" fillId="0" borderId="0" xfId="0" applyFont="1">
      <alignment vertical="top" wrapText="1"/>
    </xf>
    <xf numFmtId="0" fontId="29" fillId="0" borderId="0" xfId="0" applyFont="1">
      <alignment vertical="top" wrapText="1"/>
    </xf>
    <xf numFmtId="0" fontId="35" fillId="0" borderId="0" xfId="0" applyFont="1">
      <alignment vertical="top" wrapText="1"/>
    </xf>
    <xf numFmtId="0" fontId="36" fillId="0" borderId="0" xfId="0" applyFont="1">
      <alignment vertical="top" wrapText="1"/>
    </xf>
    <xf numFmtId="0" fontId="18" fillId="0" borderId="0" xfId="0" applyFont="1">
      <alignment vertical="top" wrapText="1"/>
    </xf>
    <xf numFmtId="0" fontId="37" fillId="0" borderId="0" xfId="0" applyFont="1" applyAlignment="1" applyProtection="1">
      <alignment wrapText="1"/>
      <protection locked="0"/>
    </xf>
    <xf numFmtId="0" fontId="30" fillId="0" borderId="0" xfId="0" applyFont="1">
      <alignment vertical="top" wrapText="1"/>
    </xf>
    <xf numFmtId="0" fontId="28" fillId="0" borderId="0" xfId="0" applyFont="1">
      <alignment vertical="top" wrapText="1"/>
    </xf>
    <xf numFmtId="0" fontId="38" fillId="0" borderId="0" xfId="0" applyFont="1">
      <alignment vertical="top" wrapText="1"/>
    </xf>
    <xf numFmtId="0" fontId="34" fillId="0" borderId="0" xfId="0" applyFont="1" applyProtection="1">
      <alignment vertical="top" wrapText="1"/>
      <protection locked="0"/>
    </xf>
    <xf numFmtId="0" fontId="31" fillId="6" borderId="0" xfId="1" applyFont="1" applyFill="1" applyAlignment="1"/>
    <xf numFmtId="0" fontId="0" fillId="0" borderId="0" xfId="0" applyAlignment="1" applyProtection="1">
      <alignment horizontal="center" vertical="center" wrapText="1"/>
      <protection locked="0"/>
    </xf>
    <xf numFmtId="0" fontId="18" fillId="3" borderId="0" xfId="2" applyAlignment="1">
      <alignment horizontal="center" vertical="top" wrapText="1"/>
    </xf>
    <xf numFmtId="0" fontId="0" fillId="0" borderId="0" xfId="0" applyAlignment="1" applyProtection="1">
      <alignment horizontal="center" vertical="top" wrapText="1"/>
      <protection locked="0"/>
    </xf>
    <xf numFmtId="2" fontId="18" fillId="3" borderId="0" xfId="2" applyNumberFormat="1" applyAlignment="1">
      <alignment horizontal="center" vertical="top" wrapText="1"/>
    </xf>
    <xf numFmtId="2" fontId="0" fillId="0" borderId="0" xfId="0" applyNumberFormat="1" applyProtection="1">
      <alignment vertical="top" wrapText="1"/>
      <protection locked="0"/>
    </xf>
    <xf numFmtId="0" fontId="38" fillId="0" borderId="0" xfId="0" applyFont="1" applyProtection="1">
      <alignment vertical="top" wrapText="1"/>
      <protection locked="0"/>
    </xf>
    <xf numFmtId="4" fontId="16" fillId="0" borderId="0" xfId="0" applyNumberFormat="1" applyFont="1" applyAlignment="1">
      <alignment horizontal="justify" vertical="top" wrapText="1"/>
    </xf>
    <xf numFmtId="0" fontId="39" fillId="0" borderId="0" xfId="0" applyFont="1" applyProtection="1">
      <alignment vertical="top" wrapText="1"/>
      <protection locked="0"/>
    </xf>
    <xf numFmtId="2" fontId="0" fillId="0" borderId="0" xfId="0" applyNumberFormat="1" applyAlignment="1" applyProtection="1">
      <alignment horizontal="center"/>
      <protection locked="0"/>
    </xf>
    <xf numFmtId="2" fontId="18" fillId="3" borderId="0" xfId="2" applyNumberFormat="1" applyAlignment="1">
      <alignment horizontal="center"/>
    </xf>
    <xf numFmtId="0" fontId="0" fillId="0" borderId="0" xfId="0" applyAlignment="1" applyProtection="1">
      <alignment horizontal="right" wrapText="1"/>
      <protection locked="0"/>
    </xf>
    <xf numFmtId="2" fontId="26" fillId="4" borderId="0" xfId="0" applyNumberFormat="1" applyFont="1" applyFill="1" applyAlignment="1" applyProtection="1">
      <alignment horizontal="center" vertical="center" wrapText="1"/>
      <protection locked="0"/>
    </xf>
    <xf numFmtId="0" fontId="0" fillId="0" borderId="0" xfId="0" applyAlignment="1">
      <alignment horizontal="center" vertical="top" wrapText="1"/>
    </xf>
    <xf numFmtId="2" fontId="17" fillId="2" borderId="0" xfId="1" applyNumberFormat="1" applyAlignment="1"/>
    <xf numFmtId="2" fontId="0" fillId="0" borderId="0" xfId="0" applyNumberFormat="1" applyAlignment="1" applyProtection="1">
      <protection locked="0"/>
    </xf>
    <xf numFmtId="2" fontId="18" fillId="3" borderId="0" xfId="2" applyNumberFormat="1" applyAlignment="1"/>
    <xf numFmtId="2" fontId="27" fillId="5" borderId="3" xfId="1" applyNumberFormat="1" applyFont="1" applyFill="1" applyBorder="1" applyAlignment="1"/>
    <xf numFmtId="2" fontId="29" fillId="0" borderId="0" xfId="0" applyNumberFormat="1" applyFont="1" applyAlignment="1" applyProtection="1">
      <protection locked="0"/>
    </xf>
    <xf numFmtId="2" fontId="30" fillId="0" borderId="0" xfId="0" applyNumberFormat="1" applyFont="1" applyAlignment="1" applyProtection="1">
      <alignment wrapText="1"/>
      <protection locked="0"/>
    </xf>
    <xf numFmtId="2" fontId="17" fillId="6" borderId="0" xfId="1" applyNumberFormat="1" applyFill="1" applyAlignment="1"/>
    <xf numFmtId="2" fontId="32" fillId="5" borderId="3" xfId="1" applyNumberFormat="1" applyFont="1" applyFill="1" applyBorder="1" applyAlignment="1"/>
    <xf numFmtId="2" fontId="0" fillId="0" borderId="0" xfId="0" applyNumberFormat="1" applyAlignment="1" applyProtection="1">
      <alignment horizontal="center" vertical="top" wrapText="1"/>
      <protection locked="0"/>
    </xf>
    <xf numFmtId="2" fontId="26" fillId="4" borderId="0" xfId="0" applyNumberFormat="1" applyFont="1" applyFill="1" applyAlignment="1" applyProtection="1">
      <alignment wrapText="1"/>
      <protection locked="0"/>
    </xf>
    <xf numFmtId="2" fontId="32" fillId="5" borderId="3" xfId="1" applyNumberFormat="1" applyFont="1" applyFill="1" applyBorder="1" applyAlignment="1">
      <alignment horizontal="center"/>
    </xf>
    <xf numFmtId="0" fontId="38" fillId="0" borderId="0" xfId="0" quotePrefix="1" applyFont="1">
      <alignment vertical="top" wrapText="1"/>
    </xf>
    <xf numFmtId="0" fontId="39" fillId="0" borderId="0" xfId="0" applyFont="1">
      <alignment vertical="top" wrapText="1"/>
    </xf>
    <xf numFmtId="0" fontId="27" fillId="5" borderId="3" xfId="1" applyFont="1" applyFill="1" applyBorder="1" applyAlignment="1">
      <alignment vertical="center"/>
    </xf>
    <xf numFmtId="0" fontId="32" fillId="5" borderId="3" xfId="1" applyFont="1" applyFill="1" applyBorder="1" applyAlignment="1"/>
    <xf numFmtId="0" fontId="0" fillId="0" borderId="0" xfId="0" applyAlignment="1" applyProtection="1">
      <alignment vertical="top"/>
      <protection locked="0"/>
    </xf>
    <xf numFmtId="0" fontId="0" fillId="0" borderId="0" xfId="0" applyAlignment="1" applyProtection="1">
      <alignment horizontal="right" vertical="top" wrapText="1"/>
      <protection locked="0"/>
    </xf>
    <xf numFmtId="0" fontId="46" fillId="0" borderId="0" xfId="0" applyFont="1">
      <alignment vertical="top" wrapText="1"/>
    </xf>
    <xf numFmtId="0" fontId="19" fillId="0" borderId="1" xfId="3" applyAlignment="1">
      <alignment horizontal="right" vertical="justify" wrapText="1"/>
    </xf>
    <xf numFmtId="0" fontId="30" fillId="0" borderId="0" xfId="0" quotePrefix="1" applyFont="1" applyProtection="1">
      <alignment vertical="top" wrapText="1"/>
      <protection locked="0"/>
    </xf>
    <xf numFmtId="0" fontId="38" fillId="0" borderId="0" xfId="0" quotePrefix="1" applyFont="1" applyProtection="1">
      <alignment vertical="top" wrapText="1"/>
      <protection locked="0"/>
    </xf>
    <xf numFmtId="0" fontId="19" fillId="0" borderId="1" xfId="3" applyAlignment="1">
      <alignment horizontal="left" vertical="justify" wrapText="1"/>
    </xf>
    <xf numFmtId="0" fontId="19" fillId="0" borderId="1" xfId="3" quotePrefix="1">
      <alignment horizontal="justify" vertical="justify" wrapText="1"/>
    </xf>
    <xf numFmtId="0" fontId="19" fillId="3" borderId="0" xfId="2" applyFont="1">
      <alignment horizontal="left" vertical="top" wrapText="1"/>
    </xf>
    <xf numFmtId="0" fontId="19" fillId="0" borderId="1" xfId="3" applyAlignment="1">
      <alignment horizontal="center" vertical="justify" wrapText="1"/>
    </xf>
    <xf numFmtId="0" fontId="47" fillId="0" borderId="0" xfId="0" applyFont="1" applyAlignment="1" applyProtection="1">
      <alignment horizontal="left" vertical="top"/>
      <protection locked="0"/>
    </xf>
    <xf numFmtId="165" fontId="52" fillId="0" borderId="0" xfId="0" applyNumberFormat="1" applyFont="1" applyAlignment="1">
      <alignment horizontal="center" vertical="top" wrapText="1"/>
    </xf>
    <xf numFmtId="0" fontId="55" fillId="0" borderId="0" xfId="0" applyFont="1" applyAlignment="1">
      <alignment wrapText="1"/>
    </xf>
    <xf numFmtId="0" fontId="0" fillId="0" borderId="0" xfId="0" applyAlignment="1"/>
    <xf numFmtId="0" fontId="54" fillId="0" borderId="0" xfId="0" applyFont="1" applyAlignment="1">
      <alignment horizontal="center" vertical="top" wrapText="1"/>
    </xf>
    <xf numFmtId="2" fontId="52" fillId="0" borderId="0" xfId="0" applyNumberFormat="1" applyFont="1" applyAlignment="1">
      <alignment horizontal="center"/>
    </xf>
    <xf numFmtId="0" fontId="48" fillId="0" borderId="0" xfId="0" applyFont="1" applyAlignment="1"/>
    <xf numFmtId="0" fontId="52" fillId="0" borderId="0" xfId="0" applyFont="1" applyAlignment="1">
      <alignment horizontal="center" vertical="top" wrapText="1"/>
    </xf>
    <xf numFmtId="0" fontId="52" fillId="0" borderId="0" xfId="0" applyFont="1">
      <alignment vertical="top" wrapText="1"/>
    </xf>
    <xf numFmtId="0" fontId="52" fillId="0" borderId="0" xfId="0" applyFont="1" applyAlignment="1">
      <alignment horizontal="center" wrapText="1"/>
    </xf>
    <xf numFmtId="4" fontId="52" fillId="0" borderId="0" xfId="0" applyNumberFormat="1" applyFont="1" applyAlignment="1">
      <alignment horizontal="right" wrapText="1"/>
    </xf>
    <xf numFmtId="4" fontId="52" fillId="0" borderId="0" xfId="0" applyNumberFormat="1" applyFont="1" applyAlignment="1">
      <alignment wrapText="1"/>
    </xf>
    <xf numFmtId="0" fontId="51" fillId="0" borderId="0" xfId="0" applyFont="1">
      <alignment vertical="top" wrapText="1"/>
    </xf>
    <xf numFmtId="3" fontId="52" fillId="0" borderId="0" xfId="0" applyNumberFormat="1" applyFont="1" applyAlignment="1">
      <alignment horizontal="right" wrapText="1"/>
    </xf>
    <xf numFmtId="0" fontId="48" fillId="0" borderId="0" xfId="0" applyFont="1" applyAlignment="1">
      <alignment horizontal="left" vertical="top" wrapText="1"/>
    </xf>
    <xf numFmtId="166" fontId="52" fillId="0" borderId="0" xfId="0" applyNumberFormat="1" applyFont="1" applyAlignment="1">
      <alignment horizontal="right" wrapText="1"/>
    </xf>
    <xf numFmtId="0" fontId="32" fillId="0" borderId="0" xfId="0" applyFont="1" applyProtection="1">
      <alignment vertical="top" wrapText="1"/>
      <protection locked="0"/>
    </xf>
    <xf numFmtId="0" fontId="45" fillId="0" borderId="0" xfId="3" applyFont="1" applyBorder="1">
      <alignment horizontal="justify" vertical="justify" wrapText="1"/>
    </xf>
    <xf numFmtId="0" fontId="57" fillId="0" borderId="0" xfId="0" applyFont="1" applyProtection="1">
      <alignment vertical="top" wrapText="1"/>
      <protection locked="0"/>
    </xf>
    <xf numFmtId="0" fontId="56" fillId="5" borderId="0" xfId="1" applyFont="1" applyFill="1" applyAlignment="1">
      <alignment horizontal="center" vertical="center"/>
    </xf>
    <xf numFmtId="0" fontId="56" fillId="5" borderId="0" xfId="1" applyFont="1" applyFill="1" applyAlignment="1">
      <alignment horizontal="center" vertical="top"/>
    </xf>
    <xf numFmtId="0" fontId="56" fillId="5" borderId="0" xfId="1" applyFont="1" applyFill="1" applyAlignment="1">
      <alignment vertical="center" wrapText="1"/>
    </xf>
    <xf numFmtId="0" fontId="56" fillId="5" borderId="0" xfId="1" applyFont="1" applyFill="1" applyAlignment="1">
      <alignment horizontal="center"/>
    </xf>
    <xf numFmtId="2" fontId="56" fillId="5" borderId="0" xfId="1" applyNumberFormat="1" applyFont="1" applyFill="1" applyAlignment="1">
      <alignment vertical="center"/>
    </xf>
    <xf numFmtId="0" fontId="57" fillId="5" borderId="0" xfId="0" applyFont="1" applyFill="1" applyProtection="1">
      <alignment vertical="top" wrapText="1"/>
      <protection locked="0"/>
    </xf>
    <xf numFmtId="0" fontId="57" fillId="5" borderId="0" xfId="0" applyFont="1" applyFill="1" applyAlignment="1" applyProtection="1">
      <alignment horizontal="center" vertical="center"/>
      <protection locked="0"/>
    </xf>
    <xf numFmtId="0" fontId="57" fillId="5" borderId="0" xfId="0" applyFont="1" applyFill="1" applyAlignment="1" applyProtection="1">
      <alignment horizontal="center" vertical="top"/>
      <protection locked="0"/>
    </xf>
    <xf numFmtId="0" fontId="58" fillId="5" borderId="0" xfId="0" applyFont="1" applyFill="1">
      <alignment vertical="top" wrapText="1"/>
    </xf>
    <xf numFmtId="0" fontId="57" fillId="5" borderId="0" xfId="0" applyFont="1" applyFill="1" applyAlignment="1" applyProtection="1">
      <alignment horizontal="center"/>
      <protection locked="0"/>
    </xf>
    <xf numFmtId="2" fontId="57" fillId="5" borderId="0" xfId="0" applyNumberFormat="1" applyFont="1" applyFill="1" applyAlignment="1" applyProtection="1">
      <alignment vertical="center"/>
      <protection locked="0"/>
    </xf>
    <xf numFmtId="0" fontId="57" fillId="5" borderId="0" xfId="0" applyFont="1" applyFill="1">
      <alignment vertical="top" wrapText="1"/>
    </xf>
    <xf numFmtId="0" fontId="59" fillId="5" borderId="0" xfId="2" applyFont="1" applyFill="1" applyAlignment="1">
      <alignment horizontal="center" vertical="top" wrapText="1"/>
    </xf>
    <xf numFmtId="0" fontId="59" fillId="5" borderId="0" xfId="2" applyFont="1" applyFill="1">
      <alignment horizontal="left" vertical="top" wrapText="1"/>
    </xf>
    <xf numFmtId="0" fontId="62" fillId="2" borderId="0" xfId="0" applyFont="1" applyFill="1" applyAlignment="1">
      <alignment horizontal="center" vertical="top" wrapText="1"/>
    </xf>
    <xf numFmtId="0" fontId="63" fillId="2" borderId="0" xfId="0" applyFont="1" applyFill="1" applyAlignment="1">
      <alignment horizontal="center" vertical="top" wrapText="1"/>
    </xf>
    <xf numFmtId="0" fontId="62" fillId="2" borderId="0" xfId="0" applyFont="1" applyFill="1" applyAlignment="1">
      <alignment horizontal="left" vertical="top" wrapText="1"/>
    </xf>
    <xf numFmtId="0" fontId="64" fillId="2" borderId="0" xfId="0" applyFont="1" applyFill="1" applyAlignment="1" applyProtection="1">
      <alignment horizontal="center" vertical="center" wrapText="1"/>
      <protection locked="0"/>
    </xf>
    <xf numFmtId="2" fontId="10" fillId="2" borderId="0" xfId="0" applyNumberFormat="1" applyFont="1" applyFill="1" applyAlignment="1" applyProtection="1">
      <alignment horizontal="center" vertical="center" wrapText="1"/>
      <protection locked="0"/>
    </xf>
    <xf numFmtId="168" fontId="66" fillId="2" borderId="0" xfId="0" applyNumberFormat="1" applyFont="1" applyFill="1" applyAlignment="1">
      <alignment horizontal="right" vertical="center"/>
    </xf>
    <xf numFmtId="0" fontId="43" fillId="0" borderId="0" xfId="0" applyFont="1" applyAlignment="1">
      <alignment horizontal="center" vertical="top" wrapText="1"/>
    </xf>
    <xf numFmtId="0" fontId="43" fillId="0" borderId="0" xfId="0" applyFont="1" applyAlignment="1">
      <alignment horizontal="left" wrapText="1"/>
    </xf>
    <xf numFmtId="0" fontId="43" fillId="0" borderId="0" xfId="0" applyFont="1" applyAlignment="1">
      <alignment horizontal="center" vertical="center" wrapText="1"/>
    </xf>
    <xf numFmtId="0" fontId="44" fillId="0" borderId="0" xfId="0" applyFont="1" applyAlignment="1">
      <alignment horizontal="center" vertical="center"/>
    </xf>
    <xf numFmtId="168" fontId="44" fillId="0" borderId="0" xfId="0" applyNumberFormat="1" applyFont="1" applyAlignment="1">
      <alignment horizontal="right" vertical="center"/>
    </xf>
    <xf numFmtId="0" fontId="67" fillId="0" borderId="0" xfId="0" applyFont="1" applyAlignment="1">
      <alignment horizontal="center" vertical="top" wrapText="1"/>
    </xf>
    <xf numFmtId="0" fontId="68" fillId="0" borderId="0" xfId="0" applyFont="1" applyAlignment="1">
      <alignment horizontal="center" vertical="center" wrapText="1"/>
    </xf>
    <xf numFmtId="0" fontId="69" fillId="0" borderId="0" xfId="0" applyFont="1" applyAlignment="1">
      <alignment horizontal="center" vertical="center"/>
    </xf>
    <xf numFmtId="168" fontId="69" fillId="0" borderId="0" xfId="0" applyNumberFormat="1" applyFont="1" applyAlignment="1">
      <alignment horizontal="right" vertical="center"/>
    </xf>
    <xf numFmtId="0" fontId="10" fillId="0" borderId="0" xfId="0" applyFont="1">
      <alignment vertical="top" wrapText="1"/>
    </xf>
    <xf numFmtId="0" fontId="70" fillId="0" borderId="0" xfId="0" applyFont="1">
      <alignment vertical="top" wrapText="1"/>
    </xf>
    <xf numFmtId="0" fontId="71" fillId="0" borderId="0" xfId="0" applyFont="1">
      <alignment vertical="top" wrapText="1"/>
    </xf>
    <xf numFmtId="0" fontId="69" fillId="0" borderId="0" xfId="0" applyFont="1">
      <alignment vertical="top" wrapText="1"/>
    </xf>
    <xf numFmtId="0" fontId="17" fillId="2" borderId="0" xfId="1" applyAlignment="1">
      <alignment horizontal="center" vertical="top" wrapText="1"/>
    </xf>
    <xf numFmtId="0" fontId="17" fillId="2" borderId="0" xfId="1" applyAlignment="1">
      <alignment horizontal="left" vertical="top" wrapText="1"/>
    </xf>
    <xf numFmtId="0" fontId="17" fillId="2" borderId="0" xfId="1" applyAlignment="1">
      <alignment horizontal="center" vertical="center" wrapText="1"/>
    </xf>
    <xf numFmtId="168" fontId="63" fillId="2" borderId="0" xfId="0" applyNumberFormat="1" applyFont="1" applyFill="1" applyAlignment="1">
      <alignment horizontal="right" vertical="center" wrapText="1"/>
    </xf>
    <xf numFmtId="0" fontId="52" fillId="0" borderId="0" xfId="0" applyFont="1" applyAlignment="1">
      <alignment wrapText="1"/>
    </xf>
    <xf numFmtId="4" fontId="10" fillId="0" borderId="0" xfId="0" applyNumberFormat="1" applyFont="1" applyAlignment="1">
      <alignment wrapText="1"/>
    </xf>
    <xf numFmtId="0" fontId="10" fillId="0" borderId="0" xfId="0" applyFont="1" applyAlignment="1">
      <alignment horizontal="center" wrapText="1"/>
    </xf>
    <xf numFmtId="0" fontId="10" fillId="0" borderId="0" xfId="0" applyFont="1" applyAlignment="1">
      <alignment horizontal="left" wrapText="1"/>
    </xf>
    <xf numFmtId="4" fontId="10" fillId="0" borderId="0" xfId="0" applyNumberFormat="1" applyFont="1" applyAlignment="1">
      <alignment horizontal="center" vertical="center" wrapText="1"/>
    </xf>
    <xf numFmtId="2" fontId="10" fillId="0" borderId="0" xfId="0" applyNumberFormat="1" applyFont="1" applyAlignment="1">
      <alignment horizontal="center" vertical="center" wrapText="1"/>
    </xf>
    <xf numFmtId="168" fontId="44" fillId="0" borderId="0" xfId="0" applyNumberFormat="1" applyFont="1" applyAlignment="1">
      <alignment horizontal="right" vertical="center" wrapText="1"/>
    </xf>
    <xf numFmtId="4" fontId="72" fillId="0" borderId="0" xfId="0" applyNumberFormat="1" applyFont="1" applyAlignment="1">
      <alignment wrapText="1"/>
    </xf>
    <xf numFmtId="0" fontId="10" fillId="0" borderId="0" xfId="0" applyFont="1" applyAlignment="1">
      <alignment horizontal="left" vertical="top" wrapText="1"/>
    </xf>
    <xf numFmtId="0" fontId="10" fillId="0" borderId="0" xfId="0" applyFont="1" applyAlignment="1">
      <alignment horizontal="left" vertical="top" wrapText="1" shrinkToFit="1"/>
    </xf>
    <xf numFmtId="2" fontId="10" fillId="0" borderId="0" xfId="0" applyNumberFormat="1" applyFont="1" applyAlignment="1">
      <alignment horizontal="center" wrapText="1"/>
    </xf>
    <xf numFmtId="168" fontId="44" fillId="0" borderId="0" xfId="0" applyNumberFormat="1" applyFont="1" applyAlignment="1">
      <alignment horizontal="right" wrapText="1"/>
    </xf>
    <xf numFmtId="0" fontId="10" fillId="0" borderId="0" xfId="0" applyFont="1" applyAlignment="1">
      <alignment horizontal="center" vertical="top" wrapText="1"/>
    </xf>
    <xf numFmtId="2" fontId="66" fillId="0" borderId="0" xfId="0" applyNumberFormat="1" applyFont="1" applyAlignment="1">
      <alignment horizontal="center" vertical="center" wrapText="1"/>
    </xf>
    <xf numFmtId="0" fontId="10" fillId="0" borderId="0" xfId="0" applyFont="1" applyAlignment="1">
      <alignment horizontal="right" vertical="top" wrapText="1" shrinkToFit="1"/>
    </xf>
    <xf numFmtId="4" fontId="10" fillId="0" borderId="0" xfId="0" applyNumberFormat="1" applyFont="1" applyAlignment="1">
      <alignment horizontal="center" vertical="center"/>
    </xf>
    <xf numFmtId="4" fontId="73" fillId="0" borderId="0" xfId="0" applyNumberFormat="1" applyFont="1" applyAlignment="1">
      <alignment wrapText="1"/>
    </xf>
    <xf numFmtId="0" fontId="73" fillId="0" borderId="0" xfId="0" applyFont="1" applyAlignment="1">
      <alignment horizontal="center" vertical="top" wrapText="1"/>
    </xf>
    <xf numFmtId="0" fontId="74" fillId="0" borderId="0" xfId="0" applyFont="1" applyAlignment="1">
      <alignment horizontal="left" vertical="top" wrapText="1" shrinkToFit="1"/>
    </xf>
    <xf numFmtId="4" fontId="73" fillId="0" borderId="0" xfId="0" applyNumberFormat="1" applyFont="1" applyAlignment="1">
      <alignment horizontal="center" vertical="center" wrapText="1"/>
    </xf>
    <xf numFmtId="2" fontId="73" fillId="0" borderId="0" xfId="0" applyNumberFormat="1" applyFont="1" applyAlignment="1">
      <alignment horizontal="center" vertical="center" wrapText="1"/>
    </xf>
    <xf numFmtId="168" fontId="44" fillId="2" borderId="0" xfId="0" applyNumberFormat="1" applyFont="1" applyFill="1" applyAlignment="1">
      <alignment horizontal="right" vertical="center" wrapText="1"/>
    </xf>
    <xf numFmtId="0" fontId="72" fillId="0" borderId="0" xfId="0" applyFont="1" applyAlignment="1">
      <alignment wrapText="1"/>
    </xf>
    <xf numFmtId="0" fontId="66" fillId="0" borderId="0" xfId="0" applyFont="1" applyAlignment="1">
      <alignment horizontal="center" vertical="top"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66" fillId="0" borderId="0" xfId="0" applyFont="1">
      <alignment vertical="top" wrapText="1"/>
    </xf>
    <xf numFmtId="4" fontId="11" fillId="0" borderId="0" xfId="0" applyNumberFormat="1" applyFont="1" applyAlignment="1">
      <alignment horizontal="center" vertical="center" wrapText="1"/>
    </xf>
    <xf numFmtId="0" fontId="10" fillId="0" borderId="0" xfId="0" applyFont="1" applyAlignment="1">
      <alignment wrapText="1"/>
    </xf>
    <xf numFmtId="0" fontId="10" fillId="0" borderId="0" xfId="0" applyFont="1" applyAlignment="1">
      <alignment horizontal="justify" vertical="top"/>
    </xf>
    <xf numFmtId="0" fontId="44" fillId="0" borderId="0" xfId="0" applyFont="1">
      <alignment vertical="top" wrapText="1"/>
    </xf>
    <xf numFmtId="0" fontId="64" fillId="0" borderId="0" xfId="0" applyFont="1" applyAlignment="1">
      <alignment horizontal="center" vertical="center" wrapText="1"/>
    </xf>
    <xf numFmtId="0" fontId="10" fillId="0" borderId="0" xfId="0" applyFont="1" applyAlignment="1">
      <alignment vertical="center" wrapText="1"/>
    </xf>
    <xf numFmtId="0" fontId="75" fillId="0" borderId="0" xfId="0" applyFont="1" applyAlignment="1">
      <alignment vertical="center" wrapText="1"/>
    </xf>
    <xf numFmtId="0" fontId="39" fillId="0" borderId="1" xfId="3" applyFont="1">
      <alignment horizontal="justify" vertical="justify" wrapText="1"/>
    </xf>
    <xf numFmtId="0" fontId="43" fillId="0" borderId="0" xfId="0" applyFont="1">
      <alignment vertical="top" wrapText="1"/>
    </xf>
    <xf numFmtId="0" fontId="61" fillId="0" borderId="0" xfId="0" applyFont="1">
      <alignment vertical="top" wrapText="1"/>
    </xf>
    <xf numFmtId="0" fontId="43" fillId="0" borderId="0" xfId="0" applyFont="1" applyAlignment="1">
      <alignment vertical="center" wrapText="1"/>
    </xf>
    <xf numFmtId="0" fontId="43" fillId="0" borderId="0" xfId="0" applyFont="1" applyAlignment="1">
      <alignment horizontal="left" vertical="top" wrapText="1"/>
    </xf>
    <xf numFmtId="0" fontId="76" fillId="2" borderId="0" xfId="0" applyFont="1" applyFill="1" applyAlignment="1">
      <alignment horizontal="center" vertical="top" wrapText="1"/>
    </xf>
    <xf numFmtId="0" fontId="77" fillId="2" borderId="0" xfId="0" applyFont="1" applyFill="1" applyAlignment="1">
      <alignment horizontal="center" vertical="top" wrapText="1"/>
    </xf>
    <xf numFmtId="0" fontId="76" fillId="2" borderId="0" xfId="0" applyFont="1" applyFill="1" applyAlignment="1">
      <alignment horizontal="left" vertical="top" wrapText="1"/>
    </xf>
    <xf numFmtId="167" fontId="77" fillId="2" borderId="0" xfId="0" applyNumberFormat="1" applyFont="1" applyFill="1" applyAlignment="1">
      <alignment horizontal="center" vertical="center" wrapText="1"/>
    </xf>
    <xf numFmtId="0" fontId="77" fillId="2" borderId="0" xfId="0" applyFont="1" applyFill="1" applyAlignment="1">
      <alignment horizontal="center" vertical="center"/>
    </xf>
    <xf numFmtId="168" fontId="77" fillId="2" borderId="0" xfId="0" applyNumberFormat="1" applyFont="1" applyFill="1" applyAlignment="1">
      <alignment horizontal="right" vertical="center"/>
    </xf>
    <xf numFmtId="168" fontId="69" fillId="2" borderId="0" xfId="0" applyNumberFormat="1" applyFont="1" applyFill="1" applyAlignment="1">
      <alignment horizontal="right" vertical="center"/>
    </xf>
    <xf numFmtId="0" fontId="44" fillId="0" borderId="0" xfId="0" applyFont="1" applyAlignment="1">
      <alignment horizontal="center" vertical="top" wrapText="1"/>
    </xf>
    <xf numFmtId="167" fontId="44" fillId="0" borderId="0" xfId="0" applyNumberFormat="1" applyFont="1" applyAlignment="1">
      <alignment horizontal="center" vertical="center" wrapText="1"/>
    </xf>
    <xf numFmtId="0" fontId="72" fillId="0" borderId="0" xfId="0" applyFont="1" applyAlignment="1">
      <alignment horizontal="center" vertical="top"/>
    </xf>
    <xf numFmtId="0" fontId="10" fillId="0" borderId="0" xfId="0" applyFont="1" applyAlignment="1">
      <alignment horizontal="center" vertical="top"/>
    </xf>
    <xf numFmtId="0" fontId="44" fillId="0" borderId="0" xfId="0" applyFont="1" applyAlignment="1">
      <alignment horizontal="left" vertical="top" wrapText="1"/>
    </xf>
    <xf numFmtId="0" fontId="10" fillId="0" borderId="0" xfId="0" applyFont="1" applyAlignment="1">
      <alignment horizontal="center" vertical="center"/>
    </xf>
    <xf numFmtId="0" fontId="44" fillId="0" borderId="0" xfId="0" applyFont="1" applyAlignment="1">
      <alignment horizontal="right" vertical="center" wrapText="1"/>
    </xf>
    <xf numFmtId="0" fontId="0" fillId="0" borderId="0" xfId="0" applyAlignment="1">
      <alignment horizontal="center" vertical="center"/>
    </xf>
    <xf numFmtId="0" fontId="71" fillId="0" borderId="0" xfId="0" applyFont="1" applyAlignment="1">
      <alignment vertical="top"/>
    </xf>
    <xf numFmtId="0" fontId="44" fillId="0" borderId="0" xfId="0" applyFont="1" applyAlignment="1">
      <alignment horizontal="right"/>
    </xf>
    <xf numFmtId="0" fontId="69" fillId="0" borderId="0" xfId="0" applyFont="1" applyAlignment="1">
      <alignment horizontal="left" vertical="center"/>
    </xf>
    <xf numFmtId="0" fontId="44" fillId="0" borderId="0" xfId="0" applyFont="1" applyAlignment="1">
      <alignment horizontal="left" vertical="center" wrapText="1"/>
    </xf>
    <xf numFmtId="0" fontId="5" fillId="0" borderId="0" xfId="0" applyFont="1">
      <alignment vertical="top" wrapText="1"/>
    </xf>
    <xf numFmtId="0" fontId="44" fillId="0" borderId="0" xfId="0" applyFont="1" applyAlignment="1">
      <alignment horizontal="left" vertical="center"/>
    </xf>
    <xf numFmtId="2" fontId="69" fillId="0" borderId="0" xfId="0" applyNumberFormat="1" applyFont="1" applyAlignment="1">
      <alignment horizontal="center" vertical="center"/>
    </xf>
    <xf numFmtId="167" fontId="76" fillId="2" borderId="0" xfId="0" applyNumberFormat="1" applyFont="1" applyFill="1" applyAlignment="1">
      <alignment horizontal="center" vertical="top" wrapText="1"/>
    </xf>
    <xf numFmtId="4" fontId="76" fillId="2" borderId="0" xfId="0" applyNumberFormat="1" applyFont="1" applyFill="1" applyAlignment="1">
      <alignment horizontal="center" vertical="center"/>
    </xf>
    <xf numFmtId="168" fontId="76" fillId="2" borderId="0" xfId="0" applyNumberFormat="1" applyFont="1" applyFill="1" applyAlignment="1">
      <alignment horizontal="right" vertical="center"/>
    </xf>
    <xf numFmtId="0" fontId="43" fillId="0" borderId="0" xfId="0" applyFont="1" applyAlignment="1">
      <alignment horizontal="center" vertical="top"/>
    </xf>
    <xf numFmtId="0" fontId="44" fillId="0" borderId="0" xfId="0" applyFont="1" applyAlignment="1">
      <alignment horizontal="center" vertical="top"/>
    </xf>
    <xf numFmtId="0" fontId="10" fillId="0" borderId="0" xfId="0" applyFont="1" applyAlignment="1">
      <alignment horizontal="justify" vertical="top" wrapText="1"/>
    </xf>
    <xf numFmtId="167" fontId="76" fillId="0" borderId="0" xfId="0" applyNumberFormat="1" applyFont="1" applyAlignment="1">
      <alignment horizontal="center" vertical="top" wrapText="1"/>
    </xf>
    <xf numFmtId="0" fontId="77" fillId="0" borderId="0" xfId="0" applyFont="1" applyAlignment="1">
      <alignment horizontal="center" vertical="top" wrapText="1"/>
    </xf>
    <xf numFmtId="0" fontId="76" fillId="0" borderId="0" xfId="0" applyFont="1" applyAlignment="1">
      <alignment horizontal="left" vertical="top" wrapText="1"/>
    </xf>
    <xf numFmtId="0" fontId="77" fillId="0" borderId="0" xfId="0" applyFont="1" applyAlignment="1">
      <alignment horizontal="center" vertical="center"/>
    </xf>
    <xf numFmtId="168" fontId="77" fillId="0" borderId="0" xfId="0" applyNumberFormat="1" applyFont="1" applyAlignment="1">
      <alignment horizontal="right" vertical="center"/>
    </xf>
    <xf numFmtId="0" fontId="44" fillId="0" borderId="0" xfId="0" applyFont="1" applyAlignment="1">
      <alignment horizontal="right" vertical="top" wrapText="1"/>
    </xf>
    <xf numFmtId="4" fontId="76" fillId="2" borderId="0" xfId="0" applyNumberFormat="1" applyFont="1" applyFill="1" applyAlignment="1">
      <alignment horizontal="center" vertical="top" wrapText="1"/>
    </xf>
    <xf numFmtId="4" fontId="76" fillId="0" borderId="0" xfId="0" applyNumberFormat="1" applyFont="1" applyAlignment="1">
      <alignment horizontal="center" vertical="top" wrapText="1"/>
    </xf>
    <xf numFmtId="0" fontId="52" fillId="0" borderId="0" xfId="0" applyFont="1" applyAlignment="1">
      <alignment horizontal="center" vertical="center" wrapText="1"/>
    </xf>
    <xf numFmtId="0" fontId="44" fillId="0" borderId="0" xfId="0" applyFont="1" applyAlignment="1">
      <alignment wrapText="1"/>
    </xf>
    <xf numFmtId="2" fontId="76" fillId="2" borderId="0" xfId="0" applyNumberFormat="1" applyFont="1" applyFill="1" applyAlignment="1">
      <alignment horizontal="center" vertical="top" wrapText="1"/>
    </xf>
    <xf numFmtId="168" fontId="27" fillId="5" borderId="10" xfId="1" applyNumberFormat="1" applyFont="1" applyFill="1" applyBorder="1" applyAlignment="1">
      <alignment horizontal="center" vertical="center"/>
    </xf>
    <xf numFmtId="168" fontId="0" fillId="5" borderId="3" xfId="0" applyNumberFormat="1" applyFill="1" applyBorder="1" applyAlignment="1">
      <alignment wrapText="1"/>
    </xf>
    <xf numFmtId="0" fontId="0" fillId="0" borderId="0" xfId="0" applyAlignment="1">
      <alignment horizontal="right" vertical="top" wrapText="1"/>
    </xf>
    <xf numFmtId="16" fontId="18" fillId="3" borderId="0" xfId="2" applyNumberFormat="1" applyAlignment="1">
      <alignment horizontal="center" vertical="top" wrapText="1"/>
    </xf>
    <xf numFmtId="0" fontId="27" fillId="5" borderId="0" xfId="1" applyFont="1" applyFill="1" applyAlignment="1">
      <alignment horizontal="center" vertical="center"/>
    </xf>
    <xf numFmtId="0" fontId="27" fillId="5" borderId="0" xfId="1" applyFont="1" applyFill="1" applyAlignment="1">
      <alignment horizontal="center" vertical="top"/>
    </xf>
    <xf numFmtId="0" fontId="27" fillId="5" borderId="0" xfId="1" applyFont="1" applyFill="1" applyAlignment="1">
      <alignment vertical="center" wrapText="1"/>
    </xf>
    <xf numFmtId="0" fontId="27" fillId="5" borderId="0" xfId="1" applyFont="1" applyFill="1" applyAlignment="1">
      <alignment horizontal="center"/>
    </xf>
    <xf numFmtId="2" fontId="27" fillId="5" borderId="0" xfId="1" applyNumberFormat="1" applyFont="1" applyFill="1" applyAlignment="1">
      <alignment vertical="center"/>
    </xf>
    <xf numFmtId="0" fontId="17" fillId="2" borderId="0" xfId="1" applyAlignment="1">
      <alignment vertical="top" wrapText="1"/>
    </xf>
    <xf numFmtId="0" fontId="0" fillId="0" borderId="0" xfId="0" quotePrefix="1" applyAlignment="1" applyProtection="1">
      <alignment wrapText="1"/>
      <protection locked="0"/>
    </xf>
    <xf numFmtId="0" fontId="18" fillId="0" borderId="0" xfId="0" applyFont="1" applyProtection="1">
      <alignment vertical="top" wrapText="1"/>
      <protection locked="0"/>
    </xf>
    <xf numFmtId="0" fontId="17" fillId="2" borderId="0" xfId="1" applyAlignment="1">
      <alignment vertical="center" wrapText="1"/>
    </xf>
    <xf numFmtId="0" fontId="7" fillId="0" borderId="0" xfId="7"/>
    <xf numFmtId="0" fontId="16" fillId="0" borderId="0" xfId="7" applyFont="1"/>
    <xf numFmtId="169" fontId="84" fillId="0" borderId="0" xfId="7" applyNumberFormat="1" applyFont="1" applyAlignment="1">
      <alignment horizontal="left" vertical="top"/>
    </xf>
    <xf numFmtId="0" fontId="84" fillId="0" borderId="0" xfId="7" applyFont="1"/>
    <xf numFmtId="0" fontId="87" fillId="0" borderId="0" xfId="7" applyFont="1" applyAlignment="1">
      <alignment vertical="top" wrapText="1"/>
    </xf>
    <xf numFmtId="0" fontId="87" fillId="0" borderId="0" xfId="7" quotePrefix="1" applyFont="1" applyAlignment="1">
      <alignment vertical="top" wrapText="1"/>
    </xf>
    <xf numFmtId="0" fontId="84" fillId="0" borderId="0" xfId="7" applyFont="1" applyAlignment="1">
      <alignment vertical="top" wrapText="1"/>
    </xf>
    <xf numFmtId="0" fontId="84" fillId="0" borderId="0" xfId="7" quotePrefix="1" applyFont="1" applyAlignment="1">
      <alignment vertical="top" wrapText="1"/>
    </xf>
    <xf numFmtId="0" fontId="84" fillId="0" borderId="0" xfId="7" applyFont="1" applyAlignment="1">
      <alignment horizontal="left" vertical="top"/>
    </xf>
    <xf numFmtId="0" fontId="16" fillId="0" borderId="0" xfId="7" applyFont="1" applyAlignment="1">
      <alignment horizontal="left" vertical="center" wrapText="1" indent="1"/>
    </xf>
    <xf numFmtId="0" fontId="16" fillId="0" borderId="0" xfId="7" applyFont="1" applyAlignment="1">
      <alignment vertical="center" wrapText="1"/>
    </xf>
    <xf numFmtId="0" fontId="16" fillId="0" borderId="0" xfId="7" quotePrefix="1" applyFont="1" applyAlignment="1">
      <alignment vertical="center" wrapText="1"/>
    </xf>
    <xf numFmtId="0" fontId="84" fillId="0" borderId="0" xfId="7" applyFont="1" applyAlignment="1">
      <alignment vertical="top"/>
    </xf>
    <xf numFmtId="0" fontId="16" fillId="0" borderId="0" xfId="7" applyFont="1" applyAlignment="1">
      <alignment vertical="center"/>
    </xf>
    <xf numFmtId="0" fontId="16" fillId="0" borderId="0" xfId="7" quotePrefix="1" applyFont="1" applyAlignment="1">
      <alignment vertical="center"/>
    </xf>
    <xf numFmtId="0" fontId="94" fillId="0" borderId="0" xfId="7" applyFont="1" applyAlignment="1">
      <alignment vertical="center" wrapText="1"/>
    </xf>
    <xf numFmtId="0" fontId="16" fillId="0" borderId="0" xfId="7" applyFont="1" applyAlignment="1">
      <alignment horizontal="left"/>
    </xf>
    <xf numFmtId="0" fontId="16" fillId="0" borderId="0" xfId="7" applyFont="1" applyAlignment="1">
      <alignment horizontal="center"/>
    </xf>
    <xf numFmtId="0" fontId="16" fillId="0" borderId="0" xfId="7" applyFont="1" applyAlignment="1">
      <alignment horizontal="left" vertical="center" wrapText="1"/>
    </xf>
    <xf numFmtId="0" fontId="16" fillId="0" borderId="0" xfId="7" quotePrefix="1" applyFont="1" applyAlignment="1">
      <alignment horizontal="left" vertical="center" wrapText="1" indent="1"/>
    </xf>
    <xf numFmtId="9" fontId="16" fillId="0" borderId="0" xfId="7" applyNumberFormat="1" applyFont="1" applyAlignment="1">
      <alignment vertical="top" wrapText="1"/>
    </xf>
    <xf numFmtId="164" fontId="0" fillId="0" borderId="0" xfId="0" applyNumberFormat="1" applyProtection="1">
      <alignment vertical="top" wrapText="1"/>
      <protection locked="0"/>
    </xf>
    <xf numFmtId="164" fontId="0" fillId="0" borderId="0" xfId="0" applyNumberFormat="1">
      <alignment vertical="top" wrapText="1"/>
    </xf>
    <xf numFmtId="0" fontId="52" fillId="0" borderId="14" xfId="11" applyFont="1" applyBorder="1" applyAlignment="1">
      <alignment wrapText="1"/>
    </xf>
    <xf numFmtId="0" fontId="52" fillId="0" borderId="14" xfId="11" applyFont="1" applyBorder="1" applyAlignment="1">
      <alignment horizontal="center" vertical="center" wrapText="1"/>
    </xf>
    <xf numFmtId="2" fontId="52" fillId="0" borderId="14" xfId="11" applyNumberFormat="1" applyFont="1" applyBorder="1" applyAlignment="1">
      <alignment horizontal="center" vertical="center" wrapText="1"/>
    </xf>
    <xf numFmtId="0" fontId="52" fillId="0" borderId="22" xfId="11" applyFont="1" applyBorder="1" applyAlignment="1">
      <alignment wrapText="1"/>
    </xf>
    <xf numFmtId="0" fontId="52" fillId="0" borderId="0" xfId="11" applyFont="1" applyAlignment="1">
      <alignment wrapText="1"/>
    </xf>
    <xf numFmtId="168" fontId="53" fillId="8" borderId="33" xfId="12" applyNumberFormat="1" applyBorder="1" applyAlignment="1">
      <alignment horizontal="justify" vertical="justify" wrapText="1"/>
    </xf>
    <xf numFmtId="168" fontId="52" fillId="0" borderId="14" xfId="11" applyNumberFormat="1" applyFont="1" applyBorder="1" applyAlignment="1">
      <alignment wrapText="1"/>
    </xf>
    <xf numFmtId="168" fontId="53" fillId="8" borderId="14" xfId="12" applyNumberFormat="1" applyBorder="1">
      <alignment horizontal="left" vertical="justify" wrapText="1"/>
    </xf>
    <xf numFmtId="168" fontId="18" fillId="3" borderId="0" xfId="2" applyNumberFormat="1">
      <alignment horizontal="left" vertical="top" wrapText="1"/>
    </xf>
    <xf numFmtId="168" fontId="0" fillId="6" borderId="0" xfId="0" applyNumberFormat="1" applyFill="1" applyAlignment="1">
      <alignment wrapText="1"/>
    </xf>
    <xf numFmtId="168" fontId="0" fillId="0" borderId="0" xfId="0" applyNumberFormat="1" applyAlignment="1" applyProtection="1">
      <alignment wrapText="1"/>
      <protection locked="0"/>
    </xf>
    <xf numFmtId="168" fontId="33" fillId="5" borderId="4" xfId="0" applyNumberFormat="1" applyFont="1" applyFill="1" applyBorder="1" applyAlignment="1">
      <alignment vertical="center" wrapText="1"/>
    </xf>
    <xf numFmtId="168" fontId="17" fillId="6" borderId="0" xfId="0" applyNumberFormat="1" applyFont="1" applyFill="1" applyAlignment="1">
      <alignment wrapText="1"/>
    </xf>
    <xf numFmtId="168" fontId="26" fillId="4" borderId="0" xfId="0" applyNumberFormat="1" applyFont="1" applyFill="1" applyAlignment="1" applyProtection="1">
      <alignment horizontal="right"/>
      <protection locked="0"/>
    </xf>
    <xf numFmtId="168" fontId="17" fillId="2" borderId="0" xfId="0" applyNumberFormat="1" applyFont="1" applyFill="1" applyAlignment="1">
      <alignment horizontal="right"/>
    </xf>
    <xf numFmtId="168" fontId="0" fillId="0" borderId="0" xfId="0" applyNumberFormat="1" applyAlignment="1">
      <alignment horizontal="right" vertical="top" wrapText="1"/>
    </xf>
    <xf numFmtId="168" fontId="0" fillId="0" borderId="0" xfId="0" applyNumberFormat="1" applyAlignment="1" applyProtection="1">
      <alignment horizontal="right" wrapText="1"/>
      <protection locked="0"/>
    </xf>
    <xf numFmtId="168" fontId="18" fillId="3" borderId="0" xfId="0" applyNumberFormat="1" applyFont="1" applyFill="1" applyAlignment="1">
      <alignment horizontal="right"/>
    </xf>
    <xf numFmtId="168" fontId="0" fillId="0" borderId="0" xfId="0" applyNumberFormat="1" applyAlignment="1">
      <alignment horizontal="right"/>
    </xf>
    <xf numFmtId="168" fontId="48" fillId="0" borderId="0" xfId="0" applyNumberFormat="1" applyFont="1" applyAlignment="1">
      <alignment horizontal="right"/>
    </xf>
    <xf numFmtId="168" fontId="52" fillId="0" borderId="0" xfId="0" applyNumberFormat="1" applyFont="1" applyAlignment="1">
      <alignment horizontal="right" wrapText="1"/>
    </xf>
    <xf numFmtId="168" fontId="51" fillId="0" borderId="0" xfId="0" applyNumberFormat="1" applyFont="1" applyAlignment="1">
      <alignment horizontal="right" vertical="top" wrapText="1"/>
    </xf>
    <xf numFmtId="168" fontId="27" fillId="5" borderId="4" xfId="0" applyNumberFormat="1" applyFont="1" applyFill="1" applyBorder="1" applyAlignment="1">
      <alignment horizontal="right" wrapText="1"/>
    </xf>
    <xf numFmtId="168" fontId="26" fillId="4" borderId="0" xfId="0" applyNumberFormat="1" applyFont="1" applyFill="1" applyAlignment="1" applyProtection="1">
      <alignment horizontal="center"/>
      <protection locked="0"/>
    </xf>
    <xf numFmtId="168" fontId="17" fillId="2" borderId="0" xfId="0" applyNumberFormat="1" applyFont="1" applyFill="1" applyAlignment="1"/>
    <xf numFmtId="168" fontId="18" fillId="3" borderId="0" xfId="2" applyNumberFormat="1" applyAlignment="1">
      <alignment horizontal="left" wrapText="1"/>
    </xf>
    <xf numFmtId="168" fontId="27" fillId="5" borderId="4" xfId="0" applyNumberFormat="1" applyFont="1" applyFill="1" applyBorder="1" applyAlignment="1">
      <alignment wrapText="1"/>
    </xf>
    <xf numFmtId="168" fontId="52" fillId="0" borderId="14" xfId="15" applyNumberFormat="1" applyFont="1" applyBorder="1" applyAlignment="1">
      <alignment horizontal="right" wrapText="1"/>
    </xf>
    <xf numFmtId="0" fontId="52" fillId="0" borderId="14" xfId="15" applyFont="1" applyBorder="1" applyAlignment="1">
      <alignment wrapText="1"/>
    </xf>
    <xf numFmtId="168" fontId="53" fillId="8" borderId="14" xfId="12" applyNumberFormat="1" applyBorder="1" applyAlignment="1">
      <alignment horizontal="right" wrapText="1"/>
    </xf>
    <xf numFmtId="168" fontId="53" fillId="8" borderId="33" xfId="12" applyNumberFormat="1" applyBorder="1" applyAlignment="1">
      <alignment horizontal="right" wrapText="1"/>
    </xf>
    <xf numFmtId="168" fontId="52" fillId="0" borderId="0" xfId="15" applyNumberFormat="1" applyFont="1" applyAlignment="1">
      <alignment horizontal="right" wrapText="1"/>
    </xf>
    <xf numFmtId="0" fontId="52" fillId="0" borderId="22" xfId="15" applyFont="1" applyBorder="1" applyAlignment="1">
      <alignment wrapText="1"/>
    </xf>
    <xf numFmtId="0" fontId="52" fillId="0" borderId="0" xfId="15" applyFont="1" applyAlignment="1">
      <alignment wrapText="1"/>
    </xf>
    <xf numFmtId="2" fontId="0" fillId="6" borderId="0" xfId="0" applyNumberFormat="1" applyFill="1" applyAlignment="1">
      <alignment wrapText="1"/>
    </xf>
    <xf numFmtId="2" fontId="0" fillId="5" borderId="3" xfId="0" applyNumberFormat="1" applyFill="1" applyBorder="1" applyAlignment="1">
      <alignment wrapText="1"/>
    </xf>
    <xf numFmtId="2" fontId="0" fillId="0" borderId="0" xfId="0" applyNumberFormat="1" applyAlignment="1" applyProtection="1">
      <alignment horizontal="right" wrapText="1"/>
      <protection locked="0"/>
    </xf>
    <xf numFmtId="2" fontId="17" fillId="2" borderId="0" xfId="1" applyNumberFormat="1" applyAlignment="1">
      <alignment horizontal="right" wrapText="1"/>
    </xf>
    <xf numFmtId="168" fontId="105" fillId="4" borderId="14" xfId="11" applyNumberFormat="1" applyFont="1" applyFill="1" applyBorder="1" applyAlignment="1">
      <alignment horizontal="right" wrapText="1"/>
    </xf>
    <xf numFmtId="168" fontId="52" fillId="0" borderId="14" xfId="11" applyNumberFormat="1" applyFont="1" applyBorder="1" applyAlignment="1">
      <alignment horizontal="right" wrapText="1"/>
    </xf>
    <xf numFmtId="168" fontId="17" fillId="2" borderId="0" xfId="1" applyNumberFormat="1" applyAlignment="1">
      <alignment horizontal="right" wrapText="1"/>
    </xf>
    <xf numFmtId="168" fontId="52" fillId="0" borderId="31" xfId="11" applyNumberFormat="1" applyFont="1" applyBorder="1" applyAlignment="1">
      <alignment horizontal="right" wrapText="1"/>
    </xf>
    <xf numFmtId="168" fontId="52" fillId="0" borderId="28" xfId="11" applyNumberFormat="1" applyFont="1" applyBorder="1" applyAlignment="1">
      <alignment horizontal="right" wrapText="1"/>
    </xf>
    <xf numFmtId="168" fontId="52" fillId="0" borderId="0" xfId="11" applyNumberFormat="1" applyFont="1" applyAlignment="1">
      <alignment horizontal="right" wrapText="1"/>
    </xf>
    <xf numFmtId="168" fontId="18" fillId="3" borderId="0" xfId="2" applyNumberFormat="1" applyAlignment="1">
      <alignment horizontal="right" wrapText="1"/>
    </xf>
    <xf numFmtId="168" fontId="52" fillId="2" borderId="26" xfId="11" applyNumberFormat="1" applyFont="1" applyFill="1" applyBorder="1" applyAlignment="1">
      <alignment horizontal="right" wrapText="1"/>
    </xf>
    <xf numFmtId="168" fontId="27" fillId="5" borderId="4" xfId="1" applyNumberFormat="1" applyFont="1" applyFill="1" applyBorder="1" applyAlignment="1">
      <alignment horizontal="right"/>
    </xf>
    <xf numFmtId="168" fontId="0" fillId="6" borderId="0" xfId="0" applyNumberFormat="1" applyFill="1" applyAlignment="1">
      <alignment horizontal="right" wrapText="1"/>
    </xf>
    <xf numFmtId="168" fontId="33" fillId="5" borderId="4" xfId="0" applyNumberFormat="1" applyFont="1" applyFill="1" applyBorder="1" applyAlignment="1">
      <alignment horizontal="right" wrapText="1"/>
    </xf>
    <xf numFmtId="168" fontId="17" fillId="6" borderId="0" xfId="0" applyNumberFormat="1" applyFont="1" applyFill="1" applyAlignment="1">
      <alignment horizontal="right" wrapText="1"/>
    </xf>
    <xf numFmtId="0" fontId="0" fillId="0" borderId="0" xfId="0" applyAlignment="1" applyProtection="1">
      <alignment horizontal="right"/>
      <protection locked="0"/>
    </xf>
    <xf numFmtId="2" fontId="26" fillId="4" borderId="0" xfId="0" applyNumberFormat="1" applyFont="1" applyFill="1" applyAlignment="1" applyProtection="1">
      <alignment horizontal="center" wrapText="1"/>
      <protection locked="0"/>
    </xf>
    <xf numFmtId="2" fontId="27" fillId="5" borderId="3" xfId="1" applyNumberFormat="1" applyFont="1" applyFill="1" applyBorder="1" applyAlignment="1">
      <alignment wrapText="1"/>
    </xf>
    <xf numFmtId="168" fontId="18" fillId="3" borderId="0" xfId="0" applyNumberFormat="1" applyFont="1" applyFill="1" applyAlignment="1"/>
    <xf numFmtId="2" fontId="0" fillId="0" borderId="0" xfId="0" applyNumberFormat="1" applyAlignment="1"/>
    <xf numFmtId="2" fontId="48" fillId="0" borderId="0" xfId="0" applyNumberFormat="1" applyFont="1" applyAlignment="1"/>
    <xf numFmtId="2" fontId="52" fillId="0" borderId="0" xfId="0" applyNumberFormat="1" applyFont="1" applyAlignment="1">
      <alignment horizontal="right" wrapText="1"/>
    </xf>
    <xf numFmtId="2" fontId="52" fillId="0" borderId="0" xfId="0" applyNumberFormat="1" applyFont="1">
      <alignment vertical="top" wrapText="1"/>
    </xf>
    <xf numFmtId="2" fontId="29" fillId="0" borderId="0" xfId="0" applyNumberFormat="1" applyFont="1" applyAlignment="1" applyProtection="1">
      <alignment wrapText="1"/>
      <protection locked="0"/>
    </xf>
    <xf numFmtId="168" fontId="29" fillId="0" borderId="0" xfId="0" applyNumberFormat="1" applyFont="1" applyAlignment="1" applyProtection="1">
      <alignment wrapText="1"/>
      <protection locked="0"/>
    </xf>
    <xf numFmtId="168" fontId="18" fillId="3" borderId="0" xfId="0" applyNumberFormat="1" applyFont="1" applyFill="1" applyAlignment="1">
      <alignment horizontal="left" wrapText="1"/>
    </xf>
    <xf numFmtId="168" fontId="32" fillId="5" borderId="4" xfId="0" applyNumberFormat="1" applyFont="1" applyFill="1" applyBorder="1" applyAlignment="1">
      <alignment wrapText="1"/>
    </xf>
    <xf numFmtId="168" fontId="32" fillId="5" borderId="4" xfId="0" applyNumberFormat="1" applyFont="1" applyFill="1" applyBorder="1" applyAlignment="1"/>
    <xf numFmtId="168" fontId="106" fillId="4" borderId="14" xfId="11" applyNumberFormat="1" applyFont="1" applyFill="1" applyBorder="1" applyAlignment="1">
      <alignment horizontal="center" vertical="top" wrapText="1"/>
    </xf>
    <xf numFmtId="168" fontId="105" fillId="4" borderId="14" xfId="11" applyNumberFormat="1" applyFont="1" applyFill="1" applyBorder="1" applyAlignment="1">
      <alignment horizontal="left" vertical="center" wrapText="1"/>
    </xf>
    <xf numFmtId="168" fontId="52" fillId="0" borderId="23" xfId="11" applyNumberFormat="1" applyFont="1" applyBorder="1" applyAlignment="1">
      <alignment horizontal="center" vertical="top" wrapText="1"/>
    </xf>
    <xf numFmtId="168" fontId="52" fillId="0" borderId="23" xfId="11" applyNumberFormat="1" applyFont="1" applyBorder="1" applyAlignment="1">
      <alignment horizontal="justify" vertical="justify" wrapText="1"/>
    </xf>
    <xf numFmtId="168" fontId="17" fillId="2" borderId="0" xfId="1" applyNumberFormat="1" applyAlignment="1">
      <alignment horizontal="center" vertical="top" wrapText="1"/>
    </xf>
    <xf numFmtId="168" fontId="17" fillId="2" borderId="0" xfId="1" applyNumberFormat="1" applyAlignment="1">
      <alignment horizontal="justify" vertical="justify" wrapText="1"/>
    </xf>
    <xf numFmtId="168" fontId="52" fillId="0" borderId="14" xfId="11" applyNumberFormat="1" applyFont="1" applyBorder="1" applyAlignment="1">
      <alignment horizontal="center" vertical="top" wrapText="1"/>
    </xf>
    <xf numFmtId="168" fontId="52" fillId="0" borderId="14" xfId="11" applyNumberFormat="1" applyFont="1" applyBorder="1" applyAlignment="1">
      <alignment horizontal="justify" vertical="top" wrapText="1"/>
    </xf>
    <xf numFmtId="168" fontId="52" fillId="0" borderId="14" xfId="11" applyNumberFormat="1" applyFont="1" applyBorder="1" applyAlignment="1">
      <alignment horizontal="justify" vertical="justify" wrapText="1"/>
    </xf>
    <xf numFmtId="168" fontId="0" fillId="0" borderId="0" xfId="0" applyNumberFormat="1">
      <alignment vertical="top" wrapText="1"/>
    </xf>
    <xf numFmtId="168" fontId="7" fillId="0" borderId="14" xfId="11" applyNumberFormat="1" applyFont="1" applyBorder="1" applyAlignment="1">
      <alignment horizontal="justify" vertical="top" wrapText="1"/>
    </xf>
    <xf numFmtId="168" fontId="19" fillId="0" borderId="1" xfId="3" applyNumberFormat="1">
      <alignment horizontal="justify" vertical="justify" wrapText="1"/>
    </xf>
    <xf numFmtId="168" fontId="8" fillId="0" borderId="27" xfId="11" applyNumberFormat="1" applyFont="1" applyBorder="1" applyAlignment="1">
      <alignment horizontal="justify" vertical="top" wrapText="1"/>
    </xf>
    <xf numFmtId="168" fontId="21" fillId="0" borderId="0" xfId="0" applyNumberFormat="1" applyFont="1">
      <alignment vertical="top" wrapText="1"/>
    </xf>
    <xf numFmtId="168" fontId="52" fillId="0" borderId="29" xfId="11" applyNumberFormat="1" applyFont="1" applyBorder="1" applyAlignment="1">
      <alignment horizontal="center" vertical="top" wrapText="1"/>
    </xf>
    <xf numFmtId="168" fontId="52" fillId="0" borderId="30" xfId="11" applyNumberFormat="1" applyFont="1" applyBorder="1" applyAlignment="1">
      <alignment horizontal="justify" vertical="justify" wrapText="1"/>
    </xf>
    <xf numFmtId="168" fontId="53" fillId="8" borderId="32" xfId="12" applyNumberFormat="1" applyBorder="1" applyAlignment="1">
      <alignment horizontal="justify" vertical="justify" wrapText="1"/>
    </xf>
    <xf numFmtId="168" fontId="53" fillId="8" borderId="32" xfId="12" applyNumberFormat="1" applyBorder="1" applyAlignment="1">
      <alignment horizontal="right" wrapText="1"/>
    </xf>
    <xf numFmtId="168" fontId="52" fillId="0" borderId="19" xfId="11" applyNumberFormat="1" applyFont="1" applyBorder="1" applyAlignment="1">
      <alignment horizontal="center" vertical="top" wrapText="1"/>
    </xf>
    <xf numFmtId="168" fontId="52" fillId="0" borderId="28" xfId="11" applyNumberFormat="1" applyFont="1" applyBorder="1" applyAlignment="1">
      <alignment horizontal="justify" vertical="justify" wrapText="1"/>
    </xf>
    <xf numFmtId="168" fontId="8" fillId="0" borderId="14" xfId="11" applyNumberFormat="1" applyFont="1" applyBorder="1" applyAlignment="1">
      <alignment horizontal="justify" vertical="top" wrapText="1"/>
    </xf>
    <xf numFmtId="168" fontId="53" fillId="0" borderId="27" xfId="11" applyNumberFormat="1" applyFont="1" applyBorder="1" applyAlignment="1">
      <alignment horizontal="left" vertical="top" wrapText="1"/>
    </xf>
    <xf numFmtId="168" fontId="53" fillId="0" borderId="14" xfId="11" applyNumberFormat="1" applyFont="1" applyBorder="1" applyAlignment="1">
      <alignment horizontal="justify" vertical="justify" wrapText="1"/>
    </xf>
    <xf numFmtId="168" fontId="7" fillId="0" borderId="14" xfId="11" applyNumberFormat="1" applyFont="1" applyBorder="1" applyAlignment="1">
      <alignment horizontal="left" vertical="top" wrapText="1"/>
    </xf>
    <xf numFmtId="168" fontId="109" fillId="0" borderId="14" xfId="11" applyNumberFormat="1" applyFont="1" applyBorder="1" applyAlignment="1">
      <alignment horizontal="left" vertical="justify" wrapText="1"/>
    </xf>
    <xf numFmtId="168" fontId="52" fillId="0" borderId="7" xfId="11" applyNumberFormat="1" applyFont="1" applyBorder="1" applyAlignment="1">
      <alignment horizontal="center" vertical="top" wrapText="1"/>
    </xf>
    <xf numFmtId="168" fontId="52" fillId="0" borderId="7" xfId="11" applyNumberFormat="1" applyFont="1" applyBorder="1" applyAlignment="1">
      <alignment horizontal="justify" vertical="justify" wrapText="1"/>
    </xf>
    <xf numFmtId="168" fontId="88" fillId="0" borderId="14" xfId="0" applyNumberFormat="1" applyFont="1" applyBorder="1" applyAlignment="1">
      <alignment horizontal="left" vertical="top" wrapText="1"/>
    </xf>
    <xf numFmtId="168" fontId="52" fillId="2" borderId="25" xfId="11" applyNumberFormat="1" applyFont="1" applyFill="1" applyBorder="1" applyAlignment="1">
      <alignment horizontal="center" vertical="top" wrapText="1"/>
    </xf>
    <xf numFmtId="168" fontId="107" fillId="7" borderId="25" xfId="11" applyNumberFormat="1" applyFont="1" applyFill="1" applyBorder="1" applyAlignment="1">
      <alignment horizontal="justify" vertical="justify" wrapText="1"/>
    </xf>
    <xf numFmtId="168" fontId="52" fillId="2" borderId="25" xfId="11" applyNumberFormat="1" applyFont="1" applyFill="1" applyBorder="1" applyAlignment="1">
      <alignment horizontal="right" wrapText="1"/>
    </xf>
    <xf numFmtId="168" fontId="8" fillId="0" borderId="27" xfId="11" applyNumberFormat="1" applyFont="1" applyBorder="1" applyAlignment="1">
      <alignment horizontal="left" vertical="top" wrapText="1"/>
    </xf>
    <xf numFmtId="168" fontId="7" fillId="0" borderId="28" xfId="11" applyNumberFormat="1" applyFont="1" applyBorder="1" applyAlignment="1">
      <alignment horizontal="justify" vertical="top" wrapText="1"/>
    </xf>
    <xf numFmtId="168" fontId="53" fillId="8" borderId="32" xfId="12" applyNumberFormat="1" applyBorder="1">
      <alignment horizontal="left" vertical="justify" wrapText="1"/>
    </xf>
    <xf numFmtId="168" fontId="8" fillId="0" borderId="14" xfId="11" applyNumberFormat="1" applyFont="1" applyBorder="1" applyAlignment="1">
      <alignment horizontal="left" vertical="top" wrapText="1"/>
    </xf>
    <xf numFmtId="168" fontId="27" fillId="5" borderId="3" xfId="1" applyNumberFormat="1" applyFont="1" applyFill="1" applyBorder="1" applyAlignment="1">
      <alignment vertical="center" wrapText="1"/>
    </xf>
    <xf numFmtId="168" fontId="27" fillId="5" borderId="3" xfId="1" applyNumberFormat="1" applyFont="1" applyFill="1" applyBorder="1" applyAlignment="1">
      <alignment horizontal="left"/>
    </xf>
    <xf numFmtId="168" fontId="27" fillId="5" borderId="3" xfId="1" applyNumberFormat="1" applyFont="1" applyFill="1" applyBorder="1" applyAlignment="1">
      <alignment horizontal="right"/>
    </xf>
    <xf numFmtId="168" fontId="52" fillId="0" borderId="14" xfId="15" applyNumberFormat="1" applyFont="1" applyBorder="1" applyAlignment="1">
      <alignment horizontal="center" vertical="top" wrapText="1"/>
    </xf>
    <xf numFmtId="168" fontId="52" fillId="0" borderId="14" xfId="15" applyNumberFormat="1" applyFont="1" applyBorder="1" applyAlignment="1">
      <alignment wrapText="1"/>
    </xf>
    <xf numFmtId="168" fontId="88" fillId="0" borderId="14" xfId="15" applyNumberFormat="1" applyFont="1" applyBorder="1" applyAlignment="1">
      <alignment horizontal="left" vertical="top" wrapText="1"/>
    </xf>
    <xf numFmtId="168" fontId="88" fillId="0" borderId="14" xfId="15" applyNumberFormat="1" applyFont="1" applyBorder="1" applyAlignment="1">
      <alignment horizontal="justify" vertical="top" wrapText="1"/>
    </xf>
    <xf numFmtId="168" fontId="0" fillId="0" borderId="0" xfId="0" quotePrefix="1" applyNumberFormat="1">
      <alignment vertical="top" wrapText="1"/>
    </xf>
    <xf numFmtId="168" fontId="52" fillId="0" borderId="14" xfId="15" applyNumberFormat="1" applyFont="1" applyBorder="1" applyAlignment="1">
      <alignment horizontal="justify" vertical="justify" wrapText="1"/>
    </xf>
    <xf numFmtId="168" fontId="7" fillId="0" borderId="14" xfId="15" applyNumberFormat="1" applyFont="1" applyBorder="1" applyAlignment="1">
      <alignment horizontal="justify" vertical="top" wrapText="1"/>
    </xf>
    <xf numFmtId="168" fontId="52" fillId="0" borderId="14" xfId="15" applyNumberFormat="1" applyFont="1" applyBorder="1" applyAlignment="1">
      <alignment horizontal="justify" vertical="top" wrapText="1"/>
    </xf>
    <xf numFmtId="168" fontId="53" fillId="3" borderId="14" xfId="15" applyNumberFormat="1" applyFont="1" applyFill="1" applyBorder="1" applyAlignment="1">
      <alignment horizontal="justify" vertical="justify" wrapText="1"/>
    </xf>
    <xf numFmtId="168" fontId="7" fillId="0" borderId="14" xfId="16" applyNumberFormat="1" applyFont="1" applyBorder="1" applyAlignment="1">
      <alignment horizontal="left" vertical="top" wrapText="1"/>
    </xf>
    <xf numFmtId="168" fontId="52" fillId="0" borderId="0" xfId="15" applyNumberFormat="1" applyFont="1" applyAlignment="1" applyProtection="1">
      <alignment vertical="top" wrapText="1"/>
      <protection locked="0"/>
    </xf>
    <xf numFmtId="168" fontId="7" fillId="0" borderId="1" xfId="3" applyNumberFormat="1" applyFont="1">
      <alignment horizontal="justify" vertical="justify" wrapText="1"/>
    </xf>
    <xf numFmtId="168" fontId="52" fillId="0" borderId="0" xfId="15" applyNumberFormat="1" applyFont="1" applyAlignment="1">
      <alignment horizontal="center" vertical="top" wrapText="1"/>
    </xf>
    <xf numFmtId="168" fontId="52" fillId="0" borderId="0" xfId="15" applyNumberFormat="1" applyFont="1" applyAlignment="1">
      <alignment horizontal="justify" vertical="justify" wrapText="1"/>
    </xf>
    <xf numFmtId="168" fontId="52" fillId="0" borderId="0" xfId="11" applyNumberFormat="1" applyFont="1" applyAlignment="1">
      <alignment horizontal="center" vertical="top" wrapText="1"/>
    </xf>
    <xf numFmtId="168" fontId="52" fillId="0" borderId="0" xfId="11" applyNumberFormat="1" applyFont="1" applyAlignment="1">
      <alignment horizontal="justify" vertical="justify" wrapText="1"/>
    </xf>
    <xf numFmtId="168" fontId="53" fillId="0" borderId="14" xfId="11" applyNumberFormat="1" applyFont="1" applyBorder="1" applyAlignment="1">
      <alignment horizontal="left" vertical="top" wrapText="1"/>
    </xf>
    <xf numFmtId="168" fontId="8" fillId="0" borderId="23" xfId="11" applyNumberFormat="1" applyFont="1" applyBorder="1" applyAlignment="1">
      <alignment horizontal="justify" vertical="top" wrapText="1"/>
    </xf>
    <xf numFmtId="168" fontId="53" fillId="0" borderId="23" xfId="11" applyNumberFormat="1" applyFont="1" applyBorder="1" applyAlignment="1">
      <alignment horizontal="justify" vertical="justify" wrapText="1"/>
    </xf>
    <xf numFmtId="168" fontId="88" fillId="0" borderId="14" xfId="11" applyNumberFormat="1" applyFont="1" applyBorder="1" applyAlignment="1">
      <alignment horizontal="left" vertical="top" wrapText="1"/>
    </xf>
    <xf numFmtId="168" fontId="7" fillId="0" borderId="0" xfId="11" applyNumberFormat="1" applyFont="1" applyAlignment="1">
      <alignment horizontal="justify" vertical="top" wrapText="1"/>
    </xf>
    <xf numFmtId="168" fontId="38" fillId="0" borderId="0" xfId="0" applyNumberFormat="1" applyFont="1">
      <alignment vertical="top" wrapText="1"/>
    </xf>
    <xf numFmtId="168" fontId="108" fillId="0" borderId="14" xfId="11" applyNumberFormat="1" applyFont="1" applyBorder="1" applyAlignment="1">
      <alignment horizontal="justify" vertical="top" wrapText="1"/>
    </xf>
    <xf numFmtId="168" fontId="53" fillId="0" borderId="14" xfId="11" applyNumberFormat="1" applyFont="1" applyBorder="1" applyAlignment="1">
      <alignment wrapText="1"/>
    </xf>
    <xf numFmtId="168" fontId="52" fillId="0" borderId="14" xfId="11" applyNumberFormat="1" applyFont="1" applyBorder="1"/>
    <xf numFmtId="168" fontId="52" fillId="0" borderId="31" xfId="11" applyNumberFormat="1" applyFont="1" applyBorder="1" applyAlignment="1">
      <alignment horizontal="center" vertical="top" wrapText="1"/>
    </xf>
    <xf numFmtId="168" fontId="52" fillId="0" borderId="31" xfId="11" applyNumberFormat="1" applyFont="1" applyBorder="1" applyAlignment="1">
      <alignment horizontal="justify" vertical="justify" wrapText="1"/>
    </xf>
    <xf numFmtId="168" fontId="52" fillId="0" borderId="28" xfId="11" applyNumberFormat="1" applyFont="1" applyBorder="1" applyAlignment="1">
      <alignment horizontal="center" vertical="top" wrapText="1"/>
    </xf>
    <xf numFmtId="168" fontId="52" fillId="8" borderId="32" xfId="12" applyNumberFormat="1" applyFont="1" applyBorder="1" applyAlignment="1">
      <alignment horizontal="right" wrapText="1"/>
    </xf>
    <xf numFmtId="168" fontId="104" fillId="0" borderId="14" xfId="11" applyNumberFormat="1" applyFont="1" applyBorder="1" applyAlignment="1">
      <alignment horizontal="justify" vertical="justify" wrapText="1"/>
    </xf>
    <xf numFmtId="168" fontId="104" fillId="0" borderId="0" xfId="11" applyNumberFormat="1" applyFont="1" applyAlignment="1">
      <alignment horizontal="justify" vertical="justify" wrapText="1"/>
    </xf>
    <xf numFmtId="168" fontId="17" fillId="6" borderId="0" xfId="1" applyNumberFormat="1" applyFill="1" applyAlignment="1">
      <alignment horizontal="center" vertical="top"/>
    </xf>
    <xf numFmtId="168" fontId="31" fillId="6" borderId="0" xfId="1" applyNumberFormat="1" applyFont="1" applyFill="1" applyAlignment="1">
      <alignment wrapText="1"/>
    </xf>
    <xf numFmtId="168" fontId="17" fillId="6" borderId="0" xfId="1" applyNumberFormat="1" applyFill="1" applyAlignment="1">
      <alignment horizontal="right"/>
    </xf>
    <xf numFmtId="168" fontId="0" fillId="0" borderId="0" xfId="0" applyNumberFormat="1" applyAlignment="1" applyProtection="1">
      <alignment horizontal="center" vertical="top"/>
      <protection locked="0"/>
    </xf>
    <xf numFmtId="168" fontId="0" fillId="0" borderId="0" xfId="0" applyNumberFormat="1" applyProtection="1">
      <alignment vertical="top" wrapText="1"/>
      <protection locked="0"/>
    </xf>
    <xf numFmtId="168" fontId="0" fillId="0" borderId="0" xfId="0" applyNumberFormat="1" applyAlignment="1" applyProtection="1">
      <alignment horizontal="right"/>
      <protection locked="0"/>
    </xf>
    <xf numFmtId="168" fontId="32" fillId="5" borderId="3" xfId="1" applyNumberFormat="1" applyFont="1" applyFill="1" applyBorder="1" applyAlignment="1">
      <alignment horizontal="center" vertical="top"/>
    </xf>
    <xf numFmtId="168" fontId="32" fillId="5" borderId="3" xfId="1" applyNumberFormat="1" applyFont="1" applyFill="1" applyBorder="1" applyAlignment="1">
      <alignment vertical="center" wrapText="1"/>
    </xf>
    <xf numFmtId="168" fontId="32" fillId="5" borderId="3" xfId="1" applyNumberFormat="1" applyFont="1" applyFill="1" applyBorder="1" applyAlignment="1">
      <alignment horizontal="right"/>
    </xf>
    <xf numFmtId="168" fontId="32" fillId="5" borderId="3" xfId="1" applyNumberFormat="1" applyFont="1" applyFill="1" applyBorder="1" applyAlignment="1">
      <alignment vertical="center"/>
    </xf>
    <xf numFmtId="2" fontId="0" fillId="2" borderId="0" xfId="0" applyNumberFormat="1" applyFill="1" applyAlignment="1"/>
    <xf numFmtId="2" fontId="57" fillId="5" borderId="0" xfId="0" applyNumberFormat="1" applyFont="1" applyFill="1" applyAlignment="1" applyProtection="1">
      <alignment wrapText="1"/>
      <protection locked="0"/>
    </xf>
    <xf numFmtId="2" fontId="59" fillId="5" borderId="0" xfId="2" applyNumberFormat="1" applyFont="1" applyFill="1">
      <alignment horizontal="left" vertical="top" wrapText="1"/>
    </xf>
    <xf numFmtId="2" fontId="56" fillId="5" borderId="0" xfId="1" applyNumberFormat="1" applyFont="1" applyFill="1" applyAlignment="1">
      <alignment wrapText="1"/>
    </xf>
    <xf numFmtId="168" fontId="26" fillId="4" borderId="0" xfId="0" applyNumberFormat="1" applyFont="1" applyFill="1" applyAlignment="1" applyProtection="1">
      <alignment horizontal="center" vertical="center" wrapText="1"/>
      <protection locked="0"/>
    </xf>
    <xf numFmtId="168" fontId="0" fillId="2" borderId="0" xfId="0" applyNumberFormat="1" applyFill="1" applyAlignment="1"/>
    <xf numFmtId="168" fontId="57" fillId="5" borderId="0" xfId="0" applyNumberFormat="1" applyFont="1" applyFill="1" applyAlignment="1" applyProtection="1">
      <alignment wrapText="1"/>
      <protection locked="0"/>
    </xf>
    <xf numFmtId="168" fontId="59" fillId="5" borderId="0" xfId="2" applyNumberFormat="1" applyFont="1" applyFill="1">
      <alignment horizontal="left" vertical="top" wrapText="1"/>
    </xf>
    <xf numFmtId="168" fontId="60" fillId="5" borderId="0" xfId="0" applyNumberFormat="1" applyFont="1" applyFill="1" applyAlignment="1">
      <alignment vertical="center" wrapText="1"/>
    </xf>
    <xf numFmtId="2" fontId="0" fillId="0" borderId="0" xfId="0" applyNumberFormat="1" applyAlignment="1" applyProtection="1">
      <alignment horizontal="center" wrapText="1"/>
      <protection locked="0"/>
    </xf>
    <xf numFmtId="168" fontId="112" fillId="6" borderId="0" xfId="0" applyNumberFormat="1" applyFont="1" applyFill="1" applyAlignment="1">
      <alignment wrapText="1"/>
    </xf>
    <xf numFmtId="168" fontId="33" fillId="5" borderId="0" xfId="0" applyNumberFormat="1" applyFont="1" applyFill="1" applyAlignment="1">
      <alignment vertical="center" wrapText="1"/>
    </xf>
    <xf numFmtId="2" fontId="27" fillId="5" borderId="0" xfId="1" applyNumberFormat="1" applyFont="1" applyFill="1" applyAlignment="1">
      <alignment wrapText="1"/>
    </xf>
    <xf numFmtId="2" fontId="17" fillId="2" borderId="0" xfId="1" applyNumberFormat="1" applyAlignment="1">
      <alignment wrapText="1"/>
    </xf>
    <xf numFmtId="168" fontId="17" fillId="2" borderId="0" xfId="1" applyNumberFormat="1" applyAlignment="1">
      <alignment wrapText="1"/>
    </xf>
    <xf numFmtId="168" fontId="30" fillId="0" borderId="0" xfId="0" applyNumberFormat="1" applyFont="1" applyAlignment="1" applyProtection="1">
      <alignment wrapText="1"/>
      <protection locked="0"/>
    </xf>
    <xf numFmtId="2" fontId="0" fillId="0" borderId="0" xfId="0" applyNumberFormat="1" applyAlignment="1" applyProtection="1">
      <alignment horizontal="right" vertical="top" wrapText="1"/>
      <protection locked="0"/>
    </xf>
    <xf numFmtId="2" fontId="26" fillId="4" borderId="0" xfId="0" applyNumberFormat="1" applyFont="1" applyFill="1" applyAlignment="1" applyProtection="1">
      <alignment horizontal="right" vertical="center" wrapText="1"/>
      <protection locked="0"/>
    </xf>
    <xf numFmtId="2" fontId="86" fillId="0" borderId="0" xfId="7" applyNumberFormat="1" applyFont="1" applyAlignment="1">
      <alignment horizontal="right"/>
    </xf>
    <xf numFmtId="2" fontId="52" fillId="0" borderId="0" xfId="7" applyNumberFormat="1" applyFont="1" applyAlignment="1">
      <alignment horizontal="right" vertical="top"/>
    </xf>
    <xf numFmtId="2" fontId="16" fillId="0" borderId="0" xfId="7" applyNumberFormat="1" applyFont="1" applyAlignment="1">
      <alignment horizontal="right"/>
    </xf>
    <xf numFmtId="2" fontId="7" fillId="0" borderId="0" xfId="7" applyNumberFormat="1" applyAlignment="1">
      <alignment horizontal="right"/>
    </xf>
    <xf numFmtId="2" fontId="91" fillId="0" borderId="0" xfId="7" applyNumberFormat="1" applyFont="1" applyAlignment="1">
      <alignment horizontal="right" vertical="center" wrapText="1"/>
    </xf>
    <xf numFmtId="2" fontId="92" fillId="0" borderId="0" xfId="7" applyNumberFormat="1" applyFont="1" applyAlignment="1">
      <alignment horizontal="right" vertical="center" wrapText="1"/>
    </xf>
    <xf numFmtId="2" fontId="27" fillId="5" borderId="3" xfId="1" applyNumberFormat="1" applyFont="1" applyFill="1" applyBorder="1" applyAlignment="1">
      <alignment horizontal="right" wrapText="1"/>
    </xf>
    <xf numFmtId="168" fontId="17" fillId="2" borderId="0" xfId="1" applyNumberFormat="1" applyAlignment="1">
      <alignment vertical="center" wrapText="1"/>
    </xf>
    <xf numFmtId="168" fontId="7" fillId="0" borderId="0" xfId="7" applyNumberFormat="1"/>
    <xf numFmtId="168" fontId="52" fillId="0" borderId="0" xfId="7" applyNumberFormat="1" applyFont="1" applyAlignment="1">
      <alignment vertical="top"/>
    </xf>
    <xf numFmtId="168" fontId="16" fillId="0" borderId="0" xfId="7" applyNumberFormat="1" applyFont="1"/>
    <xf numFmtId="168" fontId="16" fillId="0" borderId="0" xfId="7" applyNumberFormat="1" applyFont="1" applyAlignment="1">
      <alignment vertical="top"/>
    </xf>
    <xf numFmtId="2" fontId="26" fillId="4" borderId="0" xfId="0" applyNumberFormat="1" applyFont="1" applyFill="1" applyAlignment="1" applyProtection="1">
      <alignment horizontal="right" wrapText="1"/>
      <protection locked="0"/>
    </xf>
    <xf numFmtId="2" fontId="17" fillId="2" borderId="0" xfId="1" applyNumberFormat="1" applyAlignment="1">
      <alignment horizontal="right"/>
    </xf>
    <xf numFmtId="2" fontId="18" fillId="3" borderId="0" xfId="2" applyNumberFormat="1" applyAlignment="1">
      <alignment horizontal="right" vertical="top" wrapText="1"/>
    </xf>
    <xf numFmtId="2" fontId="27" fillId="5" borderId="3" xfId="1" applyNumberFormat="1" applyFont="1" applyFill="1" applyBorder="1" applyAlignment="1">
      <alignment horizontal="right"/>
    </xf>
    <xf numFmtId="0" fontId="26" fillId="4" borderId="0" xfId="0" applyFont="1" applyFill="1" applyAlignment="1" applyProtection="1">
      <alignment horizontal="right" wrapText="1"/>
      <protection locked="0"/>
    </xf>
    <xf numFmtId="0" fontId="17" fillId="2" borderId="0" xfId="1" applyAlignment="1">
      <alignment horizontal="right"/>
    </xf>
    <xf numFmtId="0" fontId="18" fillId="3" borderId="0" xfId="2" applyAlignment="1">
      <alignment horizontal="right" vertical="top" wrapText="1"/>
    </xf>
    <xf numFmtId="2" fontId="18" fillId="3" borderId="0" xfId="2" applyNumberFormat="1" applyAlignment="1">
      <alignment horizontal="right" wrapText="1"/>
    </xf>
    <xf numFmtId="0" fontId="27" fillId="5" borderId="3" xfId="1" applyFont="1" applyFill="1" applyBorder="1" applyAlignment="1">
      <alignment horizontal="right"/>
    </xf>
    <xf numFmtId="0" fontId="105" fillId="4" borderId="14" xfId="11" applyFont="1" applyFill="1" applyBorder="1" applyAlignment="1">
      <alignment horizontal="center" vertical="center" wrapText="1"/>
    </xf>
    <xf numFmtId="0" fontId="52" fillId="0" borderId="23" xfId="11" applyFont="1" applyBorder="1" applyAlignment="1">
      <alignment horizontal="center" vertical="center" wrapText="1"/>
    </xf>
    <xf numFmtId="0" fontId="53" fillId="8" borderId="32" xfId="12" applyBorder="1" applyAlignment="1">
      <alignment horizontal="center" vertical="center" wrapText="1"/>
    </xf>
    <xf numFmtId="0" fontId="52" fillId="0" borderId="36" xfId="11" applyFont="1" applyBorder="1" applyAlignment="1">
      <alignment horizontal="center" vertical="center" wrapText="1"/>
    </xf>
    <xf numFmtId="0" fontId="109" fillId="0" borderId="14" xfId="11" applyFont="1" applyBorder="1" applyAlignment="1">
      <alignment horizontal="left" vertical="justify" wrapText="1"/>
    </xf>
    <xf numFmtId="0" fontId="107" fillId="7" borderId="24" xfId="11" applyFont="1" applyFill="1" applyBorder="1" applyAlignment="1">
      <alignment horizontal="center" vertical="center" wrapText="1"/>
    </xf>
    <xf numFmtId="0" fontId="52" fillId="0" borderId="14" xfId="15" applyFont="1" applyBorder="1" applyAlignment="1">
      <alignment horizontal="center" vertical="center" wrapText="1"/>
    </xf>
    <xf numFmtId="0" fontId="53" fillId="8" borderId="14" xfId="12" applyBorder="1" applyAlignment="1">
      <alignment horizontal="center" vertical="justify" wrapText="1"/>
    </xf>
    <xf numFmtId="0" fontId="52" fillId="0" borderId="0" xfId="15" applyFont="1" applyAlignment="1">
      <alignment horizontal="center" vertical="center" wrapText="1"/>
    </xf>
    <xf numFmtId="0" fontId="52" fillId="0" borderId="0" xfId="11" applyFont="1" applyAlignment="1">
      <alignment horizontal="center" vertical="center" wrapText="1"/>
    </xf>
    <xf numFmtId="0" fontId="52" fillId="0" borderId="15" xfId="11" applyFont="1" applyBorder="1" applyAlignment="1">
      <alignment horizontal="center" vertical="center" wrapText="1"/>
    </xf>
    <xf numFmtId="0" fontId="52" fillId="0" borderId="28" xfId="11" applyFont="1" applyBorder="1" applyAlignment="1">
      <alignment horizontal="center" vertical="center" wrapText="1"/>
    </xf>
    <xf numFmtId="0" fontId="110" fillId="8" borderId="32" xfId="12" applyFont="1" applyBorder="1" applyAlignment="1">
      <alignment horizontal="center" vertical="center" wrapText="1"/>
    </xf>
    <xf numFmtId="0" fontId="106" fillId="0" borderId="14" xfId="11" applyFont="1" applyBorder="1" applyAlignment="1">
      <alignment horizontal="center" vertical="center" wrapText="1"/>
    </xf>
    <xf numFmtId="0" fontId="106" fillId="0" borderId="0" xfId="11" applyFont="1" applyAlignment="1">
      <alignment horizontal="center" vertical="center" wrapText="1"/>
    </xf>
    <xf numFmtId="2" fontId="105" fillId="4" borderId="14" xfId="11" applyNumberFormat="1" applyFont="1" applyFill="1" applyBorder="1" applyAlignment="1">
      <alignment horizontal="right" wrapText="1"/>
    </xf>
    <xf numFmtId="2" fontId="52" fillId="0" borderId="14" xfId="11" applyNumberFormat="1" applyFont="1" applyBorder="1" applyAlignment="1">
      <alignment horizontal="right" wrapText="1"/>
    </xf>
    <xf numFmtId="2" fontId="52" fillId="0" borderId="31" xfId="11" applyNumberFormat="1" applyFont="1" applyBorder="1" applyAlignment="1">
      <alignment horizontal="right" wrapText="1"/>
    </xf>
    <xf numFmtId="2" fontId="53" fillId="8" borderId="32" xfId="12" applyNumberFormat="1" applyBorder="1" applyAlignment="1">
      <alignment horizontal="right" wrapText="1"/>
    </xf>
    <xf numFmtId="2" fontId="52" fillId="0" borderId="28" xfId="11" applyNumberFormat="1" applyFont="1" applyBorder="1" applyAlignment="1">
      <alignment horizontal="right" wrapText="1"/>
    </xf>
    <xf numFmtId="2" fontId="52" fillId="0" borderId="0" xfId="11" applyNumberFormat="1" applyFont="1" applyAlignment="1">
      <alignment horizontal="right" wrapText="1"/>
    </xf>
    <xf numFmtId="2" fontId="52" fillId="2" borderId="25" xfId="11" applyNumberFormat="1" applyFont="1" applyFill="1" applyBorder="1" applyAlignment="1">
      <alignment horizontal="right" wrapText="1"/>
    </xf>
    <xf numFmtId="2" fontId="52" fillId="0" borderId="14" xfId="15" applyNumberFormat="1" applyFont="1" applyBorder="1" applyAlignment="1">
      <alignment horizontal="right" wrapText="1"/>
    </xf>
    <xf numFmtId="2" fontId="53" fillId="8" borderId="14" xfId="12" applyNumberFormat="1" applyBorder="1" applyAlignment="1">
      <alignment horizontal="right" wrapText="1"/>
    </xf>
    <xf numFmtId="2" fontId="52" fillId="0" borderId="0" xfId="15" applyNumberFormat="1" applyFont="1" applyAlignment="1">
      <alignment horizontal="right" wrapText="1"/>
    </xf>
    <xf numFmtId="2" fontId="52" fillId="8" borderId="32" xfId="12" applyNumberFormat="1" applyFont="1" applyBorder="1" applyAlignment="1">
      <alignment horizontal="right" wrapText="1"/>
    </xf>
    <xf numFmtId="2" fontId="17" fillId="6" borderId="0" xfId="1" applyNumberFormat="1" applyFill="1" applyAlignment="1">
      <alignment horizontal="right"/>
    </xf>
    <xf numFmtId="2" fontId="0" fillId="6" borderId="0" xfId="0" applyNumberFormat="1" applyFill="1" applyAlignment="1">
      <alignment horizontal="right" wrapText="1"/>
    </xf>
    <xf numFmtId="2" fontId="32" fillId="5" borderId="3" xfId="1" applyNumberFormat="1" applyFont="1" applyFill="1" applyBorder="1" applyAlignment="1">
      <alignment horizontal="right"/>
    </xf>
    <xf numFmtId="2" fontId="0" fillId="5" borderId="3" xfId="0" applyNumberFormat="1" applyFill="1" applyBorder="1" applyAlignment="1">
      <alignment horizontal="right" wrapText="1"/>
    </xf>
    <xf numFmtId="168" fontId="113" fillId="6" borderId="0" xfId="0" applyNumberFormat="1" applyFont="1" applyFill="1" applyAlignment="1">
      <alignment wrapText="1"/>
    </xf>
    <xf numFmtId="2" fontId="65" fillId="2" borderId="0" xfId="0" applyNumberFormat="1" applyFont="1" applyFill="1" applyAlignment="1">
      <alignment horizontal="center" vertical="center" wrapText="1"/>
    </xf>
    <xf numFmtId="2" fontId="10" fillId="2" borderId="0" xfId="0" applyNumberFormat="1" applyFont="1" applyFill="1" applyAlignment="1">
      <alignment horizontal="center" vertical="center" wrapText="1"/>
    </xf>
    <xf numFmtId="2" fontId="66" fillId="2" borderId="0" xfId="0" applyNumberFormat="1" applyFont="1" applyFill="1" applyAlignment="1">
      <alignment horizontal="center" vertical="center"/>
    </xf>
    <xf numFmtId="2" fontId="66" fillId="2" borderId="0" xfId="0" applyNumberFormat="1" applyFont="1" applyFill="1" applyAlignment="1">
      <alignment horizontal="right" vertical="center"/>
    </xf>
    <xf numFmtId="2" fontId="43" fillId="0" borderId="0" xfId="0" applyNumberFormat="1" applyFont="1" applyAlignment="1">
      <alignment horizontal="center" vertical="center" wrapText="1"/>
    </xf>
    <xf numFmtId="2" fontId="44" fillId="0" borderId="0" xfId="0" applyNumberFormat="1" applyFont="1" applyAlignment="1">
      <alignment horizontal="center" vertical="center"/>
    </xf>
    <xf numFmtId="2" fontId="44" fillId="0" borderId="0" xfId="0" applyNumberFormat="1" applyFont="1" applyAlignment="1">
      <alignment horizontal="right" vertical="center"/>
    </xf>
    <xf numFmtId="2" fontId="68" fillId="0" borderId="0" xfId="0" applyNumberFormat="1" applyFont="1" applyAlignment="1">
      <alignment horizontal="center" vertical="center" wrapText="1"/>
    </xf>
    <xf numFmtId="2" fontId="69" fillId="0" borderId="0" xfId="0" applyNumberFormat="1" applyFont="1" applyAlignment="1">
      <alignment horizontal="right" vertical="center"/>
    </xf>
    <xf numFmtId="2" fontId="17" fillId="2" borderId="0" xfId="1" applyNumberFormat="1" applyAlignment="1">
      <alignment horizontal="center" vertical="center" wrapText="1"/>
    </xf>
    <xf numFmtId="2" fontId="63" fillId="2" borderId="0" xfId="0" applyNumberFormat="1" applyFont="1" applyFill="1" applyAlignment="1">
      <alignment horizontal="center" vertical="center" wrapText="1"/>
    </xf>
    <xf numFmtId="2" fontId="63" fillId="2" borderId="0" xfId="0" applyNumberFormat="1" applyFont="1" applyFill="1" applyAlignment="1">
      <alignment horizontal="right" vertical="center" wrapText="1"/>
    </xf>
    <xf numFmtId="2" fontId="44" fillId="0" borderId="0" xfId="0" applyNumberFormat="1" applyFont="1" applyAlignment="1">
      <alignment horizontal="center" vertical="center" wrapText="1"/>
    </xf>
    <xf numFmtId="2" fontId="44" fillId="0" borderId="0" xfId="0" applyNumberFormat="1" applyFont="1" applyAlignment="1">
      <alignment horizontal="right" vertical="center" wrapText="1"/>
    </xf>
    <xf numFmtId="2" fontId="44" fillId="0" borderId="0" xfId="0" applyNumberFormat="1" applyFont="1" applyAlignment="1">
      <alignment horizontal="right" wrapText="1"/>
    </xf>
    <xf numFmtId="2" fontId="11" fillId="0" borderId="0" xfId="0" applyNumberFormat="1" applyFont="1" applyAlignment="1">
      <alignment horizontal="center" vertical="center" wrapText="1"/>
    </xf>
    <xf numFmtId="2" fontId="44" fillId="0" borderId="1" xfId="0" applyNumberFormat="1" applyFont="1" applyBorder="1" applyAlignment="1">
      <alignment horizontal="right" vertical="center"/>
    </xf>
    <xf numFmtId="2" fontId="27" fillId="5" borderId="1" xfId="0" applyNumberFormat="1" applyFont="1" applyFill="1" applyBorder="1" applyAlignment="1">
      <alignment wrapText="1"/>
    </xf>
    <xf numFmtId="2" fontId="17" fillId="2" borderId="0" xfId="1" applyNumberFormat="1" applyAlignment="1">
      <alignment horizontal="center" vertical="center"/>
    </xf>
    <xf numFmtId="2" fontId="17" fillId="2" borderId="0" xfId="1" applyNumberFormat="1" applyAlignment="1">
      <alignment horizontal="right" vertical="center"/>
    </xf>
    <xf numFmtId="2" fontId="64" fillId="0" borderId="0" xfId="0" applyNumberFormat="1" applyFont="1" applyAlignment="1">
      <alignment horizontal="center" vertical="center" wrapText="1"/>
    </xf>
    <xf numFmtId="2" fontId="77" fillId="2" borderId="0" xfId="0" applyNumberFormat="1" applyFont="1" applyFill="1" applyAlignment="1">
      <alignment horizontal="center" vertical="center" wrapText="1"/>
    </xf>
    <xf numFmtId="2" fontId="77" fillId="2" borderId="0" xfId="0" applyNumberFormat="1" applyFont="1" applyFill="1" applyAlignment="1">
      <alignment horizontal="center" vertical="center"/>
    </xf>
    <xf numFmtId="2" fontId="77" fillId="2" borderId="0" xfId="0" applyNumberFormat="1" applyFont="1" applyFill="1" applyAlignment="1">
      <alignment horizontal="right" vertical="center"/>
    </xf>
    <xf numFmtId="2" fontId="14" fillId="0" borderId="0" xfId="0" applyNumberFormat="1" applyFont="1" applyAlignment="1">
      <alignment horizontal="center" vertical="center" wrapText="1"/>
    </xf>
    <xf numFmtId="2" fontId="10" fillId="0" borderId="0" xfId="0" applyNumberFormat="1" applyFont="1"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center"/>
    </xf>
    <xf numFmtId="2" fontId="76" fillId="2" borderId="0" xfId="0" applyNumberFormat="1" applyFont="1" applyFill="1" applyAlignment="1">
      <alignment horizontal="center" vertical="center"/>
    </xf>
    <xf numFmtId="2" fontId="76" fillId="2" borderId="0" xfId="0" applyNumberFormat="1" applyFont="1" applyFill="1" applyAlignment="1">
      <alignment horizontal="right" vertical="center"/>
    </xf>
    <xf numFmtId="2" fontId="77" fillId="0" borderId="0" xfId="0" applyNumberFormat="1" applyFont="1" applyAlignment="1">
      <alignment horizontal="center" vertical="center"/>
    </xf>
    <xf numFmtId="2" fontId="77" fillId="0" borderId="0" xfId="0" applyNumberFormat="1" applyFont="1" applyAlignment="1">
      <alignment horizontal="right" vertical="center"/>
    </xf>
    <xf numFmtId="2" fontId="52" fillId="0" borderId="0" xfId="0" applyNumberFormat="1" applyFont="1" applyAlignment="1">
      <alignment horizontal="center" vertical="center" wrapText="1"/>
    </xf>
    <xf numFmtId="2" fontId="52" fillId="0" borderId="0" xfId="0" applyNumberFormat="1" applyFont="1" applyAlignment="1">
      <alignment horizontal="right" vertical="center" wrapText="1"/>
    </xf>
    <xf numFmtId="2" fontId="78" fillId="0" borderId="0" xfId="0" applyNumberFormat="1" applyFont="1" applyAlignment="1">
      <alignment horizontal="center" vertical="center"/>
    </xf>
    <xf numFmtId="2" fontId="79" fillId="0" borderId="0" xfId="0" applyNumberFormat="1" applyFont="1" applyAlignment="1">
      <alignment horizontal="center" vertical="center" wrapText="1"/>
    </xf>
    <xf numFmtId="2" fontId="81" fillId="0" borderId="0" xfId="0" applyNumberFormat="1" applyFont="1" applyAlignment="1" applyProtection="1">
      <alignment horizontal="left" vertical="top" wrapText="1"/>
      <protection locked="0"/>
    </xf>
    <xf numFmtId="0" fontId="30" fillId="0" borderId="0" xfId="0" applyFont="1" applyAlignment="1" applyProtection="1">
      <alignment horizontal="center" vertical="center"/>
      <protection locked="0"/>
    </xf>
    <xf numFmtId="0" fontId="27" fillId="0" borderId="0" xfId="0" applyFont="1">
      <alignment vertical="top" wrapText="1"/>
    </xf>
    <xf numFmtId="0" fontId="30" fillId="0" borderId="0" xfId="0" applyFont="1" applyAlignment="1" applyProtection="1">
      <alignment horizontal="center"/>
      <protection locked="0"/>
    </xf>
    <xf numFmtId="2" fontId="30" fillId="0" borderId="0" xfId="0" applyNumberFormat="1" applyFont="1" applyAlignment="1" applyProtection="1">
      <alignment vertical="center"/>
      <protection locked="0"/>
    </xf>
    <xf numFmtId="2" fontId="84" fillId="0" borderId="0" xfId="7" applyNumberFormat="1" applyFont="1"/>
    <xf numFmtId="2" fontId="16" fillId="0" borderId="0" xfId="7" applyNumberFormat="1" applyFont="1"/>
    <xf numFmtId="2" fontId="7" fillId="0" borderId="0" xfId="7" applyNumberFormat="1"/>
    <xf numFmtId="2" fontId="88" fillId="0" borderId="0" xfId="7" applyNumberFormat="1" applyFont="1"/>
    <xf numFmtId="2" fontId="16" fillId="0" borderId="0" xfId="7" applyNumberFormat="1" applyFont="1" applyAlignment="1">
      <alignment vertical="center" wrapText="1"/>
    </xf>
    <xf numFmtId="2" fontId="84" fillId="0" borderId="0" xfId="7" applyNumberFormat="1" applyFont="1" applyAlignment="1">
      <alignment vertical="top"/>
    </xf>
    <xf numFmtId="2" fontId="16" fillId="0" borderId="0" xfId="7" applyNumberFormat="1" applyFont="1" applyAlignment="1">
      <alignment vertical="center"/>
    </xf>
    <xf numFmtId="2" fontId="96" fillId="0" borderId="0" xfId="7" applyNumberFormat="1" applyFont="1"/>
    <xf numFmtId="2" fontId="96" fillId="0" borderId="0" xfId="7" applyNumberFormat="1" applyFont="1" applyAlignment="1">
      <alignment vertical="center" wrapText="1"/>
    </xf>
    <xf numFmtId="168" fontId="17" fillId="2" borderId="0" xfId="1" applyNumberFormat="1" applyAlignment="1">
      <alignment horizontal="right" vertical="center"/>
    </xf>
    <xf numFmtId="168" fontId="52" fillId="0" borderId="0" xfId="0" applyNumberFormat="1" applyFont="1" applyAlignment="1">
      <alignment horizontal="right" vertical="center" wrapText="1"/>
    </xf>
    <xf numFmtId="0" fontId="54" fillId="0" borderId="0" xfId="0" applyFont="1" applyAlignment="1"/>
    <xf numFmtId="0" fontId="114" fillId="0" borderId="0" xfId="17" applyFont="1" applyAlignment="1">
      <alignment vertical="top" wrapText="1"/>
    </xf>
    <xf numFmtId="0" fontId="115" fillId="0" borderId="0" xfId="17" applyFont="1" applyAlignment="1">
      <alignment vertical="top" wrapText="1"/>
    </xf>
    <xf numFmtId="0" fontId="52" fillId="0" borderId="0" xfId="0" applyFont="1" applyAlignment="1"/>
    <xf numFmtId="0" fontId="7" fillId="0" borderId="0" xfId="17" applyFont="1" applyAlignment="1">
      <alignment vertical="top" wrapText="1"/>
    </xf>
    <xf numFmtId="0" fontId="8" fillId="0" borderId="0" xfId="17" applyFont="1" applyAlignment="1">
      <alignment vertical="top" wrapText="1"/>
    </xf>
    <xf numFmtId="0" fontId="8" fillId="0" borderId="0" xfId="0" applyFont="1" applyAlignment="1">
      <alignment horizontal="right" vertical="top" wrapText="1"/>
    </xf>
    <xf numFmtId="0" fontId="7" fillId="0" borderId="0" xfId="0" applyFont="1" applyAlignment="1">
      <alignment vertical="center" wrapText="1"/>
    </xf>
    <xf numFmtId="4" fontId="7" fillId="0" borderId="0" xfId="0" applyNumberFormat="1" applyFont="1" applyAlignment="1">
      <alignment horizontal="right" wrapText="1"/>
    </xf>
    <xf numFmtId="170" fontId="7" fillId="0" borderId="0" xfId="0" applyNumberFormat="1" applyFont="1" applyAlignment="1">
      <alignment horizontal="right" wrapText="1"/>
    </xf>
    <xf numFmtId="0" fontId="116" fillId="0" borderId="0" xfId="0" applyFont="1" applyAlignment="1">
      <alignment horizontal="justify" vertical="top" wrapText="1"/>
    </xf>
    <xf numFmtId="0" fontId="7" fillId="0" borderId="0" xfId="0" applyFont="1" applyAlignment="1">
      <alignment wrapText="1"/>
    </xf>
    <xf numFmtId="0" fontId="52" fillId="0" borderId="0" xfId="0" applyFont="1" applyAlignment="1">
      <alignment vertical="top"/>
    </xf>
    <xf numFmtId="0" fontId="52" fillId="0" borderId="0" xfId="0" applyFont="1" applyAlignment="1">
      <alignment horizontal="left" vertical="top" wrapText="1"/>
    </xf>
    <xf numFmtId="0" fontId="52" fillId="0" borderId="0" xfId="0" applyFont="1" applyAlignment="1">
      <alignment horizontal="left"/>
    </xf>
    <xf numFmtId="167" fontId="52" fillId="0" borderId="0" xfId="0" applyNumberFormat="1" applyFont="1" applyAlignment="1"/>
    <xf numFmtId="0" fontId="7" fillId="0" borderId="0" xfId="0" applyFont="1" applyAlignment="1"/>
    <xf numFmtId="0" fontId="8" fillId="0" borderId="0" xfId="0" applyFont="1" applyAlignment="1">
      <alignment horizontal="center" vertical="top" wrapText="1"/>
    </xf>
    <xf numFmtId="0" fontId="7" fillId="0" borderId="0" xfId="0" applyFont="1" applyAlignment="1">
      <alignment horizontal="right" wrapText="1"/>
    </xf>
    <xf numFmtId="2" fontId="7" fillId="0" borderId="0" xfId="0" applyNumberFormat="1" applyFont="1" applyAlignment="1">
      <alignment horizontal="right" wrapText="1"/>
    </xf>
    <xf numFmtId="2" fontId="7" fillId="0" borderId="0" xfId="0" applyNumberFormat="1" applyFont="1" applyAlignment="1" applyProtection="1">
      <alignment wrapText="1"/>
      <protection locked="0"/>
    </xf>
    <xf numFmtId="2" fontId="7" fillId="0" borderId="0" xfId="0" applyNumberFormat="1" applyFont="1" applyAlignment="1">
      <alignment wrapText="1"/>
    </xf>
    <xf numFmtId="0" fontId="7" fillId="0" borderId="0" xfId="0" applyFont="1" applyAlignment="1" applyProtection="1">
      <alignment wrapText="1"/>
      <protection locked="0"/>
    </xf>
    <xf numFmtId="0" fontId="8" fillId="0" borderId="0" xfId="0" applyFont="1" applyAlignment="1">
      <alignment wrapText="1"/>
    </xf>
    <xf numFmtId="49" fontId="7" fillId="0" borderId="0" xfId="0" applyNumberFormat="1" applyFont="1" applyAlignment="1">
      <alignment horizontal="left" vertical="top" wrapText="1"/>
    </xf>
    <xf numFmtId="0" fontId="7" fillId="0" borderId="0" xfId="0" applyFont="1" applyAlignment="1">
      <alignment horizontal="left" wrapText="1"/>
    </xf>
    <xf numFmtId="2" fontId="8" fillId="0" borderId="0" xfId="0" applyNumberFormat="1" applyFont="1" applyAlignment="1">
      <alignment horizontal="right" wrapText="1"/>
    </xf>
    <xf numFmtId="0" fontId="8" fillId="0" borderId="0" xfId="0" applyFont="1" applyAlignment="1">
      <alignment horizontal="left" vertical="top" wrapText="1"/>
    </xf>
    <xf numFmtId="0" fontId="8" fillId="0" borderId="0" xfId="0" applyFont="1" applyAlignment="1"/>
    <xf numFmtId="0" fontId="7" fillId="0" borderId="0" xfId="0" applyFont="1" applyAlignment="1">
      <alignment horizontal="left"/>
    </xf>
    <xf numFmtId="0" fontId="8" fillId="0" borderId="0" xfId="0" applyFont="1">
      <alignment vertical="top" wrapText="1"/>
    </xf>
    <xf numFmtId="0" fontId="52" fillId="0" borderId="0" xfId="0" applyFont="1" applyAlignment="1">
      <alignment horizontal="left" wrapText="1"/>
    </xf>
    <xf numFmtId="167" fontId="7" fillId="0" borderId="0" xfId="0" applyNumberFormat="1" applyFont="1" applyAlignment="1">
      <alignment wrapText="1"/>
    </xf>
    <xf numFmtId="0" fontId="7" fillId="0" borderId="0" xfId="0" applyFont="1">
      <alignment vertical="top" wrapText="1"/>
    </xf>
    <xf numFmtId="0" fontId="7" fillId="0" borderId="0" xfId="0" applyFont="1" applyAlignment="1">
      <alignment vertical="top"/>
    </xf>
    <xf numFmtId="167" fontId="7" fillId="0" borderId="0" xfId="0" applyNumberFormat="1" applyFont="1" applyAlignment="1"/>
    <xf numFmtId="0" fontId="117" fillId="0" borderId="0" xfId="18" applyFont="1"/>
    <xf numFmtId="49" fontId="118" fillId="0" borderId="0" xfId="18" applyNumberFormat="1" applyFont="1" applyAlignment="1">
      <alignment horizontal="left" vertical="top" wrapText="1"/>
    </xf>
    <xf numFmtId="49" fontId="88" fillId="0" borderId="0" xfId="18" applyNumberFormat="1" applyFont="1" applyAlignment="1">
      <alignment horizontal="left" vertical="top" wrapText="1"/>
    </xf>
    <xf numFmtId="0" fontId="88" fillId="0" borderId="0" xfId="18" applyFont="1"/>
    <xf numFmtId="168" fontId="88" fillId="0" borderId="0" xfId="18" applyNumberFormat="1" applyFont="1"/>
    <xf numFmtId="0" fontId="88" fillId="0" borderId="37" xfId="18" applyFont="1" applyBorder="1"/>
    <xf numFmtId="0" fontId="118" fillId="0" borderId="0" xfId="18" applyFont="1" applyAlignment="1">
      <alignment horizontal="left" vertical="top" wrapText="1"/>
    </xf>
    <xf numFmtId="0" fontId="88" fillId="0" borderId="0" xfId="18" applyFont="1" applyAlignment="1">
      <alignment horizontal="left" vertical="top" wrapText="1"/>
    </xf>
    <xf numFmtId="0" fontId="88" fillId="0" borderId="0" xfId="18" applyFont="1" applyAlignment="1">
      <alignment wrapText="1"/>
    </xf>
    <xf numFmtId="0" fontId="88" fillId="0" borderId="0" xfId="18" applyFont="1" applyAlignment="1">
      <alignment horizontal="center"/>
    </xf>
    <xf numFmtId="49" fontId="88" fillId="0" borderId="0" xfId="18" applyNumberFormat="1" applyFont="1" applyAlignment="1">
      <alignment horizontal="left" wrapText="1"/>
    </xf>
    <xf numFmtId="49" fontId="52" fillId="0" borderId="0" xfId="0" applyNumberFormat="1" applyFont="1">
      <alignment vertical="top" wrapText="1"/>
    </xf>
    <xf numFmtId="0" fontId="0" fillId="9" borderId="0" xfId="0" applyFill="1" applyAlignment="1" applyProtection="1">
      <alignment horizontal="center" vertical="center"/>
      <protection locked="0"/>
    </xf>
    <xf numFmtId="0" fontId="27" fillId="9" borderId="2" xfId="1" applyFont="1" applyFill="1" applyBorder="1" applyAlignment="1">
      <alignment horizontal="center" vertical="center"/>
    </xf>
    <xf numFmtId="0" fontId="17" fillId="9" borderId="0" xfId="1" applyFill="1" applyAlignment="1">
      <alignment horizontal="center" vertical="center"/>
    </xf>
    <xf numFmtId="0" fontId="24" fillId="9" borderId="0" xfId="0" applyFont="1" applyFill="1" applyAlignment="1" applyProtection="1">
      <alignment wrapText="1"/>
      <protection locked="0"/>
    </xf>
    <xf numFmtId="0" fontId="25" fillId="9" borderId="0" xfId="0" applyFont="1" applyFill="1" applyAlignment="1" applyProtection="1">
      <alignment wrapText="1"/>
      <protection locked="0"/>
    </xf>
    <xf numFmtId="0" fontId="32" fillId="0" borderId="2" xfId="1" applyFont="1" applyFill="1" applyBorder="1" applyAlignment="1">
      <alignment horizontal="center" vertical="center"/>
    </xf>
    <xf numFmtId="0" fontId="27" fillId="9" borderId="3" xfId="1" applyFont="1" applyFill="1" applyBorder="1" applyAlignment="1">
      <alignment horizontal="center" vertical="top"/>
    </xf>
    <xf numFmtId="0" fontId="119" fillId="0" borderId="0" xfId="0" applyFont="1" applyAlignment="1" applyProtection="1">
      <alignment horizontal="center" vertical="center"/>
      <protection locked="0"/>
    </xf>
    <xf numFmtId="0" fontId="120" fillId="0" borderId="0" xfId="0" applyFont="1" applyAlignment="1" applyProtection="1">
      <alignment horizontal="center" vertical="top"/>
      <protection locked="0"/>
    </xf>
    <xf numFmtId="0" fontId="120" fillId="0" borderId="0" xfId="0" applyFont="1" applyAlignment="1" applyProtection="1">
      <alignment horizontal="right" vertical="center" wrapText="1"/>
      <protection locked="0"/>
    </xf>
    <xf numFmtId="2" fontId="119" fillId="0" borderId="0" xfId="0" applyNumberFormat="1" applyFont="1" applyAlignment="1" applyProtection="1">
      <alignment horizontal="right"/>
      <protection locked="0"/>
    </xf>
    <xf numFmtId="2" fontId="119" fillId="0" borderId="0" xfId="0" applyNumberFormat="1" applyFont="1" applyAlignment="1" applyProtection="1">
      <alignment vertical="center"/>
      <protection locked="0"/>
    </xf>
    <xf numFmtId="164" fontId="119" fillId="0" borderId="0" xfId="0" applyNumberFormat="1" applyFont="1" applyAlignment="1" applyProtection="1">
      <alignment wrapText="1"/>
      <protection locked="0"/>
    </xf>
    <xf numFmtId="164" fontId="32" fillId="5" borderId="3" xfId="1" applyNumberFormat="1" applyFont="1" applyFill="1" applyBorder="1" applyAlignment="1">
      <alignment wrapText="1"/>
    </xf>
    <xf numFmtId="0" fontId="0" fillId="9" borderId="0" xfId="0" applyFill="1">
      <alignment vertical="top" wrapText="1"/>
    </xf>
    <xf numFmtId="0" fontId="32" fillId="9" borderId="0" xfId="0" applyFont="1" applyFill="1">
      <alignment vertical="top" wrapText="1"/>
    </xf>
    <xf numFmtId="0" fontId="20" fillId="9" borderId="0" xfId="0" applyFont="1" applyFill="1" applyAlignment="1" applyProtection="1">
      <alignment wrapText="1"/>
      <protection locked="0"/>
    </xf>
    <xf numFmtId="0" fontId="21" fillId="9" borderId="0" xfId="0" applyFont="1" applyFill="1" applyAlignment="1" applyProtection="1">
      <alignment wrapText="1"/>
      <protection locked="0"/>
    </xf>
    <xf numFmtId="0" fontId="22" fillId="9" borderId="0" xfId="0" applyFont="1" applyFill="1" applyAlignment="1" applyProtection="1">
      <protection locked="0"/>
    </xf>
    <xf numFmtId="0" fontId="52" fillId="9" borderId="14" xfId="11" applyFont="1" applyFill="1" applyBorder="1" applyAlignment="1">
      <alignment horizontal="center" vertical="center" wrapText="1"/>
    </xf>
    <xf numFmtId="0" fontId="52" fillId="0" borderId="0" xfId="0" applyFont="1">
      <alignment vertical="top" wrapText="1"/>
    </xf>
    <xf numFmtId="0" fontId="0" fillId="0" borderId="0" xfId="0" applyAlignment="1"/>
    <xf numFmtId="0" fontId="52" fillId="0" borderId="8" xfId="0" applyFont="1" applyBorder="1">
      <alignment vertical="top" wrapText="1"/>
    </xf>
    <xf numFmtId="0" fontId="10" fillId="0" borderId="8" xfId="0" applyFont="1" applyBorder="1" applyAlignment="1"/>
    <xf numFmtId="0" fontId="52" fillId="0" borderId="9" xfId="0" applyFont="1" applyBorder="1">
      <alignment vertical="top" wrapText="1"/>
    </xf>
    <xf numFmtId="0" fontId="10" fillId="0" borderId="9" xfId="0" applyFont="1" applyBorder="1" applyAlignment="1"/>
    <xf numFmtId="168" fontId="52" fillId="0" borderId="34" xfId="11" applyNumberFormat="1" applyFont="1" applyBorder="1" applyAlignment="1">
      <alignment horizontal="left" vertical="top" wrapText="1"/>
    </xf>
    <xf numFmtId="168" fontId="52" fillId="0" borderId="3" xfId="11" applyNumberFormat="1" applyFont="1" applyBorder="1" applyAlignment="1">
      <alignment horizontal="left" vertical="top" wrapText="1"/>
    </xf>
    <xf numFmtId="168" fontId="52" fillId="0" borderId="35" xfId="11" applyNumberFormat="1" applyFont="1" applyBorder="1" applyAlignment="1">
      <alignment horizontal="left" vertical="top" wrapText="1"/>
    </xf>
    <xf numFmtId="168" fontId="52" fillId="0" borderId="11" xfId="11" applyNumberFormat="1" applyFont="1" applyBorder="1" applyAlignment="1">
      <alignment horizontal="center" vertical="center" wrapText="1"/>
    </xf>
    <xf numFmtId="168" fontId="52" fillId="0" borderId="12" xfId="11" applyNumberFormat="1" applyFont="1" applyBorder="1" applyAlignment="1">
      <alignment horizontal="center" vertical="center" wrapText="1"/>
    </xf>
    <xf numFmtId="168" fontId="52" fillId="0" borderId="13" xfId="11" applyNumberFormat="1" applyFont="1" applyBorder="1" applyAlignment="1">
      <alignment horizontal="center" vertical="center" wrapText="1"/>
    </xf>
    <xf numFmtId="168" fontId="52" fillId="0" borderId="15" xfId="11" applyNumberFormat="1" applyFont="1" applyBorder="1" applyAlignment="1">
      <alignment horizontal="center" vertical="center" wrapText="1"/>
    </xf>
    <xf numFmtId="168" fontId="52" fillId="0" borderId="0" xfId="11" applyNumberFormat="1" applyFont="1" applyAlignment="1">
      <alignment horizontal="center" vertical="center" wrapText="1"/>
    </xf>
    <xf numFmtId="168" fontId="52" fillId="0" borderId="16" xfId="11" applyNumberFormat="1" applyFont="1" applyBorder="1" applyAlignment="1">
      <alignment horizontal="center" vertical="center" wrapText="1"/>
    </xf>
    <xf numFmtId="168" fontId="52" fillId="0" borderId="17" xfId="11" applyNumberFormat="1" applyFont="1" applyBorder="1" applyAlignment="1">
      <alignment horizontal="center" vertical="center" wrapText="1"/>
    </xf>
    <xf numFmtId="168" fontId="52" fillId="0" borderId="18" xfId="11" applyNumberFormat="1" applyFont="1" applyBorder="1" applyAlignment="1">
      <alignment horizontal="center" vertical="center" wrapText="1"/>
    </xf>
    <xf numFmtId="168" fontId="52" fillId="0" borderId="19" xfId="11" applyNumberFormat="1" applyFont="1" applyBorder="1" applyAlignment="1">
      <alignment horizontal="center" vertical="center" wrapText="1"/>
    </xf>
    <xf numFmtId="168" fontId="97" fillId="0" borderId="20" xfId="11" applyNumberFormat="1" applyFont="1" applyBorder="1" applyAlignment="1">
      <alignment horizontal="center" vertical="justify" wrapText="1"/>
    </xf>
    <xf numFmtId="168" fontId="97" fillId="0" borderId="21" xfId="11" applyNumberFormat="1" applyFont="1" applyBorder="1" applyAlignment="1">
      <alignment horizontal="center" vertical="justify" wrapText="1"/>
    </xf>
    <xf numFmtId="168" fontId="97" fillId="0" borderId="22" xfId="11" applyNumberFormat="1" applyFont="1" applyBorder="1" applyAlignment="1">
      <alignment horizontal="center" vertical="justify" wrapText="1"/>
    </xf>
    <xf numFmtId="168" fontId="52" fillId="0" borderId="20" xfId="11" applyNumberFormat="1" applyFont="1" applyBorder="1" applyAlignment="1">
      <alignment horizontal="center" vertical="center" wrapText="1"/>
    </xf>
    <xf numFmtId="168" fontId="52" fillId="0" borderId="21" xfId="11" applyNumberFormat="1" applyFont="1" applyBorder="1" applyAlignment="1">
      <alignment horizontal="center" vertical="center" wrapText="1"/>
    </xf>
    <xf numFmtId="168" fontId="52" fillId="0" borderId="22" xfId="11" applyNumberFormat="1" applyFont="1" applyBorder="1" applyAlignment="1">
      <alignment horizontal="center" vertical="center" wrapText="1"/>
    </xf>
    <xf numFmtId="168" fontId="100" fillId="0" borderId="20" xfId="11" applyNumberFormat="1" applyFont="1" applyBorder="1" applyAlignment="1">
      <alignment horizontal="center" vertical="justify" wrapText="1"/>
    </xf>
    <xf numFmtId="168" fontId="100" fillId="0" borderId="21" xfId="11" applyNumberFormat="1" applyFont="1" applyBorder="1" applyAlignment="1">
      <alignment horizontal="center" vertical="justify" wrapText="1"/>
    </xf>
    <xf numFmtId="168" fontId="100" fillId="0" borderId="22" xfId="11" applyNumberFormat="1" applyFont="1" applyBorder="1" applyAlignment="1">
      <alignment horizontal="center" vertical="justify" wrapText="1"/>
    </xf>
    <xf numFmtId="168" fontId="101" fillId="9" borderId="20" xfId="11" applyNumberFormat="1" applyFont="1" applyFill="1" applyBorder="1" applyAlignment="1">
      <alignment horizontal="center" vertical="justify" wrapText="1"/>
    </xf>
    <xf numFmtId="168" fontId="101" fillId="9" borderId="21" xfId="11" applyNumberFormat="1" applyFont="1" applyFill="1" applyBorder="1" applyAlignment="1">
      <alignment horizontal="center" vertical="justify" wrapText="1"/>
    </xf>
    <xf numFmtId="168" fontId="101" fillId="9" borderId="22" xfId="11" applyNumberFormat="1" applyFont="1" applyFill="1" applyBorder="1" applyAlignment="1">
      <alignment horizontal="center" vertical="justify" wrapText="1"/>
    </xf>
    <xf numFmtId="168" fontId="102" fillId="0" borderId="20" xfId="11" applyNumberFormat="1" applyFont="1" applyBorder="1" applyAlignment="1">
      <alignment horizontal="center" vertical="justify" wrapText="1"/>
    </xf>
    <xf numFmtId="168" fontId="102" fillId="0" borderId="21" xfId="11" applyNumberFormat="1" applyFont="1" applyBorder="1" applyAlignment="1">
      <alignment horizontal="center" vertical="justify" wrapText="1"/>
    </xf>
    <xf numFmtId="168" fontId="102" fillId="0" borderId="22" xfId="11" applyNumberFormat="1" applyFont="1" applyBorder="1" applyAlignment="1">
      <alignment horizontal="center" vertical="justify" wrapText="1"/>
    </xf>
    <xf numFmtId="168" fontId="52" fillId="0" borderId="20" xfId="11" applyNumberFormat="1" applyFont="1" applyBorder="1" applyAlignment="1">
      <alignment horizontal="center" vertical="justify" wrapText="1"/>
    </xf>
    <xf numFmtId="168" fontId="52" fillId="0" borderId="21" xfId="11" applyNumberFormat="1" applyFont="1" applyBorder="1" applyAlignment="1">
      <alignment horizontal="center" vertical="justify" wrapText="1"/>
    </xf>
    <xf numFmtId="168" fontId="52" fillId="0" borderId="22" xfId="11" applyNumberFormat="1" applyFont="1" applyBorder="1" applyAlignment="1">
      <alignment horizontal="center" vertical="justify" wrapText="1"/>
    </xf>
    <xf numFmtId="0" fontId="76" fillId="2" borderId="0" xfId="0" applyFont="1" applyFill="1" applyAlignment="1">
      <alignment horizontal="center" vertical="top" wrapText="1"/>
    </xf>
    <xf numFmtId="0" fontId="10" fillId="0" borderId="0" xfId="0" applyFont="1" applyAlignment="1">
      <alignment horizontal="left" vertical="top" wrapText="1"/>
    </xf>
    <xf numFmtId="0" fontId="0" fillId="0" borderId="0" xfId="0">
      <alignment vertical="top" wrapText="1"/>
    </xf>
    <xf numFmtId="0" fontId="76" fillId="2" borderId="0" xfId="0" applyFont="1" applyFill="1" applyAlignment="1">
      <alignment horizontal="left" vertical="top" wrapText="1"/>
    </xf>
    <xf numFmtId="0" fontId="16" fillId="0" borderId="0" xfId="7" quotePrefix="1" applyFont="1" applyAlignment="1">
      <alignment vertical="center" wrapText="1"/>
    </xf>
    <xf numFmtId="0" fontId="16" fillId="0" borderId="0" xfId="7" applyFont="1" applyAlignment="1">
      <alignment vertical="center" wrapText="1"/>
    </xf>
    <xf numFmtId="2" fontId="93" fillId="0" borderId="0" xfId="7" applyNumberFormat="1" applyFont="1" applyAlignment="1">
      <alignment vertical="center" wrapText="1"/>
    </xf>
    <xf numFmtId="0" fontId="25" fillId="0" borderId="7" xfId="0" applyFont="1" applyBorder="1">
      <alignment vertical="top" wrapText="1"/>
    </xf>
    <xf numFmtId="0" fontId="0" fillId="0" borderId="5" xfId="0" applyBorder="1">
      <alignment vertical="top" wrapText="1"/>
    </xf>
    <xf numFmtId="0" fontId="0" fillId="0" borderId="6" xfId="0" applyBorder="1">
      <alignment vertical="top" wrapText="1"/>
    </xf>
    <xf numFmtId="0" fontId="0" fillId="0" borderId="7" xfId="0" applyBorder="1">
      <alignment vertical="top" wrapText="1"/>
    </xf>
    <xf numFmtId="0" fontId="27" fillId="5" borderId="3" xfId="1" applyFont="1" applyFill="1" applyBorder="1" applyAlignment="1">
      <alignment horizontal="left" vertical="center" wrapText="1"/>
    </xf>
    <xf numFmtId="0" fontId="19" fillId="9" borderId="1" xfId="3" applyFill="1">
      <alignment horizontal="justify" vertical="justify" wrapText="1"/>
    </xf>
    <xf numFmtId="0" fontId="18" fillId="9" borderId="0" xfId="2" applyFill="1" applyAlignment="1">
      <alignment horizontal="center" vertical="top" wrapText="1"/>
    </xf>
    <xf numFmtId="0" fontId="18" fillId="9" borderId="0" xfId="2" applyFill="1">
      <alignment horizontal="left" vertical="top" wrapText="1"/>
    </xf>
    <xf numFmtId="0" fontId="0" fillId="9" borderId="0" xfId="0" applyFill="1" applyAlignment="1" applyProtection="1">
      <alignment horizontal="center" vertical="top" wrapText="1"/>
      <protection locked="0"/>
    </xf>
    <xf numFmtId="0" fontId="0" fillId="9" borderId="0" xfId="0" applyFill="1" applyProtection="1">
      <alignment vertical="top" wrapText="1"/>
      <protection locked="0"/>
    </xf>
  </cellXfs>
  <cellStyles count="19">
    <cellStyle name="D UKUPNO" xfId="4"/>
    <cellStyle name="D1" xfId="1"/>
    <cellStyle name="D2" xfId="2"/>
    <cellStyle name="D3" xfId="3"/>
    <cellStyle name="Normal" xfId="0" builtinId="0"/>
    <cellStyle name="Normal 14 6 2 2" xfId="18"/>
    <cellStyle name="Normalno 2" xfId="5"/>
    <cellStyle name="Normalno 2 2" xfId="9"/>
    <cellStyle name="Normalno 2 2 3" xfId="7"/>
    <cellStyle name="Normalno 3" xfId="6"/>
    <cellStyle name="Normalno 3 2" xfId="10"/>
    <cellStyle name="Normalno 3 4 2" xfId="13"/>
    <cellStyle name="Normalno 3 4 2 17" xfId="16"/>
    <cellStyle name="Normalno 4" xfId="8"/>
    <cellStyle name="Normalno 5" xfId="11"/>
    <cellStyle name="Normalno 5 2" xfId="15"/>
    <cellStyle name="Normalno 7" xfId="17"/>
    <cellStyle name="PODNASLOV_1D" xfId="12"/>
    <cellStyle name="Stil 1" xfId="14"/>
  </cellStyles>
  <dxfs count="2">
    <dxf>
      <font>
        <condense val="0"/>
        <extend val="0"/>
        <color auto="1"/>
      </font>
    </dxf>
    <dxf>
      <font>
        <condense val="0"/>
        <extend val="0"/>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81</xdr:row>
      <xdr:rowOff>104774</xdr:rowOff>
    </xdr:from>
    <xdr:to>
      <xdr:col>5</xdr:col>
      <xdr:colOff>28576</xdr:colOff>
      <xdr:row>83</xdr:row>
      <xdr:rowOff>941387</xdr:rowOff>
    </xdr:to>
    <xdr:pic>
      <xdr:nvPicPr>
        <xdr:cNvPr id="2" name="Slika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38525" y="32604074"/>
          <a:ext cx="1190626" cy="1198563"/>
        </a:xfrm>
        <a:prstGeom prst="rect">
          <a:avLst/>
        </a:prstGeom>
      </xdr:spPr>
    </xdr:pic>
    <xdr:clientData/>
  </xdr:twoCellAnchor>
  <xdr:twoCellAnchor editAs="oneCell">
    <xdr:from>
      <xdr:col>2</xdr:col>
      <xdr:colOff>209548</xdr:colOff>
      <xdr:row>88</xdr:row>
      <xdr:rowOff>114300</xdr:rowOff>
    </xdr:from>
    <xdr:to>
      <xdr:col>5</xdr:col>
      <xdr:colOff>361949</xdr:colOff>
      <xdr:row>88</xdr:row>
      <xdr:rowOff>857250</xdr:rowOff>
    </xdr:to>
    <xdr:pic>
      <xdr:nvPicPr>
        <xdr:cNvPr id="4" name="Slika 3" descr="Porculanska pločica (30 x 60 cm, Antracit, Pocakljeno)">
          <a:extLst>
            <a:ext uri="{FF2B5EF4-FFF2-40B4-BE49-F238E27FC236}">
              <a16:creationId xmlns:a16="http://schemas.microsoft.com/office/drawing/2014/main" id="{00000000-0008-0000-0C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5478" b="24840"/>
        <a:stretch/>
      </xdr:blipFill>
      <xdr:spPr bwMode="auto">
        <a:xfrm>
          <a:off x="3467098" y="28984575"/>
          <a:ext cx="1495426"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AA116"/>
  <sheetViews>
    <sheetView view="pageBreakPreview" zoomScaleNormal="100" zoomScaleSheetLayoutView="100" workbookViewId="0">
      <selection activeCell="C17" sqref="C17"/>
    </sheetView>
  </sheetViews>
  <sheetFormatPr defaultColWidth="7.140625" defaultRowHeight="12.75"/>
  <cols>
    <col min="1" max="1" width="6" style="40" customWidth="1"/>
    <col min="2" max="2" width="5.5703125" style="41" customWidth="1"/>
    <col min="3" max="3" width="101.28515625" style="56" customWidth="1"/>
    <col min="4" max="4" width="5.5703125" style="1" customWidth="1"/>
    <col min="5" max="5" width="8.7109375" style="42" customWidth="1"/>
    <col min="6" max="6" width="11.28515625" style="56" customWidth="1"/>
    <col min="7" max="7" width="16.5703125" style="56" customWidth="1"/>
    <col min="8" max="16384" width="7.140625" style="21"/>
  </cols>
  <sheetData>
    <row r="4" spans="1:7" ht="46.5">
      <c r="A4" s="21"/>
      <c r="B4" s="21"/>
      <c r="C4" s="624" t="s">
        <v>0</v>
      </c>
      <c r="D4" s="21"/>
      <c r="E4" s="21"/>
      <c r="F4" s="21"/>
      <c r="G4" s="21"/>
    </row>
    <row r="5" spans="1:7">
      <c r="A5" s="21"/>
      <c r="B5" s="21"/>
      <c r="C5" s="625"/>
      <c r="D5" s="21"/>
      <c r="E5" s="21"/>
      <c r="F5" s="21"/>
      <c r="G5" s="21"/>
    </row>
    <row r="6" spans="1:7" ht="21">
      <c r="A6" s="21"/>
      <c r="B6" s="21"/>
      <c r="C6" s="626" t="s">
        <v>428</v>
      </c>
      <c r="D6" s="21"/>
      <c r="E6" s="21"/>
      <c r="F6" s="21"/>
      <c r="G6" s="21"/>
    </row>
    <row r="7" spans="1:7" ht="15.75">
      <c r="A7" s="21"/>
      <c r="B7" s="21"/>
      <c r="C7" s="27"/>
      <c r="D7" s="21"/>
      <c r="E7" s="21"/>
      <c r="F7" s="21"/>
      <c r="G7" s="21"/>
    </row>
    <row r="8" spans="1:7">
      <c r="A8" s="21"/>
      <c r="B8" s="21"/>
      <c r="C8" s="22"/>
      <c r="D8" s="21"/>
      <c r="E8" s="21"/>
      <c r="F8" s="21"/>
      <c r="G8" s="21"/>
    </row>
    <row r="9" spans="1:7">
      <c r="A9" s="21"/>
      <c r="B9" s="21"/>
      <c r="C9" s="28" t="s">
        <v>429</v>
      </c>
      <c r="D9" s="21"/>
      <c r="E9" s="21"/>
      <c r="F9" s="21"/>
      <c r="G9" s="21"/>
    </row>
    <row r="11" spans="1:7" ht="31.5">
      <c r="A11" s="608"/>
      <c r="C11" s="82" t="s">
        <v>120</v>
      </c>
    </row>
    <row r="12" spans="1:7" ht="15">
      <c r="C12" s="79" t="s">
        <v>121</v>
      </c>
    </row>
    <row r="13" spans="1:7" ht="15">
      <c r="C13" s="80"/>
    </row>
    <row r="14" spans="1:7" ht="30">
      <c r="C14" s="81" t="s">
        <v>430</v>
      </c>
    </row>
    <row r="15" spans="1:7" s="560" customFormat="1" ht="15">
      <c r="B15" s="561"/>
      <c r="C15" s="562"/>
    </row>
    <row r="16" spans="1:7" s="563" customFormat="1" ht="38.25">
      <c r="B16" s="564"/>
      <c r="C16" s="564" t="s">
        <v>431</v>
      </c>
    </row>
    <row r="17" spans="1:6" s="563" customFormat="1" ht="29.45" customHeight="1">
      <c r="B17" s="564"/>
      <c r="C17" s="564" t="s">
        <v>2865</v>
      </c>
    </row>
    <row r="18" spans="1:6" s="563" customFormat="1" ht="25.5">
      <c r="B18" s="564"/>
      <c r="C18" s="564" t="s">
        <v>122</v>
      </c>
    </row>
    <row r="19" spans="1:6" s="563" customFormat="1" ht="34.15" customHeight="1">
      <c r="B19" s="564"/>
      <c r="C19" s="564" t="s">
        <v>131</v>
      </c>
    </row>
    <row r="20" spans="1:6" s="563" customFormat="1">
      <c r="B20" s="564"/>
      <c r="C20" s="564" t="s">
        <v>132</v>
      </c>
    </row>
    <row r="21" spans="1:6" s="563" customFormat="1" ht="56.45" customHeight="1">
      <c r="B21" s="564"/>
      <c r="C21" s="564" t="s">
        <v>133</v>
      </c>
    </row>
    <row r="22" spans="1:6" s="563" customFormat="1" ht="25.5">
      <c r="B22" s="564"/>
      <c r="C22" s="565" t="s">
        <v>123</v>
      </c>
    </row>
    <row r="23" spans="1:6" s="563" customFormat="1" ht="29.45" customHeight="1">
      <c r="B23" s="564"/>
      <c r="C23" s="565" t="s">
        <v>134</v>
      </c>
    </row>
    <row r="24" spans="1:6" s="563" customFormat="1" ht="45" customHeight="1">
      <c r="B24" s="564"/>
      <c r="C24" s="564" t="s">
        <v>2866</v>
      </c>
    </row>
    <row r="25" spans="1:6" s="571" customFormat="1" ht="30" customHeight="1">
      <c r="A25" s="566"/>
      <c r="B25" s="567"/>
      <c r="C25" s="567" t="s">
        <v>124</v>
      </c>
      <c r="D25" s="568"/>
      <c r="E25" s="569"/>
      <c r="F25" s="570"/>
    </row>
    <row r="26" spans="1:6" s="571" customFormat="1">
      <c r="A26" s="566"/>
      <c r="B26" s="567"/>
      <c r="C26" s="567" t="s">
        <v>125</v>
      </c>
      <c r="D26" s="568"/>
      <c r="E26" s="569"/>
      <c r="F26" s="570"/>
    </row>
    <row r="27" spans="1:6" s="571" customFormat="1">
      <c r="A27" s="566"/>
      <c r="B27" s="567"/>
      <c r="C27" s="567" t="s">
        <v>2867</v>
      </c>
      <c r="D27" s="568"/>
      <c r="E27" s="569"/>
      <c r="F27" s="570"/>
    </row>
    <row r="28" spans="1:6" s="571" customFormat="1">
      <c r="A28" s="566"/>
      <c r="B28" s="567"/>
      <c r="C28" s="567" t="s">
        <v>126</v>
      </c>
      <c r="D28" s="568"/>
      <c r="E28" s="569"/>
      <c r="F28" s="570"/>
    </row>
    <row r="29" spans="1:6" s="563" customFormat="1" ht="90" customHeight="1">
      <c r="B29" s="572"/>
      <c r="C29" s="573" t="s">
        <v>2868</v>
      </c>
      <c r="D29" s="574"/>
      <c r="F29" s="575"/>
    </row>
    <row r="30" spans="1:6" s="563" customFormat="1" ht="25.5">
      <c r="B30" s="564"/>
      <c r="C30" s="564" t="s">
        <v>2869</v>
      </c>
    </row>
    <row r="31" spans="1:6" s="563" customFormat="1" ht="25.5">
      <c r="B31" s="564"/>
      <c r="C31" s="564" t="s">
        <v>2870</v>
      </c>
    </row>
    <row r="32" spans="1:6" s="563" customFormat="1" ht="44.45" customHeight="1">
      <c r="B32" s="564"/>
      <c r="C32" s="564" t="s">
        <v>127</v>
      </c>
    </row>
    <row r="33" spans="1:7" s="563" customFormat="1" ht="42" customHeight="1">
      <c r="B33" s="134"/>
      <c r="C33" s="134" t="s">
        <v>135</v>
      </c>
    </row>
    <row r="34" spans="1:7" s="563" customFormat="1" ht="38.25">
      <c r="B34" s="564"/>
      <c r="C34" s="564" t="s">
        <v>136</v>
      </c>
    </row>
    <row r="35" spans="1:7" s="563" customFormat="1">
      <c r="B35" s="564"/>
      <c r="C35" s="564"/>
    </row>
    <row r="36" spans="1:7" s="576" customFormat="1">
      <c r="B36" s="564"/>
      <c r="C36" s="564" t="s">
        <v>137</v>
      </c>
    </row>
    <row r="37" spans="1:7" s="582" customFormat="1">
      <c r="A37" s="577"/>
      <c r="B37" s="28"/>
      <c r="C37" s="28" t="s">
        <v>138</v>
      </c>
      <c r="D37" s="578"/>
      <c r="E37" s="579"/>
      <c r="F37" s="580"/>
      <c r="G37" s="581"/>
    </row>
    <row r="38" spans="1:7" s="582" customFormat="1">
      <c r="A38" s="583"/>
      <c r="B38" s="584"/>
      <c r="C38" s="585" t="s">
        <v>2871</v>
      </c>
      <c r="D38" s="571"/>
      <c r="E38" s="586"/>
      <c r="F38" s="580"/>
      <c r="G38" s="579"/>
    </row>
    <row r="39" spans="1:7" s="582" customFormat="1">
      <c r="A39" s="583"/>
      <c r="B39" s="584"/>
      <c r="C39" s="585" t="s">
        <v>139</v>
      </c>
      <c r="D39" s="571"/>
      <c r="E39" s="586"/>
      <c r="F39" s="580"/>
      <c r="G39" s="579"/>
    </row>
    <row r="40" spans="1:7" s="582" customFormat="1">
      <c r="A40" s="583"/>
      <c r="B40" s="584"/>
      <c r="C40" s="585" t="s">
        <v>140</v>
      </c>
      <c r="D40" s="571"/>
      <c r="E40" s="586"/>
      <c r="F40" s="580"/>
      <c r="G40" s="579"/>
    </row>
    <row r="41" spans="1:7" s="582" customFormat="1">
      <c r="A41" s="577"/>
      <c r="B41" s="587"/>
      <c r="C41" s="28" t="s">
        <v>2872</v>
      </c>
      <c r="D41" s="578"/>
      <c r="E41" s="579"/>
      <c r="F41" s="580"/>
      <c r="G41" s="581"/>
    </row>
    <row r="42" spans="1:7" s="582" customFormat="1">
      <c r="A42" s="577"/>
      <c r="B42" s="587"/>
      <c r="C42" s="28"/>
      <c r="D42" s="578"/>
      <c r="E42" s="579"/>
      <c r="F42" s="580"/>
      <c r="G42" s="581"/>
    </row>
    <row r="43" spans="1:7" s="582" customFormat="1">
      <c r="A43" s="577"/>
      <c r="B43" s="587"/>
      <c r="C43" s="28" t="s">
        <v>141</v>
      </c>
      <c r="D43" s="578"/>
      <c r="E43" s="579"/>
      <c r="F43" s="580"/>
      <c r="G43" s="581"/>
    </row>
    <row r="44" spans="1:7" s="582" customFormat="1">
      <c r="A44" s="577"/>
      <c r="B44" s="587"/>
      <c r="C44" s="28" t="s">
        <v>142</v>
      </c>
      <c r="D44" s="578"/>
      <c r="E44" s="579"/>
      <c r="F44" s="580"/>
      <c r="G44" s="581"/>
    </row>
    <row r="45" spans="1:7" s="582" customFormat="1">
      <c r="A45" s="583"/>
      <c r="B45" s="584"/>
      <c r="C45" s="585" t="s">
        <v>2873</v>
      </c>
      <c r="D45" s="571"/>
      <c r="E45" s="586"/>
      <c r="F45" s="580"/>
      <c r="G45" s="579"/>
    </row>
    <row r="46" spans="1:7" s="582" customFormat="1">
      <c r="A46" s="583"/>
      <c r="B46" s="584"/>
      <c r="C46" s="585" t="s">
        <v>2874</v>
      </c>
      <c r="D46" s="571"/>
      <c r="E46" s="586"/>
      <c r="F46" s="580"/>
      <c r="G46" s="579"/>
    </row>
    <row r="47" spans="1:7" s="582" customFormat="1">
      <c r="A47" s="583"/>
      <c r="B47" s="584"/>
      <c r="C47" s="585" t="s">
        <v>2875</v>
      </c>
      <c r="D47" s="571"/>
      <c r="E47" s="586"/>
      <c r="F47" s="580"/>
      <c r="G47" s="579"/>
    </row>
    <row r="48" spans="1:7" s="582" customFormat="1">
      <c r="A48" s="583"/>
      <c r="B48" s="584"/>
      <c r="C48" s="585" t="s">
        <v>2876</v>
      </c>
      <c r="D48" s="571"/>
      <c r="E48" s="586"/>
      <c r="F48" s="580"/>
      <c r="G48" s="579"/>
    </row>
    <row r="49" spans="1:7" s="582" customFormat="1">
      <c r="A49" s="583"/>
      <c r="B49" s="584"/>
      <c r="C49" s="585" t="s">
        <v>143</v>
      </c>
      <c r="D49" s="571"/>
      <c r="E49" s="586"/>
      <c r="F49" s="580"/>
      <c r="G49" s="579"/>
    </row>
    <row r="50" spans="1:7" s="582" customFormat="1">
      <c r="A50" s="583"/>
      <c r="B50" s="584"/>
      <c r="C50" s="585" t="s">
        <v>144</v>
      </c>
      <c r="D50" s="571"/>
      <c r="E50" s="586"/>
      <c r="F50" s="580"/>
      <c r="G50" s="579"/>
    </row>
    <row r="51" spans="1:7" s="582" customFormat="1">
      <c r="A51" s="577"/>
      <c r="B51" s="28"/>
      <c r="C51" s="28" t="s">
        <v>145</v>
      </c>
      <c r="D51" s="578"/>
      <c r="E51" s="579"/>
      <c r="F51" s="580"/>
      <c r="G51" s="581"/>
    </row>
    <row r="52" spans="1:7" s="582" customFormat="1">
      <c r="A52" s="583"/>
      <c r="B52" s="584"/>
      <c r="C52" s="585" t="s">
        <v>2877</v>
      </c>
      <c r="D52" s="571"/>
      <c r="E52" s="586"/>
      <c r="F52" s="580"/>
      <c r="G52" s="579"/>
    </row>
    <row r="53" spans="1:7" s="582" customFormat="1">
      <c r="A53" s="583"/>
      <c r="B53" s="584"/>
      <c r="C53" s="585" t="s">
        <v>146</v>
      </c>
      <c r="D53" s="571"/>
      <c r="E53" s="586"/>
      <c r="F53" s="580"/>
      <c r="G53" s="579"/>
    </row>
    <row r="54" spans="1:7" s="582" customFormat="1">
      <c r="A54" s="577"/>
      <c r="B54" s="28"/>
      <c r="C54" s="28" t="s">
        <v>147</v>
      </c>
      <c r="D54" s="578"/>
      <c r="E54" s="579"/>
      <c r="F54" s="580"/>
      <c r="G54" s="581"/>
    </row>
    <row r="55" spans="1:7" s="582" customFormat="1">
      <c r="A55" s="577"/>
      <c r="B55" s="28"/>
      <c r="C55" s="28" t="s">
        <v>148</v>
      </c>
      <c r="D55" s="578"/>
      <c r="E55" s="579"/>
      <c r="F55" s="580"/>
      <c r="G55" s="581"/>
    </row>
    <row r="56" spans="1:7" s="582" customFormat="1">
      <c r="A56" s="577"/>
      <c r="B56" s="28"/>
      <c r="C56" s="28" t="s">
        <v>149</v>
      </c>
      <c r="D56" s="578"/>
      <c r="E56" s="579"/>
      <c r="F56" s="580"/>
      <c r="G56" s="581"/>
    </row>
    <row r="57" spans="1:7" s="582" customFormat="1">
      <c r="A57" s="577"/>
      <c r="B57" s="28"/>
      <c r="C57" s="28"/>
      <c r="D57" s="578"/>
      <c r="E57" s="579"/>
      <c r="F57" s="580"/>
      <c r="G57" s="581"/>
    </row>
    <row r="58" spans="1:7" s="582" customFormat="1">
      <c r="A58" s="577"/>
      <c r="B58" s="587"/>
      <c r="C58" s="28" t="s">
        <v>2878</v>
      </c>
      <c r="D58" s="578"/>
      <c r="E58" s="579"/>
      <c r="F58" s="580"/>
      <c r="G58" s="581"/>
    </row>
    <row r="59" spans="1:7" s="582" customFormat="1">
      <c r="A59" s="577"/>
      <c r="B59" s="28"/>
      <c r="C59" s="28" t="s">
        <v>150</v>
      </c>
      <c r="D59" s="578"/>
      <c r="E59" s="579"/>
      <c r="F59" s="580"/>
      <c r="G59" s="581"/>
    </row>
    <row r="60" spans="1:7" s="582" customFormat="1">
      <c r="A60" s="577"/>
      <c r="B60" s="28"/>
      <c r="C60" s="28"/>
      <c r="D60" s="578"/>
      <c r="E60" s="579"/>
      <c r="F60" s="580"/>
      <c r="G60" s="581"/>
    </row>
    <row r="61" spans="1:7" s="582" customFormat="1">
      <c r="A61" s="577"/>
      <c r="B61" s="28"/>
      <c r="C61" s="28" t="s">
        <v>151</v>
      </c>
      <c r="D61" s="578"/>
      <c r="E61" s="579"/>
      <c r="F61" s="580"/>
      <c r="G61" s="581"/>
    </row>
    <row r="62" spans="1:7" s="582" customFormat="1">
      <c r="A62" s="577"/>
      <c r="B62" s="28"/>
      <c r="C62" s="28" t="s">
        <v>152</v>
      </c>
      <c r="D62" s="578"/>
      <c r="E62" s="579"/>
      <c r="F62" s="580"/>
      <c r="G62" s="581"/>
    </row>
    <row r="63" spans="1:7" s="582" customFormat="1">
      <c r="A63" s="577"/>
      <c r="B63" s="28"/>
      <c r="C63" s="28" t="s">
        <v>153</v>
      </c>
      <c r="D63" s="578"/>
      <c r="E63" s="579"/>
      <c r="F63" s="580"/>
      <c r="G63" s="581"/>
    </row>
    <row r="64" spans="1:7" s="582" customFormat="1">
      <c r="A64" s="583"/>
      <c r="B64" s="584"/>
      <c r="C64" s="585" t="s">
        <v>2879</v>
      </c>
      <c r="D64" s="571"/>
      <c r="E64" s="586"/>
      <c r="F64" s="580"/>
      <c r="G64" s="579"/>
    </row>
    <row r="65" spans="1:7" s="582" customFormat="1">
      <c r="A65" s="577"/>
      <c r="B65" s="28"/>
      <c r="C65" s="28" t="s">
        <v>2880</v>
      </c>
      <c r="D65" s="578"/>
      <c r="E65" s="579"/>
      <c r="F65" s="580"/>
      <c r="G65" s="581"/>
    </row>
    <row r="66" spans="1:7" s="582" customFormat="1">
      <c r="A66" s="577"/>
      <c r="B66" s="28"/>
      <c r="C66" s="28" t="s">
        <v>2881</v>
      </c>
      <c r="D66" s="578"/>
      <c r="E66" s="579"/>
      <c r="F66" s="580"/>
      <c r="G66" s="581"/>
    </row>
    <row r="67" spans="1:7" s="582" customFormat="1">
      <c r="A67" s="577"/>
      <c r="B67" s="28"/>
      <c r="C67" s="28" t="s">
        <v>2882</v>
      </c>
      <c r="D67" s="578"/>
      <c r="E67" s="579"/>
      <c r="F67" s="580"/>
      <c r="G67" s="581"/>
    </row>
    <row r="68" spans="1:7" s="582" customFormat="1">
      <c r="A68" s="583"/>
      <c r="B68" s="584"/>
      <c r="C68" s="585" t="s">
        <v>2883</v>
      </c>
      <c r="D68" s="571"/>
      <c r="E68" s="586"/>
      <c r="F68" s="580"/>
      <c r="G68" s="579"/>
    </row>
    <row r="69" spans="1:7" s="582" customFormat="1">
      <c r="A69" s="577"/>
      <c r="B69" s="28"/>
      <c r="C69" s="28" t="s">
        <v>154</v>
      </c>
      <c r="D69" s="578"/>
      <c r="E69" s="579"/>
      <c r="F69" s="580"/>
      <c r="G69" s="581"/>
    </row>
    <row r="70" spans="1:7" s="582" customFormat="1">
      <c r="A70" s="577"/>
      <c r="B70" s="28"/>
      <c r="C70" s="28" t="s">
        <v>155</v>
      </c>
      <c r="D70" s="578"/>
      <c r="E70" s="579"/>
      <c r="F70" s="580"/>
      <c r="G70" s="581"/>
    </row>
    <row r="71" spans="1:7" s="582" customFormat="1">
      <c r="A71" s="577"/>
      <c r="B71" s="28"/>
      <c r="C71" s="28" t="s">
        <v>156</v>
      </c>
      <c r="D71" s="578"/>
      <c r="E71" s="579"/>
      <c r="F71" s="580"/>
      <c r="G71" s="581"/>
    </row>
    <row r="72" spans="1:7" s="582" customFormat="1">
      <c r="A72" s="577"/>
      <c r="B72" s="28"/>
      <c r="C72" s="28" t="s">
        <v>157</v>
      </c>
      <c r="D72" s="578"/>
      <c r="E72" s="579"/>
      <c r="F72" s="580"/>
      <c r="G72" s="581"/>
    </row>
    <row r="73" spans="1:7" s="582" customFormat="1">
      <c r="A73" s="577"/>
      <c r="B73" s="28"/>
      <c r="C73" s="28" t="s">
        <v>2884</v>
      </c>
      <c r="D73" s="578"/>
      <c r="E73" s="579"/>
      <c r="F73" s="580"/>
      <c r="G73" s="581"/>
    </row>
    <row r="74" spans="1:7" s="582" customFormat="1">
      <c r="A74" s="577"/>
      <c r="B74" s="587"/>
      <c r="C74" s="28" t="s">
        <v>158</v>
      </c>
      <c r="D74" s="578"/>
      <c r="E74" s="579"/>
      <c r="F74" s="580"/>
      <c r="G74" s="581"/>
    </row>
    <row r="75" spans="1:7" s="582" customFormat="1">
      <c r="A75" s="577"/>
      <c r="B75" s="28"/>
      <c r="C75" s="28" t="s">
        <v>159</v>
      </c>
      <c r="D75" s="578"/>
      <c r="E75" s="579"/>
      <c r="F75" s="580"/>
      <c r="G75" s="581"/>
    </row>
    <row r="76" spans="1:7" s="582" customFormat="1">
      <c r="A76" s="577"/>
      <c r="B76" s="28"/>
      <c r="C76" s="28"/>
      <c r="D76" s="578"/>
      <c r="E76" s="579"/>
      <c r="F76" s="580"/>
      <c r="G76" s="581"/>
    </row>
    <row r="77" spans="1:7" s="582" customFormat="1">
      <c r="A77" s="583"/>
      <c r="B77" s="584"/>
      <c r="C77" s="585" t="s">
        <v>160</v>
      </c>
      <c r="D77" s="571"/>
      <c r="E77" s="586"/>
      <c r="F77" s="580"/>
      <c r="G77" s="579"/>
    </row>
    <row r="78" spans="1:7" s="576" customFormat="1">
      <c r="A78" s="588"/>
      <c r="B78" s="589"/>
      <c r="C78" s="571" t="s">
        <v>2885</v>
      </c>
    </row>
    <row r="79" spans="1:7" s="582" customFormat="1">
      <c r="A79" s="577"/>
      <c r="B79" s="587"/>
      <c r="C79" s="28"/>
      <c r="D79" s="578"/>
      <c r="E79" s="579"/>
      <c r="F79" s="580"/>
      <c r="G79" s="581"/>
    </row>
    <row r="80" spans="1:7" s="582" customFormat="1">
      <c r="A80" s="577"/>
      <c r="B80" s="587"/>
      <c r="C80" s="28" t="s">
        <v>2886</v>
      </c>
      <c r="D80" s="578"/>
      <c r="E80" s="579"/>
      <c r="F80" s="580"/>
      <c r="G80" s="581"/>
    </row>
    <row r="81" spans="1:27" s="582" customFormat="1" ht="46.15" customHeight="1">
      <c r="A81" s="577"/>
      <c r="B81" s="587"/>
      <c r="C81" s="28" t="s">
        <v>2887</v>
      </c>
      <c r="D81" s="578"/>
      <c r="E81" s="579"/>
      <c r="F81" s="580"/>
      <c r="G81" s="581"/>
    </row>
    <row r="82" spans="1:27" s="582" customFormat="1" ht="25.5">
      <c r="A82" s="577"/>
      <c r="B82" s="587"/>
      <c r="C82" s="28" t="s">
        <v>2888</v>
      </c>
      <c r="D82" s="578"/>
      <c r="E82" s="579"/>
      <c r="F82" s="580"/>
      <c r="G82" s="581"/>
    </row>
    <row r="83" spans="1:27" s="582" customFormat="1">
      <c r="A83" s="577"/>
      <c r="B83" s="587"/>
      <c r="C83" s="28" t="s">
        <v>2889</v>
      </c>
      <c r="D83" s="578"/>
      <c r="E83" s="579"/>
      <c r="F83" s="580"/>
      <c r="G83" s="581"/>
    </row>
    <row r="84" spans="1:27" s="582" customFormat="1" ht="25.5">
      <c r="A84" s="577"/>
      <c r="B84" s="587"/>
      <c r="C84" s="28" t="s">
        <v>2890</v>
      </c>
      <c r="D84" s="578"/>
      <c r="E84" s="579"/>
      <c r="F84" s="580"/>
      <c r="G84" s="581"/>
    </row>
    <row r="85" spans="1:27" s="563" customFormat="1">
      <c r="B85" s="133"/>
      <c r="C85" s="590"/>
      <c r="D85" s="591"/>
      <c r="E85" s="580"/>
      <c r="F85" s="592"/>
    </row>
    <row r="86" spans="1:27" s="576" customFormat="1" ht="136.5" customHeight="1">
      <c r="A86" s="588"/>
      <c r="B86" s="589"/>
      <c r="C86" s="593" t="s">
        <v>2891</v>
      </c>
    </row>
    <row r="87" spans="1:27" s="576" customFormat="1" ht="43.15" customHeight="1">
      <c r="A87" s="588"/>
      <c r="B87" s="589"/>
      <c r="C87" s="593" t="s">
        <v>2892</v>
      </c>
    </row>
    <row r="88" spans="1:27" s="576" customFormat="1" ht="25.5">
      <c r="A88" s="588"/>
      <c r="B88" s="589"/>
      <c r="C88" s="593" t="s">
        <v>2893</v>
      </c>
    </row>
    <row r="89" spans="1:27" s="576" customFormat="1" ht="25.5">
      <c r="A89" s="588"/>
      <c r="B89" s="589"/>
      <c r="C89" s="28" t="s">
        <v>161</v>
      </c>
    </row>
    <row r="90" spans="1:27" s="576" customFormat="1" ht="30" customHeight="1">
      <c r="A90" s="588"/>
      <c r="B90" s="589"/>
      <c r="C90" s="28" t="s">
        <v>2894</v>
      </c>
    </row>
    <row r="91" spans="1:27" s="576" customFormat="1">
      <c r="B91" s="594"/>
      <c r="C91" s="593"/>
      <c r="D91" s="589"/>
      <c r="F91" s="595"/>
    </row>
    <row r="92" spans="1:27" s="576" customFormat="1" ht="87" customHeight="1">
      <c r="A92" s="588"/>
      <c r="B92" s="589"/>
      <c r="C92" s="593" t="s">
        <v>2895</v>
      </c>
    </row>
    <row r="93" spans="1:27" s="576" customFormat="1" ht="100.9" customHeight="1">
      <c r="A93" s="588"/>
      <c r="B93" s="589"/>
      <c r="C93" s="593" t="s">
        <v>2896</v>
      </c>
    </row>
    <row r="94" spans="1:27" s="576" customFormat="1" ht="114.75">
      <c r="A94" s="588"/>
      <c r="B94" s="589"/>
      <c r="C94" s="593" t="s">
        <v>2897</v>
      </c>
    </row>
    <row r="95" spans="1:27" s="601" customFormat="1" ht="15">
      <c r="A95" s="596"/>
      <c r="B95" s="597"/>
      <c r="C95" s="598" t="s">
        <v>1742</v>
      </c>
      <c r="D95" s="598"/>
      <c r="E95" s="598"/>
      <c r="F95" s="598"/>
      <c r="G95" s="599"/>
      <c r="H95" s="600"/>
      <c r="I95" s="596"/>
      <c r="J95" s="596"/>
      <c r="K95" s="599"/>
      <c r="L95" s="599"/>
      <c r="M95" s="599"/>
      <c r="N95" s="599"/>
      <c r="O95" s="599"/>
      <c r="P95" s="599"/>
      <c r="Q95" s="599"/>
      <c r="R95" s="599"/>
      <c r="S95" s="599"/>
      <c r="T95" s="599"/>
      <c r="U95" s="599"/>
      <c r="V95" s="599"/>
      <c r="W95" s="599"/>
      <c r="X95" s="599"/>
      <c r="Y95" s="599"/>
      <c r="Z95" s="599"/>
      <c r="AA95" s="599"/>
    </row>
    <row r="96" spans="1:27" s="601" customFormat="1" ht="25.5">
      <c r="A96" s="596"/>
      <c r="B96" s="602"/>
      <c r="C96" s="598" t="s">
        <v>1743</v>
      </c>
      <c r="D96" s="598"/>
      <c r="E96" s="598"/>
      <c r="F96" s="598"/>
      <c r="G96" s="599"/>
      <c r="H96" s="600"/>
      <c r="I96" s="596"/>
      <c r="J96" s="596"/>
      <c r="K96" s="599"/>
      <c r="L96" s="599"/>
      <c r="M96" s="599"/>
      <c r="N96" s="599"/>
      <c r="O96" s="599"/>
      <c r="P96" s="599"/>
      <c r="Q96" s="599"/>
      <c r="R96" s="599"/>
      <c r="S96" s="599"/>
      <c r="T96" s="599"/>
      <c r="U96" s="599"/>
      <c r="V96" s="599"/>
      <c r="W96" s="599"/>
      <c r="X96" s="599"/>
      <c r="Y96" s="599"/>
      <c r="Z96" s="599"/>
      <c r="AA96" s="599"/>
    </row>
    <row r="97" spans="1:27" s="601" customFormat="1" ht="14.25">
      <c r="A97" s="596"/>
      <c r="B97" s="596"/>
      <c r="C97" s="598" t="s">
        <v>1744</v>
      </c>
      <c r="D97" s="598"/>
      <c r="E97" s="598"/>
      <c r="F97" s="598"/>
      <c r="G97" s="599"/>
      <c r="H97" s="600"/>
      <c r="I97" s="596"/>
      <c r="J97" s="596"/>
      <c r="K97" s="599"/>
      <c r="L97" s="599"/>
      <c r="M97" s="599"/>
      <c r="N97" s="599"/>
      <c r="O97" s="599"/>
      <c r="P97" s="599"/>
      <c r="Q97" s="599"/>
      <c r="R97" s="599"/>
      <c r="S97" s="599"/>
      <c r="T97" s="599"/>
      <c r="U97" s="599"/>
      <c r="V97" s="599"/>
      <c r="W97" s="599"/>
      <c r="X97" s="599"/>
      <c r="Y97" s="599"/>
      <c r="Z97" s="599"/>
      <c r="AA97" s="599"/>
    </row>
    <row r="98" spans="1:27" s="601" customFormat="1" ht="15">
      <c r="A98" s="596"/>
      <c r="B98" s="597"/>
      <c r="C98" s="598" t="s">
        <v>1745</v>
      </c>
      <c r="D98" s="598"/>
      <c r="E98" s="598"/>
      <c r="F98" s="598"/>
      <c r="G98" s="599"/>
      <c r="H98" s="600"/>
      <c r="I98" s="596"/>
      <c r="J98" s="596"/>
      <c r="K98" s="599"/>
      <c r="L98" s="599"/>
      <c r="M98" s="599"/>
      <c r="N98" s="599"/>
      <c r="O98" s="599"/>
      <c r="P98" s="599"/>
      <c r="Q98" s="599"/>
      <c r="R98" s="599"/>
      <c r="S98" s="599"/>
      <c r="T98" s="599"/>
      <c r="U98" s="599"/>
      <c r="V98" s="599"/>
      <c r="W98" s="599"/>
      <c r="X98" s="599"/>
      <c r="Y98" s="599"/>
      <c r="Z98" s="599"/>
      <c r="AA98" s="599"/>
    </row>
    <row r="99" spans="1:27" s="601" customFormat="1" ht="15">
      <c r="A99" s="596"/>
      <c r="B99" s="597"/>
      <c r="C99" s="598" t="s">
        <v>1746</v>
      </c>
      <c r="D99" s="598"/>
      <c r="E99" s="598"/>
      <c r="F99" s="598"/>
      <c r="G99" s="599"/>
      <c r="H99" s="600"/>
      <c r="I99" s="596"/>
      <c r="J99" s="596"/>
      <c r="K99" s="599"/>
      <c r="L99" s="599"/>
      <c r="M99" s="599"/>
      <c r="N99" s="599"/>
      <c r="O99" s="599"/>
      <c r="P99" s="599"/>
      <c r="Q99" s="599"/>
      <c r="R99" s="599"/>
      <c r="S99" s="599"/>
      <c r="T99" s="599"/>
      <c r="U99" s="599"/>
      <c r="V99" s="599"/>
      <c r="W99" s="599"/>
      <c r="X99" s="599"/>
      <c r="Y99" s="599"/>
      <c r="Z99" s="599"/>
      <c r="AA99" s="599"/>
    </row>
    <row r="100" spans="1:27" s="601" customFormat="1" ht="15">
      <c r="A100" s="596"/>
      <c r="B100" s="597"/>
      <c r="C100" s="598" t="s">
        <v>1747</v>
      </c>
      <c r="D100" s="598"/>
      <c r="E100" s="598"/>
      <c r="F100" s="598"/>
      <c r="G100" s="599"/>
      <c r="H100" s="600"/>
      <c r="I100" s="596"/>
      <c r="J100" s="596"/>
      <c r="K100" s="599"/>
      <c r="L100" s="599"/>
      <c r="M100" s="599"/>
      <c r="N100" s="599"/>
      <c r="O100" s="599"/>
      <c r="P100" s="599"/>
      <c r="Q100" s="599"/>
      <c r="R100" s="599"/>
      <c r="S100" s="599"/>
      <c r="T100" s="599"/>
      <c r="U100" s="599"/>
      <c r="V100" s="599"/>
      <c r="W100" s="599"/>
      <c r="X100" s="599"/>
      <c r="Y100" s="599"/>
      <c r="Z100" s="599"/>
      <c r="AA100" s="599"/>
    </row>
    <row r="101" spans="1:27" s="601" customFormat="1" ht="15">
      <c r="A101" s="596"/>
      <c r="B101" s="597"/>
      <c r="C101" s="598" t="s">
        <v>1748</v>
      </c>
      <c r="D101" s="598"/>
      <c r="E101" s="598"/>
      <c r="F101" s="598"/>
      <c r="G101" s="599"/>
      <c r="H101" s="600"/>
      <c r="I101" s="596"/>
      <c r="J101" s="596"/>
      <c r="K101" s="599"/>
      <c r="L101" s="599"/>
      <c r="M101" s="599"/>
      <c r="N101" s="599"/>
      <c r="O101" s="599"/>
      <c r="P101" s="599"/>
      <c r="Q101" s="599"/>
      <c r="R101" s="599"/>
      <c r="S101" s="599"/>
      <c r="T101" s="599"/>
      <c r="U101" s="599"/>
      <c r="V101" s="599"/>
      <c r="W101" s="599"/>
      <c r="X101" s="599"/>
      <c r="Y101" s="599"/>
      <c r="Z101" s="599"/>
      <c r="AA101" s="599"/>
    </row>
    <row r="102" spans="1:27" s="601" customFormat="1" ht="14.25">
      <c r="A102" s="596"/>
      <c r="B102" s="596"/>
      <c r="C102" s="603" t="s">
        <v>2898</v>
      </c>
      <c r="D102" s="598"/>
      <c r="E102" s="604"/>
      <c r="F102" s="605"/>
      <c r="G102" s="599"/>
      <c r="H102" s="600"/>
      <c r="I102" s="596"/>
      <c r="J102" s="596"/>
      <c r="K102" s="599"/>
      <c r="L102" s="599"/>
      <c r="M102" s="599"/>
      <c r="N102" s="599"/>
      <c r="O102" s="599"/>
      <c r="P102" s="599"/>
      <c r="Q102" s="599"/>
      <c r="R102" s="599"/>
      <c r="S102" s="599"/>
      <c r="T102" s="599"/>
      <c r="U102" s="599"/>
      <c r="V102" s="599"/>
      <c r="W102" s="599"/>
      <c r="X102" s="599"/>
      <c r="Y102" s="599"/>
      <c r="Z102" s="599"/>
      <c r="AA102" s="599"/>
    </row>
    <row r="103" spans="1:27" s="601" customFormat="1" ht="15">
      <c r="A103" s="596"/>
      <c r="B103" s="597"/>
      <c r="C103" s="598" t="s">
        <v>1749</v>
      </c>
      <c r="D103" s="598"/>
      <c r="E103" s="598"/>
      <c r="F103" s="598"/>
      <c r="G103" s="599"/>
      <c r="H103" s="600"/>
      <c r="I103" s="596"/>
      <c r="J103" s="596"/>
      <c r="K103" s="599"/>
      <c r="L103" s="599"/>
      <c r="M103" s="599"/>
      <c r="N103" s="599"/>
      <c r="O103" s="599"/>
      <c r="P103" s="599"/>
      <c r="Q103" s="599"/>
      <c r="R103" s="599"/>
      <c r="S103" s="599"/>
      <c r="T103" s="599"/>
      <c r="U103" s="599"/>
      <c r="V103" s="599"/>
      <c r="W103" s="599"/>
      <c r="X103" s="599"/>
      <c r="Y103" s="599"/>
      <c r="Z103" s="599"/>
      <c r="AA103" s="599"/>
    </row>
    <row r="104" spans="1:27" s="601" customFormat="1" ht="15">
      <c r="A104" s="596"/>
      <c r="B104" s="597"/>
      <c r="C104" s="598" t="s">
        <v>1750</v>
      </c>
      <c r="D104" s="598"/>
      <c r="E104" s="598"/>
      <c r="F104" s="598"/>
      <c r="G104" s="599"/>
      <c r="H104" s="600"/>
      <c r="I104" s="596"/>
      <c r="J104" s="596"/>
      <c r="K104" s="599"/>
      <c r="L104" s="599"/>
      <c r="M104" s="599"/>
      <c r="N104" s="599"/>
      <c r="O104" s="599"/>
      <c r="P104" s="599"/>
      <c r="Q104" s="599"/>
      <c r="R104" s="599"/>
      <c r="S104" s="599"/>
      <c r="T104" s="599"/>
      <c r="U104" s="599"/>
      <c r="V104" s="599"/>
      <c r="W104" s="599"/>
      <c r="X104" s="599"/>
      <c r="Y104" s="599"/>
      <c r="Z104" s="599"/>
      <c r="AA104" s="599"/>
    </row>
    <row r="105" spans="1:27" s="601" customFormat="1" ht="15">
      <c r="A105" s="596"/>
      <c r="B105" s="597"/>
      <c r="C105" s="598" t="s">
        <v>1751</v>
      </c>
      <c r="D105" s="598"/>
      <c r="E105" s="598"/>
      <c r="F105" s="598"/>
      <c r="G105" s="599"/>
      <c r="H105" s="600"/>
      <c r="I105" s="596"/>
      <c r="J105" s="596"/>
      <c r="K105" s="599"/>
      <c r="L105" s="599"/>
      <c r="M105" s="599"/>
      <c r="N105" s="599"/>
      <c r="O105" s="599"/>
      <c r="P105" s="599"/>
      <c r="Q105" s="599"/>
      <c r="R105" s="599"/>
      <c r="S105" s="599"/>
      <c r="T105" s="599"/>
      <c r="U105" s="599"/>
      <c r="V105" s="599"/>
      <c r="W105" s="599"/>
      <c r="X105" s="599"/>
      <c r="Y105" s="599"/>
      <c r="Z105" s="599"/>
      <c r="AA105" s="599"/>
    </row>
    <row r="106" spans="1:27" s="601" customFormat="1" ht="15">
      <c r="A106" s="596"/>
      <c r="B106" s="597"/>
      <c r="C106" s="598" t="s">
        <v>1752</v>
      </c>
      <c r="D106" s="598"/>
      <c r="E106" s="598"/>
      <c r="F106" s="598"/>
      <c r="G106" s="599"/>
      <c r="H106" s="600"/>
      <c r="I106" s="596"/>
      <c r="J106" s="596"/>
      <c r="K106" s="599"/>
      <c r="L106" s="599"/>
      <c r="M106" s="599"/>
      <c r="N106" s="599"/>
      <c r="O106" s="599"/>
      <c r="P106" s="599"/>
      <c r="Q106" s="599"/>
      <c r="R106" s="599"/>
      <c r="S106" s="599"/>
      <c r="T106" s="599"/>
      <c r="U106" s="599"/>
      <c r="V106" s="599"/>
      <c r="W106" s="599"/>
      <c r="X106" s="599"/>
      <c r="Y106" s="599"/>
      <c r="Z106" s="599"/>
      <c r="AA106" s="599"/>
    </row>
    <row r="107" spans="1:27" s="601" customFormat="1" ht="25.5">
      <c r="A107" s="596"/>
      <c r="B107" s="597"/>
      <c r="C107" s="598" t="s">
        <v>2899</v>
      </c>
      <c r="D107" s="598"/>
      <c r="E107" s="598"/>
      <c r="F107" s="598"/>
      <c r="G107" s="599"/>
      <c r="H107" s="600"/>
      <c r="I107" s="596"/>
      <c r="J107" s="596"/>
      <c r="K107" s="599"/>
      <c r="L107" s="599"/>
      <c r="M107" s="599"/>
      <c r="N107" s="599"/>
      <c r="O107" s="599"/>
      <c r="P107" s="599"/>
      <c r="Q107" s="599"/>
      <c r="R107" s="599"/>
      <c r="S107" s="599"/>
      <c r="T107" s="599"/>
      <c r="U107" s="599"/>
      <c r="V107" s="599"/>
      <c r="W107" s="599"/>
      <c r="X107" s="599"/>
      <c r="Y107" s="599"/>
      <c r="Z107" s="599"/>
      <c r="AA107" s="599"/>
    </row>
    <row r="108" spans="1:27" s="601" customFormat="1" ht="15">
      <c r="A108" s="596"/>
      <c r="B108" s="597"/>
      <c r="C108" s="598" t="s">
        <v>2900</v>
      </c>
      <c r="D108" s="598"/>
      <c r="E108" s="598"/>
      <c r="F108" s="598"/>
      <c r="G108" s="599"/>
      <c r="H108" s="600"/>
      <c r="I108" s="596"/>
      <c r="J108" s="596"/>
      <c r="K108" s="599"/>
      <c r="L108" s="599"/>
      <c r="M108" s="599"/>
      <c r="N108" s="599"/>
      <c r="O108" s="599"/>
      <c r="P108" s="599"/>
      <c r="Q108" s="599"/>
      <c r="R108" s="599"/>
      <c r="S108" s="599"/>
      <c r="T108" s="599"/>
      <c r="U108" s="599"/>
      <c r="V108" s="599"/>
      <c r="W108" s="599"/>
      <c r="X108" s="599"/>
      <c r="Y108" s="599"/>
      <c r="Z108" s="599"/>
      <c r="AA108" s="599"/>
    </row>
    <row r="109" spans="1:27" s="601" customFormat="1" ht="15">
      <c r="A109" s="596"/>
      <c r="B109" s="597"/>
      <c r="C109" s="598" t="s">
        <v>1756</v>
      </c>
      <c r="D109" s="598"/>
      <c r="E109" s="598"/>
      <c r="F109" s="598"/>
      <c r="G109" s="599"/>
      <c r="H109" s="600"/>
      <c r="I109" s="596"/>
      <c r="J109" s="596"/>
      <c r="K109" s="599"/>
      <c r="L109" s="599"/>
      <c r="M109" s="599"/>
      <c r="N109" s="599"/>
      <c r="O109" s="599"/>
      <c r="P109" s="599"/>
      <c r="Q109" s="599"/>
      <c r="R109" s="599"/>
      <c r="S109" s="599"/>
      <c r="T109" s="599"/>
      <c r="U109" s="599"/>
      <c r="V109" s="599"/>
      <c r="W109" s="599"/>
      <c r="X109" s="599"/>
      <c r="Y109" s="599"/>
      <c r="Z109" s="599"/>
      <c r="AA109" s="599"/>
    </row>
    <row r="110" spans="1:27" s="601" customFormat="1" ht="15">
      <c r="A110" s="596"/>
      <c r="B110" s="597"/>
      <c r="C110" s="598" t="s">
        <v>1757</v>
      </c>
      <c r="D110" s="598"/>
      <c r="E110" s="598"/>
      <c r="F110" s="598"/>
      <c r="G110" s="599"/>
      <c r="H110" s="600"/>
      <c r="I110" s="596"/>
      <c r="J110" s="596"/>
      <c r="K110" s="599"/>
      <c r="L110" s="599"/>
      <c r="M110" s="599"/>
      <c r="N110" s="599"/>
      <c r="O110" s="599"/>
      <c r="P110" s="599"/>
      <c r="Q110" s="599"/>
      <c r="R110" s="599"/>
      <c r="S110" s="599"/>
      <c r="T110" s="599"/>
      <c r="U110" s="599"/>
      <c r="V110" s="599"/>
      <c r="W110" s="599"/>
      <c r="X110" s="599"/>
      <c r="Y110" s="599"/>
      <c r="Z110" s="599"/>
      <c r="AA110" s="599"/>
    </row>
    <row r="111" spans="1:27" s="601" customFormat="1" ht="25.5">
      <c r="A111" s="596"/>
      <c r="B111" s="597"/>
      <c r="C111" s="598" t="s">
        <v>1758</v>
      </c>
      <c r="D111" s="598"/>
      <c r="E111" s="606"/>
      <c r="F111" s="606"/>
      <c r="G111" s="599"/>
      <c r="H111" s="600"/>
      <c r="I111" s="596"/>
      <c r="J111" s="596"/>
      <c r="K111" s="599"/>
      <c r="L111" s="599"/>
      <c r="M111" s="599"/>
      <c r="N111" s="599"/>
      <c r="O111" s="599"/>
      <c r="P111" s="599"/>
      <c r="Q111" s="599"/>
      <c r="R111" s="599"/>
      <c r="S111" s="599"/>
      <c r="T111" s="599"/>
      <c r="U111" s="599"/>
      <c r="V111" s="599"/>
      <c r="W111" s="599"/>
      <c r="X111" s="599"/>
      <c r="Y111" s="599"/>
      <c r="Z111" s="599"/>
      <c r="AA111" s="599"/>
    </row>
    <row r="112" spans="1:27" s="563" customFormat="1">
      <c r="B112" s="572"/>
      <c r="C112" s="607" t="s">
        <v>2901</v>
      </c>
      <c r="D112" s="574"/>
      <c r="F112" s="575"/>
    </row>
    <row r="113" spans="2:6" s="563" customFormat="1">
      <c r="B113" s="572"/>
      <c r="C113" s="607"/>
      <c r="D113" s="574"/>
      <c r="F113" s="575"/>
    </row>
    <row r="114" spans="2:6" s="563" customFormat="1">
      <c r="B114" s="572"/>
      <c r="C114" s="134" t="s">
        <v>162</v>
      </c>
      <c r="D114" s="574"/>
      <c r="F114" s="575"/>
    </row>
    <row r="115" spans="2:6" s="563" customFormat="1">
      <c r="B115" s="572"/>
      <c r="D115" s="574"/>
      <c r="F115" s="575"/>
    </row>
    <row r="116" spans="2:6" ht="15">
      <c r="C116" s="80"/>
    </row>
  </sheetData>
  <pageMargins left="0.70866141732283472" right="0.31496062992125984" top="0.74803149606299213" bottom="0.74803149606299213" header="0.31496062992125984" footer="0.31496062992125984"/>
  <pageSetup paperSize="9" scale="89" orientation="portrait" r:id="rId1"/>
  <headerFooter differentFirst="1">
    <oddHeader>&amp;LTROŠKOVNIK&amp;C&amp;"-,Podebljano"&amp;K01+047OPĆI UVJETI&amp;RSTAMBENO-POSLOVNA GRAĐEVINA BLATO</oddHeader>
    <oddFooter>&amp;C&amp;K00-049V V - PROJEKT d.o.o. Put Supavla 1, 21000 Split, tel/fax: 021/322-249</oddFooter>
  </headerFooter>
  <rowBreaks count="1" manualBreakCount="1">
    <brk id="10"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I60"/>
  <sheetViews>
    <sheetView view="pageBreakPreview" topLeftCell="A52" zoomScale="120" zoomScaleNormal="100" zoomScaleSheetLayoutView="120" workbookViewId="0">
      <selection activeCell="B68" sqref="B68"/>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6.28515625" style="306" customWidth="1"/>
    <col min="10" max="16384" width="2.28515625" style="21"/>
  </cols>
  <sheetData>
    <row r="4" spans="1:8" ht="46.5">
      <c r="A4" s="90"/>
      <c r="B4" s="20" t="s">
        <v>0</v>
      </c>
      <c r="C4" s="21"/>
      <c r="D4" s="92"/>
      <c r="E4" s="92"/>
      <c r="F4" s="92"/>
      <c r="G4" s="15"/>
      <c r="H4" s="92"/>
    </row>
    <row r="5" spans="1:8">
      <c r="A5" s="90"/>
      <c r="B5" s="22"/>
      <c r="C5" s="21"/>
      <c r="D5" s="92"/>
      <c r="E5" s="92"/>
      <c r="F5" s="92"/>
      <c r="G5" s="15"/>
      <c r="H5" s="92"/>
    </row>
    <row r="6" spans="1:8" ht="21">
      <c r="A6" s="90"/>
      <c r="B6" s="23" t="s">
        <v>428</v>
      </c>
      <c r="C6" s="21"/>
      <c r="D6" s="92"/>
      <c r="E6" s="92"/>
      <c r="F6" s="92"/>
      <c r="G6" s="15"/>
      <c r="H6" s="92"/>
    </row>
    <row r="7" spans="1:8" ht="21">
      <c r="A7" s="90"/>
      <c r="B7" s="24"/>
      <c r="C7" s="21"/>
      <c r="D7" s="92"/>
      <c r="E7" s="92"/>
      <c r="F7" s="92"/>
      <c r="G7" s="15"/>
      <c r="H7" s="92"/>
    </row>
    <row r="8" spans="1:8" ht="23.25">
      <c r="A8" s="90"/>
      <c r="B8" s="25" t="s">
        <v>1</v>
      </c>
      <c r="C8" s="21"/>
      <c r="D8" s="92"/>
      <c r="E8" s="92"/>
      <c r="F8" s="92"/>
      <c r="G8" s="15"/>
      <c r="H8" s="92"/>
    </row>
    <row r="9" spans="1:8" ht="15.75">
      <c r="A9" s="90"/>
      <c r="B9" s="26" t="s">
        <v>2</v>
      </c>
      <c r="C9" s="21"/>
      <c r="D9" s="92"/>
      <c r="E9" s="92"/>
      <c r="F9" s="92"/>
      <c r="G9" s="15"/>
      <c r="H9" s="92"/>
    </row>
    <row r="10" spans="1:8" ht="15.75">
      <c r="A10" s="90"/>
      <c r="B10" s="27" t="s">
        <v>3</v>
      </c>
      <c r="C10" s="21"/>
      <c r="D10" s="92"/>
      <c r="E10" s="92"/>
      <c r="F10" s="92"/>
      <c r="G10" s="15"/>
      <c r="H10" s="92"/>
    </row>
    <row r="11" spans="1:8">
      <c r="A11" s="90"/>
      <c r="B11" s="22"/>
      <c r="C11" s="21"/>
      <c r="D11" s="92"/>
      <c r="E11" s="92"/>
      <c r="F11" s="92"/>
      <c r="G11" s="15"/>
      <c r="H11" s="92"/>
    </row>
    <row r="12" spans="1:8">
      <c r="A12" s="90"/>
      <c r="B12" s="28" t="s">
        <v>429</v>
      </c>
      <c r="C12" s="21"/>
      <c r="D12" s="92"/>
      <c r="E12" s="92"/>
      <c r="F12" s="92"/>
      <c r="G12" s="15"/>
      <c r="H12" s="92"/>
    </row>
    <row r="46" spans="1:9" ht="25.5">
      <c r="A46" s="29" t="s">
        <v>4</v>
      </c>
      <c r="B46" s="31" t="s">
        <v>5</v>
      </c>
      <c r="C46" s="32" t="s">
        <v>436</v>
      </c>
      <c r="D46" s="110" t="s">
        <v>432</v>
      </c>
      <c r="E46" s="110" t="s">
        <v>433</v>
      </c>
      <c r="F46" s="110" t="s">
        <v>434</v>
      </c>
      <c r="G46" s="110" t="s">
        <v>435</v>
      </c>
      <c r="H46" s="347" t="s">
        <v>7</v>
      </c>
      <c r="I46" s="319" t="s">
        <v>8</v>
      </c>
    </row>
    <row r="47" spans="1:9">
      <c r="A47" s="608"/>
    </row>
    <row r="48" spans="1:9" ht="21">
      <c r="A48" s="34" t="s">
        <v>9</v>
      </c>
      <c r="B48" s="36" t="s">
        <v>10</v>
      </c>
      <c r="C48" s="37"/>
      <c r="D48" s="18"/>
      <c r="E48" s="18"/>
      <c r="F48" s="18"/>
      <c r="G48" s="101"/>
      <c r="H48" s="101"/>
      <c r="I48" s="320"/>
    </row>
    <row r="50" spans="1:9" ht="51">
      <c r="B50" t="s">
        <v>11</v>
      </c>
    </row>
    <row r="52" spans="1:9" ht="15">
      <c r="A52" s="44">
        <v>1.1000000000000001</v>
      </c>
      <c r="B52" s="46" t="s">
        <v>12</v>
      </c>
      <c r="C52" s="47"/>
      <c r="D52" s="97"/>
      <c r="E52" s="97"/>
      <c r="F52" s="97"/>
      <c r="G52" s="103"/>
      <c r="H52" s="103"/>
      <c r="I52" s="349"/>
    </row>
    <row r="53" spans="1:9" ht="63.75">
      <c r="B53" t="s">
        <v>108</v>
      </c>
    </row>
    <row r="54" spans="1:9">
      <c r="B54" s="22" t="s">
        <v>13</v>
      </c>
      <c r="C54" s="1" t="s">
        <v>14</v>
      </c>
      <c r="D54" s="96">
        <v>15</v>
      </c>
      <c r="E54" s="96">
        <v>15</v>
      </c>
      <c r="F54" s="96">
        <v>15</v>
      </c>
      <c r="G54" s="102">
        <v>15</v>
      </c>
      <c r="I54" s="306">
        <f>(D54+E54+F54+G54)*H54</f>
        <v>0</v>
      </c>
    </row>
    <row r="56" spans="1:9" ht="15">
      <c r="A56" s="44">
        <v>1.2</v>
      </c>
      <c r="B56" s="46" t="s">
        <v>15</v>
      </c>
      <c r="C56" s="47"/>
      <c r="D56" s="97"/>
      <c r="E56" s="97"/>
      <c r="F56" s="97"/>
      <c r="G56" s="103"/>
      <c r="H56" s="103"/>
      <c r="I56" s="349"/>
    </row>
    <row r="57" spans="1:9" ht="127.5">
      <c r="B57" t="s">
        <v>441</v>
      </c>
    </row>
    <row r="58" spans="1:9">
      <c r="B58" s="48" t="s">
        <v>16</v>
      </c>
      <c r="C58" s="1" t="s">
        <v>14</v>
      </c>
      <c r="D58" s="96">
        <v>50</v>
      </c>
      <c r="E58" s="96">
        <v>50</v>
      </c>
      <c r="F58" s="96">
        <v>50</v>
      </c>
      <c r="G58" s="102">
        <v>50</v>
      </c>
      <c r="I58" s="306">
        <f>(D58+E58+F58+G58)*H58</f>
        <v>0</v>
      </c>
    </row>
    <row r="59" spans="1:9" ht="13.5" thickBot="1">
      <c r="B59" s="48"/>
    </row>
    <row r="60" spans="1:9" ht="21.75" thickBot="1">
      <c r="A60" s="609" t="s">
        <v>9</v>
      </c>
      <c r="B60" s="51" t="s">
        <v>17</v>
      </c>
      <c r="C60" s="52"/>
      <c r="D60" s="17"/>
      <c r="E60" s="17"/>
      <c r="F60" s="17"/>
      <c r="G60" s="104"/>
      <c r="H60" s="348"/>
      <c r="I60" s="322">
        <f>SUM(I50:I58)</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&amp;L&amp;K01+042Troškovnik&amp;C&amp;"-,Podebljano"&amp;K01+042PROJEKT ARHITEKTURE
Građevinsko - zanatski radovi&amp;R&amp;K01+042STAMBENO - POSLOVNA GRAĐEVINA, BLATO</oddHeader>
    <oddFooter>&amp;C&amp;K00-047V V - PROJEKT d.o.o. Put Supavla 1, 21000 Split, tel/fax: 021/322-249</oddFooter>
  </headerFooter>
  <rowBreaks count="1" manualBreakCount="1">
    <brk id="45"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Y159"/>
  <sheetViews>
    <sheetView view="pageBreakPreview" topLeftCell="A149" zoomScale="110" zoomScaleNormal="100" zoomScaleSheetLayoutView="110" zoomScalePageLayoutView="120" workbookViewId="0">
      <selection activeCell="B109" sqref="B109"/>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2.28515625" style="312" customWidth="1"/>
    <col min="10" max="16384" width="2.28515625" style="21"/>
  </cols>
  <sheetData>
    <row r="1" spans="1:9" ht="25.5">
      <c r="A1" s="29" t="s">
        <v>4</v>
      </c>
      <c r="B1" s="31" t="s">
        <v>5</v>
      </c>
      <c r="C1" s="32" t="s">
        <v>436</v>
      </c>
      <c r="D1" s="110" t="s">
        <v>432</v>
      </c>
      <c r="E1" s="110" t="s">
        <v>433</v>
      </c>
      <c r="F1" s="110" t="s">
        <v>434</v>
      </c>
      <c r="G1" s="110" t="s">
        <v>435</v>
      </c>
      <c r="H1" s="347" t="s">
        <v>7</v>
      </c>
      <c r="I1" s="309" t="s">
        <v>8</v>
      </c>
    </row>
    <row r="3" spans="1:9" ht="21">
      <c r="A3" s="34" t="s">
        <v>18</v>
      </c>
      <c r="B3" s="36" t="s">
        <v>22</v>
      </c>
      <c r="C3" s="37"/>
      <c r="D3" s="18"/>
      <c r="E3" s="18"/>
      <c r="F3" s="18"/>
      <c r="G3" s="101"/>
      <c r="H3" s="101"/>
      <c r="I3" s="310"/>
    </row>
    <row r="5" spans="1:9" ht="38.25">
      <c r="B5" t="s">
        <v>708</v>
      </c>
      <c r="C5"/>
      <c r="D5"/>
      <c r="E5"/>
      <c r="F5"/>
      <c r="G5"/>
      <c r="H5" s="16"/>
      <c r="I5" s="311"/>
    </row>
    <row r="6" spans="1:9" ht="229.5" customHeight="1">
      <c r="B6" t="s">
        <v>705</v>
      </c>
    </row>
    <row r="7" spans="1:9" s="56" customFormat="1">
      <c r="A7" s="90"/>
      <c r="C7" s="21"/>
      <c r="D7" s="92"/>
      <c r="E7" s="92"/>
      <c r="F7" s="92"/>
      <c r="G7" s="15"/>
      <c r="H7" s="92"/>
      <c r="I7" s="312"/>
    </row>
    <row r="8" spans="1:9" s="56" customFormat="1" ht="15.75" thickBot="1">
      <c r="A8" s="90"/>
      <c r="B8" s="54" t="s">
        <v>23</v>
      </c>
      <c r="C8" s="21"/>
      <c r="D8" s="92"/>
      <c r="E8" s="92"/>
      <c r="F8" s="92"/>
      <c r="G8" s="15"/>
      <c r="H8" s="92"/>
      <c r="I8" s="312"/>
    </row>
    <row r="9" spans="1:9" s="56" customFormat="1" ht="51">
      <c r="A9" s="90"/>
      <c r="B9" s="21" t="s">
        <v>24</v>
      </c>
      <c r="C9" s="21"/>
      <c r="D9" s="92"/>
      <c r="E9" s="92"/>
      <c r="F9" s="92"/>
      <c r="G9" s="15"/>
      <c r="H9" s="92"/>
      <c r="I9" s="312"/>
    </row>
    <row r="10" spans="1:9" s="56" customFormat="1" ht="114.75">
      <c r="A10" s="90"/>
      <c r="B10" s="21" t="s">
        <v>706</v>
      </c>
      <c r="C10" s="21"/>
      <c r="D10" s="92"/>
      <c r="E10" s="92"/>
      <c r="F10" s="92"/>
      <c r="G10" s="15"/>
      <c r="H10" s="92"/>
      <c r="I10" s="312"/>
    </row>
    <row r="11" spans="1:9" s="56" customFormat="1" ht="63.75">
      <c r="A11" s="90"/>
      <c r="B11" s="21" t="s">
        <v>453</v>
      </c>
      <c r="C11" s="21"/>
      <c r="D11" s="92"/>
      <c r="E11" s="92"/>
      <c r="F11" s="92"/>
      <c r="G11" s="15"/>
      <c r="H11" s="92"/>
      <c r="I11" s="312"/>
    </row>
    <row r="12" spans="1:9" s="56" customFormat="1" ht="63.75">
      <c r="A12" s="90"/>
      <c r="B12" s="21" t="s">
        <v>454</v>
      </c>
      <c r="C12" s="21"/>
      <c r="D12" s="92"/>
      <c r="E12" s="92"/>
      <c r="F12" s="92"/>
      <c r="G12" s="15"/>
      <c r="H12" s="92"/>
      <c r="I12" s="312"/>
    </row>
    <row r="13" spans="1:9" s="56" customFormat="1" ht="114.75">
      <c r="A13" s="90"/>
      <c r="B13" t="s">
        <v>707</v>
      </c>
      <c r="C13" s="21"/>
      <c r="D13" s="92"/>
      <c r="E13" s="92"/>
      <c r="F13" s="92"/>
      <c r="G13" s="15"/>
      <c r="H13" s="92"/>
      <c r="I13" s="312"/>
    </row>
    <row r="14" spans="1:9" s="56" customFormat="1">
      <c r="A14" s="90"/>
      <c r="B14"/>
      <c r="C14" s="21"/>
      <c r="D14" s="92"/>
      <c r="E14" s="92"/>
      <c r="F14" s="92"/>
      <c r="G14" s="15"/>
      <c r="H14" s="92"/>
      <c r="I14" s="312"/>
    </row>
    <row r="15" spans="1:9" s="56" customFormat="1" ht="15.75" thickBot="1">
      <c r="A15" s="90"/>
      <c r="B15" s="54" t="s">
        <v>25</v>
      </c>
      <c r="C15" s="21"/>
      <c r="D15" s="92"/>
      <c r="E15" s="92"/>
      <c r="F15" s="92"/>
      <c r="G15" s="15"/>
      <c r="H15" s="92"/>
      <c r="I15" s="312"/>
    </row>
    <row r="16" spans="1:9" s="56" customFormat="1" ht="76.5">
      <c r="A16" s="90"/>
      <c r="B16" t="s">
        <v>921</v>
      </c>
      <c r="C16" s="21"/>
      <c r="D16" s="92"/>
      <c r="E16" s="92"/>
      <c r="F16" s="92"/>
      <c r="G16" s="15"/>
      <c r="H16" s="92"/>
      <c r="I16" s="312"/>
    </row>
    <row r="17" spans="1:9" s="56" customFormat="1" ht="165.75">
      <c r="A17" s="90"/>
      <c r="B17" t="s">
        <v>709</v>
      </c>
      <c r="C17" s="21"/>
      <c r="D17" s="92"/>
      <c r="E17" s="92"/>
      <c r="F17" s="92"/>
      <c r="G17" s="15"/>
      <c r="H17" s="92"/>
      <c r="I17" s="312"/>
    </row>
    <row r="18" spans="1:9" s="56" customFormat="1" ht="153">
      <c r="A18" s="90"/>
      <c r="B18" t="s">
        <v>442</v>
      </c>
      <c r="C18" s="21"/>
      <c r="D18" s="92"/>
      <c r="E18" s="92"/>
      <c r="F18" s="92"/>
      <c r="G18" s="15"/>
      <c r="H18" s="92"/>
      <c r="I18" s="312"/>
    </row>
    <row r="19" spans="1:9" s="56" customFormat="1">
      <c r="A19" s="90"/>
      <c r="B19"/>
      <c r="C19" s="21"/>
      <c r="D19" s="92"/>
      <c r="E19" s="92"/>
      <c r="F19" s="92"/>
      <c r="G19" s="15"/>
      <c r="H19" s="92"/>
      <c r="I19" s="312"/>
    </row>
    <row r="20" spans="1:9" s="56" customFormat="1" ht="15.75" thickBot="1">
      <c r="A20" s="90"/>
      <c r="B20" s="54" t="s">
        <v>26</v>
      </c>
      <c r="C20" s="21"/>
      <c r="D20" s="92"/>
      <c r="E20" s="92"/>
      <c r="F20" s="92"/>
      <c r="G20" s="15"/>
      <c r="H20" s="92"/>
      <c r="I20" s="312"/>
    </row>
    <row r="21" spans="1:9" s="56" customFormat="1" ht="127.5">
      <c r="A21" s="90"/>
      <c r="B21" s="21" t="s">
        <v>922</v>
      </c>
      <c r="C21" s="21"/>
      <c r="D21" s="92"/>
      <c r="E21" s="92"/>
      <c r="F21" s="92"/>
      <c r="G21" s="15"/>
      <c r="H21" s="92"/>
      <c r="I21" s="312"/>
    </row>
    <row r="22" spans="1:9" s="56" customFormat="1" ht="191.25">
      <c r="A22" s="90"/>
      <c r="B22" s="21" t="s">
        <v>27</v>
      </c>
      <c r="C22" s="21"/>
      <c r="D22" s="92"/>
      <c r="E22" s="92"/>
      <c r="F22" s="92"/>
      <c r="G22" s="15"/>
      <c r="H22" s="92"/>
      <c r="I22" s="312"/>
    </row>
    <row r="23" spans="1:9" s="56" customFormat="1" ht="89.25">
      <c r="A23" s="90"/>
      <c r="B23" s="21" t="s">
        <v>710</v>
      </c>
      <c r="C23" s="21"/>
      <c r="D23" s="92"/>
      <c r="E23" s="92"/>
      <c r="F23" s="92"/>
      <c r="G23" s="15"/>
      <c r="H23" s="92"/>
      <c r="I23" s="312"/>
    </row>
    <row r="24" spans="1:9" s="56" customFormat="1" ht="63.75">
      <c r="A24" s="90"/>
      <c r="B24" s="21" t="s">
        <v>711</v>
      </c>
      <c r="C24" s="21"/>
      <c r="D24" s="92"/>
      <c r="E24" s="92"/>
      <c r="F24" s="92"/>
      <c r="G24" s="15"/>
      <c r="H24" s="92"/>
      <c r="I24" s="312"/>
    </row>
    <row r="25" spans="1:9" s="56" customFormat="1" ht="140.25">
      <c r="A25" s="40"/>
      <c r="B25" s="21" t="s">
        <v>712</v>
      </c>
      <c r="C25" s="1"/>
      <c r="D25" s="96"/>
      <c r="E25" s="96"/>
      <c r="F25" s="96"/>
      <c r="G25" s="102"/>
      <c r="H25" s="15"/>
      <c r="I25" s="312"/>
    </row>
    <row r="26" spans="1:9" ht="63.75">
      <c r="B26" s="21" t="s">
        <v>28</v>
      </c>
    </row>
    <row r="27" spans="1:9">
      <c r="B27" s="22" t="s">
        <v>29</v>
      </c>
    </row>
    <row r="28" spans="1:9" ht="38.25">
      <c r="B28" s="21" t="s">
        <v>30</v>
      </c>
    </row>
    <row r="29" spans="1:9" ht="280.5">
      <c r="B29" s="21" t="s">
        <v>923</v>
      </c>
    </row>
    <row r="30" spans="1:9" ht="15">
      <c r="A30" s="44">
        <v>2.1</v>
      </c>
      <c r="B30" s="46" t="s">
        <v>484</v>
      </c>
      <c r="C30" s="47"/>
      <c r="D30" s="97"/>
      <c r="E30" s="97"/>
      <c r="F30" s="97"/>
      <c r="G30" s="103"/>
      <c r="H30" s="103"/>
      <c r="I30" s="313"/>
    </row>
    <row r="31" spans="1:9" ht="51">
      <c r="B31" s="21" t="s">
        <v>31</v>
      </c>
    </row>
    <row r="32" spans="1:9">
      <c r="B32" s="21"/>
    </row>
    <row r="33" spans="1:2" ht="15.75" thickBot="1">
      <c r="A33" s="54" t="s">
        <v>39</v>
      </c>
      <c r="B33" s="54" t="s">
        <v>485</v>
      </c>
    </row>
    <row r="34" spans="1:2" ht="38.25">
      <c r="B34" s="21" t="s">
        <v>486</v>
      </c>
    </row>
    <row r="35" spans="1:2" ht="140.25">
      <c r="B35" s="21" t="s">
        <v>487</v>
      </c>
    </row>
    <row r="36" spans="1:2">
      <c r="B36" s="21"/>
    </row>
    <row r="37" spans="1:2" ht="15.75" thickBot="1">
      <c r="A37" s="54" t="s">
        <v>41</v>
      </c>
      <c r="B37" s="54" t="s">
        <v>101</v>
      </c>
    </row>
    <row r="38" spans="1:2" ht="102">
      <c r="B38" s="21" t="s">
        <v>488</v>
      </c>
    </row>
    <row r="39" spans="1:2">
      <c r="B39" s="21"/>
    </row>
    <row r="40" spans="1:2" ht="15.75" thickBot="1">
      <c r="A40" s="54" t="s">
        <v>42</v>
      </c>
      <c r="B40" s="54" t="s">
        <v>32</v>
      </c>
    </row>
    <row r="41" spans="1:2" ht="89.25">
      <c r="B41" s="21" t="s">
        <v>443</v>
      </c>
    </row>
    <row r="42" spans="1:2" ht="63.75">
      <c r="B42" s="21" t="s">
        <v>33</v>
      </c>
    </row>
    <row r="43" spans="1:2" ht="102">
      <c r="B43" s="21" t="s">
        <v>34</v>
      </c>
    </row>
    <row r="44" spans="1:2">
      <c r="B44" s="21"/>
    </row>
    <row r="45" spans="1:2" ht="63.75">
      <c r="B45" s="21" t="s">
        <v>35</v>
      </c>
    </row>
    <row r="46" spans="1:2" ht="140.25">
      <c r="B46" s="58" t="s">
        <v>444</v>
      </c>
    </row>
    <row r="47" spans="1:2">
      <c r="B47" s="21"/>
    </row>
    <row r="48" spans="1:2" ht="76.5">
      <c r="B48" s="21" t="s">
        <v>445</v>
      </c>
    </row>
    <row r="49" spans="2:9">
      <c r="B49" s="21"/>
    </row>
    <row r="50" spans="2:9" ht="76.5">
      <c r="B50" s="21" t="s">
        <v>36</v>
      </c>
    </row>
    <row r="51" spans="2:9" ht="51">
      <c r="B51" s="21" t="s">
        <v>924</v>
      </c>
    </row>
    <row r="52" spans="2:9" ht="38.25">
      <c r="B52" s="21" t="s">
        <v>448</v>
      </c>
    </row>
    <row r="53" spans="2:9" ht="51">
      <c r="B53" s="21" t="s">
        <v>37</v>
      </c>
    </row>
    <row r="54" spans="2:9" ht="51">
      <c r="B54" s="21" t="s">
        <v>38</v>
      </c>
    </row>
    <row r="55" spans="2:9">
      <c r="B55" s="21" t="s">
        <v>929</v>
      </c>
    </row>
    <row r="56" spans="2:9">
      <c r="B56" s="21"/>
    </row>
    <row r="57" spans="2:9" ht="15.75" thickBot="1">
      <c r="B57" s="54" t="s">
        <v>450</v>
      </c>
    </row>
    <row r="58" spans="2:9" ht="15.75" thickBot="1">
      <c r="B58" s="54"/>
    </row>
    <row r="59" spans="2:9" ht="25.5">
      <c r="B59" s="21" t="s">
        <v>489</v>
      </c>
      <c r="C59" s="1" t="s">
        <v>40</v>
      </c>
      <c r="D59" s="96">
        <v>363.6</v>
      </c>
      <c r="E59" s="96">
        <v>363.5</v>
      </c>
      <c r="F59" s="96">
        <v>484.4</v>
      </c>
      <c r="G59" s="102">
        <v>771.6</v>
      </c>
      <c r="I59" s="312">
        <f>(D59+E59+F59+G59)*H59</f>
        <v>0</v>
      </c>
    </row>
    <row r="60" spans="2:9">
      <c r="B60" s="21" t="s">
        <v>927</v>
      </c>
      <c r="F60" s="96">
        <v>245</v>
      </c>
      <c r="I60" s="312">
        <f>(D60+E60+F60+G60)*H60</f>
        <v>0</v>
      </c>
    </row>
    <row r="61" spans="2:9" ht="25.5">
      <c r="B61" s="21" t="s">
        <v>490</v>
      </c>
      <c r="C61" s="1" t="s">
        <v>40</v>
      </c>
      <c r="F61" s="96">
        <v>851</v>
      </c>
      <c r="G61" s="102">
        <v>421</v>
      </c>
      <c r="I61" s="312">
        <f>(D61+E61+F61+G61)*H61</f>
        <v>0</v>
      </c>
    </row>
    <row r="62" spans="2:9">
      <c r="B62" s="21"/>
    </row>
    <row r="63" spans="2:9" ht="15.75" thickBot="1">
      <c r="B63" s="54" t="s">
        <v>451</v>
      </c>
    </row>
    <row r="64" spans="2:9" ht="51">
      <c r="B64" s="21" t="s">
        <v>491</v>
      </c>
      <c r="C64" s="1" t="s">
        <v>40</v>
      </c>
      <c r="D64" s="96">
        <v>174</v>
      </c>
      <c r="E64" s="96">
        <v>174</v>
      </c>
      <c r="F64" s="96">
        <v>325.39999999999998</v>
      </c>
      <c r="G64" s="102">
        <v>278.39999999999998</v>
      </c>
      <c r="I64" s="312">
        <f t="shared" ref="I64:I69" si="0">(D64+E64+F64+G64)*H64</f>
        <v>0</v>
      </c>
    </row>
    <row r="65" spans="1:9" ht="25.5">
      <c r="B65" s="21" t="s">
        <v>925</v>
      </c>
      <c r="C65" s="1" t="s">
        <v>40</v>
      </c>
      <c r="D65" s="96">
        <v>44.4</v>
      </c>
      <c r="E65" s="96">
        <v>44.4</v>
      </c>
      <c r="F65" s="96">
        <v>44.4</v>
      </c>
      <c r="G65" s="102">
        <v>44.4</v>
      </c>
      <c r="I65" s="312">
        <f t="shared" si="0"/>
        <v>0</v>
      </c>
    </row>
    <row r="66" spans="1:9" ht="25.5">
      <c r="B66" s="21" t="s">
        <v>926</v>
      </c>
      <c r="C66" s="1" t="s">
        <v>40</v>
      </c>
      <c r="D66" s="96">
        <v>43</v>
      </c>
      <c r="E66" s="96">
        <v>43</v>
      </c>
      <c r="F66" s="96">
        <v>43</v>
      </c>
      <c r="G66" s="102">
        <v>43</v>
      </c>
      <c r="I66" s="312">
        <f t="shared" si="0"/>
        <v>0</v>
      </c>
    </row>
    <row r="67" spans="1:9" ht="51">
      <c r="B67" s="21" t="s">
        <v>492</v>
      </c>
      <c r="C67" s="1" t="s">
        <v>40</v>
      </c>
      <c r="D67" s="96">
        <v>980.5</v>
      </c>
      <c r="E67" s="96">
        <v>1167.2</v>
      </c>
      <c r="F67" s="96">
        <v>1678.45</v>
      </c>
      <c r="G67" s="102">
        <v>1517.1</v>
      </c>
      <c r="I67" s="312">
        <f t="shared" si="0"/>
        <v>0</v>
      </c>
    </row>
    <row r="68" spans="1:9" ht="51">
      <c r="B68" s="21" t="s">
        <v>493</v>
      </c>
      <c r="C68" s="1" t="s">
        <v>40</v>
      </c>
      <c r="D68" s="96">
        <v>350.8</v>
      </c>
      <c r="E68" s="96">
        <v>343</v>
      </c>
      <c r="F68" s="96">
        <v>614.45000000000005</v>
      </c>
      <c r="G68" s="102">
        <v>516.20000000000005</v>
      </c>
      <c r="I68" s="312">
        <f t="shared" si="0"/>
        <v>0</v>
      </c>
    </row>
    <row r="69" spans="1:9" ht="51">
      <c r="B69" s="21" t="s">
        <v>494</v>
      </c>
      <c r="C69" s="1" t="s">
        <v>40</v>
      </c>
      <c r="E69" s="96">
        <v>102</v>
      </c>
      <c r="I69" s="312">
        <f t="shared" si="0"/>
        <v>0</v>
      </c>
    </row>
    <row r="70" spans="1:9">
      <c r="B70" s="21"/>
    </row>
    <row r="71" spans="1:9" ht="15.75" thickBot="1">
      <c r="B71" s="54" t="s">
        <v>323</v>
      </c>
    </row>
    <row r="72" spans="1:9" ht="51">
      <c r="B72" s="21" t="s">
        <v>500</v>
      </c>
      <c r="C72" s="1" t="s">
        <v>40</v>
      </c>
      <c r="D72" s="96">
        <v>326</v>
      </c>
      <c r="E72" s="96">
        <v>375</v>
      </c>
      <c r="F72" s="96">
        <v>557.1</v>
      </c>
      <c r="G72" s="102">
        <v>479.5</v>
      </c>
      <c r="I72" s="312">
        <f>(D72+E72+F72+G72)*H72</f>
        <v>0</v>
      </c>
    </row>
    <row r="73" spans="1:9">
      <c r="B73" s="21"/>
    </row>
    <row r="74" spans="1:9" ht="15">
      <c r="A74" s="89">
        <f>+MAX($A$1:A73)+0.1</f>
        <v>2.2000000000000002</v>
      </c>
      <c r="B74" s="46" t="s">
        <v>495</v>
      </c>
      <c r="C74" s="47"/>
      <c r="D74" s="97"/>
      <c r="E74" s="97"/>
      <c r="F74" s="97"/>
      <c r="G74" s="103"/>
      <c r="H74" s="103"/>
      <c r="I74" s="313"/>
    </row>
    <row r="75" spans="1:9">
      <c r="B75" s="21"/>
    </row>
    <row r="76" spans="1:9" ht="331.5">
      <c r="B76" s="21" t="s">
        <v>930</v>
      </c>
    </row>
    <row r="77" spans="1:9">
      <c r="B77" s="7" t="s">
        <v>496</v>
      </c>
      <c r="C77" s="1" t="s">
        <v>40</v>
      </c>
      <c r="D77" s="96">
        <v>363.6</v>
      </c>
      <c r="E77" s="96">
        <v>363.5</v>
      </c>
      <c r="F77" s="96">
        <v>484.4</v>
      </c>
      <c r="G77" s="102">
        <v>771.6</v>
      </c>
      <c r="I77" s="312">
        <f>(D77+E77+F77+G77)*H77</f>
        <v>0</v>
      </c>
    </row>
    <row r="78" spans="1:9">
      <c r="B78" s="7" t="s">
        <v>928</v>
      </c>
      <c r="F78" s="96">
        <v>245</v>
      </c>
      <c r="I78" s="312">
        <f>(D78+E78+F78+G78)*H78</f>
        <v>0</v>
      </c>
    </row>
    <row r="79" spans="1:9">
      <c r="B79" s="6" t="s">
        <v>497</v>
      </c>
      <c r="C79" s="1" t="s">
        <v>40</v>
      </c>
      <c r="F79" s="96">
        <v>851</v>
      </c>
      <c r="G79" s="102">
        <v>421</v>
      </c>
      <c r="I79" s="312">
        <f>(D79+E79+F79+G79)*H79</f>
        <v>0</v>
      </c>
    </row>
    <row r="80" spans="1:9">
      <c r="B80" s="21"/>
    </row>
    <row r="81" spans="1:25" ht="15">
      <c r="A81" s="89">
        <f>+MAX($A$1:A75)+0.1</f>
        <v>2.3000000000000003</v>
      </c>
      <c r="B81" s="46" t="s">
        <v>765</v>
      </c>
      <c r="C81" s="47"/>
      <c r="D81" s="97"/>
      <c r="E81" s="97"/>
      <c r="F81" s="97"/>
      <c r="G81" s="103"/>
      <c r="H81" s="103"/>
      <c r="I81" s="313"/>
    </row>
    <row r="82" spans="1:25">
      <c r="B82" s="21"/>
    </row>
    <row r="83" spans="1:25" ht="127.5">
      <c r="B83" s="21" t="s">
        <v>446</v>
      </c>
    </row>
    <row r="84" spans="1:25">
      <c r="B84" s="21"/>
    </row>
    <row r="85" spans="1:25" ht="204">
      <c r="B85" s="21" t="s">
        <v>762</v>
      </c>
    </row>
    <row r="86" spans="1:25" ht="38.25">
      <c r="B86" s="21" t="s">
        <v>683</v>
      </c>
    </row>
    <row r="87" spans="1:25" ht="25.5">
      <c r="B87" s="21" t="s">
        <v>754</v>
      </c>
    </row>
    <row r="88" spans="1:25">
      <c r="B88" s="21"/>
    </row>
    <row r="89" spans="1:25">
      <c r="A89" s="40" t="s">
        <v>39</v>
      </c>
      <c r="B89" s="21" t="s">
        <v>449</v>
      </c>
      <c r="C89" s="1" t="s">
        <v>115</v>
      </c>
      <c r="D89" s="96">
        <v>1</v>
      </c>
      <c r="E89" s="96">
        <v>3</v>
      </c>
      <c r="F89" s="96">
        <v>3</v>
      </c>
      <c r="G89" s="102">
        <v>1</v>
      </c>
      <c r="I89" s="312">
        <f>(D89+E89+F89+G89)*H89</f>
        <v>0</v>
      </c>
    </row>
    <row r="90" spans="1:25">
      <c r="A90" s="40" t="s">
        <v>41</v>
      </c>
      <c r="B90" s="21" t="s">
        <v>447</v>
      </c>
      <c r="C90" s="1" t="s">
        <v>115</v>
      </c>
      <c r="D90" s="96">
        <v>6</v>
      </c>
      <c r="E90" s="96">
        <v>6</v>
      </c>
      <c r="F90" s="96">
        <v>10</v>
      </c>
      <c r="G90" s="102">
        <v>10</v>
      </c>
      <c r="I90" s="312">
        <f t="shared" ref="I90" si="1">(D90+E90+F90+G90)*H90</f>
        <v>0</v>
      </c>
    </row>
    <row r="91" spans="1:25">
      <c r="B91" s="21"/>
    </row>
    <row r="92" spans="1:25" ht="15">
      <c r="A92" s="89">
        <f>+MAX($A$1:A87)+0.1</f>
        <v>2.4000000000000004</v>
      </c>
      <c r="B92" s="46" t="s">
        <v>938</v>
      </c>
      <c r="C92" s="47"/>
      <c r="D92" s="97"/>
      <c r="E92" s="97"/>
      <c r="F92" s="97"/>
      <c r="G92" s="103"/>
      <c r="H92" s="103"/>
      <c r="I92" s="313"/>
    </row>
    <row r="93" spans="1:25">
      <c r="B93" s="21"/>
    </row>
    <row r="94" spans="1:25" s="129" customFormat="1">
      <c r="A94" s="127"/>
      <c r="B94" s="628" t="s">
        <v>931</v>
      </c>
      <c r="C94" s="629"/>
      <c r="D94" s="629"/>
      <c r="E94" s="629"/>
      <c r="F94" s="629"/>
      <c r="G94" s="128"/>
      <c r="H94" s="350"/>
      <c r="I94" s="314"/>
    </row>
    <row r="95" spans="1:25" s="129" customFormat="1" ht="102" customHeight="1">
      <c r="A95" s="130"/>
      <c r="B95" s="630" t="s">
        <v>942</v>
      </c>
      <c r="C95" s="631"/>
      <c r="D95" s="631"/>
      <c r="E95" s="631"/>
      <c r="F95" s="631"/>
      <c r="G95" s="131"/>
      <c r="H95" s="350"/>
      <c r="I95" s="314"/>
    </row>
    <row r="96" spans="1:25" s="129" customFormat="1" ht="80.25" customHeight="1">
      <c r="A96" s="130"/>
      <c r="B96" s="632" t="s">
        <v>932</v>
      </c>
      <c r="C96" s="633"/>
      <c r="D96" s="633"/>
      <c r="E96" s="633"/>
      <c r="F96" s="633"/>
      <c r="G96" s="131"/>
      <c r="H96" s="351"/>
      <c r="I96" s="315"/>
      <c r="J96" s="132"/>
      <c r="K96" s="132"/>
      <c r="L96" s="132"/>
      <c r="M96" s="132"/>
      <c r="N96" s="132"/>
      <c r="O96" s="132"/>
      <c r="P96" s="132"/>
      <c r="Q96" s="132"/>
      <c r="R96" s="132"/>
      <c r="S96" s="132"/>
      <c r="T96" s="132"/>
      <c r="U96" s="132"/>
      <c r="V96" s="132"/>
      <c r="W96" s="132"/>
      <c r="X96" s="132"/>
      <c r="Y96" s="132"/>
    </row>
    <row r="97" spans="1:25" s="129" customFormat="1" ht="12.75" customHeight="1">
      <c r="A97" s="133"/>
      <c r="B97" s="134"/>
      <c r="C97" s="135"/>
      <c r="D97" s="136"/>
      <c r="E97" s="137"/>
      <c r="F97" s="137"/>
      <c r="G97" s="131"/>
      <c r="H97" s="350"/>
      <c r="I97" s="314"/>
    </row>
    <row r="98" spans="1:25" s="129" customFormat="1" ht="114.75">
      <c r="A98" s="133" t="s">
        <v>9</v>
      </c>
      <c r="B98" s="134" t="s">
        <v>939</v>
      </c>
      <c r="C98" s="135"/>
      <c r="D98" s="136"/>
      <c r="E98" s="135"/>
      <c r="F98" s="136"/>
      <c r="G98" s="135"/>
      <c r="H98" s="352"/>
      <c r="I98" s="316"/>
      <c r="J98" s="136"/>
      <c r="K98" s="132"/>
      <c r="L98" s="132"/>
      <c r="M98" s="132"/>
      <c r="N98" s="132"/>
      <c r="O98" s="132"/>
      <c r="P98" s="132"/>
      <c r="Q98" s="132"/>
      <c r="R98" s="132"/>
      <c r="S98" s="132"/>
      <c r="T98" s="132"/>
      <c r="U98" s="132"/>
      <c r="V98" s="132"/>
      <c r="W98" s="132"/>
      <c r="X98" s="132"/>
      <c r="Y98" s="132"/>
    </row>
    <row r="99" spans="1:25" s="129" customFormat="1" ht="12.75" customHeight="1">
      <c r="A99" s="133"/>
      <c r="B99" s="134" t="s">
        <v>933</v>
      </c>
      <c r="C99" s="138"/>
      <c r="D99" s="134"/>
      <c r="E99" s="138"/>
      <c r="F99" s="134"/>
      <c r="G99" s="138"/>
      <c r="H99" s="353"/>
      <c r="I99" s="317"/>
      <c r="J99" s="134"/>
      <c r="K99" s="132"/>
      <c r="L99" s="132"/>
      <c r="M99" s="132"/>
      <c r="N99" s="132"/>
      <c r="O99" s="132"/>
      <c r="P99" s="132"/>
      <c r="Q99" s="132"/>
      <c r="R99" s="132"/>
      <c r="S99" s="132"/>
      <c r="T99" s="132"/>
      <c r="U99" s="132"/>
      <c r="V99" s="132"/>
      <c r="W99" s="132"/>
      <c r="X99" s="132"/>
      <c r="Y99" s="132"/>
    </row>
    <row r="100" spans="1:25" s="129" customFormat="1" ht="25.5">
      <c r="A100" s="133"/>
      <c r="B100" s="134" t="s">
        <v>940</v>
      </c>
      <c r="C100" s="135"/>
      <c r="D100" s="134"/>
      <c r="E100" s="135"/>
      <c r="F100" s="134"/>
      <c r="G100" s="135"/>
      <c r="H100" s="353"/>
      <c r="I100" s="316"/>
      <c r="J100" s="134"/>
      <c r="K100" s="132"/>
      <c r="L100" s="132"/>
      <c r="M100" s="132"/>
      <c r="N100" s="132"/>
      <c r="O100" s="132"/>
      <c r="P100" s="132"/>
      <c r="Q100" s="132"/>
      <c r="R100" s="132"/>
      <c r="S100" s="132"/>
      <c r="T100" s="132"/>
      <c r="U100" s="132"/>
      <c r="V100" s="132"/>
      <c r="W100" s="132"/>
      <c r="X100" s="132"/>
      <c r="Y100" s="132"/>
    </row>
    <row r="101" spans="1:25" s="129" customFormat="1" ht="25.5">
      <c r="A101" s="133"/>
      <c r="B101" s="134" t="s">
        <v>941</v>
      </c>
      <c r="C101" s="135"/>
      <c r="D101" s="132"/>
      <c r="E101" s="135"/>
      <c r="F101" s="134"/>
      <c r="G101" s="135"/>
      <c r="H101" s="353"/>
      <c r="I101" s="316"/>
      <c r="J101" s="134"/>
      <c r="K101" s="132"/>
      <c r="L101" s="132"/>
      <c r="M101" s="132"/>
      <c r="N101" s="132"/>
      <c r="O101" s="132"/>
      <c r="P101" s="132"/>
      <c r="Q101" s="132"/>
      <c r="R101" s="132"/>
      <c r="S101" s="132"/>
      <c r="T101" s="132"/>
      <c r="U101" s="132"/>
      <c r="V101" s="132"/>
      <c r="W101" s="132"/>
      <c r="X101" s="132"/>
      <c r="Y101" s="132"/>
    </row>
    <row r="102" spans="1:25" s="129" customFormat="1" ht="12.75" customHeight="1">
      <c r="A102" s="133"/>
      <c r="B102" s="134"/>
      <c r="C102" s="135"/>
      <c r="D102" s="134"/>
      <c r="E102" s="135"/>
      <c r="F102" s="134"/>
      <c r="G102" s="135"/>
      <c r="H102" s="353"/>
      <c r="I102" s="316"/>
      <c r="J102" s="134"/>
      <c r="K102" s="132"/>
      <c r="L102" s="132"/>
      <c r="M102" s="132"/>
      <c r="N102" s="132"/>
      <c r="O102" s="132"/>
      <c r="P102" s="132"/>
      <c r="Q102" s="132"/>
      <c r="R102" s="132"/>
      <c r="S102" s="132"/>
      <c r="T102" s="132"/>
      <c r="U102" s="132"/>
      <c r="V102" s="132"/>
      <c r="W102" s="132"/>
      <c r="X102" s="132"/>
      <c r="Y102" s="132"/>
    </row>
    <row r="103" spans="1:25" s="129" customFormat="1" ht="25.5">
      <c r="A103" s="133"/>
      <c r="B103" s="134" t="s">
        <v>934</v>
      </c>
      <c r="C103" s="135"/>
      <c r="D103" s="139"/>
      <c r="E103" s="135"/>
      <c r="F103" s="139"/>
      <c r="G103" s="135"/>
      <c r="H103" s="352"/>
      <c r="I103" s="316"/>
      <c r="J103" s="139"/>
      <c r="K103" s="132"/>
      <c r="L103" s="132"/>
      <c r="M103" s="132"/>
      <c r="N103" s="132"/>
      <c r="O103" s="132"/>
      <c r="P103" s="132"/>
      <c r="Q103" s="132"/>
      <c r="R103" s="132"/>
      <c r="S103" s="132"/>
      <c r="T103" s="132"/>
      <c r="U103" s="132"/>
      <c r="V103" s="132"/>
      <c r="W103" s="132"/>
      <c r="X103" s="132"/>
      <c r="Y103" s="132"/>
    </row>
    <row r="104" spans="1:25" s="129" customFormat="1" ht="51">
      <c r="A104" s="132"/>
      <c r="B104" s="140" t="s">
        <v>935</v>
      </c>
      <c r="C104" s="135" t="s">
        <v>115</v>
      </c>
      <c r="D104" s="139">
        <v>1</v>
      </c>
      <c r="E104" s="141"/>
      <c r="F104" s="141">
        <f>D104*E104</f>
        <v>0</v>
      </c>
      <c r="G104" s="139"/>
      <c r="H104" s="352"/>
      <c r="I104" s="316">
        <f>(D104+E104+F104+G104)*H104</f>
        <v>0</v>
      </c>
      <c r="J104" s="139"/>
      <c r="K104" s="132"/>
      <c r="L104" s="132"/>
      <c r="M104" s="132"/>
      <c r="N104" s="132"/>
      <c r="O104" s="132"/>
      <c r="P104" s="132"/>
      <c r="Q104" s="132"/>
      <c r="R104" s="132"/>
      <c r="S104" s="132"/>
      <c r="T104" s="132"/>
      <c r="U104" s="132"/>
      <c r="V104" s="132"/>
      <c r="W104" s="132"/>
      <c r="X104" s="132"/>
      <c r="Y104" s="132"/>
    </row>
    <row r="105" spans="1:25" s="129" customFormat="1">
      <c r="A105" s="133"/>
      <c r="B105" s="134"/>
      <c r="C105" s="135"/>
      <c r="D105" s="139"/>
      <c r="E105" s="135"/>
      <c r="F105" s="139"/>
      <c r="G105" s="135"/>
      <c r="H105" s="352"/>
      <c r="I105" s="316"/>
      <c r="J105" s="139"/>
      <c r="K105" s="132"/>
      <c r="L105" s="132"/>
      <c r="M105" s="132"/>
      <c r="N105" s="132"/>
      <c r="O105" s="132"/>
      <c r="P105" s="132"/>
      <c r="Q105" s="132"/>
      <c r="R105" s="132"/>
      <c r="S105" s="132"/>
      <c r="T105" s="132"/>
      <c r="U105" s="132"/>
      <c r="V105" s="132"/>
      <c r="W105" s="132"/>
      <c r="X105" s="132"/>
      <c r="Y105" s="132"/>
    </row>
    <row r="106" spans="1:25" s="129" customFormat="1" ht="25.5">
      <c r="A106" s="133"/>
      <c r="B106" s="134" t="s">
        <v>936</v>
      </c>
      <c r="C106" s="135"/>
      <c r="D106" s="139"/>
      <c r="E106" s="135"/>
      <c r="F106" s="139"/>
      <c r="G106" s="135"/>
      <c r="H106" s="352"/>
      <c r="I106" s="316"/>
      <c r="J106" s="139"/>
      <c r="K106" s="132"/>
      <c r="L106" s="132"/>
      <c r="M106" s="132"/>
      <c r="N106" s="132"/>
      <c r="O106" s="132"/>
      <c r="P106" s="132"/>
      <c r="Q106" s="132"/>
      <c r="R106" s="132"/>
      <c r="S106" s="132"/>
      <c r="T106" s="132"/>
      <c r="U106" s="132"/>
      <c r="V106" s="132"/>
      <c r="W106" s="132"/>
      <c r="X106" s="132"/>
      <c r="Y106" s="132"/>
    </row>
    <row r="107" spans="1:25" s="129" customFormat="1" ht="51">
      <c r="A107" s="132"/>
      <c r="B107" s="140" t="s">
        <v>937</v>
      </c>
      <c r="C107" s="135" t="s">
        <v>115</v>
      </c>
      <c r="D107" s="139">
        <v>7</v>
      </c>
      <c r="E107" s="141"/>
      <c r="F107" s="141">
        <f>D107*E107</f>
        <v>0</v>
      </c>
      <c r="G107" s="139"/>
      <c r="H107" s="352"/>
      <c r="I107" s="316">
        <f>(D107+E107+F107+G107)*H107</f>
        <v>0</v>
      </c>
      <c r="J107" s="139"/>
      <c r="K107" s="132"/>
      <c r="L107" s="132"/>
      <c r="M107" s="132"/>
      <c r="N107" s="132"/>
      <c r="O107" s="132"/>
      <c r="P107" s="132"/>
      <c r="Q107" s="132"/>
      <c r="R107" s="132"/>
      <c r="S107" s="132"/>
      <c r="T107" s="132"/>
      <c r="U107" s="132"/>
      <c r="V107" s="132"/>
      <c r="W107" s="132"/>
      <c r="X107" s="132"/>
      <c r="Y107" s="132"/>
    </row>
    <row r="108" spans="1:25">
      <c r="B108" s="21"/>
    </row>
    <row r="109" spans="1:25" ht="15">
      <c r="A109" s="89">
        <f>+MAX($A$1:A93)+0.1</f>
        <v>2.5000000000000004</v>
      </c>
      <c r="B109" s="46" t="s">
        <v>43</v>
      </c>
      <c r="C109" s="47"/>
      <c r="D109" s="97"/>
      <c r="E109" s="97"/>
      <c r="F109" s="97"/>
      <c r="G109" s="103"/>
      <c r="H109" s="103"/>
      <c r="I109" s="313"/>
    </row>
    <row r="110" spans="1:25">
      <c r="B110" s="21"/>
    </row>
    <row r="111" spans="1:25" ht="25.5">
      <c r="B111" s="21" t="s">
        <v>452</v>
      </c>
    </row>
    <row r="112" spans="1:25">
      <c r="B112" s="21"/>
    </row>
    <row r="113" spans="2:9" ht="15.75" thickBot="1">
      <c r="B113" s="54" t="s">
        <v>44</v>
      </c>
    </row>
    <row r="114" spans="2:9" ht="204">
      <c r="B114" s="21" t="s">
        <v>274</v>
      </c>
    </row>
    <row r="115" spans="2:9">
      <c r="B115" s="21"/>
    </row>
    <row r="116" spans="2:9" ht="15.75" thickBot="1">
      <c r="B116" s="54" t="s">
        <v>45</v>
      </c>
    </row>
    <row r="117" spans="2:9" ht="51">
      <c r="B117" s="21" t="s">
        <v>943</v>
      </c>
    </row>
    <row r="118" spans="2:9">
      <c r="B118" s="21"/>
    </row>
    <row r="119" spans="2:9" ht="15.75" thickBot="1">
      <c r="B119" s="54" t="s">
        <v>46</v>
      </c>
    </row>
    <row r="120" spans="2:9" ht="204">
      <c r="B120" s="21" t="s">
        <v>944</v>
      </c>
    </row>
    <row r="121" spans="2:9">
      <c r="B121" s="21"/>
    </row>
    <row r="122" spans="2:9" ht="15.75" thickBot="1">
      <c r="B122" s="54" t="s">
        <v>47</v>
      </c>
    </row>
    <row r="123" spans="2:9" ht="102">
      <c r="B123" s="55" t="s">
        <v>48</v>
      </c>
    </row>
    <row r="124" spans="2:9" ht="38.25">
      <c r="B124" s="21" t="s">
        <v>49</v>
      </c>
    </row>
    <row r="125" spans="2:9">
      <c r="B125" s="21"/>
    </row>
    <row r="126" spans="2:9" ht="15.75" thickBot="1">
      <c r="B126" s="54" t="s">
        <v>50</v>
      </c>
    </row>
    <row r="127" spans="2:9">
      <c r="B127" s="21" t="s">
        <v>714</v>
      </c>
      <c r="C127" s="1" t="s">
        <v>51</v>
      </c>
      <c r="D127" s="96">
        <v>930</v>
      </c>
      <c r="E127" s="96">
        <v>930</v>
      </c>
      <c r="F127" s="96">
        <v>1380</v>
      </c>
      <c r="G127" s="102">
        <v>1230</v>
      </c>
      <c r="I127" s="312">
        <f t="shared" ref="I127:I130" si="2">(D127+E127+F127+G127)*H127</f>
        <v>0</v>
      </c>
    </row>
    <row r="128" spans="2:9">
      <c r="B128" s="21" t="s">
        <v>715</v>
      </c>
      <c r="C128" s="1" t="s">
        <v>51</v>
      </c>
      <c r="D128" s="96">
        <v>840</v>
      </c>
      <c r="E128" s="96">
        <v>1050</v>
      </c>
      <c r="F128" s="96">
        <v>1410</v>
      </c>
      <c r="G128" s="102">
        <v>1230</v>
      </c>
      <c r="I128" s="312">
        <f t="shared" si="2"/>
        <v>0</v>
      </c>
    </row>
    <row r="129" spans="1:9">
      <c r="B129" s="21" t="s">
        <v>716</v>
      </c>
      <c r="C129" s="1" t="s">
        <v>51</v>
      </c>
      <c r="D129" s="96">
        <v>840</v>
      </c>
      <c r="E129" s="96">
        <v>1050</v>
      </c>
      <c r="F129" s="96">
        <v>1410</v>
      </c>
      <c r="G129" s="102">
        <v>1230</v>
      </c>
      <c r="I129" s="312">
        <f t="shared" si="2"/>
        <v>0</v>
      </c>
    </row>
    <row r="130" spans="1:9">
      <c r="B130" s="21" t="s">
        <v>717</v>
      </c>
      <c r="C130" s="1" t="s">
        <v>51</v>
      </c>
      <c r="D130" s="96">
        <v>840</v>
      </c>
      <c r="E130" s="96">
        <v>1050</v>
      </c>
      <c r="F130" s="96">
        <v>1410</v>
      </c>
      <c r="G130" s="102">
        <v>1230</v>
      </c>
      <c r="I130" s="312">
        <f t="shared" si="2"/>
        <v>0</v>
      </c>
    </row>
    <row r="131" spans="1:9">
      <c r="B131" s="21"/>
    </row>
    <row r="132" spans="1:9" ht="15.75" thickBot="1">
      <c r="B132" s="54" t="s">
        <v>52</v>
      </c>
    </row>
    <row r="133" spans="1:9">
      <c r="B133" s="21" t="s">
        <v>713</v>
      </c>
      <c r="C133" s="1" t="s">
        <v>51</v>
      </c>
      <c r="D133" s="96">
        <v>430</v>
      </c>
      <c r="E133" s="96">
        <v>430</v>
      </c>
      <c r="F133" s="96">
        <v>1460</v>
      </c>
      <c r="G133" s="102">
        <v>1330</v>
      </c>
      <c r="I133" s="312">
        <f t="shared" ref="I133:I137" si="3">(D133+E133+F133+G133)*H133</f>
        <v>0</v>
      </c>
    </row>
    <row r="134" spans="1:9">
      <c r="B134" s="21" t="s">
        <v>714</v>
      </c>
      <c r="C134" s="1" t="s">
        <v>51</v>
      </c>
      <c r="D134" s="96">
        <v>460</v>
      </c>
      <c r="E134" s="96">
        <v>460</v>
      </c>
      <c r="F134" s="96">
        <v>800</v>
      </c>
      <c r="G134" s="102">
        <v>690</v>
      </c>
      <c r="I134" s="312">
        <f t="shared" si="3"/>
        <v>0</v>
      </c>
    </row>
    <row r="135" spans="1:9">
      <c r="B135" s="21" t="s">
        <v>718</v>
      </c>
      <c r="C135" s="1" t="s">
        <v>51</v>
      </c>
      <c r="D135" s="96">
        <v>470</v>
      </c>
      <c r="E135" s="96">
        <v>630</v>
      </c>
      <c r="F135" s="96">
        <v>815</v>
      </c>
      <c r="G135" s="102">
        <v>730</v>
      </c>
      <c r="I135" s="312">
        <f t="shared" si="3"/>
        <v>0</v>
      </c>
    </row>
    <row r="136" spans="1:9">
      <c r="B136" s="21" t="s">
        <v>716</v>
      </c>
      <c r="C136" s="1" t="s">
        <v>51</v>
      </c>
      <c r="D136" s="96">
        <v>470</v>
      </c>
      <c r="E136" s="96">
        <v>630</v>
      </c>
      <c r="F136" s="96">
        <v>815</v>
      </c>
      <c r="G136" s="102">
        <v>730</v>
      </c>
      <c r="I136" s="312">
        <f t="shared" si="3"/>
        <v>0</v>
      </c>
    </row>
    <row r="137" spans="1:9">
      <c r="B137" s="21" t="s">
        <v>717</v>
      </c>
      <c r="C137" s="1" t="s">
        <v>51</v>
      </c>
      <c r="D137" s="96">
        <v>470</v>
      </c>
      <c r="E137" s="96">
        <v>630</v>
      </c>
      <c r="F137" s="96">
        <v>815</v>
      </c>
      <c r="G137" s="102">
        <v>730</v>
      </c>
      <c r="I137" s="312">
        <f t="shared" si="3"/>
        <v>0</v>
      </c>
    </row>
    <row r="138" spans="1:9">
      <c r="B138" s="21"/>
    </row>
    <row r="139" spans="1:9" ht="15">
      <c r="A139" s="89">
        <f>+MAX($A$1:A138)+0.1</f>
        <v>2.6000000000000005</v>
      </c>
      <c r="B139" s="46" t="s">
        <v>347</v>
      </c>
      <c r="C139" s="47"/>
      <c r="D139" s="97"/>
      <c r="E139" s="97"/>
      <c r="F139" s="97"/>
      <c r="G139" s="103"/>
      <c r="H139" s="103"/>
      <c r="I139" s="313"/>
    </row>
    <row r="140" spans="1:9">
      <c r="B140" s="21"/>
    </row>
    <row r="141" spans="1:9">
      <c r="B141" s="21" t="s">
        <v>790</v>
      </c>
    </row>
    <row r="142" spans="1:9" ht="25.5">
      <c r="B142" s="21" t="s">
        <v>348</v>
      </c>
    </row>
    <row r="143" spans="1:9">
      <c r="B143" s="21"/>
      <c r="C143" s="1" t="s">
        <v>51</v>
      </c>
      <c r="G143" s="102">
        <v>0</v>
      </c>
      <c r="I143" s="312">
        <f>G143*H143</f>
        <v>0</v>
      </c>
    </row>
    <row r="144" spans="1:9">
      <c r="B144" s="21"/>
    </row>
    <row r="145" spans="1:9" ht="30">
      <c r="A145" s="89">
        <f>+MAX($A$1:A144)+0.1</f>
        <v>2.7000000000000006</v>
      </c>
      <c r="B145" s="46" t="s">
        <v>53</v>
      </c>
      <c r="C145" s="47"/>
      <c r="D145" s="97"/>
      <c r="E145" s="97"/>
      <c r="F145" s="97"/>
      <c r="G145" s="103"/>
      <c r="H145" s="103"/>
      <c r="I145" s="313"/>
    </row>
    <row r="146" spans="1:9">
      <c r="B146" s="21"/>
    </row>
    <row r="147" spans="1:9" ht="51">
      <c r="B147" s="21" t="s">
        <v>54</v>
      </c>
      <c r="C147" s="1" t="s">
        <v>14</v>
      </c>
      <c r="D147" s="96">
        <v>30</v>
      </c>
      <c r="E147" s="96">
        <v>30</v>
      </c>
      <c r="F147" s="96">
        <v>30</v>
      </c>
      <c r="G147" s="102">
        <v>30</v>
      </c>
      <c r="I147" s="312">
        <f>(D147+E147+F147+G147)*H147</f>
        <v>0</v>
      </c>
    </row>
    <row r="148" spans="1:9">
      <c r="B148" s="21"/>
    </row>
    <row r="149" spans="1:9" ht="15">
      <c r="A149" s="89">
        <f>+MAX($A$1:A148)+0.1</f>
        <v>2.8000000000000007</v>
      </c>
      <c r="B149" s="46" t="s">
        <v>55</v>
      </c>
      <c r="C149" s="47"/>
      <c r="D149" s="97"/>
      <c r="E149" s="97"/>
      <c r="F149" s="97"/>
      <c r="G149" s="103"/>
      <c r="H149" s="103"/>
      <c r="I149" s="313"/>
    </row>
    <row r="150" spans="1:9">
      <c r="B150" s="21"/>
    </row>
    <row r="151" spans="1:9" ht="63.75">
      <c r="B151" s="21" t="s">
        <v>56</v>
      </c>
      <c r="C151" s="1" t="s">
        <v>14</v>
      </c>
      <c r="D151" s="96">
        <v>150</v>
      </c>
      <c r="E151" s="96">
        <v>150</v>
      </c>
      <c r="F151" s="96">
        <v>150</v>
      </c>
      <c r="G151" s="102">
        <v>150</v>
      </c>
      <c r="I151" s="312">
        <f>(D151+E151+F151+G151)*H151</f>
        <v>0</v>
      </c>
    </row>
    <row r="152" spans="1:9">
      <c r="B152" s="21"/>
    </row>
    <row r="153" spans="1:9" ht="15">
      <c r="A153" s="89">
        <f>+MAX($A$1:A152)+0.1</f>
        <v>2.9000000000000008</v>
      </c>
      <c r="B153" s="46" t="s">
        <v>57</v>
      </c>
      <c r="C153" s="47"/>
      <c r="D153" s="97"/>
      <c r="E153" s="97"/>
      <c r="F153" s="97"/>
      <c r="G153" s="103"/>
      <c r="H153" s="103"/>
      <c r="I153" s="313"/>
    </row>
    <row r="154" spans="1:9">
      <c r="B154" s="21"/>
    </row>
    <row r="155" spans="1:9" ht="38.25">
      <c r="B155" s="21" t="s">
        <v>58</v>
      </c>
      <c r="C155" s="1" t="s">
        <v>14</v>
      </c>
      <c r="D155" s="96">
        <v>75</v>
      </c>
      <c r="E155" s="96">
        <v>75</v>
      </c>
      <c r="F155" s="96">
        <v>75</v>
      </c>
      <c r="G155" s="102">
        <v>75</v>
      </c>
      <c r="I155" s="312">
        <f>(D155+E155+F155+G155)*H155</f>
        <v>0</v>
      </c>
    </row>
    <row r="156" spans="1:9">
      <c r="B156" s="21"/>
    </row>
    <row r="157" spans="1:9" ht="13.5" thickBot="1"/>
    <row r="158" spans="1:9" ht="21.75" thickBot="1">
      <c r="A158" s="609" t="s">
        <v>18</v>
      </c>
      <c r="B158" s="51" t="s">
        <v>59</v>
      </c>
      <c r="C158" s="52"/>
      <c r="D158" s="17"/>
      <c r="E158" s="17"/>
      <c r="F158" s="17"/>
      <c r="G158" s="104"/>
      <c r="H158" s="348"/>
      <c r="I158" s="318">
        <f>SUM(I4:I157)</f>
        <v>0</v>
      </c>
    </row>
    <row r="159" spans="1:9" customFormat="1">
      <c r="A159" s="100"/>
      <c r="D159" s="16"/>
      <c r="E159" s="16"/>
      <c r="F159" s="16"/>
      <c r="G159" s="16"/>
      <c r="H159" s="16"/>
      <c r="I159" s="311"/>
    </row>
  </sheetData>
  <mergeCells count="3">
    <mergeCell ref="B94:F94"/>
    <mergeCell ref="B95:F95"/>
    <mergeCell ref="B96:F96"/>
  </mergeCells>
  <pageMargins left="0.70866141732283472" right="0.31496062992125984" top="0.74803149606299213" bottom="0.74803149606299213" header="0.31496062992125984" footer="0.31496062992125984"/>
  <pageSetup paperSize="9" scale="89" orientation="portrait" r:id="rId1"/>
  <headerFooter differentFirst="1">
    <oddHeader>&amp;L&amp;K01+044Troškovnik&amp;C&amp;"-,Podebljano"&amp;K01+044PROJEKT ARHITEKTURE
Građevinsko - zanatski radovi&amp;R&amp;K01+044STAMBENO - POSLOVNA GRAĐEVINA, BLATO</oddHeader>
    <oddFooter>&amp;C&amp;K00-047V V - PROJEKT d.o.o. Put Supavla 1, 21000 Split, tel/fax: 021/322-249</oddFooter>
  </headerFooter>
  <rowBreaks count="6" manualBreakCount="6">
    <brk id="14" max="16383" man="1"/>
    <brk id="22" max="16383" man="1"/>
    <brk id="29" max="16383" man="1"/>
    <brk id="45" max="16383" man="1"/>
    <brk id="108" max="16383" man="1"/>
    <brk id="12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4"/>
  <sheetViews>
    <sheetView view="pageBreakPreview" topLeftCell="A88" zoomScale="120" zoomScaleNormal="100" zoomScaleSheetLayoutView="120" workbookViewId="0">
      <selection activeCell="A103" sqref="A103"/>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6.285156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19</v>
      </c>
      <c r="B3" s="36" t="s">
        <v>61</v>
      </c>
      <c r="C3" s="37"/>
      <c r="D3" s="18"/>
      <c r="E3" s="18"/>
      <c r="F3" s="18"/>
      <c r="G3" s="101"/>
      <c r="H3" s="101"/>
      <c r="I3" s="320"/>
    </row>
    <row r="5" spans="1:9" ht="102" customHeight="1">
      <c r="B5" s="21" t="s">
        <v>763</v>
      </c>
    </row>
    <row r="6" spans="1:9" ht="216.75">
      <c r="B6" s="21" t="s">
        <v>455</v>
      </c>
    </row>
    <row r="7" spans="1:9">
      <c r="B7" s="21"/>
    </row>
    <row r="8" spans="1:9" ht="15.75" thickBot="1">
      <c r="A8" s="90"/>
      <c r="B8" s="54" t="s">
        <v>44</v>
      </c>
      <c r="C8" s="21"/>
      <c r="D8" s="92"/>
      <c r="E8" s="92"/>
      <c r="F8" s="92"/>
      <c r="G8" s="15"/>
      <c r="H8" s="92"/>
    </row>
    <row r="9" spans="1:9" ht="63.75">
      <c r="A9" s="90"/>
      <c r="B9" s="21" t="s">
        <v>456</v>
      </c>
      <c r="C9" s="21"/>
      <c r="D9" s="92"/>
      <c r="E9" s="92"/>
      <c r="F9" s="92"/>
      <c r="G9" s="15"/>
      <c r="H9" s="92"/>
    </row>
    <row r="10" spans="1:9">
      <c r="A10" s="90"/>
      <c r="B10" s="21"/>
      <c r="C10" s="21"/>
      <c r="D10" s="92"/>
      <c r="E10" s="92"/>
      <c r="F10" s="92"/>
      <c r="G10" s="15"/>
      <c r="H10" s="92"/>
    </row>
    <row r="11" spans="1:9" ht="15.75" thickBot="1">
      <c r="A11" s="90"/>
      <c r="B11" s="54" t="s">
        <v>62</v>
      </c>
      <c r="C11" s="21"/>
      <c r="D11" s="92"/>
      <c r="E11" s="92"/>
      <c r="F11" s="92"/>
      <c r="G11" s="15"/>
      <c r="H11" s="92"/>
    </row>
    <row r="12" spans="1:9" ht="127.5">
      <c r="A12" s="90"/>
      <c r="B12" s="21" t="s">
        <v>336</v>
      </c>
      <c r="C12" s="21"/>
      <c r="D12" s="92"/>
      <c r="E12" s="92"/>
      <c r="F12" s="92"/>
      <c r="G12" s="15"/>
      <c r="H12" s="92"/>
    </row>
    <row r="13" spans="1:9" ht="100.5" customHeight="1">
      <c r="A13" s="90"/>
      <c r="B13" t="s">
        <v>457</v>
      </c>
      <c r="C13" s="21"/>
      <c r="D13" s="92"/>
      <c r="E13" s="92"/>
      <c r="F13" s="92"/>
      <c r="G13" s="15"/>
      <c r="H13" s="92"/>
    </row>
    <row r="14" spans="1:9" ht="51">
      <c r="A14" s="90"/>
      <c r="B14" s="21" t="s">
        <v>458</v>
      </c>
      <c r="C14" s="21"/>
      <c r="D14" s="92"/>
      <c r="E14" s="92"/>
      <c r="F14" s="92"/>
      <c r="G14" s="15"/>
      <c r="H14" s="92"/>
    </row>
    <row r="15" spans="1:9">
      <c r="A15" s="90"/>
      <c r="B15" s="21"/>
      <c r="C15" s="21"/>
      <c r="D15" s="92"/>
      <c r="E15" s="92"/>
      <c r="F15" s="92"/>
      <c r="G15" s="15"/>
      <c r="H15" s="92"/>
    </row>
    <row r="16" spans="1:9" ht="15.75" thickBot="1">
      <c r="A16" s="90"/>
      <c r="B16" s="54" t="s">
        <v>63</v>
      </c>
      <c r="C16" s="21"/>
      <c r="D16" s="92"/>
      <c r="E16" s="92"/>
      <c r="F16" s="92"/>
      <c r="G16" s="15"/>
      <c r="H16" s="92"/>
    </row>
    <row r="17" spans="1:8" ht="63.75">
      <c r="A17" s="90"/>
      <c r="B17" s="21" t="s">
        <v>945</v>
      </c>
      <c r="C17" s="21"/>
      <c r="D17" s="92"/>
      <c r="E17" s="92"/>
      <c r="F17" s="92"/>
      <c r="G17" s="15"/>
      <c r="H17" s="92"/>
    </row>
    <row r="18" spans="1:8" ht="76.5">
      <c r="A18" s="90"/>
      <c r="B18" t="s">
        <v>459</v>
      </c>
      <c r="C18" s="21"/>
      <c r="D18" s="92"/>
      <c r="E18" s="92"/>
      <c r="F18" s="92"/>
      <c r="G18" s="15"/>
      <c r="H18" s="92"/>
    </row>
    <row r="19" spans="1:8">
      <c r="A19" s="90"/>
      <c r="B19" s="21"/>
      <c r="C19" s="21"/>
      <c r="D19" s="92"/>
      <c r="E19" s="92"/>
      <c r="F19" s="92"/>
      <c r="G19" s="15"/>
      <c r="H19" s="92"/>
    </row>
    <row r="20" spans="1:8" ht="15.75" thickBot="1">
      <c r="A20" s="90"/>
      <c r="B20" s="54" t="s">
        <v>64</v>
      </c>
      <c r="C20" s="21"/>
      <c r="D20" s="92"/>
      <c r="E20" s="92"/>
      <c r="F20" s="92"/>
      <c r="G20" s="15"/>
      <c r="H20" s="92"/>
    </row>
    <row r="21" spans="1:8" ht="127.5">
      <c r="A21" s="90"/>
      <c r="B21" s="21" t="s">
        <v>846</v>
      </c>
      <c r="C21" s="21"/>
      <c r="D21" s="92"/>
      <c r="E21" s="92"/>
      <c r="F21" s="92"/>
      <c r="G21" s="15"/>
      <c r="H21" s="92"/>
    </row>
    <row r="22" spans="1:8">
      <c r="A22" s="90"/>
      <c r="B22" s="21"/>
      <c r="C22" s="21"/>
      <c r="D22" s="92"/>
      <c r="E22" s="92"/>
      <c r="F22" s="92"/>
      <c r="G22" s="15"/>
      <c r="H22" s="92"/>
    </row>
    <row r="23" spans="1:8" ht="127.5">
      <c r="A23" s="90"/>
      <c r="B23" s="21" t="s">
        <v>461</v>
      </c>
      <c r="C23" s="21"/>
      <c r="D23" s="92"/>
      <c r="E23" s="92"/>
      <c r="F23" s="92"/>
      <c r="G23" s="15"/>
      <c r="H23" s="92"/>
    </row>
    <row r="24" spans="1:8">
      <c r="A24" s="90"/>
      <c r="B24" s="21"/>
      <c r="C24" s="21"/>
      <c r="D24" s="92"/>
      <c r="E24" s="92"/>
      <c r="F24" s="92"/>
      <c r="G24" s="15"/>
      <c r="H24" s="92"/>
    </row>
    <row r="25" spans="1:8" ht="76.5">
      <c r="A25" s="90"/>
      <c r="B25" s="21" t="s">
        <v>460</v>
      </c>
      <c r="C25" s="21"/>
      <c r="D25" s="92"/>
      <c r="E25" s="92"/>
      <c r="F25" s="92"/>
      <c r="G25" s="15"/>
      <c r="H25" s="92"/>
    </row>
    <row r="26" spans="1:8">
      <c r="A26" s="90"/>
      <c r="B26" s="21"/>
      <c r="C26" s="21"/>
      <c r="D26" s="92"/>
      <c r="E26" s="92"/>
      <c r="F26" s="92"/>
      <c r="G26" s="15"/>
      <c r="H26" s="92"/>
    </row>
    <row r="27" spans="1:8" ht="15.75" thickBot="1">
      <c r="A27" s="90"/>
      <c r="B27" s="54" t="s">
        <v>65</v>
      </c>
      <c r="C27" s="21"/>
      <c r="D27" s="92"/>
      <c r="E27" s="92"/>
      <c r="F27" s="92"/>
      <c r="G27" s="15"/>
      <c r="H27" s="92"/>
    </row>
    <row r="28" spans="1:8" ht="63.75">
      <c r="A28" s="90"/>
      <c r="B28" s="21" t="s">
        <v>764</v>
      </c>
      <c r="C28" s="21"/>
      <c r="D28" s="92"/>
      <c r="E28" s="92"/>
      <c r="F28" s="92"/>
      <c r="G28" s="15"/>
      <c r="H28" s="92"/>
    </row>
    <row r="29" spans="1:8">
      <c r="A29" s="90"/>
      <c r="B29" s="21"/>
      <c r="C29" s="21"/>
      <c r="D29" s="92"/>
      <c r="E29" s="92"/>
      <c r="F29" s="92"/>
      <c r="G29" s="15"/>
      <c r="H29" s="92"/>
    </row>
    <row r="30" spans="1:8" ht="102">
      <c r="A30" s="90"/>
      <c r="B30" s="21" t="s">
        <v>468</v>
      </c>
      <c r="C30" s="21"/>
      <c r="D30" s="92"/>
      <c r="E30" s="92"/>
      <c r="F30" s="92"/>
      <c r="G30" s="15"/>
      <c r="H30" s="92"/>
    </row>
    <row r="31" spans="1:8" ht="51">
      <c r="A31" s="90"/>
      <c r="B31" s="21" t="s">
        <v>791</v>
      </c>
      <c r="C31" s="21"/>
      <c r="D31" s="92"/>
      <c r="E31" s="92"/>
      <c r="F31" s="92"/>
      <c r="G31" s="15"/>
      <c r="H31" s="92"/>
    </row>
    <row r="32" spans="1:8" ht="63.75">
      <c r="A32" s="90"/>
      <c r="B32" s="21" t="s">
        <v>792</v>
      </c>
      <c r="C32" s="21"/>
      <c r="D32" s="92"/>
      <c r="E32" s="92"/>
      <c r="F32" s="92"/>
      <c r="G32" s="15"/>
      <c r="H32" s="92"/>
    </row>
    <row r="33" spans="1:8">
      <c r="A33" s="90"/>
      <c r="B33" s="21"/>
      <c r="C33" s="21"/>
      <c r="D33" s="92"/>
      <c r="E33" s="92"/>
      <c r="F33" s="92"/>
      <c r="G33" s="15"/>
      <c r="H33" s="92"/>
    </row>
    <row r="34" spans="1:8" ht="15.75" thickBot="1">
      <c r="A34" s="90"/>
      <c r="B34" s="54" t="s">
        <v>66</v>
      </c>
      <c r="C34" s="21"/>
      <c r="D34" s="92"/>
      <c r="E34" s="92"/>
      <c r="F34" s="92"/>
      <c r="G34" s="15"/>
      <c r="H34" s="92"/>
    </row>
    <row r="35" spans="1:8" ht="51">
      <c r="A35" s="90"/>
      <c r="B35" s="21" t="s">
        <v>67</v>
      </c>
      <c r="C35" s="21"/>
      <c r="D35" s="92"/>
      <c r="E35" s="92"/>
      <c r="F35" s="92"/>
      <c r="G35" s="15"/>
      <c r="H35" s="92"/>
    </row>
    <row r="36" spans="1:8">
      <c r="A36" s="90"/>
      <c r="B36" s="21"/>
      <c r="C36" s="21"/>
      <c r="D36" s="92"/>
      <c r="E36" s="92"/>
      <c r="F36" s="92"/>
      <c r="G36" s="15"/>
      <c r="H36" s="92"/>
    </row>
    <row r="37" spans="1:8" ht="15.75" thickBot="1">
      <c r="A37" s="90"/>
      <c r="B37" s="54" t="s">
        <v>68</v>
      </c>
      <c r="C37" s="21"/>
      <c r="D37" s="92"/>
      <c r="E37" s="92"/>
      <c r="F37" s="92"/>
      <c r="G37" s="15"/>
      <c r="H37" s="92"/>
    </row>
    <row r="38" spans="1:8" ht="89.25">
      <c r="A38" s="90"/>
      <c r="B38" s="21" t="s">
        <v>946</v>
      </c>
      <c r="C38" s="21"/>
      <c r="D38" s="92"/>
      <c r="E38" s="92"/>
      <c r="F38" s="92"/>
      <c r="G38" s="15"/>
      <c r="H38" s="92"/>
    </row>
    <row r="39" spans="1:8" ht="51">
      <c r="A39" s="90"/>
      <c r="B39" s="21" t="s">
        <v>275</v>
      </c>
      <c r="C39" s="21"/>
      <c r="D39" s="92"/>
      <c r="E39" s="92"/>
      <c r="F39" s="92"/>
      <c r="G39" s="15"/>
      <c r="H39" s="92"/>
    </row>
    <row r="40" spans="1:8" ht="76.5">
      <c r="A40" s="90"/>
      <c r="B40" s="21" t="s">
        <v>465</v>
      </c>
      <c r="C40" s="21"/>
      <c r="D40" s="92"/>
      <c r="E40" s="92"/>
      <c r="F40" s="92"/>
      <c r="G40" s="15"/>
      <c r="H40" s="92"/>
    </row>
    <row r="41" spans="1:8">
      <c r="A41" s="90"/>
      <c r="B41" s="21"/>
      <c r="C41" s="21"/>
      <c r="D41" s="92"/>
      <c r="E41" s="92"/>
      <c r="F41" s="92"/>
      <c r="G41" s="15"/>
      <c r="H41" s="92"/>
    </row>
    <row r="42" spans="1:8" ht="15.75" thickBot="1">
      <c r="A42" s="90"/>
      <c r="B42" s="54" t="s">
        <v>101</v>
      </c>
      <c r="C42" s="21"/>
      <c r="D42" s="92"/>
      <c r="E42" s="92"/>
      <c r="F42" s="92"/>
      <c r="G42" s="15"/>
      <c r="H42" s="92"/>
    </row>
    <row r="43" spans="1:8" ht="38.25">
      <c r="A43" s="90"/>
      <c r="B43" s="21" t="s">
        <v>466</v>
      </c>
      <c r="C43" s="21"/>
      <c r="D43" s="92"/>
      <c r="E43" s="92"/>
      <c r="F43" s="92"/>
      <c r="G43" s="15"/>
      <c r="H43" s="92"/>
    </row>
    <row r="44" spans="1:8">
      <c r="A44" s="90"/>
      <c r="B44" s="21"/>
      <c r="C44" s="21"/>
      <c r="D44" s="92"/>
      <c r="E44" s="92"/>
      <c r="F44" s="92"/>
      <c r="G44" s="15"/>
      <c r="H44" s="92"/>
    </row>
    <row r="45" spans="1:8" ht="51">
      <c r="A45" s="90"/>
      <c r="B45" t="s">
        <v>276</v>
      </c>
      <c r="C45" s="21"/>
      <c r="D45" s="92"/>
      <c r="E45" s="92"/>
      <c r="F45" s="92"/>
      <c r="G45" s="15"/>
      <c r="H45" s="92"/>
    </row>
    <row r="46" spans="1:8">
      <c r="A46" s="90"/>
      <c r="B46"/>
      <c r="C46" s="21"/>
      <c r="D46" s="92"/>
      <c r="E46" s="92"/>
      <c r="F46" s="92"/>
      <c r="G46" s="15"/>
      <c r="H46" s="92"/>
    </row>
    <row r="47" spans="1:8">
      <c r="A47" s="90"/>
      <c r="B47" s="21" t="s">
        <v>793</v>
      </c>
      <c r="C47" s="21"/>
      <c r="D47" s="92"/>
      <c r="E47" s="92"/>
      <c r="F47" s="92"/>
      <c r="G47" s="15"/>
      <c r="H47" s="92"/>
    </row>
    <row r="48" spans="1:8">
      <c r="A48" s="90"/>
      <c r="B48" s="21"/>
      <c r="C48" s="21"/>
      <c r="D48" s="92"/>
      <c r="E48" s="92"/>
      <c r="F48" s="92"/>
      <c r="G48" s="15"/>
      <c r="H48" s="92"/>
    </row>
    <row r="49" spans="1:9">
      <c r="A49" s="90"/>
      <c r="B49" s="21"/>
      <c r="C49" s="21"/>
      <c r="D49" s="92"/>
      <c r="E49" s="92"/>
      <c r="F49" s="92"/>
      <c r="G49" s="15"/>
      <c r="H49" s="92"/>
    </row>
    <row r="50" spans="1:9" ht="69">
      <c r="A50" s="45">
        <v>3.1</v>
      </c>
      <c r="B50" s="46" t="s">
        <v>766</v>
      </c>
      <c r="C50" s="47"/>
      <c r="D50" s="97"/>
      <c r="E50" s="97"/>
      <c r="F50" s="97"/>
      <c r="G50" s="103"/>
      <c r="H50" s="103"/>
      <c r="I50" s="349"/>
    </row>
    <row r="51" spans="1:9">
      <c r="B51" s="21"/>
    </row>
    <row r="52" spans="1:9" ht="15.75" thickBot="1">
      <c r="A52" s="90"/>
      <c r="B52" s="54" t="s">
        <v>69</v>
      </c>
      <c r="C52" s="21"/>
      <c r="D52" s="92"/>
      <c r="E52" s="92"/>
      <c r="F52" s="92"/>
      <c r="G52" s="15"/>
      <c r="H52" s="92"/>
    </row>
    <row r="53" spans="1:9" ht="38.25">
      <c r="A53" s="90"/>
      <c r="B53" s="21" t="s">
        <v>949</v>
      </c>
      <c r="C53" s="21"/>
      <c r="D53" s="92"/>
      <c r="E53" s="92"/>
      <c r="F53" s="92"/>
      <c r="G53" s="15"/>
      <c r="H53" s="92"/>
    </row>
    <row r="54" spans="1:9">
      <c r="A54" s="90"/>
      <c r="B54" s="21"/>
      <c r="C54" s="21"/>
      <c r="D54" s="92"/>
      <c r="E54" s="92"/>
      <c r="F54" s="92"/>
      <c r="G54" s="15"/>
      <c r="H54" s="92"/>
    </row>
    <row r="55" spans="1:9" ht="15.75" thickBot="1">
      <c r="A55" s="90"/>
      <c r="B55" s="54" t="s">
        <v>70</v>
      </c>
      <c r="C55" s="21"/>
      <c r="D55" s="92"/>
      <c r="E55" s="92"/>
      <c r="F55" s="92"/>
      <c r="G55" s="15"/>
      <c r="H55" s="92"/>
    </row>
    <row r="56" spans="1:9" ht="51">
      <c r="A56" s="90"/>
      <c r="B56" s="21" t="s">
        <v>950</v>
      </c>
      <c r="C56" s="21"/>
      <c r="D56" s="92"/>
      <c r="E56" s="92"/>
      <c r="F56" s="92"/>
      <c r="G56" s="15"/>
      <c r="H56" s="92"/>
    </row>
    <row r="57" spans="1:9">
      <c r="A57" s="90"/>
      <c r="B57" s="21"/>
      <c r="C57" s="21"/>
      <c r="D57" s="92"/>
      <c r="E57" s="92"/>
      <c r="F57" s="92"/>
      <c r="G57" s="15"/>
      <c r="H57" s="92"/>
    </row>
    <row r="58" spans="1:9" ht="15.75" thickBot="1">
      <c r="A58" s="90"/>
      <c r="B58" s="54" t="s">
        <v>71</v>
      </c>
      <c r="C58" s="21"/>
      <c r="D58" s="92"/>
      <c r="E58" s="92"/>
      <c r="F58" s="92"/>
      <c r="G58" s="15"/>
      <c r="H58" s="92"/>
    </row>
    <row r="59" spans="1:9" ht="25.5">
      <c r="A59" s="90"/>
      <c r="B59" s="21" t="s">
        <v>463</v>
      </c>
      <c r="C59" s="21"/>
      <c r="D59" s="92"/>
      <c r="E59" s="92"/>
      <c r="F59" s="92"/>
      <c r="G59" s="15"/>
      <c r="H59" s="92"/>
    </row>
    <row r="60" spans="1:9">
      <c r="A60" s="90"/>
      <c r="B60" s="21"/>
      <c r="C60" s="21"/>
      <c r="D60" s="92"/>
      <c r="E60" s="92"/>
      <c r="F60" s="92"/>
      <c r="G60" s="15"/>
      <c r="H60" s="92"/>
    </row>
    <row r="61" spans="1:9" ht="25.5">
      <c r="A61" s="90"/>
      <c r="B61" s="21" t="s">
        <v>767</v>
      </c>
      <c r="C61" s="21"/>
      <c r="D61" s="92"/>
      <c r="E61" s="92"/>
      <c r="F61" s="92"/>
      <c r="G61" s="15"/>
      <c r="H61" s="92"/>
    </row>
    <row r="62" spans="1:9">
      <c r="A62" s="90"/>
      <c r="B62" s="21"/>
      <c r="C62" s="21"/>
      <c r="D62" s="92"/>
      <c r="E62" s="92"/>
      <c r="F62" s="92"/>
      <c r="G62" s="15"/>
      <c r="H62" s="92"/>
    </row>
    <row r="63" spans="1:9">
      <c r="A63" s="90" t="s">
        <v>39</v>
      </c>
      <c r="B63" s="48" t="s">
        <v>947</v>
      </c>
      <c r="C63" s="1" t="s">
        <v>40</v>
      </c>
      <c r="D63" s="96">
        <v>342</v>
      </c>
      <c r="E63" s="96">
        <v>471.6</v>
      </c>
      <c r="F63" s="96">
        <v>838.8</v>
      </c>
      <c r="G63" s="102">
        <v>692.4</v>
      </c>
      <c r="I63" s="306">
        <f t="shared" ref="I63:I65" si="0">(D63+E63+F63+G63)*H63</f>
        <v>0</v>
      </c>
    </row>
    <row r="64" spans="1:9" ht="25.5">
      <c r="A64" s="90"/>
      <c r="B64" s="21" t="s">
        <v>951</v>
      </c>
      <c r="C64" s="21"/>
      <c r="D64" s="92"/>
      <c r="E64" s="92"/>
      <c r="F64" s="92"/>
      <c r="G64" s="15"/>
      <c r="H64" s="92"/>
    </row>
    <row r="65" spans="1:9">
      <c r="A65" s="90" t="s">
        <v>41</v>
      </c>
      <c r="B65" s="48" t="s">
        <v>948</v>
      </c>
      <c r="C65" s="1" t="s">
        <v>40</v>
      </c>
      <c r="D65" s="96">
        <v>651.6</v>
      </c>
      <c r="E65" s="96">
        <v>836.4</v>
      </c>
      <c r="F65" s="96">
        <v>1206</v>
      </c>
      <c r="G65" s="102">
        <v>1025</v>
      </c>
      <c r="I65" s="306">
        <f t="shared" si="0"/>
        <v>0</v>
      </c>
    </row>
    <row r="66" spans="1:9" ht="25.5">
      <c r="A66" s="90"/>
      <c r="B66" s="21" t="s">
        <v>767</v>
      </c>
      <c r="C66" s="21"/>
      <c r="D66" s="92"/>
      <c r="E66" s="92"/>
      <c r="F66" s="92"/>
      <c r="G66" s="15"/>
      <c r="H66" s="92"/>
    </row>
    <row r="67" spans="1:9">
      <c r="A67" s="90"/>
      <c r="B67" s="21"/>
      <c r="C67" s="21"/>
      <c r="D67" s="92"/>
      <c r="E67" s="92"/>
      <c r="F67" s="92"/>
      <c r="G67" s="15"/>
      <c r="H67" s="92"/>
    </row>
    <row r="68" spans="1:9" ht="54">
      <c r="A68" s="45">
        <v>3.2</v>
      </c>
      <c r="B68" s="46" t="s">
        <v>462</v>
      </c>
      <c r="C68" s="47"/>
      <c r="D68" s="97"/>
      <c r="E68" s="97"/>
      <c r="F68" s="97"/>
      <c r="G68" s="103"/>
      <c r="H68" s="103"/>
      <c r="I68" s="349"/>
    </row>
    <row r="69" spans="1:9">
      <c r="B69" s="21"/>
    </row>
    <row r="70" spans="1:9" ht="15.75" thickBot="1">
      <c r="B70" s="54" t="s">
        <v>69</v>
      </c>
    </row>
    <row r="71" spans="1:9" ht="38.25">
      <c r="B71" s="21" t="s">
        <v>335</v>
      </c>
    </row>
    <row r="72" spans="1:9">
      <c r="B72" s="21"/>
    </row>
    <row r="73" spans="1:9" ht="15.75" thickBot="1">
      <c r="B73" s="54" t="s">
        <v>70</v>
      </c>
    </row>
    <row r="74" spans="1:9" ht="51">
      <c r="B74" s="21" t="s">
        <v>952</v>
      </c>
    </row>
    <row r="75" spans="1:9">
      <c r="B75" s="21"/>
    </row>
    <row r="76" spans="1:9" ht="15.75" thickBot="1">
      <c r="B76" s="54" t="s">
        <v>71</v>
      </c>
    </row>
    <row r="77" spans="1:9" ht="25.5">
      <c r="B77" s="21" t="s">
        <v>463</v>
      </c>
    </row>
    <row r="78" spans="1:9">
      <c r="B78" s="21"/>
    </row>
    <row r="79" spans="1:9" ht="25.5">
      <c r="B79" s="21" t="s">
        <v>464</v>
      </c>
    </row>
    <row r="80" spans="1:9">
      <c r="B80" s="21"/>
    </row>
    <row r="81" spans="1:9">
      <c r="A81" s="40" t="s">
        <v>39</v>
      </c>
      <c r="B81" s="48" t="s">
        <v>794</v>
      </c>
      <c r="C81" s="1" t="s">
        <v>40</v>
      </c>
      <c r="D81" s="96">
        <v>1581.2</v>
      </c>
      <c r="E81" s="96">
        <v>1810.9</v>
      </c>
      <c r="F81" s="96">
        <v>2173.75</v>
      </c>
      <c r="G81" s="102">
        <v>2212.9</v>
      </c>
      <c r="I81" s="306">
        <f>(D81+E81+F81+G81)*H81</f>
        <v>0</v>
      </c>
    </row>
    <row r="82" spans="1:9">
      <c r="B82" s="48"/>
    </row>
    <row r="83" spans="1:9" ht="54">
      <c r="A83" s="45">
        <v>3.3</v>
      </c>
      <c r="B83" s="46" t="s">
        <v>72</v>
      </c>
      <c r="C83" s="47"/>
      <c r="D83" s="97"/>
      <c r="E83" s="97"/>
      <c r="F83" s="97"/>
      <c r="G83" s="103"/>
      <c r="H83" s="103"/>
      <c r="I83" s="349"/>
    </row>
    <row r="84" spans="1:9" ht="38.25">
      <c r="B84" s="93" t="s">
        <v>848</v>
      </c>
    </row>
    <row r="85" spans="1:9">
      <c r="B85" s="21"/>
    </row>
    <row r="86" spans="1:9" ht="15.75" thickBot="1">
      <c r="B86" s="54" t="s">
        <v>73</v>
      </c>
    </row>
    <row r="87" spans="1:9" ht="38.25">
      <c r="B87" s="21" t="s">
        <v>796</v>
      </c>
    </row>
    <row r="88" spans="1:9">
      <c r="B88" s="21"/>
    </row>
    <row r="89" spans="1:9" ht="15.75" thickBot="1">
      <c r="B89" s="54" t="s">
        <v>74</v>
      </c>
    </row>
    <row r="90" spans="1:9" ht="25.5">
      <c r="B90" s="21" t="s">
        <v>953</v>
      </c>
    </row>
    <row r="91" spans="1:9">
      <c r="B91" s="21"/>
    </row>
    <row r="92" spans="1:9" ht="15.75" thickBot="1">
      <c r="B92" s="54" t="s">
        <v>75</v>
      </c>
    </row>
    <row r="93" spans="1:9" ht="51">
      <c r="B93" s="21" t="s">
        <v>467</v>
      </c>
    </row>
    <row r="94" spans="1:9">
      <c r="B94" s="21"/>
    </row>
    <row r="95" spans="1:9" ht="15.75" thickBot="1">
      <c r="B95" s="54" t="s">
        <v>71</v>
      </c>
    </row>
    <row r="96" spans="1:9" ht="25.5">
      <c r="B96" s="21" t="s">
        <v>847</v>
      </c>
    </row>
    <row r="97" spans="1:9">
      <c r="B97" s="21"/>
    </row>
    <row r="98" spans="1:9" ht="25.5">
      <c r="B98" s="21" t="s">
        <v>849</v>
      </c>
    </row>
    <row r="99" spans="1:9">
      <c r="B99" s="21"/>
    </row>
    <row r="100" spans="1:9">
      <c r="A100" s="40" t="s">
        <v>39</v>
      </c>
      <c r="B100" s="48" t="s">
        <v>795</v>
      </c>
      <c r="C100" s="1" t="s">
        <v>40</v>
      </c>
      <c r="D100" s="96">
        <v>323.2</v>
      </c>
      <c r="E100" s="96">
        <v>444.6</v>
      </c>
      <c r="F100" s="96">
        <v>565.48</v>
      </c>
      <c r="G100" s="102">
        <v>578.5</v>
      </c>
      <c r="I100" s="306">
        <f>(D100+E100+F100+G100)*H100</f>
        <v>0</v>
      </c>
    </row>
    <row r="101" spans="1:9">
      <c r="B101" s="21"/>
    </row>
    <row r="102" spans="1:9" ht="13.5" thickBot="1">
      <c r="B102" s="21"/>
    </row>
    <row r="103" spans="1:9" ht="21.75" thickBot="1">
      <c r="A103" s="609" t="s">
        <v>19</v>
      </c>
      <c r="B103" s="51" t="s">
        <v>77</v>
      </c>
      <c r="C103" s="52"/>
      <c r="D103" s="17"/>
      <c r="E103" s="17"/>
      <c r="F103" s="17"/>
      <c r="G103" s="104"/>
      <c r="H103" s="348"/>
      <c r="I103" s="322">
        <f>SUM(I4:I101)</f>
        <v>0</v>
      </c>
    </row>
    <row r="104" spans="1:9" s="60" customFormat="1">
      <c r="A104" s="57"/>
      <c r="B104" s="78"/>
      <c r="C104" s="59"/>
      <c r="D104" s="14"/>
      <c r="E104" s="14"/>
      <c r="F104" s="14"/>
      <c r="G104" s="105"/>
      <c r="H104" s="354"/>
      <c r="I104" s="355"/>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&amp;C&amp;K00-046V V - PROJEKT d.o.o. Put Supavla 1, 21000 Split, tel/fax: 021/322-249</oddFooter>
  </headerFooter>
  <rowBreaks count="3" manualBreakCount="3">
    <brk id="15" max="16383" man="1"/>
    <brk id="49" max="16383" man="1"/>
    <brk id="82"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83"/>
  <sheetViews>
    <sheetView view="pageBreakPreview" topLeftCell="A172" zoomScale="120" zoomScaleNormal="100" zoomScaleSheetLayoutView="120" zoomScalePageLayoutView="110" workbookViewId="0">
      <selection activeCell="A183" sqref="A183"/>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3.57031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20</v>
      </c>
      <c r="B3" s="36" t="s">
        <v>79</v>
      </c>
      <c r="C3" s="37"/>
      <c r="D3" s="18"/>
      <c r="E3" s="18"/>
      <c r="F3" s="18"/>
      <c r="G3" s="101"/>
      <c r="H3" s="101"/>
      <c r="I3" s="320"/>
    </row>
    <row r="4" spans="1:9">
      <c r="B4" s="21"/>
    </row>
    <row r="5" spans="1:9" ht="38.25">
      <c r="B5" s="21" t="s">
        <v>719</v>
      </c>
    </row>
    <row r="6" spans="1:9">
      <c r="A6" s="90"/>
      <c r="B6" s="21"/>
      <c r="H6" s="92"/>
    </row>
    <row r="7" spans="1:9" ht="15.75" thickBot="1">
      <c r="A7" s="90"/>
      <c r="B7" s="54" t="s">
        <v>80</v>
      </c>
      <c r="G7" s="15"/>
      <c r="H7" s="92"/>
    </row>
    <row r="8" spans="1:9" ht="280.5">
      <c r="A8" s="90"/>
      <c r="B8" s="75" t="s">
        <v>800</v>
      </c>
      <c r="H8" s="92"/>
    </row>
    <row r="9" spans="1:9" ht="153">
      <c r="A9" s="90"/>
      <c r="B9" s="55" t="s">
        <v>799</v>
      </c>
      <c r="H9" s="92"/>
    </row>
    <row r="10" spans="1:9">
      <c r="A10" s="90"/>
      <c r="B10" s="75"/>
      <c r="H10" s="92"/>
    </row>
    <row r="11" spans="1:9" ht="15.75" thickBot="1">
      <c r="A11" s="90"/>
      <c r="B11" s="54" t="s">
        <v>81</v>
      </c>
      <c r="H11" s="92"/>
    </row>
    <row r="12" spans="1:9" ht="178.5">
      <c r="A12" s="90"/>
      <c r="B12" s="75" t="s">
        <v>797</v>
      </c>
      <c r="H12" s="92"/>
    </row>
    <row r="13" spans="1:9" ht="76.5">
      <c r="A13" s="90"/>
      <c r="B13" s="55" t="s">
        <v>798</v>
      </c>
      <c r="H13" s="92"/>
    </row>
    <row r="14" spans="1:9">
      <c r="A14" s="90"/>
      <c r="B14" s="21"/>
      <c r="H14" s="92"/>
    </row>
    <row r="15" spans="1:9" ht="15.75" thickBot="1">
      <c r="A15" s="90"/>
      <c r="B15" s="54" t="s">
        <v>82</v>
      </c>
      <c r="H15" s="92"/>
    </row>
    <row r="16" spans="1:9" ht="63.75">
      <c r="A16" s="90"/>
      <c r="B16" s="21" t="s">
        <v>83</v>
      </c>
      <c r="H16" s="92"/>
    </row>
    <row r="17" spans="1:8">
      <c r="A17" s="90"/>
      <c r="B17" s="21"/>
      <c r="H17" s="92"/>
    </row>
    <row r="18" spans="1:8" ht="178.5">
      <c r="A18" s="90"/>
      <c r="B18" s="21" t="s">
        <v>84</v>
      </c>
      <c r="H18" s="92"/>
    </row>
    <row r="19" spans="1:8">
      <c r="A19" s="90"/>
      <c r="B19" s="21"/>
      <c r="H19" s="92"/>
    </row>
    <row r="20" spans="1:8" ht="102">
      <c r="A20" s="90"/>
      <c r="B20" s="21" t="s">
        <v>85</v>
      </c>
      <c r="H20" s="92"/>
    </row>
    <row r="21" spans="1:8">
      <c r="A21" s="90"/>
      <c r="B21" s="21"/>
      <c r="H21" s="92"/>
    </row>
    <row r="22" spans="1:8" ht="15.75" thickBot="1">
      <c r="B22" s="54" t="s">
        <v>86</v>
      </c>
    </row>
    <row r="23" spans="1:8" ht="63.75">
      <c r="B23" s="21" t="s">
        <v>954</v>
      </c>
    </row>
    <row r="24" spans="1:8">
      <c r="B24" s="21"/>
    </row>
    <row r="25" spans="1:8" ht="15.75" thickBot="1">
      <c r="B25" s="54" t="s">
        <v>87</v>
      </c>
    </row>
    <row r="26" spans="1:8" ht="63.75">
      <c r="B26" s="21" t="s">
        <v>722</v>
      </c>
    </row>
    <row r="27" spans="1:8">
      <c r="B27" s="48" t="s">
        <v>723</v>
      </c>
    </row>
    <row r="28" spans="1:8">
      <c r="B28" t="s">
        <v>193</v>
      </c>
    </row>
    <row r="29" spans="1:8">
      <c r="B29" t="s">
        <v>194</v>
      </c>
    </row>
    <row r="30" spans="1:8">
      <c r="B30" t="s">
        <v>195</v>
      </c>
    </row>
    <row r="31" spans="1:8">
      <c r="B31" t="s">
        <v>196</v>
      </c>
    </row>
    <row r="32" spans="1:8">
      <c r="B32" t="s">
        <v>197</v>
      </c>
    </row>
    <row r="33" spans="1:9">
      <c r="B33" t="s">
        <v>198</v>
      </c>
    </row>
    <row r="34" spans="1:9">
      <c r="B34" t="s">
        <v>199</v>
      </c>
    </row>
    <row r="35" spans="1:9">
      <c r="B35" t="s">
        <v>200</v>
      </c>
    </row>
    <row r="36" spans="1:9">
      <c r="B36" t="s">
        <v>201</v>
      </c>
    </row>
    <row r="37" spans="1:9">
      <c r="B37" t="s">
        <v>202</v>
      </c>
    </row>
    <row r="38" spans="1:9">
      <c r="B38" t="s">
        <v>203</v>
      </c>
    </row>
    <row r="39" spans="1:9">
      <c r="B39" t="s">
        <v>721</v>
      </c>
    </row>
    <row r="40" spans="1:9">
      <c r="B40"/>
    </row>
    <row r="41" spans="1:9" ht="15.75" thickBot="1">
      <c r="B41" s="54" t="s">
        <v>955</v>
      </c>
    </row>
    <row r="42" spans="1:9" ht="140.25">
      <c r="B42" s="21" t="s">
        <v>724</v>
      </c>
    </row>
    <row r="43" spans="1:9">
      <c r="B43" s="21"/>
    </row>
    <row r="44" spans="1:9" ht="15.75" thickBot="1">
      <c r="B44" s="54" t="s">
        <v>88</v>
      </c>
    </row>
    <row r="45" spans="1:9" s="60" customFormat="1" ht="114.75">
      <c r="A45" s="57"/>
      <c r="B45" s="58" t="s">
        <v>725</v>
      </c>
      <c r="C45" s="59"/>
      <c r="D45" s="14"/>
      <c r="E45" s="14"/>
      <c r="F45" s="14"/>
      <c r="G45" s="105"/>
      <c r="H45" s="354"/>
      <c r="I45" s="355"/>
    </row>
    <row r="46" spans="1:9" s="60" customFormat="1">
      <c r="A46" s="57"/>
      <c r="B46" s="58"/>
      <c r="C46" s="59"/>
      <c r="D46" s="14"/>
      <c r="E46" s="14"/>
      <c r="F46" s="14"/>
      <c r="G46" s="105"/>
      <c r="H46" s="354"/>
      <c r="I46" s="355"/>
    </row>
    <row r="47" spans="1:9" s="60" customFormat="1" ht="15.75" thickBot="1">
      <c r="A47" s="57"/>
      <c r="B47" s="54" t="s">
        <v>89</v>
      </c>
      <c r="C47" s="59"/>
      <c r="D47" s="14"/>
      <c r="E47" s="14"/>
      <c r="F47" s="14"/>
      <c r="G47" s="105"/>
      <c r="H47" s="354"/>
      <c r="I47" s="355"/>
    </row>
    <row r="48" spans="1:9" s="60" customFormat="1" ht="204">
      <c r="A48" s="57"/>
      <c r="B48" s="58" t="s">
        <v>90</v>
      </c>
      <c r="C48" s="59"/>
      <c r="D48" s="14"/>
      <c r="E48" s="14"/>
      <c r="F48" s="14"/>
      <c r="G48" s="105"/>
      <c r="H48" s="354"/>
      <c r="I48" s="355"/>
    </row>
    <row r="49" spans="1:9" s="60" customFormat="1">
      <c r="A49" s="57"/>
      <c r="C49" s="59"/>
      <c r="D49" s="14"/>
      <c r="E49" s="14"/>
      <c r="F49" s="14"/>
      <c r="G49" s="105"/>
      <c r="H49" s="354"/>
      <c r="I49" s="355"/>
    </row>
    <row r="50" spans="1:9" ht="15.75" thickBot="1">
      <c r="B50" s="54" t="s">
        <v>183</v>
      </c>
    </row>
    <row r="51" spans="1:9" s="60" customFormat="1" ht="89.25">
      <c r="A51" s="57"/>
      <c r="B51" t="s">
        <v>726</v>
      </c>
      <c r="C51" s="59"/>
      <c r="D51" s="14"/>
      <c r="E51" s="14"/>
      <c r="F51" s="14"/>
      <c r="G51" s="105"/>
      <c r="H51" s="354"/>
      <c r="I51" s="355"/>
    </row>
    <row r="52" spans="1:9" s="60" customFormat="1" ht="51">
      <c r="A52" s="57"/>
      <c r="B52" t="s">
        <v>727</v>
      </c>
      <c r="C52" s="59"/>
      <c r="D52" s="14"/>
      <c r="E52" s="14"/>
      <c r="F52" s="14"/>
      <c r="G52" s="105"/>
      <c r="H52" s="354"/>
      <c r="I52" s="355"/>
    </row>
    <row r="53" spans="1:9" s="60" customFormat="1" ht="25.5">
      <c r="A53" s="57"/>
      <c r="B53" t="s">
        <v>191</v>
      </c>
      <c r="C53" s="59"/>
      <c r="D53" s="14"/>
      <c r="E53" s="14"/>
      <c r="F53" s="14"/>
      <c r="G53" s="105"/>
      <c r="H53" s="354"/>
      <c r="I53" s="355"/>
    </row>
    <row r="54" spans="1:9" s="60" customFormat="1">
      <c r="A54" s="57"/>
      <c r="B54" s="77" t="s">
        <v>728</v>
      </c>
      <c r="C54" s="59"/>
      <c r="D54" s="14"/>
      <c r="E54" s="14"/>
      <c r="F54" s="14"/>
      <c r="G54" s="105"/>
      <c r="H54" s="354"/>
      <c r="I54" s="355"/>
    </row>
    <row r="55" spans="1:9" s="60" customFormat="1">
      <c r="A55" s="57"/>
      <c r="B55" t="s">
        <v>184</v>
      </c>
      <c r="C55" s="59"/>
      <c r="D55" s="14"/>
      <c r="E55" s="14"/>
      <c r="F55" s="14"/>
      <c r="G55" s="105"/>
      <c r="H55" s="354"/>
      <c r="I55" s="355"/>
    </row>
    <row r="56" spans="1:9" s="60" customFormat="1">
      <c r="A56" s="57"/>
      <c r="B56" t="s">
        <v>185</v>
      </c>
      <c r="C56" s="59"/>
      <c r="D56" s="14"/>
      <c r="E56" s="14"/>
      <c r="F56" s="14"/>
      <c r="G56" s="105"/>
      <c r="H56" s="354"/>
      <c r="I56" s="355"/>
    </row>
    <row r="57" spans="1:9" s="60" customFormat="1">
      <c r="A57" s="57"/>
      <c r="B57" s="75" t="s">
        <v>186</v>
      </c>
      <c r="C57" s="59"/>
      <c r="D57" s="14"/>
      <c r="E57" s="14"/>
      <c r="F57" s="14"/>
      <c r="G57" s="105"/>
      <c r="H57" s="354"/>
      <c r="I57" s="355"/>
    </row>
    <row r="58" spans="1:9" s="60" customFormat="1">
      <c r="A58" s="57"/>
      <c r="B58" s="75" t="s">
        <v>187</v>
      </c>
      <c r="C58" s="59"/>
      <c r="D58" s="14"/>
      <c r="E58" s="14"/>
      <c r="F58" s="14"/>
      <c r="G58" s="105"/>
      <c r="H58" s="354"/>
      <c r="I58" s="355"/>
    </row>
    <row r="59" spans="1:9" s="60" customFormat="1" ht="25.5">
      <c r="A59" s="57"/>
      <c r="B59" t="s">
        <v>192</v>
      </c>
      <c r="C59" s="59"/>
      <c r="D59" s="14"/>
      <c r="E59" s="14"/>
      <c r="F59" s="14"/>
      <c r="G59" s="105"/>
      <c r="H59" s="354"/>
      <c r="I59" s="355"/>
    </row>
    <row r="60" spans="1:9" s="60" customFormat="1">
      <c r="A60" s="57"/>
      <c r="B60" t="s">
        <v>188</v>
      </c>
      <c r="C60" s="59"/>
      <c r="D60" s="14"/>
      <c r="E60" s="14"/>
      <c r="F60" s="14"/>
      <c r="G60" s="105"/>
      <c r="H60" s="354"/>
      <c r="I60" s="355"/>
    </row>
    <row r="61" spans="1:9" s="60" customFormat="1">
      <c r="A61" s="57"/>
      <c r="B61" t="s">
        <v>189</v>
      </c>
      <c r="C61" s="59"/>
      <c r="D61" s="14"/>
      <c r="E61" s="14"/>
      <c r="F61" s="14"/>
      <c r="G61" s="105"/>
      <c r="H61" s="354"/>
      <c r="I61" s="355"/>
    </row>
    <row r="62" spans="1:9" s="60" customFormat="1">
      <c r="A62" s="57"/>
      <c r="B62" t="s">
        <v>190</v>
      </c>
      <c r="C62" s="59"/>
      <c r="D62" s="14"/>
      <c r="E62" s="14"/>
      <c r="F62" s="14"/>
      <c r="G62" s="105"/>
      <c r="H62" s="354"/>
      <c r="I62" s="355"/>
    </row>
    <row r="63" spans="1:9" s="60" customFormat="1">
      <c r="A63" s="57"/>
      <c r="C63" s="59"/>
      <c r="D63" s="14"/>
      <c r="E63" s="14"/>
      <c r="F63" s="14"/>
      <c r="G63" s="105"/>
      <c r="H63" s="354"/>
      <c r="I63" s="355"/>
    </row>
    <row r="64" spans="1:9" s="60" customFormat="1" ht="30.75" thickBot="1">
      <c r="A64" s="57"/>
      <c r="B64" s="54" t="s">
        <v>477</v>
      </c>
      <c r="C64" s="59"/>
      <c r="D64" s="14"/>
      <c r="E64" s="14"/>
      <c r="F64" s="14"/>
      <c r="G64" s="105"/>
      <c r="H64" s="354"/>
      <c r="I64" s="355"/>
    </row>
    <row r="65" spans="1:9" s="60" customFormat="1" ht="140.25">
      <c r="A65" s="57"/>
      <c r="B65" s="83" t="s">
        <v>478</v>
      </c>
      <c r="C65" s="59"/>
      <c r="D65" s="14"/>
      <c r="E65" s="14"/>
      <c r="F65" s="14"/>
      <c r="G65" s="105"/>
      <c r="H65" s="354"/>
      <c r="I65" s="355"/>
    </row>
    <row r="66" spans="1:9" s="60" customFormat="1">
      <c r="A66" s="57"/>
      <c r="C66" s="59"/>
      <c r="D66" s="14"/>
      <c r="E66" s="14"/>
      <c r="F66" s="14"/>
      <c r="G66" s="105"/>
      <c r="H66" s="354"/>
      <c r="I66" s="355"/>
    </row>
    <row r="67" spans="1:9" s="60" customFormat="1" ht="15.75" thickBot="1">
      <c r="A67" s="57"/>
      <c r="B67" s="54" t="s">
        <v>91</v>
      </c>
      <c r="C67" s="59"/>
      <c r="D67" s="14"/>
      <c r="E67" s="14"/>
      <c r="F67" s="14"/>
      <c r="G67" s="105"/>
      <c r="H67" s="354"/>
      <c r="I67" s="355"/>
    </row>
    <row r="68" spans="1:9" s="60" customFormat="1" ht="38.25">
      <c r="A68" s="57"/>
      <c r="B68" s="83" t="s">
        <v>92</v>
      </c>
      <c r="C68" s="59"/>
      <c r="D68" s="14"/>
      <c r="E68" s="14"/>
      <c r="F68" s="14"/>
      <c r="G68" s="105"/>
      <c r="H68" s="354"/>
      <c r="I68" s="355"/>
    </row>
    <row r="69" spans="1:9" s="60" customFormat="1">
      <c r="A69" s="57"/>
      <c r="B69" s="78"/>
      <c r="C69" s="59"/>
      <c r="D69" s="14"/>
      <c r="E69" s="14"/>
      <c r="F69" s="14"/>
      <c r="G69" s="105"/>
      <c r="H69" s="354"/>
      <c r="I69" s="355"/>
    </row>
    <row r="70" spans="1:9" s="60" customFormat="1" ht="15.75" thickBot="1">
      <c r="A70" s="57"/>
      <c r="B70" s="54" t="s">
        <v>349</v>
      </c>
      <c r="C70" s="59"/>
      <c r="D70" s="14"/>
      <c r="E70" s="14"/>
      <c r="F70" s="14"/>
      <c r="G70" s="105"/>
      <c r="H70" s="354"/>
      <c r="I70" s="355"/>
    </row>
    <row r="71" spans="1:9" s="60" customFormat="1" ht="89.25">
      <c r="A71" s="57"/>
      <c r="B71" s="83" t="s">
        <v>720</v>
      </c>
      <c r="C71" s="59"/>
      <c r="D71" s="14"/>
      <c r="E71" s="14"/>
      <c r="F71" s="14"/>
      <c r="G71" s="105"/>
      <c r="H71" s="354"/>
      <c r="I71" s="355"/>
    </row>
    <row r="72" spans="1:9" s="60" customFormat="1">
      <c r="A72" s="57"/>
      <c r="B72" s="78"/>
      <c r="C72" s="59"/>
      <c r="D72" s="14"/>
      <c r="E72" s="14"/>
      <c r="F72" s="14"/>
      <c r="G72" s="105"/>
      <c r="H72" s="354"/>
      <c r="I72" s="355"/>
    </row>
    <row r="73" spans="1:9" s="60" customFormat="1" ht="15.75" thickBot="1">
      <c r="A73" s="57"/>
      <c r="B73" s="54" t="s">
        <v>504</v>
      </c>
      <c r="C73" s="59"/>
      <c r="D73" s="14"/>
      <c r="E73" s="14"/>
      <c r="F73" s="14"/>
      <c r="G73" s="105"/>
      <c r="H73" s="354"/>
      <c r="I73" s="355"/>
    </row>
    <row r="74" spans="1:9" s="60" customFormat="1" ht="102">
      <c r="A74" s="57"/>
      <c r="B74" t="s">
        <v>505</v>
      </c>
      <c r="C74" s="59"/>
      <c r="D74" s="14"/>
      <c r="E74" s="14"/>
      <c r="F74" s="14"/>
      <c r="G74" s="105"/>
      <c r="H74" s="354"/>
      <c r="I74" s="355"/>
    </row>
    <row r="75" spans="1:9" ht="18.75">
      <c r="B75" s="142" t="s">
        <v>164</v>
      </c>
    </row>
    <row r="76" spans="1:9">
      <c r="B76" s="21"/>
    </row>
    <row r="77" spans="1:9" ht="30">
      <c r="A77" s="44">
        <v>4.0999999999999996</v>
      </c>
      <c r="B77" s="46" t="s">
        <v>872</v>
      </c>
      <c r="C77" s="47"/>
      <c r="D77" s="97"/>
      <c r="E77" s="97"/>
      <c r="F77" s="97"/>
      <c r="G77" s="103"/>
      <c r="H77" s="103"/>
      <c r="I77" s="349"/>
    </row>
    <row r="78" spans="1:9">
      <c r="B78" s="21"/>
    </row>
    <row r="79" spans="1:9">
      <c r="B79" s="21" t="s">
        <v>469</v>
      </c>
    </row>
    <row r="80" spans="1:9" ht="38.25">
      <c r="B80" s="21" t="s">
        <v>93</v>
      </c>
    </row>
    <row r="81" spans="1:9">
      <c r="B81" s="21"/>
    </row>
    <row r="82" spans="1:9" ht="45">
      <c r="B82" s="143" t="s">
        <v>956</v>
      </c>
    </row>
    <row r="83" spans="1:9" ht="38.25">
      <c r="B83" s="21" t="s">
        <v>957</v>
      </c>
    </row>
    <row r="84" spans="1:9" ht="306">
      <c r="B84" s="21" t="s">
        <v>958</v>
      </c>
    </row>
    <row r="85" spans="1:9">
      <c r="B85" s="21"/>
    </row>
    <row r="86" spans="1:9">
      <c r="B86" s="21" t="s">
        <v>94</v>
      </c>
    </row>
    <row r="87" spans="1:9">
      <c r="B87" s="10" t="s">
        <v>470</v>
      </c>
      <c r="C87" s="1" t="s">
        <v>51</v>
      </c>
      <c r="F87" s="96">
        <v>829.1</v>
      </c>
      <c r="G87" s="102">
        <v>600</v>
      </c>
      <c r="I87" s="306">
        <f t="shared" ref="I87:I92" si="0">(D87+E87+F87+G87)*H87</f>
        <v>0</v>
      </c>
    </row>
    <row r="88" spans="1:9">
      <c r="B88" s="10" t="s">
        <v>472</v>
      </c>
      <c r="C88" s="1" t="s">
        <v>51</v>
      </c>
      <c r="D88" s="96">
        <v>502.6</v>
      </c>
      <c r="E88" s="96">
        <v>503.1</v>
      </c>
      <c r="F88" s="96">
        <v>454.7</v>
      </c>
      <c r="G88" s="102">
        <v>462.6</v>
      </c>
      <c r="I88" s="306">
        <f t="shared" si="0"/>
        <v>0</v>
      </c>
    </row>
    <row r="89" spans="1:9">
      <c r="B89" s="10" t="s">
        <v>473</v>
      </c>
      <c r="C89" s="1" t="s">
        <v>51</v>
      </c>
      <c r="D89" s="96">
        <v>43</v>
      </c>
      <c r="E89" s="96">
        <v>43</v>
      </c>
      <c r="F89" s="96">
        <v>64.2</v>
      </c>
      <c r="G89" s="102">
        <v>65.3</v>
      </c>
      <c r="I89" s="306">
        <f t="shared" si="0"/>
        <v>0</v>
      </c>
    </row>
    <row r="90" spans="1:9">
      <c r="B90" s="10" t="s">
        <v>474</v>
      </c>
      <c r="C90" s="1" t="s">
        <v>51</v>
      </c>
      <c r="F90" s="96">
        <v>1197</v>
      </c>
      <c r="G90" s="102">
        <v>932.9</v>
      </c>
      <c r="I90" s="306">
        <f t="shared" si="0"/>
        <v>0</v>
      </c>
    </row>
    <row r="91" spans="1:9">
      <c r="B91" s="10" t="s">
        <v>475</v>
      </c>
      <c r="C91" s="1" t="s">
        <v>51</v>
      </c>
      <c r="F91" s="96">
        <v>150</v>
      </c>
      <c r="G91" s="102">
        <v>65.8</v>
      </c>
      <c r="I91" s="306">
        <f t="shared" si="0"/>
        <v>0</v>
      </c>
    </row>
    <row r="92" spans="1:9">
      <c r="B92" s="10" t="s">
        <v>471</v>
      </c>
      <c r="C92" s="1" t="s">
        <v>51</v>
      </c>
      <c r="D92" s="96">
        <v>162.19999999999999</v>
      </c>
      <c r="E92" s="96">
        <v>161.80000000000001</v>
      </c>
      <c r="F92" s="96">
        <v>407.4</v>
      </c>
      <c r="G92" s="102">
        <v>265.39999999999998</v>
      </c>
      <c r="I92" s="306">
        <f t="shared" si="0"/>
        <v>0</v>
      </c>
    </row>
    <row r="93" spans="1:9">
      <c r="B93" s="21"/>
    </row>
    <row r="94" spans="1:9" ht="30">
      <c r="A94" s="89">
        <f>+MAX($A$1:A93)+0.1</f>
        <v>4.1999999999999993</v>
      </c>
      <c r="B94" s="46" t="s">
        <v>95</v>
      </c>
      <c r="C94" s="47"/>
      <c r="D94" s="97"/>
      <c r="E94" s="97"/>
      <c r="F94" s="97"/>
      <c r="G94" s="103"/>
      <c r="H94" s="103"/>
      <c r="I94" s="349"/>
    </row>
    <row r="95" spans="1:9">
      <c r="B95" s="21"/>
    </row>
    <row r="96" spans="1:9">
      <c r="B96" s="21" t="s">
        <v>350</v>
      </c>
    </row>
    <row r="97" spans="1:9" ht="51">
      <c r="B97" s="21" t="s">
        <v>476</v>
      </c>
    </row>
    <row r="98" spans="1:9" ht="38.25">
      <c r="B98" s="21" t="s">
        <v>960</v>
      </c>
    </row>
    <row r="99" spans="1:9" ht="153">
      <c r="A99" s="90"/>
      <c r="B99" s="21" t="s">
        <v>96</v>
      </c>
      <c r="D99" s="16"/>
      <c r="G99" s="15"/>
      <c r="H99" s="92"/>
    </row>
    <row r="100" spans="1:9">
      <c r="A100" s="90"/>
      <c r="B100" s="48" t="s">
        <v>959</v>
      </c>
      <c r="G100" s="15"/>
      <c r="H100" s="92"/>
    </row>
    <row r="101" spans="1:9">
      <c r="A101" s="90"/>
      <c r="B101" s="21" t="s">
        <v>97</v>
      </c>
      <c r="G101" s="15"/>
      <c r="H101" s="92"/>
    </row>
    <row r="102" spans="1:9">
      <c r="B102" s="10" t="s">
        <v>471</v>
      </c>
      <c r="C102" s="1" t="s">
        <v>51</v>
      </c>
      <c r="D102" s="96">
        <v>162.19999999999999</v>
      </c>
      <c r="E102" s="96">
        <v>161.80000000000001</v>
      </c>
      <c r="F102" s="96">
        <v>407.4</v>
      </c>
      <c r="G102" s="102">
        <v>265.39999999999998</v>
      </c>
      <c r="I102" s="306">
        <f>(D102+E102+F102+G102)*H102</f>
        <v>0</v>
      </c>
    </row>
    <row r="103" spans="1:9">
      <c r="A103" s="90"/>
      <c r="B103" s="21"/>
      <c r="G103" s="15"/>
      <c r="H103" s="92"/>
    </row>
    <row r="104" spans="1:9" ht="15">
      <c r="A104" s="89">
        <f>+MAX($A$1:A103)+0.1</f>
        <v>4.2999999999999989</v>
      </c>
      <c r="B104" s="46" t="s">
        <v>98</v>
      </c>
      <c r="C104" s="47"/>
      <c r="D104" s="97"/>
      <c r="E104" s="97"/>
      <c r="F104" s="97"/>
      <c r="G104" s="103"/>
      <c r="H104" s="103"/>
      <c r="I104" s="349"/>
    </row>
    <row r="105" spans="1:9">
      <c r="A105" s="90"/>
      <c r="B105" s="21"/>
      <c r="G105" s="15"/>
      <c r="H105" s="92"/>
    </row>
    <row r="106" spans="1:9">
      <c r="B106" s="21" t="s">
        <v>350</v>
      </c>
    </row>
    <row r="107" spans="1:9" ht="178.5">
      <c r="B107" s="21" t="s">
        <v>801</v>
      </c>
    </row>
    <row r="108" spans="1:9">
      <c r="A108" s="90"/>
      <c r="B108" s="21" t="s">
        <v>99</v>
      </c>
      <c r="G108" s="15"/>
      <c r="H108" s="92"/>
    </row>
    <row r="109" spans="1:9">
      <c r="B109" s="10" t="s">
        <v>471</v>
      </c>
      <c r="C109" s="1" t="s">
        <v>51</v>
      </c>
      <c r="D109" s="96">
        <v>162.19999999999999</v>
      </c>
      <c r="E109" s="96">
        <v>161.80000000000001</v>
      </c>
      <c r="F109" s="96">
        <v>407.4</v>
      </c>
      <c r="G109" s="102">
        <v>265.39999999999998</v>
      </c>
      <c r="I109" s="306">
        <f>(D109+E109+F109+G109)*H109</f>
        <v>0</v>
      </c>
    </row>
    <row r="110" spans="1:9">
      <c r="A110" s="90"/>
      <c r="B110" s="21"/>
      <c r="G110" s="15"/>
      <c r="H110" s="92"/>
    </row>
    <row r="111" spans="1:9" ht="37.5">
      <c r="B111" s="142" t="s">
        <v>753</v>
      </c>
    </row>
    <row r="112" spans="1:9">
      <c r="A112" s="90"/>
      <c r="B112" s="21"/>
      <c r="G112" s="15"/>
      <c r="H112" s="92"/>
    </row>
    <row r="113" spans="1:9" ht="15">
      <c r="A113" s="89">
        <f>+MAX($A$1:A112)+0.1</f>
        <v>4.3999999999999986</v>
      </c>
      <c r="B113" s="8" t="s">
        <v>479</v>
      </c>
      <c r="C113" s="47"/>
      <c r="D113" s="97"/>
      <c r="E113" s="97"/>
      <c r="F113" s="97"/>
      <c r="G113" s="103"/>
      <c r="H113" s="103"/>
      <c r="I113" s="349"/>
    </row>
    <row r="114" spans="1:9">
      <c r="A114" s="90"/>
      <c r="B114" s="21"/>
      <c r="G114" s="15"/>
      <c r="H114" s="92"/>
    </row>
    <row r="115" spans="1:9" ht="38.25">
      <c r="A115" s="90"/>
      <c r="B115" s="21" t="s">
        <v>334</v>
      </c>
      <c r="G115" s="15"/>
      <c r="H115" s="92"/>
    </row>
    <row r="116" spans="1:9">
      <c r="A116" s="90" t="s">
        <v>39</v>
      </c>
      <c r="B116" s="21" t="s">
        <v>481</v>
      </c>
      <c r="G116" s="15"/>
      <c r="H116" s="92"/>
    </row>
    <row r="117" spans="1:9">
      <c r="A117" s="90"/>
      <c r="B117" s="117" t="s">
        <v>482</v>
      </c>
      <c r="C117" s="1" t="s">
        <v>51</v>
      </c>
      <c r="D117" s="96">
        <v>133.1</v>
      </c>
      <c r="E117" s="96">
        <v>140.80000000000001</v>
      </c>
      <c r="F117" s="96">
        <v>221.8</v>
      </c>
      <c r="G117" s="15">
        <v>195.6</v>
      </c>
      <c r="H117" s="92"/>
      <c r="I117" s="306">
        <f t="shared" ref="I117:I118" si="1">(D117+E117+F117+G117)*H117</f>
        <v>0</v>
      </c>
    </row>
    <row r="118" spans="1:9">
      <c r="A118" s="90"/>
      <c r="B118" s="117" t="s">
        <v>100</v>
      </c>
      <c r="C118" s="1" t="s">
        <v>51</v>
      </c>
      <c r="D118" s="96">
        <f>D120*2.7</f>
        <v>635.17500000000007</v>
      </c>
      <c r="E118" s="96">
        <f>E120*2.7</f>
        <v>703.62000000000012</v>
      </c>
      <c r="F118" s="96">
        <f>F120*2.7</f>
        <v>1043.5500000000002</v>
      </c>
      <c r="G118" s="9">
        <f>G120*2.7</f>
        <v>919.62000000000012</v>
      </c>
      <c r="H118" s="92"/>
      <c r="I118" s="306">
        <f t="shared" si="1"/>
        <v>0</v>
      </c>
    </row>
    <row r="119" spans="1:9">
      <c r="A119" s="90" t="s">
        <v>41</v>
      </c>
      <c r="B119" s="21" t="s">
        <v>480</v>
      </c>
      <c r="G119" s="15"/>
      <c r="H119" s="92"/>
    </row>
    <row r="120" spans="1:9">
      <c r="A120" s="90"/>
      <c r="B120" s="21" t="s">
        <v>130</v>
      </c>
      <c r="C120" s="1" t="s">
        <v>129</v>
      </c>
      <c r="D120" s="96">
        <v>235.25</v>
      </c>
      <c r="E120" s="96">
        <v>260.60000000000002</v>
      </c>
      <c r="F120" s="96">
        <v>386.5</v>
      </c>
      <c r="G120" s="15">
        <v>340.6</v>
      </c>
      <c r="H120" s="92"/>
      <c r="I120" s="306">
        <f>(D120+E120+F120+G120)*H120</f>
        <v>0</v>
      </c>
    </row>
    <row r="121" spans="1:9">
      <c r="A121" s="90"/>
      <c r="B121" s="21"/>
      <c r="G121" s="15"/>
      <c r="H121" s="92"/>
    </row>
    <row r="122" spans="1:9" ht="15">
      <c r="A122" s="89">
        <f>+MAX($A$1:A121)+0.1</f>
        <v>4.4999999999999982</v>
      </c>
      <c r="B122" s="76" t="s">
        <v>163</v>
      </c>
      <c r="C122" s="76"/>
      <c r="D122" s="13"/>
      <c r="E122" s="13"/>
      <c r="F122" s="13"/>
      <c r="G122" s="11"/>
      <c r="H122" s="13"/>
      <c r="I122" s="321"/>
    </row>
    <row r="123" spans="1:9">
      <c r="A123" s="90"/>
      <c r="B123" s="21" t="s">
        <v>94</v>
      </c>
      <c r="G123" s="15"/>
      <c r="H123" s="92"/>
    </row>
    <row r="124" spans="1:9">
      <c r="A124" s="90"/>
      <c r="B124" s="21"/>
      <c r="G124" s="15"/>
      <c r="H124" s="92"/>
    </row>
    <row r="125" spans="1:9" ht="15.75" thickBot="1">
      <c r="A125" s="90"/>
      <c r="B125" s="54" t="s">
        <v>337</v>
      </c>
      <c r="G125" s="15"/>
      <c r="H125" s="92"/>
    </row>
    <row r="126" spans="1:9" ht="27.75">
      <c r="A126" s="90"/>
      <c r="B126" s="5" t="s">
        <v>802</v>
      </c>
      <c r="G126" s="15"/>
      <c r="H126" s="92"/>
    </row>
    <row r="127" spans="1:9" ht="63.75">
      <c r="B127" s="21" t="s">
        <v>498</v>
      </c>
      <c r="G127" s="15"/>
      <c r="H127" s="92"/>
    </row>
    <row r="128" spans="1:9">
      <c r="B128" t="s">
        <v>97</v>
      </c>
      <c r="C128" s="1" t="s">
        <v>51</v>
      </c>
      <c r="D128" s="96">
        <v>350.8</v>
      </c>
      <c r="E128" s="96">
        <v>343</v>
      </c>
      <c r="F128" s="96">
        <v>611.45000000000005</v>
      </c>
      <c r="G128" s="15">
        <v>516.70000000000005</v>
      </c>
      <c r="H128" s="92"/>
      <c r="I128" s="306">
        <f>(D128+E128+F128+G128)*H128</f>
        <v>0</v>
      </c>
    </row>
    <row r="129" spans="1:9">
      <c r="B129"/>
      <c r="G129" s="15"/>
      <c r="H129" s="92"/>
    </row>
    <row r="130" spans="1:9">
      <c r="A130" s="90"/>
      <c r="B130" s="21"/>
      <c r="G130" s="15"/>
      <c r="H130" s="92"/>
    </row>
    <row r="131" spans="1:9" ht="27" customHeight="1">
      <c r="B131" s="142" t="s">
        <v>739</v>
      </c>
    </row>
    <row r="132" spans="1:9">
      <c r="A132" s="90"/>
      <c r="B132" s="21"/>
      <c r="G132" s="15"/>
      <c r="H132" s="92"/>
    </row>
    <row r="133" spans="1:9" ht="15">
      <c r="A133" s="89">
        <f>+MAX($A$1:A130)+0.1</f>
        <v>4.5999999999999979</v>
      </c>
      <c r="B133" s="76" t="s">
        <v>501</v>
      </c>
      <c r="C133" s="76"/>
      <c r="D133" s="13"/>
      <c r="E133" s="13"/>
      <c r="F133" s="13"/>
      <c r="G133" s="11"/>
      <c r="H133" s="13"/>
      <c r="I133" s="356"/>
    </row>
    <row r="134" spans="1:9">
      <c r="A134" s="90"/>
      <c r="B134" s="21"/>
      <c r="G134" s="15"/>
      <c r="H134" s="92"/>
    </row>
    <row r="135" spans="1:9" ht="38.25">
      <c r="A135" s="90"/>
      <c r="B135" s="21" t="s">
        <v>483</v>
      </c>
      <c r="C135" s="1" t="s">
        <v>51</v>
      </c>
      <c r="D135" s="96">
        <v>45.6</v>
      </c>
      <c r="E135" s="96">
        <v>51.3</v>
      </c>
      <c r="F135" s="96">
        <v>74.099999999999994</v>
      </c>
      <c r="G135" s="15">
        <v>57</v>
      </c>
      <c r="H135" s="92"/>
      <c r="I135" s="306">
        <f>(D135+E135+F135+G135)*H135</f>
        <v>0</v>
      </c>
    </row>
    <row r="136" spans="1:9">
      <c r="A136" s="90"/>
      <c r="B136" s="21"/>
      <c r="G136" s="15"/>
      <c r="H136" s="92"/>
    </row>
    <row r="137" spans="1:9" ht="30">
      <c r="A137" s="89">
        <f>+MAX($A$1:A136)+0.1</f>
        <v>4.6999999999999975</v>
      </c>
      <c r="B137" s="76" t="s">
        <v>502</v>
      </c>
      <c r="C137" s="76"/>
      <c r="D137" s="13"/>
      <c r="E137" s="13"/>
      <c r="F137" s="13"/>
      <c r="G137" s="11"/>
      <c r="H137" s="13"/>
      <c r="I137" s="356"/>
    </row>
    <row r="138" spans="1:9">
      <c r="A138" s="90"/>
      <c r="B138" s="21"/>
      <c r="G138" s="15"/>
      <c r="H138" s="92"/>
    </row>
    <row r="139" spans="1:9" ht="30.75" thickBot="1">
      <c r="A139" s="90"/>
      <c r="B139" s="54" t="s">
        <v>803</v>
      </c>
      <c r="G139" s="15"/>
      <c r="H139" s="92"/>
    </row>
    <row r="140" spans="1:9" ht="25.5">
      <c r="A140" s="90"/>
      <c r="B140" t="s">
        <v>503</v>
      </c>
      <c r="G140" s="15"/>
      <c r="H140" s="92"/>
    </row>
    <row r="141" spans="1:9">
      <c r="A141" s="90"/>
      <c r="B141" t="s">
        <v>97</v>
      </c>
      <c r="C141" s="1" t="s">
        <v>51</v>
      </c>
      <c r="E141" s="96">
        <v>102</v>
      </c>
      <c r="G141" s="15"/>
      <c r="H141" s="92"/>
      <c r="I141" s="306">
        <f>(D141+E141+F141+G141)*H141</f>
        <v>0</v>
      </c>
    </row>
    <row r="142" spans="1:9">
      <c r="A142" s="90"/>
      <c r="B142" s="21"/>
      <c r="G142" s="15"/>
      <c r="H142" s="92"/>
    </row>
    <row r="143" spans="1:9" ht="15">
      <c r="A143" s="89">
        <f>+MAX($A$1:A142)+0.1</f>
        <v>4.7999999999999972</v>
      </c>
      <c r="B143" s="76" t="s">
        <v>748</v>
      </c>
      <c r="C143" s="76"/>
      <c r="D143" s="13"/>
      <c r="E143" s="13"/>
      <c r="F143" s="13"/>
      <c r="G143" s="11"/>
      <c r="H143" s="13"/>
      <c r="I143" s="356"/>
    </row>
    <row r="144" spans="1:9">
      <c r="A144" s="90"/>
      <c r="B144" s="21"/>
      <c r="G144" s="15"/>
      <c r="H144" s="92"/>
    </row>
    <row r="145" spans="1:9" ht="15.75" thickBot="1">
      <c r="A145" s="90"/>
      <c r="B145" s="54" t="s">
        <v>804</v>
      </c>
      <c r="G145" s="15"/>
      <c r="H145" s="92"/>
    </row>
    <row r="146" spans="1:9" ht="25.5">
      <c r="A146" s="90"/>
      <c r="B146" s="93" t="s">
        <v>749</v>
      </c>
      <c r="G146" s="15"/>
      <c r="H146" s="92"/>
    </row>
    <row r="147" spans="1:9" ht="25.5">
      <c r="A147" s="90" t="s">
        <v>39</v>
      </c>
      <c r="B147" t="s">
        <v>751</v>
      </c>
      <c r="G147" s="15"/>
      <c r="H147" s="92"/>
    </row>
    <row r="148" spans="1:9">
      <c r="A148" s="90" t="s">
        <v>41</v>
      </c>
      <c r="B148" t="s">
        <v>750</v>
      </c>
      <c r="G148" s="15"/>
      <c r="H148" s="92"/>
    </row>
    <row r="149" spans="1:9" ht="25.5">
      <c r="A149" s="90" t="s">
        <v>42</v>
      </c>
      <c r="B149" t="s">
        <v>752</v>
      </c>
      <c r="G149" s="15"/>
      <c r="H149" s="92"/>
    </row>
    <row r="150" spans="1:9">
      <c r="A150" s="90"/>
      <c r="B150" t="s">
        <v>97</v>
      </c>
      <c r="C150" s="1" t="s">
        <v>51</v>
      </c>
      <c r="D150" s="96">
        <v>326</v>
      </c>
      <c r="E150" s="96">
        <v>375</v>
      </c>
      <c r="F150" s="96">
        <v>557.1</v>
      </c>
      <c r="G150" s="15">
        <v>479.5</v>
      </c>
      <c r="H150" s="92"/>
      <c r="I150" s="306">
        <f>(D150+E150+F150+G150)*H150</f>
        <v>0</v>
      </c>
    </row>
    <row r="151" spans="1:9">
      <c r="A151" s="90"/>
      <c r="B151" s="21"/>
      <c r="G151" s="15"/>
      <c r="H151" s="92"/>
    </row>
    <row r="152" spans="1:9" ht="15">
      <c r="A152" s="89">
        <f>+MAX($A$1:A151)+0.1</f>
        <v>4.8999999999999968</v>
      </c>
      <c r="B152" s="76" t="s">
        <v>740</v>
      </c>
      <c r="C152" s="76"/>
      <c r="D152" s="13"/>
      <c r="E152" s="13"/>
      <c r="F152" s="13"/>
      <c r="G152" s="11"/>
      <c r="H152" s="13"/>
      <c r="I152" s="356"/>
    </row>
    <row r="153" spans="1:9">
      <c r="A153" s="90"/>
      <c r="B153" s="21"/>
      <c r="G153" s="15"/>
      <c r="H153" s="92"/>
    </row>
    <row r="154" spans="1:9" ht="15.75" thickBot="1">
      <c r="A154" s="119" t="s">
        <v>9</v>
      </c>
      <c r="B154" s="54" t="s">
        <v>805</v>
      </c>
      <c r="G154" s="15"/>
      <c r="H154" s="92"/>
    </row>
    <row r="155" spans="1:9">
      <c r="A155" s="90"/>
      <c r="B155" s="21"/>
      <c r="G155" s="15"/>
      <c r="H155" s="92"/>
    </row>
    <row r="156" spans="1:9">
      <c r="A156" s="90" t="s">
        <v>39</v>
      </c>
      <c r="B156" s="77" t="s">
        <v>738</v>
      </c>
      <c r="G156" s="15"/>
      <c r="H156" s="92"/>
    </row>
    <row r="157" spans="1:9" ht="25.5">
      <c r="A157" s="90"/>
      <c r="B157" t="s">
        <v>741</v>
      </c>
      <c r="G157" s="15"/>
      <c r="H157" s="92"/>
    </row>
    <row r="158" spans="1:9">
      <c r="A158" s="90"/>
      <c r="B158" s="21"/>
      <c r="G158" s="15"/>
      <c r="H158" s="92"/>
    </row>
    <row r="159" spans="1:9">
      <c r="A159" s="90" t="s">
        <v>41</v>
      </c>
      <c r="B159" s="77" t="s">
        <v>349</v>
      </c>
      <c r="G159" s="15"/>
      <c r="H159" s="92"/>
    </row>
    <row r="160" spans="1:9">
      <c r="A160" s="90"/>
      <c r="B160" t="s">
        <v>742</v>
      </c>
      <c r="G160" s="15"/>
      <c r="H160" s="92"/>
    </row>
    <row r="161" spans="1:8">
      <c r="A161" s="90"/>
      <c r="B161" s="21"/>
      <c r="G161" s="15"/>
      <c r="H161" s="92"/>
    </row>
    <row r="162" spans="1:8">
      <c r="A162" s="90" t="s">
        <v>42</v>
      </c>
      <c r="B162" s="77" t="s">
        <v>103</v>
      </c>
      <c r="G162" s="15"/>
      <c r="H162" s="92"/>
    </row>
    <row r="163" spans="1:8" ht="76.5">
      <c r="A163" s="90"/>
      <c r="B163" s="61" t="s">
        <v>104</v>
      </c>
      <c r="G163" s="15"/>
      <c r="H163" s="92"/>
    </row>
    <row r="164" spans="1:8" ht="102">
      <c r="A164" s="90"/>
      <c r="B164" s="21" t="s">
        <v>747</v>
      </c>
      <c r="E164" s="16"/>
      <c r="G164" s="15"/>
      <c r="H164" s="92"/>
    </row>
    <row r="165" spans="1:8" ht="140.25">
      <c r="A165" s="90"/>
      <c r="B165" s="21" t="s">
        <v>745</v>
      </c>
      <c r="E165" s="16"/>
      <c r="G165" s="15"/>
      <c r="H165" s="92"/>
    </row>
    <row r="166" spans="1:8">
      <c r="A166" s="90"/>
      <c r="B166" s="21" t="s">
        <v>746</v>
      </c>
      <c r="G166" s="15"/>
      <c r="H166" s="92"/>
    </row>
    <row r="167" spans="1:8">
      <c r="A167" s="90"/>
      <c r="B167" s="21"/>
      <c r="G167" s="15"/>
      <c r="H167" s="92"/>
    </row>
    <row r="168" spans="1:8">
      <c r="A168" s="90" t="s">
        <v>102</v>
      </c>
      <c r="B168" s="48" t="s">
        <v>63</v>
      </c>
      <c r="G168" s="15"/>
      <c r="H168" s="92"/>
    </row>
    <row r="169" spans="1:8" ht="25.5">
      <c r="A169" s="90"/>
      <c r="B169" t="s">
        <v>499</v>
      </c>
      <c r="G169" s="15"/>
      <c r="H169" s="92"/>
    </row>
    <row r="170" spans="1:8">
      <c r="A170" s="90"/>
      <c r="B170"/>
      <c r="G170" s="15"/>
      <c r="H170" s="92"/>
    </row>
    <row r="171" spans="1:8">
      <c r="A171" s="90" t="s">
        <v>118</v>
      </c>
      <c r="B171" s="77" t="s">
        <v>89</v>
      </c>
      <c r="G171" s="15"/>
      <c r="H171" s="92"/>
    </row>
    <row r="172" spans="1:8">
      <c r="A172" s="90"/>
      <c r="B172" t="s">
        <v>743</v>
      </c>
      <c r="G172" s="15"/>
      <c r="H172" s="92"/>
    </row>
    <row r="173" spans="1:8">
      <c r="A173" s="90"/>
      <c r="B173"/>
      <c r="G173" s="15"/>
      <c r="H173" s="92"/>
    </row>
    <row r="174" spans="1:8">
      <c r="A174" s="90" t="s">
        <v>119</v>
      </c>
      <c r="B174" s="77" t="s">
        <v>349</v>
      </c>
      <c r="G174" s="15"/>
      <c r="H174" s="92"/>
    </row>
    <row r="175" spans="1:8">
      <c r="A175" s="90"/>
      <c r="B175" t="s">
        <v>744</v>
      </c>
      <c r="G175" s="15"/>
      <c r="H175" s="92"/>
    </row>
    <row r="176" spans="1:8">
      <c r="A176" s="90"/>
      <c r="B176" s="21"/>
      <c r="G176" s="15"/>
      <c r="H176" s="92"/>
    </row>
    <row r="177" spans="1:9">
      <c r="A177" s="90"/>
      <c r="B177" t="s">
        <v>97</v>
      </c>
      <c r="C177" s="1" t="s">
        <v>51</v>
      </c>
      <c r="D177" s="96">
        <v>4150</v>
      </c>
      <c r="E177" s="96">
        <v>515</v>
      </c>
      <c r="F177" s="96">
        <v>650</v>
      </c>
      <c r="G177" s="15">
        <v>620</v>
      </c>
      <c r="H177" s="92"/>
      <c r="I177" s="306">
        <f>(D177+E177+F177+G177)*H177</f>
        <v>0</v>
      </c>
    </row>
    <row r="178" spans="1:9">
      <c r="A178" s="90"/>
      <c r="B178"/>
      <c r="G178" s="15"/>
      <c r="H178" s="92"/>
    </row>
    <row r="179" spans="1:9" ht="15.75" thickBot="1">
      <c r="A179" s="54" t="s">
        <v>811</v>
      </c>
      <c r="B179" s="54" t="s">
        <v>812</v>
      </c>
      <c r="G179" s="15"/>
      <c r="H179" s="92"/>
    </row>
    <row r="180" spans="1:9">
      <c r="A180" s="90"/>
      <c r="B180" s="21" t="s">
        <v>813</v>
      </c>
      <c r="G180" s="15"/>
      <c r="H180" s="92"/>
    </row>
    <row r="181" spans="1:9">
      <c r="A181" s="90"/>
      <c r="B181" s="21" t="s">
        <v>128</v>
      </c>
      <c r="C181" s="1" t="s">
        <v>129</v>
      </c>
      <c r="D181" s="96">
        <v>210</v>
      </c>
      <c r="E181" s="96">
        <v>250</v>
      </c>
      <c r="F181" s="96">
        <v>350</v>
      </c>
      <c r="G181" s="15">
        <v>310</v>
      </c>
      <c r="H181" s="92"/>
      <c r="I181" s="306">
        <f>(D181+E181+F181+G181)*H181</f>
        <v>0</v>
      </c>
    </row>
    <row r="182" spans="1:9" ht="13.5" thickBot="1">
      <c r="A182" s="90"/>
      <c r="B182" s="21"/>
      <c r="G182" s="15"/>
      <c r="H182" s="92"/>
    </row>
    <row r="183" spans="1:9" ht="21.75" thickBot="1">
      <c r="A183" s="609" t="s">
        <v>20</v>
      </c>
      <c r="B183" s="51" t="s">
        <v>106</v>
      </c>
      <c r="C183" s="52"/>
      <c r="D183" s="17"/>
      <c r="E183" s="17"/>
      <c r="F183" s="17"/>
      <c r="G183" s="104"/>
      <c r="H183" s="348"/>
      <c r="I183" s="322">
        <f>SUM(I4:I181)</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headerFooter>
  <rowBreaks count="4" manualBreakCount="4">
    <brk id="74" max="16383" man="1"/>
    <brk id="93" max="16383" man="1"/>
    <brk id="110" max="16383" man="1"/>
    <brk id="151"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79"/>
  <sheetViews>
    <sheetView tabSelected="1" view="pageBreakPreview" zoomScale="120" zoomScaleNormal="100" zoomScaleSheetLayoutView="120" workbookViewId="0">
      <selection activeCell="A5" sqref="A5"/>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6.285156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21</v>
      </c>
      <c r="B3" s="36" t="s">
        <v>166</v>
      </c>
      <c r="C3" s="37"/>
      <c r="D3" s="18"/>
      <c r="E3" s="18"/>
      <c r="F3" s="18"/>
      <c r="G3" s="101"/>
      <c r="H3" s="101"/>
      <c r="I3" s="320"/>
    </row>
    <row r="4" spans="1:9">
      <c r="A4" s="679"/>
      <c r="B4" s="680"/>
      <c r="G4" s="15"/>
      <c r="H4" s="92"/>
    </row>
    <row r="5" spans="1:9" ht="102">
      <c r="A5" s="90"/>
      <c r="B5" t="s">
        <v>770</v>
      </c>
      <c r="G5" s="15"/>
      <c r="H5" s="92"/>
    </row>
    <row r="6" spans="1:9" ht="140.25">
      <c r="A6" s="90"/>
      <c r="B6" t="s">
        <v>774</v>
      </c>
      <c r="G6" s="15"/>
      <c r="H6" s="92"/>
    </row>
    <row r="7" spans="1:9" ht="114.75">
      <c r="A7" s="90"/>
      <c r="B7" t="s">
        <v>346</v>
      </c>
      <c r="G7" s="15"/>
      <c r="H7" s="92"/>
    </row>
    <row r="8" spans="1:9">
      <c r="A8" s="90"/>
      <c r="B8"/>
      <c r="G8" s="15"/>
      <c r="H8" s="92"/>
    </row>
    <row r="9" spans="1:9" ht="25.5">
      <c r="A9" s="90"/>
      <c r="B9" s="77" t="s">
        <v>167</v>
      </c>
      <c r="G9" s="15"/>
      <c r="H9" s="92"/>
    </row>
    <row r="10" spans="1:9" ht="102">
      <c r="A10" s="90"/>
      <c r="B10" t="s">
        <v>509</v>
      </c>
      <c r="G10" s="15"/>
      <c r="H10" s="92"/>
    </row>
    <row r="11" spans="1:9">
      <c r="A11" s="90"/>
      <c r="B11" s="77" t="s">
        <v>168</v>
      </c>
      <c r="G11" s="15"/>
      <c r="H11" s="92"/>
    </row>
    <row r="12" spans="1:9" ht="89.25">
      <c r="A12" s="90"/>
      <c r="B12" t="s">
        <v>512</v>
      </c>
      <c r="G12" s="15"/>
      <c r="H12" s="92"/>
    </row>
    <row r="13" spans="1:9">
      <c r="A13" s="90"/>
      <c r="B13"/>
      <c r="G13" s="15"/>
      <c r="H13" s="92"/>
    </row>
    <row r="14" spans="1:9" ht="15.75" thickBot="1">
      <c r="A14" s="90"/>
      <c r="B14" s="54" t="s">
        <v>169</v>
      </c>
      <c r="G14" s="15"/>
      <c r="H14" s="92"/>
    </row>
    <row r="15" spans="1:9" ht="38.25">
      <c r="A15" s="90"/>
      <c r="B15" t="s">
        <v>771</v>
      </c>
      <c r="G15" s="15"/>
      <c r="H15" s="92"/>
    </row>
    <row r="16" spans="1:9" ht="25.5">
      <c r="A16" s="90"/>
      <c r="B16" s="83" t="s">
        <v>772</v>
      </c>
      <c r="G16" s="15"/>
      <c r="H16" s="92"/>
    </row>
    <row r="17" spans="1:9" ht="127.5">
      <c r="A17" s="90"/>
      <c r="B17" t="s">
        <v>510</v>
      </c>
      <c r="G17" s="15"/>
      <c r="H17" s="92"/>
    </row>
    <row r="18" spans="1:9" ht="25.5">
      <c r="A18" s="90"/>
      <c r="B18" t="s">
        <v>773</v>
      </c>
      <c r="G18" s="15"/>
      <c r="H18" s="92"/>
    </row>
    <row r="19" spans="1:9">
      <c r="A19" s="90"/>
      <c r="B19"/>
      <c r="G19" s="15"/>
      <c r="H19" s="92"/>
    </row>
    <row r="20" spans="1:9" ht="15.75" thickBot="1">
      <c r="A20" s="90"/>
      <c r="B20" s="54" t="s">
        <v>961</v>
      </c>
      <c r="G20" s="15"/>
      <c r="H20" s="92"/>
    </row>
    <row r="21" spans="1:9" ht="38.25">
      <c r="A21" s="90"/>
      <c r="B21" t="s">
        <v>962</v>
      </c>
      <c r="G21" s="15"/>
      <c r="H21" s="92"/>
    </row>
    <row r="22" spans="1:9" ht="25.5">
      <c r="A22" s="90"/>
      <c r="B22" t="s">
        <v>170</v>
      </c>
      <c r="G22" s="15"/>
      <c r="H22" s="92"/>
    </row>
    <row r="23" spans="1:9">
      <c r="A23" s="90"/>
      <c r="B23"/>
      <c r="G23" s="15"/>
      <c r="H23" s="92"/>
    </row>
    <row r="24" spans="1:9" ht="76.5">
      <c r="A24" s="90"/>
      <c r="B24" s="83" t="s">
        <v>853</v>
      </c>
      <c r="G24" s="15"/>
      <c r="H24" s="92"/>
    </row>
    <row r="25" spans="1:9" ht="38.25">
      <c r="A25" s="90"/>
      <c r="B25" t="s">
        <v>177</v>
      </c>
      <c r="G25" s="15"/>
      <c r="H25" s="92"/>
    </row>
    <row r="26" spans="1:9" ht="38.25">
      <c r="A26" s="90"/>
      <c r="B26" s="84" t="s">
        <v>511</v>
      </c>
      <c r="G26" s="15"/>
      <c r="H26" s="92"/>
    </row>
    <row r="27" spans="1:9">
      <c r="A27" s="90"/>
      <c r="B27"/>
      <c r="G27" s="15"/>
      <c r="H27" s="92"/>
    </row>
    <row r="28" spans="1:9" ht="15">
      <c r="A28" s="677">
        <v>5.0999999999999996</v>
      </c>
      <c r="B28" s="678" t="s">
        <v>171</v>
      </c>
      <c r="C28" s="76"/>
      <c r="D28" s="13"/>
      <c r="E28" s="13"/>
      <c r="F28" s="13"/>
      <c r="G28" s="11"/>
      <c r="H28" s="13"/>
      <c r="I28" s="321"/>
    </row>
    <row r="29" spans="1:9">
      <c r="A29" s="679"/>
      <c r="B29" s="680"/>
      <c r="G29" s="15"/>
      <c r="H29" s="92"/>
    </row>
    <row r="30" spans="1:9">
      <c r="A30" s="90"/>
      <c r="B30" t="s">
        <v>172</v>
      </c>
      <c r="G30" s="15"/>
      <c r="H30" s="92"/>
    </row>
    <row r="31" spans="1:9" ht="51">
      <c r="A31" s="90"/>
      <c r="B31" t="s">
        <v>178</v>
      </c>
      <c r="G31" s="15"/>
      <c r="H31" s="92"/>
    </row>
    <row r="32" spans="1:9">
      <c r="A32" s="90"/>
      <c r="B32"/>
      <c r="G32" s="15"/>
      <c r="H32" s="92"/>
    </row>
    <row r="33" spans="1:8" ht="15.75" thickBot="1">
      <c r="A33" s="90"/>
      <c r="B33" s="54" t="s">
        <v>82</v>
      </c>
      <c r="G33" s="15"/>
      <c r="H33" s="92"/>
    </row>
    <row r="34" spans="1:8" ht="38.25">
      <c r="A34" s="90"/>
      <c r="B34" t="s">
        <v>775</v>
      </c>
      <c r="G34" s="15"/>
      <c r="H34" s="92"/>
    </row>
    <row r="35" spans="1:8">
      <c r="A35" s="90"/>
      <c r="B35"/>
      <c r="G35" s="15"/>
      <c r="H35" s="92"/>
    </row>
    <row r="36" spans="1:8" ht="15.75" thickBot="1">
      <c r="A36" s="90"/>
      <c r="B36" s="54" t="s">
        <v>204</v>
      </c>
      <c r="G36" s="15"/>
      <c r="H36" s="92"/>
    </row>
    <row r="37" spans="1:8" ht="76.5">
      <c r="A37" s="90"/>
      <c r="B37" t="s">
        <v>854</v>
      </c>
      <c r="G37" s="15"/>
      <c r="H37" s="92"/>
    </row>
    <row r="38" spans="1:8" ht="63.75">
      <c r="A38" s="90"/>
      <c r="B38" t="s">
        <v>855</v>
      </c>
      <c r="G38" s="15"/>
      <c r="H38" s="92"/>
    </row>
    <row r="39" spans="1:8">
      <c r="A39" s="90"/>
      <c r="B39"/>
      <c r="G39" s="15"/>
      <c r="H39" s="92"/>
    </row>
    <row r="40" spans="1:8" ht="15.75" thickBot="1">
      <c r="A40" s="90"/>
      <c r="B40" s="54" t="s">
        <v>63</v>
      </c>
      <c r="G40" s="15"/>
      <c r="H40" s="92"/>
    </row>
    <row r="41" spans="1:8" ht="25.5">
      <c r="A41" s="90"/>
      <c r="B41" t="s">
        <v>173</v>
      </c>
      <c r="G41" s="15"/>
      <c r="H41" s="92"/>
    </row>
    <row r="42" spans="1:8" ht="63.75">
      <c r="A42" s="90"/>
      <c r="B42" t="s">
        <v>174</v>
      </c>
      <c r="G42" s="15"/>
      <c r="H42" s="92"/>
    </row>
    <row r="43" spans="1:8">
      <c r="A43" s="90"/>
      <c r="B43" t="s">
        <v>507</v>
      </c>
      <c r="G43" s="15"/>
      <c r="H43" s="92"/>
    </row>
    <row r="44" spans="1:8" ht="25.5">
      <c r="A44" s="90"/>
      <c r="B44" t="s">
        <v>506</v>
      </c>
      <c r="G44" s="15"/>
      <c r="H44" s="92"/>
    </row>
    <row r="45" spans="1:8">
      <c r="A45" s="90"/>
      <c r="B45" t="s">
        <v>516</v>
      </c>
      <c r="G45" s="15"/>
      <c r="H45" s="92"/>
    </row>
    <row r="46" spans="1:8">
      <c r="A46" s="90"/>
      <c r="B46"/>
      <c r="G46" s="15"/>
      <c r="H46" s="92"/>
    </row>
    <row r="47" spans="1:8" ht="15.75" thickBot="1">
      <c r="A47" s="90"/>
      <c r="B47" s="54" t="s">
        <v>180</v>
      </c>
      <c r="G47" s="15"/>
      <c r="H47" s="92"/>
    </row>
    <row r="48" spans="1:8" ht="114.75">
      <c r="A48" s="90"/>
      <c r="B48" t="s">
        <v>175</v>
      </c>
      <c r="G48" s="15"/>
      <c r="H48" s="92"/>
    </row>
    <row r="49" spans="1:9" ht="76.5">
      <c r="A49" s="90"/>
      <c r="B49" t="s">
        <v>508</v>
      </c>
      <c r="G49" s="15"/>
      <c r="H49" s="92"/>
    </row>
    <row r="50" spans="1:9" ht="102">
      <c r="A50" s="90"/>
      <c r="B50" t="s">
        <v>176</v>
      </c>
      <c r="G50" s="15"/>
      <c r="H50" s="92"/>
    </row>
    <row r="51" spans="1:9" ht="102">
      <c r="A51" s="90"/>
      <c r="B51" t="s">
        <v>179</v>
      </c>
      <c r="G51" s="15"/>
      <c r="H51" s="92"/>
    </row>
    <row r="52" spans="1:9">
      <c r="A52" s="90"/>
      <c r="B52"/>
      <c r="G52" s="15"/>
      <c r="H52" s="92"/>
    </row>
    <row r="53" spans="1:9" ht="63.75">
      <c r="A53" s="90"/>
      <c r="B53" s="84" t="s">
        <v>776</v>
      </c>
      <c r="G53" s="15"/>
      <c r="H53" s="92"/>
    </row>
    <row r="54" spans="1:9">
      <c r="A54" s="90"/>
      <c r="B54" s="21"/>
      <c r="G54" s="15"/>
      <c r="H54" s="92"/>
    </row>
    <row r="55" spans="1:9" ht="15.75" thickBot="1">
      <c r="A55" s="676" t="s">
        <v>39</v>
      </c>
      <c r="B55" s="676" t="s">
        <v>815</v>
      </c>
      <c r="G55" s="15"/>
      <c r="H55" s="92"/>
    </row>
    <row r="56" spans="1:9" ht="89.25">
      <c r="A56" s="90"/>
      <c r="B56" s="21" t="s">
        <v>518</v>
      </c>
      <c r="G56" s="15"/>
      <c r="H56" s="92"/>
    </row>
    <row r="57" spans="1:9">
      <c r="A57" s="90"/>
      <c r="B57" s="21" t="s">
        <v>513</v>
      </c>
      <c r="C57" s="1" t="s">
        <v>51</v>
      </c>
      <c r="D57" s="96">
        <v>860</v>
      </c>
      <c r="E57" s="96">
        <v>870</v>
      </c>
      <c r="F57" s="96">
        <v>1190</v>
      </c>
      <c r="G57" s="15">
        <v>1200</v>
      </c>
      <c r="H57" s="92"/>
      <c r="I57" s="306">
        <f t="shared" ref="I57:I61" si="0">(D57+E57+F57+G57)*H57</f>
        <v>0</v>
      </c>
    </row>
    <row r="58" spans="1:9">
      <c r="A58" s="90"/>
      <c r="B58" s="21" t="s">
        <v>515</v>
      </c>
      <c r="C58" s="1" t="s">
        <v>51</v>
      </c>
      <c r="D58" s="96">
        <v>30</v>
      </c>
      <c r="E58" s="96">
        <v>15</v>
      </c>
      <c r="F58" s="96">
        <v>15</v>
      </c>
      <c r="G58" s="15">
        <v>25</v>
      </c>
      <c r="H58" s="92"/>
      <c r="I58" s="306">
        <f t="shared" si="0"/>
        <v>0</v>
      </c>
    </row>
    <row r="59" spans="1:9">
      <c r="A59" s="90"/>
      <c r="B59" s="21" t="s">
        <v>514</v>
      </c>
      <c r="C59" s="1" t="s">
        <v>51</v>
      </c>
      <c r="D59" s="96">
        <v>260</v>
      </c>
      <c r="E59" s="96">
        <v>300</v>
      </c>
      <c r="F59" s="96">
        <v>450</v>
      </c>
      <c r="G59" s="15">
        <v>340</v>
      </c>
      <c r="H59" s="92"/>
      <c r="I59" s="306">
        <f t="shared" si="0"/>
        <v>0</v>
      </c>
    </row>
    <row r="60" spans="1:9" ht="63.75">
      <c r="A60" s="90"/>
      <c r="B60" s="21" t="s">
        <v>858</v>
      </c>
      <c r="C60" s="1" t="s">
        <v>51</v>
      </c>
      <c r="D60" s="96">
        <v>36</v>
      </c>
      <c r="E60" s="96">
        <v>36</v>
      </c>
      <c r="F60" s="96">
        <v>36</v>
      </c>
      <c r="G60" s="15">
        <v>36</v>
      </c>
      <c r="H60" s="92"/>
      <c r="I60" s="306">
        <f t="shared" si="0"/>
        <v>0</v>
      </c>
    </row>
    <row r="61" spans="1:9" ht="25.5">
      <c r="A61" s="90"/>
      <c r="B61" s="21" t="s">
        <v>857</v>
      </c>
      <c r="C61" s="1" t="s">
        <v>51</v>
      </c>
      <c r="G61" s="15">
        <v>35</v>
      </c>
      <c r="H61" s="92"/>
      <c r="I61" s="306">
        <f t="shared" si="0"/>
        <v>0</v>
      </c>
    </row>
    <row r="62" spans="1:9">
      <c r="A62" s="90"/>
      <c r="B62" s="21" t="s">
        <v>963</v>
      </c>
      <c r="C62" s="1" t="s">
        <v>110</v>
      </c>
      <c r="D62" s="96">
        <v>1</v>
      </c>
      <c r="G62" s="15"/>
      <c r="H62" s="92"/>
      <c r="I62" s="306">
        <f>(D62+E62+F62+G62)*H62</f>
        <v>0</v>
      </c>
    </row>
    <row r="63" spans="1:9">
      <c r="A63" s="90"/>
      <c r="B63" s="48" t="s">
        <v>851</v>
      </c>
      <c r="G63" s="15"/>
      <c r="H63" s="92"/>
    </row>
    <row r="64" spans="1:9">
      <c r="A64" s="90"/>
      <c r="B64" s="21" t="s">
        <v>856</v>
      </c>
      <c r="C64" s="1" t="s">
        <v>110</v>
      </c>
      <c r="D64" s="96">
        <v>1</v>
      </c>
      <c r="E64" s="96">
        <v>1</v>
      </c>
      <c r="F64" s="96">
        <v>1</v>
      </c>
      <c r="G64" s="15">
        <v>1</v>
      </c>
      <c r="H64" s="92"/>
      <c r="I64" s="306">
        <f t="shared" ref="I64" si="1">(D64+E64+F64+G64)*H64</f>
        <v>0</v>
      </c>
    </row>
    <row r="65" spans="1:9">
      <c r="A65" s="90"/>
      <c r="B65" s="21"/>
      <c r="G65" s="15"/>
      <c r="H65" s="92"/>
    </row>
    <row r="66" spans="1:9" ht="15.75" thickBot="1">
      <c r="A66" s="676" t="s">
        <v>41</v>
      </c>
      <c r="B66" s="54" t="s">
        <v>814</v>
      </c>
      <c r="G66" s="15"/>
      <c r="H66" s="92"/>
    </row>
    <row r="67" spans="1:9" ht="25.5">
      <c r="A67" s="90"/>
      <c r="B67" s="58" t="s">
        <v>808</v>
      </c>
      <c r="G67" s="15"/>
      <c r="H67" s="92"/>
    </row>
    <row r="68" spans="1:9" ht="89.25">
      <c r="A68" s="90"/>
      <c r="B68" s="58" t="s">
        <v>806</v>
      </c>
      <c r="G68" s="15"/>
      <c r="H68" s="92"/>
    </row>
    <row r="69" spans="1:9" ht="89.25">
      <c r="A69" s="90"/>
      <c r="B69" s="58" t="s">
        <v>807</v>
      </c>
      <c r="G69" s="15"/>
      <c r="H69" s="92"/>
    </row>
    <row r="70" spans="1:9" ht="76.5">
      <c r="A70" s="90"/>
      <c r="B70" s="58" t="s">
        <v>964</v>
      </c>
      <c r="G70" s="15"/>
      <c r="H70" s="92"/>
    </row>
    <row r="71" spans="1:9" ht="76.5">
      <c r="A71" s="90"/>
      <c r="B71" s="58" t="s">
        <v>2858</v>
      </c>
      <c r="G71" s="15"/>
      <c r="H71" s="92"/>
    </row>
    <row r="72" spans="1:9">
      <c r="A72" s="90"/>
      <c r="B72" s="58" t="s">
        <v>852</v>
      </c>
      <c r="G72" s="15"/>
      <c r="H72" s="92"/>
    </row>
    <row r="73" spans="1:9">
      <c r="A73" s="90"/>
      <c r="B73" s="21" t="s">
        <v>517</v>
      </c>
      <c r="G73" s="15"/>
      <c r="H73" s="92"/>
    </row>
    <row r="74" spans="1:9">
      <c r="A74" s="90"/>
      <c r="B74" s="21" t="s">
        <v>809</v>
      </c>
      <c r="C74" s="1" t="s">
        <v>51</v>
      </c>
      <c r="D74" s="96">
        <v>87.5</v>
      </c>
      <c r="E74" s="96">
        <v>90.6</v>
      </c>
      <c r="F74" s="96">
        <v>122.5</v>
      </c>
      <c r="G74" s="15">
        <v>122.5</v>
      </c>
      <c r="H74" s="92"/>
      <c r="I74" s="306">
        <f t="shared" ref="I74" si="2">(D74+E74+F74+G74)*H74</f>
        <v>0</v>
      </c>
    </row>
    <row r="75" spans="1:9">
      <c r="A75" s="90"/>
      <c r="B75" s="21" t="s">
        <v>810</v>
      </c>
      <c r="C75" s="1" t="s">
        <v>51</v>
      </c>
      <c r="E75" s="96">
        <v>209</v>
      </c>
      <c r="G75" s="15"/>
      <c r="H75" s="92"/>
      <c r="I75" s="306">
        <f t="shared" ref="I75" si="3">(D75+E75+F75+G75)*H75</f>
        <v>0</v>
      </c>
    </row>
    <row r="76" spans="1:9">
      <c r="A76" s="90"/>
      <c r="B76" s="21"/>
      <c r="G76" s="15"/>
      <c r="H76" s="92"/>
    </row>
    <row r="77" spans="1:9" ht="13.5" thickBot="1">
      <c r="A77" s="90"/>
      <c r="B77" s="21"/>
      <c r="G77" s="15"/>
      <c r="H77" s="92"/>
    </row>
    <row r="78" spans="1:9" ht="21.75" thickBot="1">
      <c r="A78" s="609" t="s">
        <v>21</v>
      </c>
      <c r="B78" s="51" t="s">
        <v>230</v>
      </c>
      <c r="C78" s="52"/>
      <c r="D78" s="17"/>
      <c r="E78" s="17"/>
      <c r="F78" s="17"/>
      <c r="G78" s="104"/>
      <c r="H78" s="348"/>
      <c r="I78" s="322">
        <f>SUM(I5:I75)</f>
        <v>0</v>
      </c>
    </row>
    <row r="79" spans="1:9">
      <c r="A79" s="90"/>
      <c r="B79" s="21"/>
      <c r="G79" s="15"/>
      <c r="H79" s="92"/>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headerFooter>
  <rowBreaks count="1" manualBreakCount="1">
    <brk id="54"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211"/>
  <sheetViews>
    <sheetView view="pageBreakPreview" topLeftCell="A207" zoomScale="120" zoomScaleNormal="100" zoomScaleSheetLayoutView="120" workbookViewId="0">
      <selection activeCell="A211" sqref="A211"/>
    </sheetView>
  </sheetViews>
  <sheetFormatPr defaultColWidth="2.28515625" defaultRowHeight="12.75"/>
  <cols>
    <col min="1" max="1" width="6" style="40" customWidth="1"/>
    <col min="2" max="2" width="45" style="56" customWidth="1"/>
    <col min="3" max="3" width="5.5703125" style="346" customWidth="1"/>
    <col min="4" max="4" width="9" style="9" customWidth="1"/>
    <col min="5" max="5" width="8.28515625" style="9" customWidth="1"/>
    <col min="6" max="6" width="8.7109375" style="9" customWidth="1"/>
    <col min="7" max="7" width="8.5703125" style="9" customWidth="1"/>
    <col min="8" max="8" width="9.85546875" style="15" customWidth="1"/>
    <col min="9" max="9" width="11.85546875" style="306" customWidth="1"/>
    <col min="10" max="16384" width="2.28515625" style="21"/>
  </cols>
  <sheetData>
    <row r="1" spans="1:9" ht="25.5">
      <c r="A1" s="29" t="s">
        <v>4</v>
      </c>
      <c r="B1" s="31" t="s">
        <v>5</v>
      </c>
      <c r="C1" s="472" t="s">
        <v>436</v>
      </c>
      <c r="D1" s="468" t="s">
        <v>432</v>
      </c>
      <c r="E1" s="468" t="s">
        <v>433</v>
      </c>
      <c r="F1" s="468" t="s">
        <v>434</v>
      </c>
      <c r="G1" s="468" t="s">
        <v>435</v>
      </c>
      <c r="H1" s="347" t="s">
        <v>7</v>
      </c>
      <c r="I1" s="319" t="s">
        <v>8</v>
      </c>
    </row>
    <row r="3" spans="1:9" ht="21">
      <c r="A3" s="34" t="s">
        <v>60</v>
      </c>
      <c r="B3" s="39" t="s">
        <v>207</v>
      </c>
      <c r="C3" s="473"/>
      <c r="D3" s="469"/>
      <c r="E3" s="469"/>
      <c r="F3" s="469"/>
      <c r="G3" s="469"/>
      <c r="H3" s="101"/>
      <c r="I3" s="320"/>
    </row>
    <row r="4" spans="1:9">
      <c r="A4" s="90"/>
      <c r="B4" s="21"/>
      <c r="G4" s="332"/>
      <c r="H4" s="92"/>
    </row>
    <row r="5" spans="1:9" ht="76.5">
      <c r="A5" s="90"/>
      <c r="B5" t="s">
        <v>219</v>
      </c>
      <c r="G5" s="332"/>
      <c r="H5" s="92"/>
    </row>
    <row r="6" spans="1:9">
      <c r="A6" s="90"/>
      <c r="B6"/>
      <c r="G6" s="332"/>
      <c r="H6" s="92"/>
    </row>
    <row r="7" spans="1:9" ht="76.5">
      <c r="A7" s="90"/>
      <c r="B7" t="s">
        <v>519</v>
      </c>
      <c r="G7" s="332"/>
      <c r="H7" s="92"/>
    </row>
    <row r="8" spans="1:9">
      <c r="A8" s="90"/>
      <c r="B8"/>
      <c r="G8" s="332"/>
      <c r="H8" s="92"/>
    </row>
    <row r="9" spans="1:9" ht="89.25">
      <c r="A9" s="90"/>
      <c r="B9" t="s">
        <v>220</v>
      </c>
      <c r="G9" s="332"/>
      <c r="H9" s="92"/>
    </row>
    <row r="10" spans="1:9">
      <c r="A10" s="90"/>
      <c r="B10"/>
      <c r="G10" s="332"/>
      <c r="H10" s="92"/>
    </row>
    <row r="11" spans="1:9" ht="153">
      <c r="A11" s="90"/>
      <c r="B11" t="s">
        <v>531</v>
      </c>
      <c r="G11" s="332"/>
      <c r="H11" s="92"/>
    </row>
    <row r="12" spans="1:9" ht="89.25">
      <c r="A12" s="90"/>
      <c r="B12" t="s">
        <v>816</v>
      </c>
      <c r="G12" s="332"/>
      <c r="H12" s="92"/>
    </row>
    <row r="13" spans="1:9">
      <c r="A13" s="90"/>
      <c r="B13"/>
      <c r="G13" s="332"/>
      <c r="H13" s="92"/>
    </row>
    <row r="14" spans="1:9" ht="51">
      <c r="A14" s="90"/>
      <c r="B14" t="s">
        <v>208</v>
      </c>
      <c r="G14" s="332"/>
      <c r="H14" s="92"/>
    </row>
    <row r="15" spans="1:9">
      <c r="A15" s="90"/>
      <c r="B15"/>
      <c r="G15" s="332"/>
      <c r="H15" s="92"/>
    </row>
    <row r="16" spans="1:9" ht="51">
      <c r="A16" s="90"/>
      <c r="B16" s="83" t="s">
        <v>832</v>
      </c>
      <c r="G16" s="332"/>
      <c r="H16" s="92"/>
    </row>
    <row r="17" spans="1:8">
      <c r="A17" s="90"/>
      <c r="B17" s="83"/>
      <c r="G17" s="332"/>
      <c r="H17" s="92"/>
    </row>
    <row r="18" spans="1:8" ht="25.5">
      <c r="A18" s="90"/>
      <c r="B18" s="83" t="s">
        <v>209</v>
      </c>
      <c r="G18" s="332"/>
      <c r="H18" s="92"/>
    </row>
    <row r="19" spans="1:8" ht="127.5">
      <c r="A19" s="90"/>
      <c r="B19" t="s">
        <v>889</v>
      </c>
      <c r="G19" s="332"/>
      <c r="H19" s="92"/>
    </row>
    <row r="20" spans="1:8">
      <c r="A20" s="90"/>
      <c r="B20"/>
      <c r="G20" s="332"/>
      <c r="H20" s="92"/>
    </row>
    <row r="21" spans="1:8" ht="114.75">
      <c r="A21" s="90"/>
      <c r="B21" t="s">
        <v>520</v>
      </c>
      <c r="G21" s="332"/>
      <c r="H21" s="92"/>
    </row>
    <row r="22" spans="1:8">
      <c r="A22" s="90"/>
      <c r="B22"/>
      <c r="G22" s="332"/>
      <c r="H22" s="92"/>
    </row>
    <row r="23" spans="1:8" ht="15.75" thickBot="1">
      <c r="A23" s="90"/>
      <c r="B23" s="54" t="s">
        <v>221</v>
      </c>
      <c r="G23" s="332"/>
      <c r="H23" s="92"/>
    </row>
    <row r="24" spans="1:8" ht="153">
      <c r="A24" s="90"/>
      <c r="B24" t="s">
        <v>522</v>
      </c>
      <c r="G24" s="332"/>
      <c r="H24" s="92"/>
    </row>
    <row r="25" spans="1:8" ht="38.25">
      <c r="A25" s="90"/>
      <c r="B25" t="s">
        <v>521</v>
      </c>
      <c r="G25" s="332"/>
      <c r="H25" s="92"/>
    </row>
    <row r="26" spans="1:8" ht="102">
      <c r="A26" s="90"/>
      <c r="B26" t="s">
        <v>817</v>
      </c>
      <c r="G26" s="332"/>
      <c r="H26" s="92"/>
    </row>
    <row r="27" spans="1:8" ht="63.75">
      <c r="A27" s="90"/>
      <c r="B27" s="83" t="s">
        <v>525</v>
      </c>
      <c r="G27" s="332"/>
      <c r="H27" s="92"/>
    </row>
    <row r="28" spans="1:8">
      <c r="A28" s="90"/>
      <c r="B28"/>
      <c r="G28" s="332"/>
      <c r="H28" s="92"/>
    </row>
    <row r="29" spans="1:8" ht="15.75" thickBot="1">
      <c r="A29" s="90"/>
      <c r="B29" s="54" t="s">
        <v>222</v>
      </c>
      <c r="G29" s="332"/>
      <c r="H29" s="92"/>
    </row>
    <row r="30" spans="1:8" ht="38.25">
      <c r="A30" s="90"/>
      <c r="B30" t="s">
        <v>225</v>
      </c>
      <c r="G30" s="332"/>
      <c r="H30" s="92"/>
    </row>
    <row r="31" spans="1:8" ht="76.5">
      <c r="A31" s="90"/>
      <c r="B31" t="s">
        <v>523</v>
      </c>
      <c r="G31" s="332"/>
      <c r="H31" s="92"/>
    </row>
    <row r="32" spans="1:8" ht="63.75">
      <c r="A32" s="90"/>
      <c r="B32" t="s">
        <v>821</v>
      </c>
      <c r="G32" s="332"/>
      <c r="H32" s="92"/>
    </row>
    <row r="33" spans="1:8">
      <c r="A33" s="90"/>
      <c r="B33"/>
      <c r="G33" s="332"/>
      <c r="H33" s="92"/>
    </row>
    <row r="34" spans="1:8" ht="15.75" thickBot="1">
      <c r="A34" s="90"/>
      <c r="B34" s="54" t="s">
        <v>223</v>
      </c>
      <c r="G34" s="332"/>
      <c r="H34" s="92"/>
    </row>
    <row r="35" spans="1:8" ht="38.25">
      <c r="A35" s="90"/>
      <c r="B35" t="s">
        <v>231</v>
      </c>
      <c r="G35" s="332"/>
      <c r="H35" s="92"/>
    </row>
    <row r="36" spans="1:8">
      <c r="A36" s="90"/>
      <c r="B36"/>
      <c r="G36" s="332"/>
      <c r="H36" s="92"/>
    </row>
    <row r="37" spans="1:8" ht="15.75" thickBot="1">
      <c r="A37" s="90"/>
      <c r="B37" s="54" t="s">
        <v>224</v>
      </c>
      <c r="G37" s="332"/>
      <c r="H37" s="92"/>
    </row>
    <row r="38" spans="1:8" ht="25.5">
      <c r="A38" s="90"/>
      <c r="B38" t="s">
        <v>210</v>
      </c>
      <c r="G38" s="332"/>
      <c r="H38" s="92"/>
    </row>
    <row r="39" spans="1:8" ht="63.75">
      <c r="A39" s="90"/>
      <c r="B39" t="s">
        <v>226</v>
      </c>
      <c r="G39" s="332"/>
      <c r="H39" s="92"/>
    </row>
    <row r="40" spans="1:8" ht="153">
      <c r="A40" s="90"/>
      <c r="B40" t="s">
        <v>524</v>
      </c>
      <c r="G40" s="332"/>
      <c r="H40" s="92"/>
    </row>
    <row r="41" spans="1:8" ht="63.75">
      <c r="A41" s="90"/>
      <c r="B41" t="s">
        <v>526</v>
      </c>
      <c r="G41" s="332"/>
      <c r="H41" s="92"/>
    </row>
    <row r="42" spans="1:8" ht="51">
      <c r="A42" s="90"/>
      <c r="B42" t="s">
        <v>211</v>
      </c>
      <c r="G42" s="332"/>
      <c r="H42" s="92"/>
    </row>
    <row r="43" spans="1:8">
      <c r="A43" s="90"/>
      <c r="B43"/>
      <c r="G43" s="332"/>
      <c r="H43" s="92"/>
    </row>
    <row r="44" spans="1:8" ht="15.75" thickBot="1">
      <c r="A44" s="90"/>
      <c r="B44" s="54" t="s">
        <v>236</v>
      </c>
      <c r="G44" s="332"/>
      <c r="H44" s="92"/>
    </row>
    <row r="45" spans="1:8" ht="76.5">
      <c r="A45" s="90"/>
      <c r="B45" t="s">
        <v>833</v>
      </c>
      <c r="G45" s="332"/>
      <c r="H45" s="92"/>
    </row>
    <row r="46" spans="1:8" ht="102">
      <c r="A46" s="90"/>
      <c r="B46" t="s">
        <v>834</v>
      </c>
      <c r="G46" s="332"/>
      <c r="H46" s="92"/>
    </row>
    <row r="47" spans="1:8" ht="38.25">
      <c r="A47" s="90"/>
      <c r="B47" t="s">
        <v>212</v>
      </c>
      <c r="G47" s="332"/>
      <c r="H47" s="92"/>
    </row>
    <row r="48" spans="1:8">
      <c r="A48" s="90"/>
      <c r="B48"/>
      <c r="G48" s="332"/>
      <c r="H48" s="92"/>
    </row>
    <row r="49" spans="1:8" ht="15.75" thickBot="1">
      <c r="A49" s="90"/>
      <c r="B49" s="54" t="s">
        <v>213</v>
      </c>
      <c r="G49" s="332"/>
      <c r="H49" s="92"/>
    </row>
    <row r="50" spans="1:8" ht="51">
      <c r="A50" s="90"/>
      <c r="B50" t="s">
        <v>527</v>
      </c>
      <c r="G50" s="332"/>
      <c r="H50" s="92"/>
    </row>
    <row r="51" spans="1:8" ht="51">
      <c r="A51" s="90"/>
      <c r="B51" t="s">
        <v>528</v>
      </c>
      <c r="G51" s="332"/>
      <c r="H51" s="92"/>
    </row>
    <row r="52" spans="1:8" ht="38.25">
      <c r="A52" s="90"/>
      <c r="B52" t="s">
        <v>529</v>
      </c>
      <c r="G52" s="332"/>
      <c r="H52" s="92"/>
    </row>
    <row r="53" spans="1:8">
      <c r="A53" s="90"/>
      <c r="B53" s="83" t="s">
        <v>965</v>
      </c>
      <c r="G53" s="332"/>
      <c r="H53" s="92"/>
    </row>
    <row r="54" spans="1:8">
      <c r="A54" s="90"/>
      <c r="B54"/>
      <c r="G54" s="332"/>
      <c r="H54" s="92"/>
    </row>
    <row r="55" spans="1:8">
      <c r="A55" s="90"/>
      <c r="B55" s="77" t="s">
        <v>214</v>
      </c>
      <c r="G55" s="332"/>
      <c r="H55" s="92"/>
    </row>
    <row r="56" spans="1:8" ht="76.5">
      <c r="A56" s="90"/>
      <c r="B56" t="s">
        <v>215</v>
      </c>
      <c r="G56" s="332"/>
      <c r="H56" s="92"/>
    </row>
    <row r="57" spans="1:8" ht="76.5">
      <c r="A57" s="90"/>
      <c r="B57" t="s">
        <v>237</v>
      </c>
      <c r="G57" s="332"/>
      <c r="H57" s="92"/>
    </row>
    <row r="58" spans="1:8" ht="51">
      <c r="A58" s="90"/>
      <c r="B58" t="s">
        <v>530</v>
      </c>
      <c r="G58" s="332"/>
      <c r="H58" s="92"/>
    </row>
    <row r="59" spans="1:8">
      <c r="A59" s="90"/>
      <c r="B59"/>
      <c r="G59" s="332"/>
      <c r="H59" s="92"/>
    </row>
    <row r="60" spans="1:8" ht="15.75" thickBot="1">
      <c r="A60" s="90"/>
      <c r="B60" s="54" t="s">
        <v>227</v>
      </c>
      <c r="G60" s="332"/>
      <c r="H60" s="92"/>
    </row>
    <row r="61" spans="1:8" ht="102">
      <c r="A61" s="90"/>
      <c r="B61" t="s">
        <v>532</v>
      </c>
      <c r="G61" s="332"/>
      <c r="H61" s="92"/>
    </row>
    <row r="62" spans="1:8" ht="89.25">
      <c r="A62" s="90"/>
      <c r="B62" t="s">
        <v>533</v>
      </c>
      <c r="G62" s="332"/>
      <c r="H62" s="92"/>
    </row>
    <row r="63" spans="1:8" ht="89.25">
      <c r="A63" s="90"/>
      <c r="B63" t="s">
        <v>534</v>
      </c>
      <c r="G63" s="332"/>
      <c r="H63" s="92"/>
    </row>
    <row r="64" spans="1:8" ht="102">
      <c r="A64" s="90"/>
      <c r="B64" t="s">
        <v>890</v>
      </c>
      <c r="G64" s="332"/>
      <c r="H64" s="92"/>
    </row>
    <row r="65" spans="1:8" ht="51">
      <c r="A65" s="90"/>
      <c r="B65" t="s">
        <v>228</v>
      </c>
      <c r="G65" s="332"/>
      <c r="H65" s="92"/>
    </row>
    <row r="66" spans="1:8">
      <c r="A66" s="90"/>
      <c r="B66"/>
      <c r="G66" s="332"/>
      <c r="H66" s="92"/>
    </row>
    <row r="67" spans="1:8" ht="15.75" thickBot="1">
      <c r="A67" s="90"/>
      <c r="B67" s="54" t="s">
        <v>229</v>
      </c>
      <c r="G67" s="332"/>
      <c r="H67" s="92"/>
    </row>
    <row r="68" spans="1:8" ht="38.25">
      <c r="A68" s="90"/>
      <c r="B68" t="s">
        <v>238</v>
      </c>
      <c r="G68" s="332"/>
      <c r="H68" s="92"/>
    </row>
    <row r="69" spans="1:8">
      <c r="A69" s="90"/>
      <c r="B69"/>
      <c r="G69" s="332"/>
      <c r="H69" s="92"/>
    </row>
    <row r="70" spans="1:8" ht="15.75" thickBot="1">
      <c r="A70" s="90"/>
      <c r="B70" s="54" t="s">
        <v>216</v>
      </c>
      <c r="G70" s="332"/>
      <c r="H70" s="92"/>
    </row>
    <row r="71" spans="1:8" ht="51">
      <c r="A71" s="90"/>
      <c r="B71" t="s">
        <v>583</v>
      </c>
      <c r="G71" s="332"/>
      <c r="H71" s="92"/>
    </row>
    <row r="72" spans="1:8" ht="38.25">
      <c r="A72" s="90"/>
      <c r="B72" t="s">
        <v>540</v>
      </c>
      <c r="G72" s="332"/>
      <c r="H72" s="92"/>
    </row>
    <row r="73" spans="1:8">
      <c r="A73" s="90"/>
      <c r="B73" s="77" t="s">
        <v>235</v>
      </c>
      <c r="G73" s="332"/>
      <c r="H73" s="92"/>
    </row>
    <row r="74" spans="1:8">
      <c r="A74" s="90"/>
      <c r="B74" s="77"/>
      <c r="G74" s="332"/>
      <c r="H74" s="92"/>
    </row>
    <row r="75" spans="1:8" ht="15.75" thickBot="1">
      <c r="A75" s="90"/>
      <c r="B75" s="54" t="s">
        <v>218</v>
      </c>
      <c r="G75" s="332"/>
      <c r="H75" s="92"/>
    </row>
    <row r="76" spans="1:8" ht="89.25">
      <c r="A76" s="90"/>
      <c r="B76" t="s">
        <v>318</v>
      </c>
      <c r="G76" s="332"/>
      <c r="H76" s="92"/>
    </row>
    <row r="77" spans="1:8">
      <c r="A77" s="90"/>
      <c r="B77"/>
      <c r="G77" s="332"/>
      <c r="H77" s="92"/>
    </row>
    <row r="78" spans="1:8" ht="89.25">
      <c r="A78" s="90"/>
      <c r="B78" t="s">
        <v>541</v>
      </c>
      <c r="G78" s="332"/>
      <c r="H78" s="92"/>
    </row>
    <row r="79" spans="1:8" ht="25.5">
      <c r="A79" s="90"/>
      <c r="B79" t="s">
        <v>277</v>
      </c>
      <c r="G79" s="332"/>
      <c r="H79" s="92"/>
    </row>
    <row r="80" spans="1:8">
      <c r="A80" s="90"/>
      <c r="B80"/>
      <c r="G80" s="332"/>
      <c r="H80" s="92"/>
    </row>
    <row r="81" spans="1:9">
      <c r="A81" s="90"/>
      <c r="B81" s="77" t="s">
        <v>537</v>
      </c>
      <c r="G81" s="332"/>
      <c r="H81" s="92"/>
    </row>
    <row r="82" spans="1:9" ht="76.5">
      <c r="A82" s="90"/>
      <c r="B82" s="4" t="s">
        <v>538</v>
      </c>
      <c r="G82" s="332"/>
      <c r="H82" s="92"/>
    </row>
    <row r="83" spans="1:9" ht="63.75">
      <c r="A83" s="90"/>
      <c r="B83" s="4" t="s">
        <v>539</v>
      </c>
      <c r="G83" s="332"/>
      <c r="H83" s="92"/>
    </row>
    <row r="84" spans="1:9">
      <c r="A84" s="90"/>
      <c r="B84" s="83"/>
      <c r="G84" s="332"/>
      <c r="H84" s="92"/>
    </row>
    <row r="85" spans="1:9" ht="15.75" thickBot="1">
      <c r="A85" s="90"/>
      <c r="B85" s="54" t="s">
        <v>319</v>
      </c>
      <c r="G85" s="332"/>
      <c r="H85" s="92"/>
    </row>
    <row r="86" spans="1:9">
      <c r="A86" s="90"/>
      <c r="B86" s="83"/>
      <c r="G86" s="332"/>
      <c r="H86" s="92"/>
    </row>
    <row r="87" spans="1:9" ht="15.75" thickBot="1">
      <c r="A87" s="90"/>
      <c r="B87" s="54" t="s">
        <v>217</v>
      </c>
      <c r="G87" s="332"/>
      <c r="H87" s="92"/>
    </row>
    <row r="88" spans="1:9" ht="25.5">
      <c r="A88" s="90"/>
      <c r="B88" s="83" t="s">
        <v>820</v>
      </c>
      <c r="G88" s="332"/>
      <c r="H88" s="92"/>
    </row>
    <row r="89" spans="1:9" ht="38.25">
      <c r="A89" s="90"/>
      <c r="B89" s="77" t="s">
        <v>818</v>
      </c>
      <c r="G89" s="332"/>
      <c r="H89" s="92"/>
    </row>
    <row r="90" spans="1:9" ht="25.5">
      <c r="A90" s="90"/>
      <c r="B90" s="83" t="s">
        <v>819</v>
      </c>
      <c r="G90" s="332"/>
      <c r="H90" s="92"/>
    </row>
    <row r="91" spans="1:9" ht="63.75">
      <c r="A91" s="90"/>
      <c r="B91" t="s">
        <v>536</v>
      </c>
      <c r="G91" s="332"/>
      <c r="H91" s="92"/>
    </row>
    <row r="92" spans="1:9">
      <c r="A92" s="90"/>
      <c r="B92"/>
      <c r="G92" s="332"/>
      <c r="H92" s="92"/>
    </row>
    <row r="93" spans="1:9" ht="15">
      <c r="A93" s="89">
        <v>6.01</v>
      </c>
      <c r="B93" s="76" t="s">
        <v>542</v>
      </c>
      <c r="C93" s="474"/>
      <c r="D93" s="470"/>
      <c r="E93" s="470"/>
      <c r="F93" s="470"/>
      <c r="G93" s="475"/>
      <c r="H93" s="13"/>
      <c r="I93" s="321"/>
    </row>
    <row r="94" spans="1:9">
      <c r="A94" s="90"/>
      <c r="B94"/>
      <c r="G94" s="332"/>
      <c r="H94" s="92"/>
    </row>
    <row r="95" spans="1:9" ht="25.5">
      <c r="A95" s="90" t="s">
        <v>39</v>
      </c>
      <c r="B95" s="77" t="s">
        <v>543</v>
      </c>
      <c r="G95" s="332"/>
      <c r="H95" s="92"/>
    </row>
    <row r="96" spans="1:9" ht="216.75">
      <c r="A96" s="90"/>
      <c r="B96" s="83" t="s">
        <v>836</v>
      </c>
      <c r="G96" s="332"/>
      <c r="H96" s="92"/>
    </row>
    <row r="97" spans="1:9">
      <c r="A97" s="90"/>
      <c r="B97" s="21" t="s">
        <v>828</v>
      </c>
      <c r="C97" s="346" t="s">
        <v>110</v>
      </c>
      <c r="D97" s="9">
        <v>27</v>
      </c>
      <c r="E97" s="9">
        <v>33</v>
      </c>
      <c r="F97" s="9">
        <v>49</v>
      </c>
      <c r="G97" s="332">
        <v>43</v>
      </c>
      <c r="H97" s="92"/>
      <c r="I97" s="306">
        <f t="shared" ref="I97" si="0">(D97+E97+F97+G97)*H97</f>
        <v>0</v>
      </c>
    </row>
    <row r="98" spans="1:9">
      <c r="A98" s="90"/>
      <c r="B98" s="21"/>
      <c r="G98" s="332"/>
      <c r="H98" s="92"/>
    </row>
    <row r="99" spans="1:9" ht="25.5">
      <c r="A99" s="90" t="s">
        <v>41</v>
      </c>
      <c r="B99" s="77" t="s">
        <v>586</v>
      </c>
      <c r="G99" s="332"/>
      <c r="H99" s="92"/>
    </row>
    <row r="100" spans="1:9" ht="76.5">
      <c r="A100" s="90"/>
      <c r="B100" t="s">
        <v>593</v>
      </c>
      <c r="G100" s="332"/>
      <c r="H100" s="92"/>
    </row>
    <row r="101" spans="1:9">
      <c r="A101" s="90"/>
      <c r="B101" s="21" t="s">
        <v>835</v>
      </c>
      <c r="C101" s="346" t="s">
        <v>110</v>
      </c>
      <c r="D101" s="9">
        <v>4</v>
      </c>
      <c r="E101" s="9">
        <v>3</v>
      </c>
      <c r="F101" s="9">
        <v>3</v>
      </c>
      <c r="G101" s="332">
        <v>2</v>
      </c>
      <c r="H101" s="92"/>
      <c r="I101" s="306">
        <f t="shared" ref="I101" si="1">(D101+E101+F101+G101)*H101</f>
        <v>0</v>
      </c>
    </row>
    <row r="102" spans="1:9">
      <c r="A102" s="90"/>
      <c r="B102" s="21"/>
      <c r="G102" s="332"/>
      <c r="H102" s="92"/>
    </row>
    <row r="103" spans="1:9" ht="25.5">
      <c r="A103" s="90" t="s">
        <v>42</v>
      </c>
      <c r="B103" s="77" t="s">
        <v>588</v>
      </c>
      <c r="G103" s="332"/>
      <c r="H103" s="92"/>
    </row>
    <row r="104" spans="1:9" ht="76.5">
      <c r="A104" s="90"/>
      <c r="B104" t="s">
        <v>592</v>
      </c>
      <c r="G104" s="332"/>
      <c r="H104" s="92"/>
    </row>
    <row r="105" spans="1:9">
      <c r="A105" s="90"/>
      <c r="B105" s="21" t="s">
        <v>835</v>
      </c>
      <c r="C105" s="346" t="s">
        <v>110</v>
      </c>
      <c r="D105" s="9">
        <v>1</v>
      </c>
      <c r="E105" s="9">
        <v>1</v>
      </c>
      <c r="F105" s="9">
        <v>1</v>
      </c>
      <c r="G105" s="332">
        <v>1</v>
      </c>
      <c r="H105" s="92"/>
      <c r="I105" s="306">
        <f t="shared" ref="I105" si="2">(D105+E105+F105+G105)*H105</f>
        <v>0</v>
      </c>
    </row>
    <row r="106" spans="1:9">
      <c r="A106" s="90"/>
      <c r="B106" s="21"/>
      <c r="G106" s="332"/>
      <c r="H106" s="92"/>
    </row>
    <row r="107" spans="1:9" ht="25.5">
      <c r="A107" s="90" t="s">
        <v>102</v>
      </c>
      <c r="B107" s="77" t="s">
        <v>587</v>
      </c>
      <c r="G107" s="332"/>
      <c r="H107" s="92"/>
    </row>
    <row r="108" spans="1:9" ht="63.75">
      <c r="A108" s="90"/>
      <c r="B108" t="s">
        <v>966</v>
      </c>
      <c r="G108" s="332"/>
      <c r="H108" s="92"/>
    </row>
    <row r="109" spans="1:9">
      <c r="A109" s="90"/>
      <c r="B109" s="21" t="s">
        <v>893</v>
      </c>
      <c r="C109" s="346" t="s">
        <v>110</v>
      </c>
      <c r="F109" s="9">
        <v>1</v>
      </c>
      <c r="G109" s="332">
        <v>1</v>
      </c>
      <c r="H109" s="92"/>
      <c r="I109" s="306">
        <f t="shared" ref="I109" si="3">(D109+E109+F109+G109)*H109</f>
        <v>0</v>
      </c>
    </row>
    <row r="110" spans="1:9">
      <c r="A110" s="90"/>
      <c r="B110" s="21"/>
      <c r="G110" s="332"/>
      <c r="H110" s="92"/>
    </row>
    <row r="111" spans="1:9" ht="25.5">
      <c r="A111" s="90" t="s">
        <v>118</v>
      </c>
      <c r="B111" s="77" t="s">
        <v>589</v>
      </c>
      <c r="G111" s="332"/>
      <c r="H111" s="92"/>
    </row>
    <row r="112" spans="1:9" ht="76.5">
      <c r="A112" s="90"/>
      <c r="B112" t="s">
        <v>967</v>
      </c>
      <c r="G112" s="332"/>
      <c r="H112" s="92"/>
    </row>
    <row r="113" spans="1:9">
      <c r="A113" s="90"/>
      <c r="B113" s="21" t="s">
        <v>894</v>
      </c>
      <c r="C113" s="346" t="s">
        <v>110</v>
      </c>
      <c r="F113" s="9">
        <v>1</v>
      </c>
      <c r="G113" s="332">
        <v>1</v>
      </c>
      <c r="H113" s="92"/>
      <c r="I113" s="306">
        <f t="shared" ref="I113" si="4">(D113+E113+F113+G113)*H113</f>
        <v>0</v>
      </c>
    </row>
    <row r="114" spans="1:9">
      <c r="A114" s="90"/>
      <c r="B114" s="21"/>
      <c r="G114" s="332"/>
      <c r="H114" s="92"/>
    </row>
    <row r="115" spans="1:9" ht="25.5">
      <c r="A115" s="90" t="s">
        <v>119</v>
      </c>
      <c r="B115" s="77" t="s">
        <v>590</v>
      </c>
      <c r="G115" s="332"/>
      <c r="H115" s="92"/>
    </row>
    <row r="116" spans="1:9" ht="51">
      <c r="A116" s="90"/>
      <c r="B116" t="s">
        <v>968</v>
      </c>
      <c r="G116" s="332"/>
      <c r="H116" s="92"/>
    </row>
    <row r="117" spans="1:9">
      <c r="A117" s="90"/>
      <c r="B117" s="21" t="s">
        <v>591</v>
      </c>
      <c r="C117" s="346" t="s">
        <v>110</v>
      </c>
      <c r="D117" s="9">
        <v>2</v>
      </c>
      <c r="E117" s="9">
        <v>2</v>
      </c>
      <c r="F117" s="9">
        <v>2</v>
      </c>
      <c r="G117" s="332">
        <v>2</v>
      </c>
      <c r="H117" s="92"/>
      <c r="I117" s="306">
        <f t="shared" ref="I117" si="5">(D117+E117+F117+G117)*H117</f>
        <v>0</v>
      </c>
    </row>
    <row r="118" spans="1:9">
      <c r="A118" s="90"/>
      <c r="B118" s="21"/>
      <c r="G118" s="332"/>
      <c r="H118" s="92"/>
    </row>
    <row r="119" spans="1:9" ht="15">
      <c r="A119" s="89">
        <f>+MAX($A$1:A110)+0.01</f>
        <v>6.02</v>
      </c>
      <c r="B119" s="76" t="s">
        <v>545</v>
      </c>
      <c r="C119" s="474"/>
      <c r="D119" s="470"/>
      <c r="E119" s="470"/>
      <c r="F119" s="470"/>
      <c r="G119" s="475"/>
      <c r="H119" s="13"/>
      <c r="I119" s="321"/>
    </row>
    <row r="120" spans="1:9">
      <c r="A120" s="90"/>
      <c r="B120"/>
      <c r="G120" s="332"/>
      <c r="H120" s="92"/>
    </row>
    <row r="121" spans="1:9" ht="76.5">
      <c r="A121" s="90"/>
      <c r="B121" s="21" t="s">
        <v>559</v>
      </c>
      <c r="G121" s="332"/>
      <c r="H121" s="92"/>
    </row>
    <row r="122" spans="1:9">
      <c r="A122" s="90"/>
      <c r="B122" s="21"/>
      <c r="G122" s="332"/>
      <c r="H122" s="92"/>
    </row>
    <row r="123" spans="1:9" ht="15.75" thickBot="1">
      <c r="A123" s="54" t="s">
        <v>39</v>
      </c>
      <c r="B123" s="54" t="s">
        <v>544</v>
      </c>
      <c r="G123" s="332"/>
      <c r="H123" s="92"/>
    </row>
    <row r="124" spans="1:9" ht="191.25">
      <c r="A124" s="90"/>
      <c r="B124" s="21" t="s">
        <v>549</v>
      </c>
      <c r="G124" s="332"/>
      <c r="H124" s="92"/>
    </row>
    <row r="125" spans="1:9">
      <c r="A125" s="90"/>
      <c r="B125" s="21" t="s">
        <v>546</v>
      </c>
      <c r="C125" s="346" t="s">
        <v>115</v>
      </c>
      <c r="D125" s="9">
        <v>1</v>
      </c>
      <c r="E125" s="9">
        <v>1</v>
      </c>
      <c r="G125" s="332"/>
      <c r="H125" s="92"/>
      <c r="I125" s="306">
        <f t="shared" ref="I125:I126" si="6">(D125+E125+F125+G125)*H125</f>
        <v>0</v>
      </c>
    </row>
    <row r="126" spans="1:9">
      <c r="A126" s="90"/>
      <c r="B126" s="21" t="s">
        <v>547</v>
      </c>
      <c r="C126" s="346" t="s">
        <v>115</v>
      </c>
      <c r="F126" s="9">
        <v>1</v>
      </c>
      <c r="G126" s="332">
        <v>1</v>
      </c>
      <c r="H126" s="92"/>
      <c r="I126" s="306">
        <f t="shared" si="6"/>
        <v>0</v>
      </c>
    </row>
    <row r="127" spans="1:9">
      <c r="A127" s="90"/>
      <c r="B127" s="21"/>
      <c r="G127" s="332"/>
      <c r="H127" s="92"/>
    </row>
    <row r="128" spans="1:9" ht="30.75" thickBot="1">
      <c r="A128" s="54" t="s">
        <v>41</v>
      </c>
      <c r="B128" s="54" t="s">
        <v>885</v>
      </c>
      <c r="G128" s="332"/>
      <c r="H128" s="92"/>
    </row>
    <row r="129" spans="1:9" ht="76.5">
      <c r="A129" s="90"/>
      <c r="B129" s="21" t="s">
        <v>887</v>
      </c>
      <c r="G129" s="332"/>
      <c r="H129" s="92"/>
    </row>
    <row r="130" spans="1:9">
      <c r="A130" s="90"/>
      <c r="B130" s="21" t="s">
        <v>888</v>
      </c>
      <c r="G130" s="332"/>
      <c r="H130" s="92"/>
    </row>
    <row r="131" spans="1:9">
      <c r="A131" s="90"/>
      <c r="B131" s="21" t="s">
        <v>886</v>
      </c>
      <c r="C131" s="346" t="s">
        <v>110</v>
      </c>
      <c r="G131" s="332">
        <v>3</v>
      </c>
      <c r="H131" s="92"/>
      <c r="I131" s="306">
        <f t="shared" ref="I131" si="7">(D131+E131+F131+G131)*H131</f>
        <v>0</v>
      </c>
    </row>
    <row r="132" spans="1:9">
      <c r="A132" s="90"/>
      <c r="B132" s="21"/>
      <c r="G132" s="332"/>
      <c r="H132" s="92"/>
    </row>
    <row r="133" spans="1:9" ht="15.75" thickBot="1">
      <c r="A133" s="54" t="s">
        <v>41</v>
      </c>
      <c r="B133" s="54" t="s">
        <v>548</v>
      </c>
      <c r="G133" s="332"/>
      <c r="H133" s="92"/>
    </row>
    <row r="134" spans="1:9" ht="140.25">
      <c r="A134" s="90"/>
      <c r="B134" s="21" t="s">
        <v>553</v>
      </c>
      <c r="G134" s="332"/>
      <c r="H134" s="92"/>
    </row>
    <row r="135" spans="1:9">
      <c r="A135" s="90"/>
      <c r="B135" s="21" t="s">
        <v>550</v>
      </c>
      <c r="C135" s="346" t="s">
        <v>115</v>
      </c>
      <c r="D135" s="9">
        <v>8</v>
      </c>
      <c r="E135" s="9">
        <v>10</v>
      </c>
      <c r="F135" s="9">
        <v>17</v>
      </c>
      <c r="G135" s="332">
        <v>14</v>
      </c>
      <c r="H135" s="92"/>
      <c r="I135" s="306">
        <f t="shared" ref="I135:I138" si="8">(D135+E135+F135+G135)*H135</f>
        <v>0</v>
      </c>
    </row>
    <row r="136" spans="1:9">
      <c r="A136" s="90"/>
      <c r="B136" s="21" t="s">
        <v>551</v>
      </c>
      <c r="C136" s="346" t="s">
        <v>115</v>
      </c>
      <c r="D136" s="9">
        <v>2</v>
      </c>
      <c r="G136" s="332"/>
      <c r="H136" s="92"/>
      <c r="I136" s="306">
        <f t="shared" si="8"/>
        <v>0</v>
      </c>
    </row>
    <row r="137" spans="1:9">
      <c r="A137" s="90"/>
      <c r="B137" s="21" t="s">
        <v>552</v>
      </c>
      <c r="C137" s="346" t="s">
        <v>115</v>
      </c>
      <c r="D137" s="9">
        <v>1</v>
      </c>
      <c r="G137" s="332"/>
      <c r="H137" s="92"/>
      <c r="I137" s="306">
        <f t="shared" si="8"/>
        <v>0</v>
      </c>
    </row>
    <row r="138" spans="1:9">
      <c r="A138" s="90"/>
      <c r="B138" s="21" t="s">
        <v>554</v>
      </c>
      <c r="C138" s="346" t="s">
        <v>115</v>
      </c>
      <c r="D138" s="9">
        <v>11</v>
      </c>
      <c r="E138" s="9">
        <v>19</v>
      </c>
      <c r="F138" s="9">
        <v>27</v>
      </c>
      <c r="G138" s="332">
        <v>21</v>
      </c>
      <c r="H138" s="92"/>
      <c r="I138" s="306">
        <f t="shared" si="8"/>
        <v>0</v>
      </c>
    </row>
    <row r="139" spans="1:9">
      <c r="A139" s="90"/>
      <c r="B139" s="21" t="s">
        <v>555</v>
      </c>
      <c r="C139" s="346" t="s">
        <v>115</v>
      </c>
      <c r="D139" s="9">
        <v>2</v>
      </c>
      <c r="G139" s="332"/>
      <c r="H139" s="92"/>
      <c r="I139" s="306">
        <f t="shared" ref="I139:I142" si="9">(D139+E139+F139+G139)*H139</f>
        <v>0</v>
      </c>
    </row>
    <row r="140" spans="1:9">
      <c r="A140" s="90"/>
      <c r="B140" s="21" t="s">
        <v>556</v>
      </c>
      <c r="C140" s="346" t="s">
        <v>115</v>
      </c>
      <c r="D140" s="9">
        <v>2</v>
      </c>
      <c r="G140" s="332"/>
      <c r="H140" s="92"/>
      <c r="I140" s="306">
        <f t="shared" si="9"/>
        <v>0</v>
      </c>
    </row>
    <row r="141" spans="1:9">
      <c r="A141" s="90"/>
      <c r="B141" s="21" t="s">
        <v>557</v>
      </c>
      <c r="C141" s="346" t="s">
        <v>115</v>
      </c>
      <c r="D141" s="9">
        <v>1</v>
      </c>
      <c r="E141" s="9">
        <v>2</v>
      </c>
      <c r="F141" s="9">
        <v>3</v>
      </c>
      <c r="G141" s="332">
        <v>4</v>
      </c>
      <c r="H141" s="92"/>
      <c r="I141" s="306">
        <f t="shared" si="9"/>
        <v>0</v>
      </c>
    </row>
    <row r="142" spans="1:9">
      <c r="A142" s="90"/>
      <c r="B142" s="21" t="s">
        <v>558</v>
      </c>
      <c r="C142" s="346" t="s">
        <v>115</v>
      </c>
      <c r="D142" s="9">
        <v>2</v>
      </c>
      <c r="G142" s="332"/>
      <c r="H142" s="92"/>
      <c r="I142" s="306">
        <f t="shared" si="9"/>
        <v>0</v>
      </c>
    </row>
    <row r="143" spans="1:9">
      <c r="A143" s="90"/>
      <c r="B143" s="21"/>
      <c r="G143" s="332"/>
      <c r="H143" s="92"/>
    </row>
    <row r="144" spans="1:9" ht="15">
      <c r="A144" s="89">
        <f>+MAX($A$1:A135)+0.01</f>
        <v>6.0299999999999994</v>
      </c>
      <c r="B144" s="76" t="s">
        <v>562</v>
      </c>
      <c r="C144" s="474"/>
      <c r="D144" s="470"/>
      <c r="E144" s="470"/>
      <c r="F144" s="470"/>
      <c r="G144" s="475"/>
      <c r="H144" s="13"/>
      <c r="I144" s="321"/>
    </row>
    <row r="145" spans="1:9">
      <c r="A145" s="90"/>
      <c r="B145"/>
      <c r="G145" s="332"/>
      <c r="H145" s="92"/>
    </row>
    <row r="146" spans="1:9" ht="89.25">
      <c r="A146" s="90"/>
      <c r="B146" s="21" t="s">
        <v>969</v>
      </c>
      <c r="G146" s="332"/>
      <c r="H146" s="92"/>
    </row>
    <row r="147" spans="1:9">
      <c r="A147" s="90"/>
      <c r="B147" s="21" t="s">
        <v>563</v>
      </c>
      <c r="C147" s="346" t="s">
        <v>115</v>
      </c>
      <c r="D147" s="9">
        <v>7</v>
      </c>
      <c r="E147" s="9">
        <v>9</v>
      </c>
      <c r="F147" s="9">
        <v>14</v>
      </c>
      <c r="G147" s="332">
        <v>11</v>
      </c>
      <c r="H147" s="92"/>
      <c r="I147" s="306">
        <f t="shared" ref="I147" si="10">(D147+E147+F147+G147)*H147</f>
        <v>0</v>
      </c>
    </row>
    <row r="148" spans="1:9">
      <c r="A148" s="90"/>
      <c r="B148" s="21"/>
      <c r="G148" s="332"/>
      <c r="H148" s="92"/>
    </row>
    <row r="149" spans="1:9" ht="30">
      <c r="A149" s="89">
        <f>+MAX($A$1:A148)+0.01</f>
        <v>6.0399999999999991</v>
      </c>
      <c r="B149" s="76" t="s">
        <v>570</v>
      </c>
      <c r="C149" s="474"/>
      <c r="D149" s="470"/>
      <c r="E149" s="470"/>
      <c r="F149" s="470"/>
      <c r="G149" s="475"/>
      <c r="H149" s="13"/>
      <c r="I149" s="321"/>
    </row>
    <row r="150" spans="1:9">
      <c r="A150" s="90"/>
      <c r="B150" s="21"/>
      <c r="G150" s="332"/>
      <c r="H150" s="92"/>
    </row>
    <row r="151" spans="1:9" ht="102">
      <c r="A151" s="90"/>
      <c r="B151" t="s">
        <v>970</v>
      </c>
      <c r="G151" s="332"/>
      <c r="H151" s="92"/>
    </row>
    <row r="152" spans="1:9">
      <c r="A152" s="90"/>
      <c r="B152" s="21" t="s">
        <v>242</v>
      </c>
      <c r="G152" s="332"/>
      <c r="H152" s="92"/>
    </row>
    <row r="153" spans="1:9">
      <c r="A153" s="90"/>
      <c r="B153" s="21" t="s">
        <v>243</v>
      </c>
      <c r="G153" s="332"/>
      <c r="H153" s="92"/>
    </row>
    <row r="154" spans="1:9">
      <c r="A154" s="90"/>
      <c r="B154" s="21" t="s">
        <v>244</v>
      </c>
      <c r="G154" s="332"/>
      <c r="H154" s="92"/>
    </row>
    <row r="155" spans="1:9">
      <c r="A155" s="90"/>
      <c r="B155" s="21" t="s">
        <v>565</v>
      </c>
      <c r="C155" s="346" t="s">
        <v>110</v>
      </c>
      <c r="D155" s="9">
        <v>2</v>
      </c>
      <c r="G155" s="332"/>
      <c r="H155" s="92"/>
      <c r="I155" s="306">
        <f t="shared" ref="I155:I159" si="11">(D155+E155+F155+G155)*H155</f>
        <v>0</v>
      </c>
    </row>
    <row r="156" spans="1:9">
      <c r="A156" s="90"/>
      <c r="B156" s="21" t="s">
        <v>566</v>
      </c>
      <c r="C156" s="346" t="s">
        <v>110</v>
      </c>
      <c r="D156" s="9">
        <v>10</v>
      </c>
      <c r="E156" s="9">
        <v>11</v>
      </c>
      <c r="F156" s="9">
        <v>15</v>
      </c>
      <c r="G156" s="332">
        <v>13</v>
      </c>
      <c r="H156" s="92"/>
      <c r="I156" s="306">
        <f t="shared" si="11"/>
        <v>0</v>
      </c>
    </row>
    <row r="157" spans="1:9">
      <c r="A157" s="90"/>
      <c r="B157" s="21" t="s">
        <v>567</v>
      </c>
      <c r="C157" s="346" t="s">
        <v>110</v>
      </c>
      <c r="D157" s="9">
        <v>4</v>
      </c>
      <c r="E157" s="9">
        <v>7</v>
      </c>
      <c r="F157" s="9">
        <v>11</v>
      </c>
      <c r="G157" s="332">
        <v>9</v>
      </c>
      <c r="H157" s="92"/>
      <c r="I157" s="306">
        <f t="shared" si="11"/>
        <v>0</v>
      </c>
    </row>
    <row r="158" spans="1:9">
      <c r="A158" s="90"/>
      <c r="B158" s="21" t="s">
        <v>568</v>
      </c>
      <c r="C158" s="346" t="s">
        <v>110</v>
      </c>
      <c r="D158" s="9">
        <v>4</v>
      </c>
      <c r="E158" s="9">
        <v>7</v>
      </c>
      <c r="F158" s="9">
        <v>11</v>
      </c>
      <c r="G158" s="332">
        <v>9</v>
      </c>
      <c r="H158" s="92"/>
      <c r="I158" s="306">
        <f t="shared" si="11"/>
        <v>0</v>
      </c>
    </row>
    <row r="159" spans="1:9">
      <c r="A159" s="90"/>
      <c r="B159" s="21" t="s">
        <v>569</v>
      </c>
      <c r="C159" s="346" t="s">
        <v>110</v>
      </c>
      <c r="D159" s="9">
        <v>2</v>
      </c>
      <c r="E159" s="9">
        <v>2</v>
      </c>
      <c r="G159" s="332"/>
      <c r="H159" s="92"/>
      <c r="I159" s="306">
        <f t="shared" si="11"/>
        <v>0</v>
      </c>
    </row>
    <row r="160" spans="1:9">
      <c r="A160" s="90"/>
      <c r="B160" s="21"/>
      <c r="G160" s="332"/>
      <c r="H160" s="92"/>
    </row>
    <row r="161" spans="1:9" ht="30">
      <c r="A161" s="89">
        <f>+MAX($A$1:A160)+0.01</f>
        <v>6.0499999999999989</v>
      </c>
      <c r="B161" s="76" t="s">
        <v>571</v>
      </c>
      <c r="C161" s="474"/>
      <c r="D161" s="470"/>
      <c r="E161" s="470"/>
      <c r="F161" s="470"/>
      <c r="G161" s="475"/>
      <c r="H161" s="13"/>
      <c r="I161" s="321"/>
    </row>
    <row r="162" spans="1:9">
      <c r="A162" s="90"/>
      <c r="B162" s="21"/>
      <c r="G162" s="332"/>
      <c r="H162" s="92"/>
    </row>
    <row r="163" spans="1:9" ht="76.5">
      <c r="A163" s="90"/>
      <c r="B163" t="s">
        <v>581</v>
      </c>
      <c r="G163" s="332"/>
      <c r="H163" s="92"/>
    </row>
    <row r="164" spans="1:9">
      <c r="A164" s="90"/>
      <c r="B164" s="21" t="s">
        <v>572</v>
      </c>
      <c r="G164" s="332"/>
      <c r="H164" s="92"/>
    </row>
    <row r="165" spans="1:9">
      <c r="A165" s="90"/>
      <c r="B165" s="21" t="s">
        <v>243</v>
      </c>
      <c r="G165" s="332"/>
      <c r="H165" s="92"/>
    </row>
    <row r="166" spans="1:9">
      <c r="A166" s="90"/>
      <c r="B166" s="21" t="s">
        <v>244</v>
      </c>
      <c r="G166" s="332"/>
      <c r="H166" s="92"/>
    </row>
    <row r="167" spans="1:9">
      <c r="A167" s="90"/>
      <c r="B167" s="21" t="s">
        <v>564</v>
      </c>
      <c r="C167" s="346" t="s">
        <v>110</v>
      </c>
      <c r="D167" s="9">
        <v>30</v>
      </c>
      <c r="E167" s="9">
        <v>30</v>
      </c>
      <c r="F167" s="9">
        <v>50</v>
      </c>
      <c r="G167" s="332">
        <v>40</v>
      </c>
      <c r="H167" s="92"/>
      <c r="I167" s="306">
        <f t="shared" ref="I167:I169" si="12">(D167+E167+F167+G167)*H167</f>
        <v>0</v>
      </c>
    </row>
    <row r="168" spans="1:9" ht="25.5">
      <c r="A168" s="90"/>
      <c r="B168" s="21" t="s">
        <v>873</v>
      </c>
      <c r="C168" s="346" t="s">
        <v>110</v>
      </c>
      <c r="G168" s="332">
        <v>8</v>
      </c>
      <c r="H168" s="92"/>
      <c r="I168" s="306">
        <f t="shared" si="12"/>
        <v>0</v>
      </c>
    </row>
    <row r="169" spans="1:9">
      <c r="A169" s="90"/>
      <c r="B169" s="21" t="s">
        <v>868</v>
      </c>
      <c r="C169" s="346" t="s">
        <v>110</v>
      </c>
      <c r="G169" s="332">
        <v>2</v>
      </c>
      <c r="H169" s="92"/>
      <c r="I169" s="306">
        <f t="shared" si="12"/>
        <v>0</v>
      </c>
    </row>
    <row r="170" spans="1:9">
      <c r="A170" s="90"/>
      <c r="B170" s="21" t="s">
        <v>869</v>
      </c>
      <c r="C170" s="346" t="s">
        <v>110</v>
      </c>
      <c r="G170" s="332">
        <v>6</v>
      </c>
      <c r="H170" s="92"/>
      <c r="I170" s="306">
        <f t="shared" ref="I170" si="13">(D170+E170+F170+G170)*H170</f>
        <v>0</v>
      </c>
    </row>
    <row r="171" spans="1:9">
      <c r="A171" s="90"/>
      <c r="B171" s="21"/>
      <c r="G171" s="332"/>
      <c r="H171" s="92"/>
    </row>
    <row r="172" spans="1:9" ht="15">
      <c r="A172" s="89">
        <f>+MAX($A$1:A171)+0.01</f>
        <v>6.0599999999999987</v>
      </c>
      <c r="B172" s="76" t="s">
        <v>682</v>
      </c>
      <c r="C172" s="474"/>
      <c r="D172" s="470"/>
      <c r="E172" s="470"/>
      <c r="F172" s="470"/>
      <c r="G172" s="475"/>
      <c r="H172" s="13"/>
      <c r="I172" s="321"/>
    </row>
    <row r="173" spans="1:9" ht="51">
      <c r="A173" s="90"/>
      <c r="B173" s="83" t="s">
        <v>971</v>
      </c>
      <c r="G173" s="332"/>
      <c r="H173" s="92"/>
    </row>
    <row r="174" spans="1:9">
      <c r="A174" s="90"/>
      <c r="B174" s="58" t="s">
        <v>111</v>
      </c>
      <c r="C174" s="346" t="s">
        <v>110</v>
      </c>
      <c r="D174" s="9">
        <v>5</v>
      </c>
      <c r="E174" s="9">
        <v>5</v>
      </c>
      <c r="F174" s="9">
        <v>6</v>
      </c>
      <c r="G174" s="332">
        <v>6</v>
      </c>
      <c r="H174" s="92"/>
      <c r="I174" s="306">
        <f t="shared" ref="I174" si="14">(D174+E174+F174+G174)*H174</f>
        <v>0</v>
      </c>
    </row>
    <row r="175" spans="1:9">
      <c r="A175" s="90"/>
      <c r="B175" s="21"/>
      <c r="G175" s="332"/>
      <c r="H175" s="92"/>
    </row>
    <row r="176" spans="1:9" ht="15">
      <c r="A176" s="89">
        <f>+MAX($A$1:A175)+0.01</f>
        <v>6.0699999999999985</v>
      </c>
      <c r="B176" s="76" t="s">
        <v>573</v>
      </c>
      <c r="C176" s="474"/>
      <c r="D176" s="470"/>
      <c r="E176" s="470"/>
      <c r="F176" s="470"/>
      <c r="G176" s="475"/>
      <c r="H176" s="13"/>
      <c r="I176" s="321"/>
    </row>
    <row r="177" spans="1:9">
      <c r="A177" s="90"/>
      <c r="B177" s="21"/>
      <c r="G177" s="332"/>
      <c r="H177" s="92"/>
    </row>
    <row r="178" spans="1:9" ht="89.25">
      <c r="A178" s="90"/>
      <c r="B178" s="21" t="s">
        <v>684</v>
      </c>
      <c r="G178" s="332"/>
      <c r="H178" s="92"/>
    </row>
    <row r="179" spans="1:9" ht="89.25">
      <c r="A179" s="90"/>
      <c r="B179" t="s">
        <v>685</v>
      </c>
      <c r="G179" s="332"/>
      <c r="H179" s="92"/>
    </row>
    <row r="180" spans="1:9">
      <c r="A180" s="90"/>
      <c r="B180" s="21" t="s">
        <v>574</v>
      </c>
      <c r="G180" s="332"/>
      <c r="H180" s="92"/>
    </row>
    <row r="181" spans="1:9">
      <c r="A181" s="90"/>
      <c r="B181" s="21" t="s">
        <v>575</v>
      </c>
      <c r="C181" s="346" t="s">
        <v>115</v>
      </c>
      <c r="D181" s="9">
        <v>2</v>
      </c>
      <c r="E181" s="9">
        <v>2</v>
      </c>
      <c r="G181" s="332"/>
      <c r="H181" s="92"/>
      <c r="I181" s="306">
        <f t="shared" ref="I181:I186" si="15">(D181+E181+F181+G181)*H181</f>
        <v>0</v>
      </c>
    </row>
    <row r="182" spans="1:9">
      <c r="A182" s="90"/>
      <c r="B182" s="21" t="s">
        <v>576</v>
      </c>
      <c r="C182" s="346" t="s">
        <v>115</v>
      </c>
      <c r="D182" s="9">
        <v>4</v>
      </c>
      <c r="G182" s="332"/>
      <c r="H182" s="92"/>
      <c r="I182" s="306">
        <f t="shared" si="15"/>
        <v>0</v>
      </c>
    </row>
    <row r="183" spans="1:9">
      <c r="A183" s="90"/>
      <c r="B183" s="21" t="s">
        <v>577</v>
      </c>
      <c r="C183" s="346" t="s">
        <v>115</v>
      </c>
      <c r="E183" s="9">
        <v>4</v>
      </c>
      <c r="G183" s="332"/>
      <c r="H183" s="92"/>
      <c r="I183" s="306">
        <f t="shared" si="15"/>
        <v>0</v>
      </c>
    </row>
    <row r="184" spans="1:9">
      <c r="A184" s="90"/>
      <c r="B184" s="21" t="s">
        <v>578</v>
      </c>
      <c r="C184" s="346" t="s">
        <v>115</v>
      </c>
      <c r="F184" s="9">
        <v>7</v>
      </c>
      <c r="G184" s="332"/>
      <c r="H184" s="92"/>
      <c r="I184" s="306">
        <f t="shared" si="15"/>
        <v>0</v>
      </c>
    </row>
    <row r="185" spans="1:9">
      <c r="A185" s="90"/>
      <c r="B185" s="21" t="s">
        <v>579</v>
      </c>
      <c r="C185" s="346" t="s">
        <v>115</v>
      </c>
      <c r="G185" s="332">
        <v>5</v>
      </c>
      <c r="H185" s="92"/>
      <c r="I185" s="306">
        <f t="shared" si="15"/>
        <v>0</v>
      </c>
    </row>
    <row r="186" spans="1:9">
      <c r="A186" s="90"/>
      <c r="B186" s="21" t="s">
        <v>580</v>
      </c>
      <c r="C186" s="346" t="s">
        <v>115</v>
      </c>
      <c r="G186" s="332">
        <v>6</v>
      </c>
      <c r="H186" s="92"/>
      <c r="I186" s="306">
        <f t="shared" si="15"/>
        <v>0</v>
      </c>
    </row>
    <row r="187" spans="1:9">
      <c r="A187" s="90"/>
      <c r="B187" s="21"/>
      <c r="G187" s="332"/>
      <c r="H187" s="92"/>
    </row>
    <row r="188" spans="1:9" ht="15">
      <c r="A188" s="89">
        <f>+MAX($A$1:A187)+0.01</f>
        <v>6.0799999999999983</v>
      </c>
      <c r="B188" s="76" t="s">
        <v>686</v>
      </c>
      <c r="C188" s="474"/>
      <c r="D188" s="470"/>
      <c r="E188" s="470"/>
      <c r="F188" s="470"/>
      <c r="G188" s="475"/>
      <c r="H188" s="13"/>
      <c r="I188" s="321"/>
    </row>
    <row r="189" spans="1:9" ht="173.25" customHeight="1">
      <c r="A189" s="90"/>
      <c r="B189" s="83" t="s">
        <v>972</v>
      </c>
      <c r="G189" s="332"/>
      <c r="H189" s="92"/>
    </row>
    <row r="190" spans="1:9">
      <c r="A190" s="90"/>
      <c r="B190" s="58"/>
      <c r="C190" s="346" t="s">
        <v>115</v>
      </c>
      <c r="G190" s="332">
        <v>1</v>
      </c>
      <c r="H190" s="92"/>
      <c r="I190" s="306">
        <f t="shared" ref="I190" si="16">(D190+E190+F190+G190)*H190</f>
        <v>0</v>
      </c>
    </row>
    <row r="191" spans="1:9">
      <c r="A191" s="90"/>
      <c r="B191" s="58"/>
      <c r="G191" s="332"/>
      <c r="H191" s="92"/>
    </row>
    <row r="192" spans="1:9" ht="15">
      <c r="A192" s="91">
        <f>+MAX($A$1:A190)+0.01</f>
        <v>6.0899999999999981</v>
      </c>
      <c r="B192" s="76" t="s">
        <v>760</v>
      </c>
      <c r="C192" s="474"/>
      <c r="D192" s="470"/>
      <c r="E192" s="470"/>
      <c r="F192" s="470"/>
      <c r="G192" s="475"/>
      <c r="H192" s="13"/>
      <c r="I192" s="321"/>
    </row>
    <row r="193" spans="1:9" ht="114.75">
      <c r="A193" s="109"/>
      <c r="B193" s="58" t="s">
        <v>973</v>
      </c>
      <c r="G193" s="332"/>
      <c r="H193" s="92"/>
    </row>
    <row r="194" spans="1:9">
      <c r="A194" s="109"/>
      <c r="B194" s="58" t="s">
        <v>117</v>
      </c>
      <c r="C194" s="346" t="s">
        <v>115</v>
      </c>
      <c r="D194" s="9">
        <v>1</v>
      </c>
      <c r="E194" s="9">
        <v>1</v>
      </c>
      <c r="F194" s="9">
        <v>1</v>
      </c>
      <c r="G194" s="332">
        <v>1</v>
      </c>
      <c r="H194" s="92"/>
      <c r="I194" s="306">
        <f t="shared" ref="I194" si="17">(D194+E194+F194+G194)*H194</f>
        <v>0</v>
      </c>
    </row>
    <row r="195" spans="1:9">
      <c r="A195" s="109"/>
      <c r="B195" s="58"/>
      <c r="G195" s="332"/>
      <c r="H195" s="92"/>
    </row>
    <row r="196" spans="1:9" ht="15">
      <c r="A196" s="91">
        <f>+MAX($A$1:A195)+0.01</f>
        <v>6.0999999999999979</v>
      </c>
      <c r="B196" s="76" t="s">
        <v>974</v>
      </c>
      <c r="C196" s="474"/>
      <c r="D196" s="470"/>
      <c r="E196" s="470"/>
      <c r="F196" s="470"/>
      <c r="G196" s="475"/>
      <c r="H196" s="13"/>
      <c r="I196" s="321"/>
    </row>
    <row r="197" spans="1:9" ht="63.75">
      <c r="A197" s="109"/>
      <c r="B197" s="120" t="s">
        <v>976</v>
      </c>
      <c r="G197" s="332"/>
      <c r="H197" s="92"/>
    </row>
    <row r="198" spans="1:9" ht="25.5">
      <c r="A198" s="109"/>
      <c r="B198" s="120" t="s">
        <v>320</v>
      </c>
      <c r="G198" s="332"/>
      <c r="H198" s="92"/>
    </row>
    <row r="199" spans="1:9">
      <c r="A199" s="109"/>
      <c r="B199" s="58" t="s">
        <v>975</v>
      </c>
      <c r="C199" s="346" t="s">
        <v>110</v>
      </c>
      <c r="D199" s="9">
        <v>1</v>
      </c>
      <c r="E199" s="9">
        <v>1</v>
      </c>
      <c r="F199" s="9">
        <v>1</v>
      </c>
      <c r="G199" s="332">
        <v>1</v>
      </c>
      <c r="H199" s="92"/>
      <c r="I199" s="306">
        <f t="shared" ref="I199" si="18">(D199+E199+F199+G199)*H199</f>
        <v>0</v>
      </c>
    </row>
    <row r="200" spans="1:9">
      <c r="A200" s="109"/>
      <c r="B200" s="58"/>
      <c r="G200" s="332"/>
      <c r="H200" s="92"/>
    </row>
    <row r="201" spans="1:9" ht="15">
      <c r="A201" s="91">
        <f>+MAX($A$1:A199)+0.01</f>
        <v>6.1099999999999977</v>
      </c>
      <c r="B201" s="76" t="s">
        <v>783</v>
      </c>
      <c r="C201" s="474"/>
      <c r="D201" s="470"/>
      <c r="E201" s="470"/>
      <c r="F201" s="470"/>
      <c r="G201" s="475"/>
      <c r="H201" s="13"/>
      <c r="I201" s="321"/>
    </row>
    <row r="202" spans="1:9" ht="216.75" customHeight="1">
      <c r="A202" s="90"/>
      <c r="B202" s="83" t="s">
        <v>978</v>
      </c>
      <c r="G202" s="332"/>
      <c r="H202" s="92"/>
    </row>
    <row r="203" spans="1:9">
      <c r="A203" s="90"/>
      <c r="B203" s="83" t="s">
        <v>977</v>
      </c>
      <c r="G203" s="332"/>
      <c r="H203" s="92"/>
    </row>
    <row r="204" spans="1:9">
      <c r="A204" s="90"/>
      <c r="B204" s="58" t="s">
        <v>784</v>
      </c>
      <c r="C204" s="346" t="s">
        <v>115</v>
      </c>
      <c r="F204" s="9">
        <v>1</v>
      </c>
      <c r="G204" s="332"/>
      <c r="H204" s="92"/>
      <c r="I204" s="306">
        <f t="shared" ref="I204" si="19">(D204+E204+F204+G204)*H204</f>
        <v>0</v>
      </c>
    </row>
    <row r="205" spans="1:9">
      <c r="A205" s="90"/>
      <c r="B205" s="21"/>
      <c r="G205" s="332"/>
      <c r="H205" s="92"/>
    </row>
    <row r="206" spans="1:9" ht="15">
      <c r="A206" s="91">
        <f>+MAX($A$1:A205)+0.01</f>
        <v>6.1199999999999974</v>
      </c>
      <c r="B206" s="76" t="s">
        <v>979</v>
      </c>
      <c r="C206" s="474"/>
      <c r="D206" s="470"/>
      <c r="E206" s="470"/>
      <c r="F206" s="470"/>
      <c r="G206" s="475"/>
      <c r="H206" s="13"/>
      <c r="I206" s="321"/>
    </row>
    <row r="207" spans="1:9" ht="63.75">
      <c r="A207" s="109"/>
      <c r="B207" s="83" t="s">
        <v>980</v>
      </c>
      <c r="G207" s="332"/>
      <c r="H207" s="92"/>
    </row>
    <row r="208" spans="1:9">
      <c r="A208" s="109"/>
      <c r="B208" s="58" t="s">
        <v>111</v>
      </c>
      <c r="C208" s="346" t="s">
        <v>110</v>
      </c>
      <c r="D208" s="9">
        <v>28</v>
      </c>
      <c r="E208" s="9">
        <v>34</v>
      </c>
      <c r="F208" s="9">
        <v>50</v>
      </c>
      <c r="G208" s="332">
        <v>44</v>
      </c>
      <c r="H208" s="92"/>
      <c r="I208" s="306">
        <f t="shared" ref="I208" si="20">(D208+E208+F208+G208)*H208</f>
        <v>0</v>
      </c>
    </row>
    <row r="209" spans="1:9">
      <c r="A209" s="109"/>
      <c r="B209" s="21"/>
      <c r="G209" s="332"/>
      <c r="H209" s="92"/>
    </row>
    <row r="210" spans="1:9" ht="13.5" thickBot="1">
      <c r="A210" s="90"/>
      <c r="B210" s="21"/>
      <c r="G210" s="332"/>
      <c r="H210" s="92"/>
    </row>
    <row r="211" spans="1:9" ht="21.75" thickBot="1">
      <c r="A211" s="609" t="s">
        <v>60</v>
      </c>
      <c r="B211" s="51" t="s">
        <v>232</v>
      </c>
      <c r="C211" s="476"/>
      <c r="D211" s="471"/>
      <c r="E211" s="471"/>
      <c r="F211" s="471"/>
      <c r="G211" s="471"/>
      <c r="H211" s="348"/>
      <c r="I211" s="322">
        <f>SUM(I4:I210)</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&amp;L&amp;K01+045Troškovnik&amp;C&amp;"-,Podebljano"&amp;K01+045PROJEKT ARHITEKTURE
Građevinsko - zanatski radovi&amp;R&amp;K01+045STAMBENO - POSLOVNA GRAĐEVINA, BLATO</oddHeader>
    <oddFooter>&amp;C&amp;K00-047V V - PROJEKT d.o.o. Put Supavla 1, 21000 Split, tel/fax: 021/322-249</oddFooter>
  </headerFooter>
  <rowBreaks count="10" manualBreakCount="10">
    <brk id="18" max="16383" man="1"/>
    <brk id="28" max="16383" man="1"/>
    <brk id="43" max="16383" man="1"/>
    <brk id="59" max="16383" man="1"/>
    <brk id="74" max="16383" man="1"/>
    <brk id="92" max="16383" man="1"/>
    <brk id="110" max="16383" man="1"/>
    <brk id="132" max="16383" man="1"/>
    <brk id="160" max="16383" man="1"/>
    <brk id="191"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04"/>
  <sheetViews>
    <sheetView view="pageBreakPreview" topLeftCell="A89" zoomScale="120" zoomScaleNormal="100" zoomScaleSheetLayoutView="120" workbookViewId="0">
      <selection activeCell="A104" sqref="A104"/>
    </sheetView>
  </sheetViews>
  <sheetFormatPr defaultColWidth="2.28515625" defaultRowHeight="12.75"/>
  <cols>
    <col min="1" max="1" width="6" style="40" customWidth="1"/>
    <col min="2" max="2" width="45" style="56" customWidth="1"/>
    <col min="3" max="3" width="5.5703125" style="1" customWidth="1"/>
    <col min="4" max="4" width="8.140625" style="96" customWidth="1"/>
    <col min="5" max="6" width="9.5703125" style="96" customWidth="1"/>
    <col min="7" max="7" width="8.7109375" style="102" customWidth="1"/>
    <col min="8" max="8" width="9.5703125" style="15" customWidth="1"/>
    <col min="9" max="9" width="12.285156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78</v>
      </c>
      <c r="B3" s="39" t="s">
        <v>234</v>
      </c>
      <c r="C3" s="37"/>
      <c r="D3" s="18"/>
      <c r="E3" s="18"/>
      <c r="F3" s="18"/>
      <c r="G3" s="101"/>
      <c r="H3" s="101"/>
      <c r="I3" s="320"/>
    </row>
    <row r="4" spans="1:9">
      <c r="A4" s="90"/>
      <c r="B4" s="21"/>
      <c r="G4" s="15"/>
      <c r="H4" s="92"/>
    </row>
    <row r="5" spans="1:9" ht="89.25">
      <c r="A5" s="90"/>
      <c r="B5" t="s">
        <v>822</v>
      </c>
      <c r="G5" s="15"/>
      <c r="H5" s="92"/>
    </row>
    <row r="6" spans="1:9">
      <c r="A6" s="90"/>
      <c r="B6"/>
      <c r="G6" s="15"/>
      <c r="H6" s="92"/>
    </row>
    <row r="7" spans="1:9" ht="140.25">
      <c r="A7" s="90"/>
      <c r="B7" s="21" t="s">
        <v>582</v>
      </c>
      <c r="G7" s="15"/>
      <c r="H7" s="92"/>
    </row>
    <row r="8" spans="1:9" ht="89.25">
      <c r="A8" s="90"/>
      <c r="B8" s="21" t="s">
        <v>657</v>
      </c>
      <c r="G8" s="15"/>
      <c r="H8" s="92"/>
    </row>
    <row r="9" spans="1:9" ht="38.25">
      <c r="A9" s="90"/>
      <c r="B9" s="21" t="s">
        <v>656</v>
      </c>
      <c r="G9" s="15"/>
      <c r="H9" s="92"/>
    </row>
    <row r="10" spans="1:9" ht="165.75">
      <c r="A10" s="90"/>
      <c r="B10" s="55" t="s">
        <v>655</v>
      </c>
      <c r="G10" s="15"/>
      <c r="H10" s="92"/>
    </row>
    <row r="11" spans="1:9" ht="178.5">
      <c r="A11" s="90"/>
      <c r="B11" s="55" t="s">
        <v>658</v>
      </c>
      <c r="G11" s="15"/>
      <c r="H11" s="92"/>
    </row>
    <row r="12" spans="1:9">
      <c r="A12" s="90"/>
      <c r="B12" s="55"/>
      <c r="G12" s="15"/>
      <c r="H12" s="92"/>
    </row>
    <row r="13" spans="1:9" ht="15.75" thickBot="1">
      <c r="A13" s="90"/>
      <c r="B13" s="54" t="s">
        <v>216</v>
      </c>
      <c r="G13" s="15"/>
      <c r="H13" s="92"/>
    </row>
    <row r="14" spans="1:9" ht="51">
      <c r="A14" s="90"/>
      <c r="B14" t="s">
        <v>535</v>
      </c>
      <c r="G14" s="15"/>
      <c r="H14" s="92"/>
    </row>
    <row r="15" spans="1:9" ht="38.25">
      <c r="A15" s="90"/>
      <c r="B15" t="s">
        <v>540</v>
      </c>
      <c r="G15" s="15"/>
      <c r="H15" s="92"/>
    </row>
    <row r="16" spans="1:9">
      <c r="A16" s="90"/>
      <c r="B16" s="95" t="s">
        <v>235</v>
      </c>
      <c r="G16" s="15"/>
      <c r="H16" s="92"/>
    </row>
    <row r="17" spans="1:8">
      <c r="A17" s="90"/>
      <c r="B17" s="86"/>
      <c r="G17" s="15"/>
      <c r="H17" s="92"/>
    </row>
    <row r="18" spans="1:8" ht="15.75" thickBot="1">
      <c r="A18" s="90"/>
      <c r="B18" s="54" t="s">
        <v>218</v>
      </c>
      <c r="G18" s="15"/>
      <c r="H18" s="92"/>
    </row>
    <row r="19" spans="1:8" ht="89.25">
      <c r="A19" s="90"/>
      <c r="B19" t="s">
        <v>318</v>
      </c>
      <c r="G19" s="15"/>
      <c r="H19" s="92"/>
    </row>
    <row r="20" spans="1:8">
      <c r="A20" s="90"/>
      <c r="B20"/>
      <c r="G20" s="15"/>
      <c r="H20" s="92"/>
    </row>
    <row r="21" spans="1:8" ht="89.25">
      <c r="A21" s="90"/>
      <c r="B21" t="s">
        <v>541</v>
      </c>
      <c r="G21" s="15"/>
      <c r="H21" s="92"/>
    </row>
    <row r="22" spans="1:8" ht="25.5">
      <c r="A22" s="90"/>
      <c r="B22" t="s">
        <v>277</v>
      </c>
      <c r="G22" s="15"/>
      <c r="H22" s="92"/>
    </row>
    <row r="23" spans="1:8">
      <c r="A23" s="90"/>
      <c r="B23"/>
      <c r="G23" s="15"/>
      <c r="H23" s="92"/>
    </row>
    <row r="24" spans="1:8">
      <c r="A24" s="90"/>
      <c r="B24" s="77" t="s">
        <v>827</v>
      </c>
      <c r="G24" s="15"/>
      <c r="H24" s="92"/>
    </row>
    <row r="25" spans="1:8" ht="76.5">
      <c r="A25" s="90"/>
      <c r="B25" s="4" t="s">
        <v>538</v>
      </c>
      <c r="G25" s="15"/>
      <c r="H25" s="92"/>
    </row>
    <row r="26" spans="1:8" ht="63.75">
      <c r="A26" s="90"/>
      <c r="B26" s="4" t="s">
        <v>539</v>
      </c>
      <c r="G26" s="15"/>
      <c r="H26" s="92"/>
    </row>
    <row r="27" spans="1:8">
      <c r="A27" s="90"/>
      <c r="B27" s="83"/>
      <c r="G27" s="15"/>
      <c r="H27" s="92"/>
    </row>
    <row r="28" spans="1:8" ht="15.75" thickBot="1">
      <c r="A28" s="90"/>
      <c r="B28" s="123" t="s">
        <v>839</v>
      </c>
      <c r="G28" s="15"/>
      <c r="H28" s="92"/>
    </row>
    <row r="29" spans="1:8" ht="127.5">
      <c r="A29" s="90"/>
      <c r="B29" s="4" t="s">
        <v>981</v>
      </c>
      <c r="G29" s="15"/>
      <c r="H29" s="92"/>
    </row>
    <row r="30" spans="1:8">
      <c r="A30" s="90"/>
      <c r="B30" s="4"/>
      <c r="G30" s="15"/>
      <c r="H30" s="92"/>
    </row>
    <row r="31" spans="1:8" ht="15.75" thickBot="1">
      <c r="A31" s="90"/>
      <c r="B31" s="54" t="s">
        <v>838</v>
      </c>
      <c r="G31" s="15"/>
      <c r="H31" s="92"/>
    </row>
    <row r="32" spans="1:8" ht="140.25">
      <c r="A32" s="90"/>
      <c r="B32" s="83" t="s">
        <v>982</v>
      </c>
      <c r="G32" s="15"/>
      <c r="H32" s="92"/>
    </row>
    <row r="33" spans="1:9">
      <c r="A33" s="90"/>
      <c r="B33" s="55"/>
      <c r="G33" s="15"/>
      <c r="H33" s="92"/>
    </row>
    <row r="34" spans="1:9" ht="15.75" thickBot="1">
      <c r="A34" s="90"/>
      <c r="B34" s="54" t="s">
        <v>895</v>
      </c>
      <c r="G34" s="15"/>
      <c r="H34" s="92"/>
    </row>
    <row r="35" spans="1:9" ht="38.25">
      <c r="A35" s="90"/>
      <c r="B35" s="58" t="s">
        <v>584</v>
      </c>
      <c r="G35" s="15"/>
      <c r="H35" s="92"/>
    </row>
    <row r="36" spans="1:9">
      <c r="A36" s="90"/>
      <c r="B36" s="58"/>
      <c r="G36" s="15"/>
      <c r="H36" s="92"/>
    </row>
    <row r="37" spans="1:9" ht="114.75">
      <c r="A37" s="90"/>
      <c r="B37" s="58" t="s">
        <v>984</v>
      </c>
      <c r="G37" s="15"/>
      <c r="H37" s="92"/>
    </row>
    <row r="38" spans="1:9" ht="63.75">
      <c r="A38" s="90"/>
      <c r="B38" s="58" t="s">
        <v>983</v>
      </c>
      <c r="G38" s="15"/>
      <c r="H38" s="92"/>
    </row>
    <row r="39" spans="1:9" ht="102">
      <c r="A39" s="90"/>
      <c r="B39" s="58" t="s">
        <v>585</v>
      </c>
      <c r="G39" s="15"/>
      <c r="H39" s="92"/>
    </row>
    <row r="40" spans="1:9">
      <c r="A40" s="90"/>
      <c r="B40" s="58"/>
      <c r="G40" s="15"/>
      <c r="H40" s="92"/>
    </row>
    <row r="41" spans="1:9" ht="15.75" thickBot="1">
      <c r="A41" s="90"/>
      <c r="B41" s="54" t="s">
        <v>239</v>
      </c>
      <c r="G41" s="15"/>
      <c r="H41" s="92"/>
    </row>
    <row r="42" spans="1:9" ht="38.25">
      <c r="A42" s="90"/>
      <c r="B42" s="83" t="s">
        <v>829</v>
      </c>
      <c r="G42" s="15"/>
      <c r="H42" s="92"/>
    </row>
    <row r="43" spans="1:9">
      <c r="A43" s="90"/>
      <c r="B43" s="60"/>
      <c r="G43" s="15"/>
      <c r="H43" s="92"/>
    </row>
    <row r="44" spans="1:9" ht="15">
      <c r="A44" s="89">
        <v>7.1</v>
      </c>
      <c r="B44" s="76" t="s">
        <v>650</v>
      </c>
      <c r="C44" s="76"/>
      <c r="D44" s="13"/>
      <c r="E44" s="13"/>
      <c r="F44" s="13"/>
      <c r="G44" s="11"/>
      <c r="H44" s="13"/>
      <c r="I44" s="321"/>
    </row>
    <row r="45" spans="1:9">
      <c r="A45" s="90"/>
      <c r="B45" s="21"/>
      <c r="G45" s="15"/>
      <c r="H45" s="92"/>
    </row>
    <row r="46" spans="1:9" ht="25.5">
      <c r="A46" s="90"/>
      <c r="B46" s="21" t="s">
        <v>826</v>
      </c>
      <c r="G46" s="106"/>
      <c r="H46" s="92"/>
    </row>
    <row r="47" spans="1:9" ht="153">
      <c r="A47" s="90"/>
      <c r="B47" s="55" t="s">
        <v>825</v>
      </c>
      <c r="G47" s="15"/>
      <c r="H47" s="92"/>
    </row>
    <row r="48" spans="1:9" ht="76.5">
      <c r="A48" s="90"/>
      <c r="B48" s="55" t="s">
        <v>985</v>
      </c>
      <c r="G48" s="15"/>
      <c r="H48" s="92"/>
    </row>
    <row r="49" spans="1:9">
      <c r="A49" s="90"/>
      <c r="B49" s="55"/>
      <c r="G49" s="15"/>
      <c r="H49" s="92"/>
    </row>
    <row r="50" spans="1:9" ht="25.5">
      <c r="A50" s="90"/>
      <c r="B50" s="55" t="s">
        <v>823</v>
      </c>
      <c r="G50" s="15"/>
      <c r="H50" s="92"/>
    </row>
    <row r="51" spans="1:9" ht="76.5">
      <c r="A51" s="90"/>
      <c r="B51" s="55" t="s">
        <v>824</v>
      </c>
      <c r="G51" s="15"/>
      <c r="H51" s="92"/>
    </row>
    <row r="52" spans="1:9" ht="102">
      <c r="A52" s="90"/>
      <c r="B52" s="55" t="s">
        <v>830</v>
      </c>
      <c r="G52" s="15"/>
      <c r="H52" s="92"/>
    </row>
    <row r="53" spans="1:9" ht="25.5">
      <c r="A53" s="90"/>
      <c r="B53" s="121" t="s">
        <v>831</v>
      </c>
      <c r="G53" s="15"/>
      <c r="H53" s="92"/>
    </row>
    <row r="54" spans="1:9">
      <c r="A54" s="90"/>
      <c r="B54" s="21" t="s">
        <v>879</v>
      </c>
      <c r="G54" s="106"/>
      <c r="H54" s="92"/>
    </row>
    <row r="55" spans="1:9">
      <c r="A55" s="90"/>
      <c r="B55" s="21" t="s">
        <v>116</v>
      </c>
      <c r="C55" s="1" t="s">
        <v>110</v>
      </c>
      <c r="D55" s="96">
        <v>1</v>
      </c>
      <c r="E55" s="96">
        <v>1</v>
      </c>
      <c r="F55" s="96">
        <v>1</v>
      </c>
      <c r="G55" s="15">
        <v>1</v>
      </c>
      <c r="H55" s="92"/>
      <c r="I55" s="306">
        <f t="shared" ref="I55" si="0">(D55+E55+F55+G55)*H55</f>
        <v>0</v>
      </c>
    </row>
    <row r="56" spans="1:9">
      <c r="A56" s="90"/>
      <c r="B56" s="21"/>
      <c r="G56" s="15"/>
      <c r="H56" s="92"/>
    </row>
    <row r="57" spans="1:9" ht="15">
      <c r="A57" s="89">
        <f>+MAX($A$1:A46)+0.1</f>
        <v>7.1999999999999993</v>
      </c>
      <c r="B57" s="76" t="s">
        <v>654</v>
      </c>
      <c r="C57" s="76"/>
      <c r="D57" s="13"/>
      <c r="E57" s="13"/>
      <c r="F57" s="13"/>
      <c r="G57" s="11"/>
      <c r="H57" s="13"/>
      <c r="I57" s="321"/>
    </row>
    <row r="58" spans="1:9">
      <c r="A58" s="90"/>
      <c r="B58" s="21"/>
      <c r="G58" s="15"/>
      <c r="H58" s="92"/>
    </row>
    <row r="59" spans="1:9" ht="140.25">
      <c r="A59" s="90"/>
      <c r="B59" t="s">
        <v>653</v>
      </c>
      <c r="G59" s="106"/>
      <c r="H59" s="92"/>
    </row>
    <row r="60" spans="1:9" ht="76.5">
      <c r="A60" s="90"/>
      <c r="B60" s="55" t="s">
        <v>986</v>
      </c>
      <c r="G60" s="15"/>
      <c r="H60" s="92"/>
    </row>
    <row r="61" spans="1:9" ht="25.5">
      <c r="A61" s="90"/>
      <c r="B61" s="112" t="s">
        <v>659</v>
      </c>
      <c r="G61" s="15"/>
      <c r="H61" s="92"/>
    </row>
    <row r="62" spans="1:9">
      <c r="A62" s="90"/>
      <c r="B62" s="112"/>
      <c r="G62" s="15"/>
      <c r="H62" s="92"/>
    </row>
    <row r="63" spans="1:9" ht="38.25">
      <c r="A63" s="90"/>
      <c r="B63" s="75" t="s">
        <v>987</v>
      </c>
      <c r="G63" s="15"/>
      <c r="H63" s="92"/>
    </row>
    <row r="64" spans="1:9">
      <c r="A64" s="90"/>
      <c r="B64" s="75" t="s">
        <v>992</v>
      </c>
      <c r="G64" s="15"/>
      <c r="H64" s="92"/>
    </row>
    <row r="65" spans="1:9">
      <c r="A65" s="90"/>
      <c r="B65" s="75"/>
      <c r="G65" s="15"/>
      <c r="H65" s="92"/>
    </row>
    <row r="66" spans="1:9" ht="38.25">
      <c r="A66" s="90"/>
      <c r="B66" s="48" t="s">
        <v>660</v>
      </c>
      <c r="C66" s="1" t="s">
        <v>110</v>
      </c>
      <c r="D66" s="96">
        <v>3</v>
      </c>
      <c r="E66" s="96">
        <v>3</v>
      </c>
      <c r="F66" s="96">
        <v>3</v>
      </c>
      <c r="G66" s="15">
        <v>3</v>
      </c>
      <c r="H66" s="92"/>
      <c r="I66" s="306">
        <f t="shared" ref="I66:I67" si="1">(D66+E66+F66+G66)*H66</f>
        <v>0</v>
      </c>
    </row>
    <row r="67" spans="1:9" ht="51">
      <c r="A67" s="90"/>
      <c r="B67" s="48" t="s">
        <v>891</v>
      </c>
      <c r="C67" s="1" t="s">
        <v>110</v>
      </c>
      <c r="D67" s="96">
        <v>1</v>
      </c>
      <c r="E67" s="96">
        <v>1</v>
      </c>
      <c r="F67" s="96">
        <v>1</v>
      </c>
      <c r="G67" s="15">
        <v>1</v>
      </c>
      <c r="H67" s="92"/>
      <c r="I67" s="306">
        <f t="shared" si="1"/>
        <v>0</v>
      </c>
    </row>
    <row r="68" spans="1:9" ht="51">
      <c r="A68" s="90"/>
      <c r="B68" s="48" t="s">
        <v>892</v>
      </c>
      <c r="C68" s="1" t="s">
        <v>110</v>
      </c>
      <c r="D68" s="96">
        <v>1</v>
      </c>
      <c r="E68" s="96">
        <v>1</v>
      </c>
      <c r="F68" s="96">
        <v>1</v>
      </c>
      <c r="G68" s="15">
        <v>1</v>
      </c>
      <c r="H68" s="92"/>
      <c r="I68" s="306">
        <f t="shared" ref="I68" si="2">(D68+E68+F68+G68)*H68</f>
        <v>0</v>
      </c>
    </row>
    <row r="69" spans="1:9">
      <c r="A69" s="90"/>
      <c r="B69" s="21"/>
      <c r="G69" s="15"/>
      <c r="H69" s="92"/>
    </row>
    <row r="70" spans="1:9" ht="15">
      <c r="A70" s="89">
        <f>+MAX($A$1:A67)+0.1</f>
        <v>7.2999999999999989</v>
      </c>
      <c r="B70" s="76" t="s">
        <v>911</v>
      </c>
      <c r="C70" s="76"/>
      <c r="D70" s="13"/>
      <c r="E70" s="13"/>
      <c r="F70" s="13"/>
      <c r="G70" s="11"/>
      <c r="H70" s="13"/>
      <c r="I70" s="321"/>
    </row>
    <row r="71" spans="1:9">
      <c r="A71" s="90"/>
      <c r="B71" s="21"/>
      <c r="G71" s="15"/>
      <c r="H71" s="92"/>
    </row>
    <row r="72" spans="1:9" ht="15.75" thickBot="1">
      <c r="A72" s="119" t="s">
        <v>39</v>
      </c>
      <c r="B72" s="54" t="s">
        <v>651</v>
      </c>
      <c r="G72" s="15"/>
      <c r="H72" s="92"/>
    </row>
    <row r="73" spans="1:9" ht="51">
      <c r="A73" s="117"/>
      <c r="B73" s="21" t="s">
        <v>991</v>
      </c>
      <c r="G73" s="15"/>
      <c r="H73" s="92"/>
    </row>
    <row r="74" spans="1:9" ht="76.5">
      <c r="A74" s="117"/>
      <c r="B74" s="120" t="s">
        <v>913</v>
      </c>
      <c r="G74" s="15"/>
      <c r="H74" s="92"/>
    </row>
    <row r="75" spans="1:9" ht="25.5">
      <c r="A75" s="117"/>
      <c r="B75" s="55" t="s">
        <v>240</v>
      </c>
      <c r="G75" s="15"/>
      <c r="H75" s="92"/>
    </row>
    <row r="76" spans="1:9" ht="25.5">
      <c r="A76" s="117"/>
      <c r="B76" s="55" t="s">
        <v>338</v>
      </c>
      <c r="G76" s="15"/>
      <c r="H76" s="92"/>
    </row>
    <row r="77" spans="1:9" ht="51">
      <c r="A77" s="117"/>
      <c r="B77" s="21" t="s">
        <v>652</v>
      </c>
      <c r="G77" s="15"/>
      <c r="H77" s="92"/>
    </row>
    <row r="78" spans="1:9" ht="25.5">
      <c r="A78" s="117"/>
      <c r="B78" s="48" t="s">
        <v>914</v>
      </c>
      <c r="C78" s="1" t="s">
        <v>110</v>
      </c>
      <c r="D78" s="96">
        <v>1</v>
      </c>
      <c r="E78" s="96">
        <v>2</v>
      </c>
      <c r="F78" s="96">
        <v>1</v>
      </c>
      <c r="G78" s="15">
        <v>1</v>
      </c>
      <c r="H78" s="92"/>
      <c r="I78" s="306">
        <f t="shared" ref="I78:I79" si="3">(D78+E78+F78+G78)*H78</f>
        <v>0</v>
      </c>
    </row>
    <row r="79" spans="1:9" ht="25.5">
      <c r="A79" s="117"/>
      <c r="B79" s="48" t="s">
        <v>915</v>
      </c>
      <c r="C79" s="1" t="s">
        <v>110</v>
      </c>
      <c r="D79" s="96">
        <v>1</v>
      </c>
      <c r="E79" s="96">
        <v>1</v>
      </c>
      <c r="G79" s="15"/>
      <c r="H79" s="92"/>
      <c r="I79" s="306">
        <f t="shared" si="3"/>
        <v>0</v>
      </c>
    </row>
    <row r="80" spans="1:9">
      <c r="A80" s="117"/>
      <c r="B80" s="21"/>
      <c r="G80" s="15"/>
      <c r="H80" s="92"/>
    </row>
    <row r="81" spans="1:9" ht="15.75" thickBot="1">
      <c r="A81" s="119" t="s">
        <v>41</v>
      </c>
      <c r="B81" s="54" t="s">
        <v>912</v>
      </c>
      <c r="G81" s="15"/>
      <c r="H81" s="92"/>
    </row>
    <row r="82" spans="1:9" ht="38.25">
      <c r="A82" s="90"/>
      <c r="B82" s="21" t="s">
        <v>990</v>
      </c>
      <c r="G82" s="15"/>
      <c r="H82" s="92"/>
    </row>
    <row r="83" spans="1:9">
      <c r="A83" s="117"/>
      <c r="B83" s="21" t="s">
        <v>917</v>
      </c>
      <c r="G83" s="15"/>
      <c r="H83" s="92"/>
    </row>
    <row r="84" spans="1:9" ht="51">
      <c r="A84" s="117"/>
      <c r="B84" s="55" t="s">
        <v>988</v>
      </c>
      <c r="G84" s="15"/>
      <c r="H84" s="92"/>
    </row>
    <row r="85" spans="1:9" ht="25.5">
      <c r="A85" s="117"/>
      <c r="B85" s="55" t="s">
        <v>989</v>
      </c>
      <c r="G85" s="15"/>
      <c r="H85" s="92"/>
    </row>
    <row r="86" spans="1:9" ht="25.5">
      <c r="A86" s="117"/>
      <c r="B86" s="21" t="s">
        <v>916</v>
      </c>
      <c r="C86" s="1" t="s">
        <v>110</v>
      </c>
      <c r="D86" s="96">
        <v>8</v>
      </c>
      <c r="E86" s="96">
        <v>8</v>
      </c>
      <c r="F86" s="96">
        <v>8</v>
      </c>
      <c r="G86" s="15">
        <v>8</v>
      </c>
      <c r="H86" s="92"/>
      <c r="I86" s="306">
        <f t="shared" ref="I86" si="4">(D86+E86+F86+G86)*H86</f>
        <v>0</v>
      </c>
    </row>
    <row r="87" spans="1:9">
      <c r="A87" s="90"/>
      <c r="B87" s="21"/>
      <c r="G87" s="15"/>
      <c r="H87" s="92"/>
    </row>
    <row r="88" spans="1:9" ht="15">
      <c r="A88" s="89">
        <f>+MAX($A$1:A80)+0.1</f>
        <v>7.3999999999999986</v>
      </c>
      <c r="B88" s="76" t="s">
        <v>896</v>
      </c>
      <c r="C88" s="76"/>
      <c r="D88" s="13"/>
      <c r="E88" s="13"/>
      <c r="F88" s="13"/>
      <c r="G88" s="11"/>
      <c r="H88" s="13"/>
      <c r="I88" s="321"/>
    </row>
    <row r="89" spans="1:9">
      <c r="A89" s="90"/>
      <c r="B89" s="21"/>
      <c r="G89" s="15"/>
      <c r="H89" s="92"/>
    </row>
    <row r="90" spans="1:9" ht="15.75" thickBot="1">
      <c r="A90" s="90" t="s">
        <v>39</v>
      </c>
      <c r="B90" s="54" t="s">
        <v>897</v>
      </c>
      <c r="G90" s="15"/>
      <c r="H90" s="92"/>
    </row>
    <row r="91" spans="1:9">
      <c r="A91" s="90"/>
      <c r="B91" s="21"/>
      <c r="G91" s="15"/>
      <c r="H91" s="92"/>
    </row>
    <row r="92" spans="1:9">
      <c r="A92" s="90"/>
      <c r="B92" s="48" t="s">
        <v>918</v>
      </c>
      <c r="G92" s="15"/>
      <c r="H92" s="92"/>
    </row>
    <row r="93" spans="1:9" ht="89.25">
      <c r="A93" s="90"/>
      <c r="B93" s="21" t="s">
        <v>898</v>
      </c>
      <c r="G93" s="15"/>
      <c r="H93" s="92"/>
    </row>
    <row r="94" spans="1:9">
      <c r="A94" s="90"/>
      <c r="B94" s="21" t="s">
        <v>899</v>
      </c>
      <c r="C94" s="1" t="s">
        <v>110</v>
      </c>
      <c r="F94" s="96">
        <v>1</v>
      </c>
      <c r="G94" s="15"/>
      <c r="H94" s="92"/>
      <c r="I94" s="306">
        <f t="shared" ref="I94" si="5">(D94+E94+F94+G94)*H94</f>
        <v>0</v>
      </c>
    </row>
    <row r="95" spans="1:9">
      <c r="A95" s="90"/>
      <c r="B95" s="21"/>
      <c r="G95" s="15"/>
      <c r="H95" s="92"/>
    </row>
    <row r="96" spans="1:9">
      <c r="A96" s="90"/>
      <c r="B96" s="48" t="s">
        <v>919</v>
      </c>
      <c r="G96" s="15"/>
      <c r="H96" s="92"/>
    </row>
    <row r="97" spans="1:9">
      <c r="A97" s="90"/>
      <c r="B97" s="21" t="s">
        <v>993</v>
      </c>
      <c r="G97" s="15"/>
      <c r="H97" s="92"/>
    </row>
    <row r="98" spans="1:9">
      <c r="A98" s="90"/>
      <c r="B98" s="21" t="s">
        <v>900</v>
      </c>
      <c r="C98" s="1" t="s">
        <v>110</v>
      </c>
      <c r="F98" s="96">
        <v>1</v>
      </c>
      <c r="G98" s="15"/>
      <c r="H98" s="92"/>
      <c r="I98" s="306">
        <f t="shared" ref="I98" si="6">(D98+E98+F98+G98)*H98</f>
        <v>0</v>
      </c>
    </row>
    <row r="99" spans="1:9">
      <c r="A99" s="90"/>
      <c r="B99" s="21"/>
      <c r="G99" s="15"/>
      <c r="H99" s="92"/>
    </row>
    <row r="100" spans="1:9">
      <c r="A100" s="90"/>
      <c r="B100" s="48" t="s">
        <v>920</v>
      </c>
      <c r="G100" s="15"/>
      <c r="H100" s="92"/>
    </row>
    <row r="101" spans="1:9" ht="76.5">
      <c r="A101" s="90"/>
      <c r="B101" s="21" t="s">
        <v>994</v>
      </c>
      <c r="G101" s="15"/>
      <c r="H101" s="92"/>
    </row>
    <row r="102" spans="1:9">
      <c r="A102" s="90"/>
      <c r="B102" s="21" t="s">
        <v>901</v>
      </c>
      <c r="C102" s="1" t="s">
        <v>110</v>
      </c>
      <c r="F102" s="96">
        <v>1</v>
      </c>
      <c r="G102" s="15"/>
      <c r="H102" s="92"/>
      <c r="I102" s="306">
        <f t="shared" ref="I102" si="7">(D102+E102+F102+G102)*H102</f>
        <v>0</v>
      </c>
    </row>
    <row r="103" spans="1:9" ht="13.5" thickBot="1">
      <c r="A103" s="90"/>
      <c r="B103" s="21"/>
      <c r="G103" s="15"/>
      <c r="H103" s="92"/>
    </row>
    <row r="104" spans="1:9" ht="21.75" thickBot="1">
      <c r="A104" s="609" t="s">
        <v>78</v>
      </c>
      <c r="B104" s="51" t="s">
        <v>241</v>
      </c>
      <c r="C104" s="52"/>
      <c r="D104" s="17"/>
      <c r="E104" s="17"/>
      <c r="F104" s="17"/>
      <c r="G104" s="104"/>
      <c r="H104" s="348"/>
      <c r="I104" s="322">
        <f>SUM(I55:I102)</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headerFooter>
  <rowBreaks count="2" manualBreakCount="2">
    <brk id="30" max="16383" man="1"/>
    <brk id="4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31"/>
  <sheetViews>
    <sheetView view="pageBreakPreview" topLeftCell="A20" zoomScale="120" zoomScaleNormal="100" zoomScaleSheetLayoutView="120" workbookViewId="0">
      <selection activeCell="A31" sqref="A31"/>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6.285156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165</v>
      </c>
      <c r="B3" s="39" t="s">
        <v>735</v>
      </c>
      <c r="C3" s="37"/>
      <c r="D3" s="18"/>
      <c r="E3" s="18"/>
      <c r="F3" s="18"/>
      <c r="G3" s="101"/>
      <c r="H3" s="101"/>
      <c r="I3" s="320"/>
    </row>
    <row r="4" spans="1:9">
      <c r="A4" s="90"/>
      <c r="B4" s="21"/>
      <c r="G4" s="15"/>
      <c r="H4" s="92"/>
    </row>
    <row r="5" spans="1:9" ht="63.75">
      <c r="A5" s="90"/>
      <c r="B5" t="s">
        <v>737</v>
      </c>
      <c r="G5" s="15"/>
      <c r="H5" s="92"/>
    </row>
    <row r="6" spans="1:9">
      <c r="A6" s="90"/>
      <c r="B6"/>
      <c r="G6" s="15"/>
      <c r="H6" s="92"/>
    </row>
    <row r="7" spans="1:9" ht="229.5">
      <c r="A7" s="90"/>
      <c r="B7" t="s">
        <v>759</v>
      </c>
      <c r="G7" s="15"/>
      <c r="H7" s="92"/>
    </row>
    <row r="8" spans="1:9" ht="89.25">
      <c r="A8" s="90"/>
      <c r="B8" t="s">
        <v>736</v>
      </c>
      <c r="G8" s="15"/>
      <c r="H8" s="92"/>
    </row>
    <row r="9" spans="1:9" ht="38.25">
      <c r="A9" s="90"/>
      <c r="B9" t="s">
        <v>995</v>
      </c>
      <c r="G9" s="15"/>
      <c r="H9" s="92"/>
    </row>
    <row r="10" spans="1:9">
      <c r="A10" s="90"/>
      <c r="B10"/>
      <c r="G10" s="15"/>
      <c r="H10" s="92"/>
    </row>
    <row r="11" spans="1:9" ht="15">
      <c r="A11" s="89">
        <v>8.1</v>
      </c>
      <c r="B11" s="76" t="s">
        <v>755</v>
      </c>
      <c r="C11" s="76"/>
      <c r="D11" s="13"/>
      <c r="E11" s="13"/>
      <c r="F11" s="13"/>
      <c r="G11" s="11"/>
      <c r="H11" s="13"/>
      <c r="I11" s="321"/>
    </row>
    <row r="12" spans="1:9">
      <c r="A12" s="90"/>
      <c r="B12" s="21"/>
      <c r="G12" s="15"/>
      <c r="H12" s="92"/>
    </row>
    <row r="13" spans="1:9" ht="51">
      <c r="A13" s="90"/>
      <c r="B13" t="s">
        <v>997</v>
      </c>
      <c r="G13" s="15"/>
      <c r="H13" s="92"/>
    </row>
    <row r="14" spans="1:9">
      <c r="A14" s="90"/>
      <c r="B14" t="s">
        <v>996</v>
      </c>
      <c r="G14" s="15"/>
      <c r="H14" s="92"/>
    </row>
    <row r="15" spans="1:9">
      <c r="A15" s="90"/>
      <c r="B15" t="s">
        <v>756</v>
      </c>
      <c r="C15" s="1" t="s">
        <v>129</v>
      </c>
      <c r="D15" s="96">
        <v>63</v>
      </c>
      <c r="E15" s="96">
        <v>73</v>
      </c>
      <c r="F15" s="96">
        <v>85</v>
      </c>
      <c r="G15" s="15">
        <v>73</v>
      </c>
      <c r="H15" s="92"/>
      <c r="I15" s="306">
        <f t="shared" ref="I15" si="0">(D15+E15+F15+G15)*H15</f>
        <v>0</v>
      </c>
    </row>
    <row r="16" spans="1:9">
      <c r="A16" s="90"/>
      <c r="B16" s="21"/>
      <c r="G16" s="15"/>
      <c r="H16" s="92"/>
    </row>
    <row r="17" spans="1:9" ht="15">
      <c r="A17" s="89">
        <f>+MAX($A$1:A15)+0.1</f>
        <v>8.1999999999999993</v>
      </c>
      <c r="B17" s="76" t="s">
        <v>758</v>
      </c>
      <c r="C17" s="76"/>
      <c r="D17" s="13"/>
      <c r="E17" s="13"/>
      <c r="F17" s="13"/>
      <c r="G17" s="11"/>
      <c r="H17" s="13"/>
      <c r="I17" s="321"/>
    </row>
    <row r="18" spans="1:9">
      <c r="A18" s="90"/>
      <c r="B18" s="21"/>
      <c r="G18" s="15"/>
      <c r="H18" s="92"/>
    </row>
    <row r="19" spans="1:9" ht="76.5">
      <c r="A19" s="90"/>
      <c r="B19" t="s">
        <v>999</v>
      </c>
      <c r="G19" s="15"/>
      <c r="H19" s="92"/>
    </row>
    <row r="20" spans="1:9" ht="38.25">
      <c r="A20" s="90"/>
      <c r="B20" t="s">
        <v>757</v>
      </c>
      <c r="G20" s="15"/>
      <c r="H20" s="92"/>
    </row>
    <row r="21" spans="1:9">
      <c r="A21" s="90"/>
      <c r="B21" t="s">
        <v>756</v>
      </c>
      <c r="G21" s="15"/>
      <c r="H21" s="92"/>
    </row>
    <row r="22" spans="1:9">
      <c r="A22" s="90"/>
      <c r="B22" t="s">
        <v>998</v>
      </c>
      <c r="C22" s="1" t="s">
        <v>129</v>
      </c>
      <c r="D22" s="96">
        <v>210</v>
      </c>
      <c r="E22" s="96">
        <v>250</v>
      </c>
      <c r="F22" s="96">
        <v>290</v>
      </c>
      <c r="G22" s="15">
        <v>305</v>
      </c>
      <c r="H22" s="92"/>
      <c r="I22" s="306">
        <f t="shared" ref="I22" si="1">(D22+E22+F22+G22)*H22</f>
        <v>0</v>
      </c>
    </row>
    <row r="23" spans="1:9">
      <c r="A23" s="90"/>
      <c r="B23" t="s">
        <v>1000</v>
      </c>
      <c r="C23" s="1" t="s">
        <v>129</v>
      </c>
      <c r="F23" s="96">
        <v>15</v>
      </c>
      <c r="G23" s="15"/>
      <c r="H23" s="92"/>
      <c r="I23" s="306">
        <f t="shared" ref="I23" si="2">(D23+E23+F23+G23)*H23</f>
        <v>0</v>
      </c>
    </row>
    <row r="24" spans="1:9">
      <c r="A24" s="90"/>
      <c r="B24" s="21"/>
      <c r="G24" s="15"/>
      <c r="H24" s="92"/>
    </row>
    <row r="25" spans="1:9" ht="15">
      <c r="A25" s="89">
        <f>+MAX($A$1:A24)+0.1</f>
        <v>8.2999999999999989</v>
      </c>
      <c r="B25" s="76" t="s">
        <v>785</v>
      </c>
      <c r="C25" s="76"/>
      <c r="D25" s="13"/>
      <c r="E25" s="13"/>
      <c r="F25" s="13"/>
      <c r="G25" s="11"/>
      <c r="H25" s="13"/>
      <c r="I25" s="321"/>
    </row>
    <row r="26" spans="1:9">
      <c r="A26" s="90"/>
      <c r="B26" s="21"/>
      <c r="G26" s="15"/>
      <c r="H26" s="92"/>
    </row>
    <row r="27" spans="1:9" ht="51">
      <c r="A27" s="90" t="s">
        <v>39</v>
      </c>
      <c r="B27" s="21" t="s">
        <v>1001</v>
      </c>
      <c r="C27" s="1" t="s">
        <v>110</v>
      </c>
      <c r="D27" s="96">
        <v>28</v>
      </c>
      <c r="E27" s="96">
        <v>31</v>
      </c>
      <c r="F27" s="96">
        <v>45</v>
      </c>
      <c r="G27" s="15">
        <v>39</v>
      </c>
      <c r="H27" s="92"/>
      <c r="I27" s="306">
        <f>(D27+E27+F27+G27)*H27</f>
        <v>0</v>
      </c>
    </row>
    <row r="28" spans="1:9" ht="38.25">
      <c r="A28" s="90" t="s">
        <v>41</v>
      </c>
      <c r="B28" s="58" t="s">
        <v>1002</v>
      </c>
      <c r="G28" s="15"/>
      <c r="H28" s="92"/>
    </row>
    <row r="29" spans="1:9">
      <c r="A29" s="90"/>
      <c r="B29" s="21" t="s">
        <v>117</v>
      </c>
      <c r="C29" s="1" t="s">
        <v>110</v>
      </c>
      <c r="D29" s="96">
        <v>8</v>
      </c>
      <c r="E29" s="96">
        <v>10</v>
      </c>
      <c r="F29" s="96">
        <v>14</v>
      </c>
      <c r="G29" s="15">
        <v>10</v>
      </c>
      <c r="H29" s="92"/>
      <c r="I29" s="306">
        <f t="shared" ref="I29" si="3">(D29+E29+F29+G29)*H29</f>
        <v>0</v>
      </c>
    </row>
    <row r="30" spans="1:9" ht="13.5" thickBot="1">
      <c r="A30" s="90"/>
      <c r="B30" s="21"/>
      <c r="G30" s="15"/>
      <c r="H30" s="92"/>
    </row>
    <row r="31" spans="1:9" ht="21.75" thickBot="1">
      <c r="A31" s="609" t="s">
        <v>165</v>
      </c>
      <c r="B31" s="51" t="s">
        <v>733</v>
      </c>
      <c r="C31" s="52"/>
      <c r="D31" s="17"/>
      <c r="E31" s="17"/>
      <c r="F31" s="17"/>
      <c r="G31" s="104"/>
      <c r="H31" s="348"/>
      <c r="I31" s="322">
        <f>SUM(I13:I29)</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&amp;L&amp;K01+045Troškovnik&amp;C&amp;"-,Podebljano"&amp;K01+045PROJEKT ARHITEKTURE
Građevinsko - zanatski radovi&amp;R&amp;K01+045STAMBENO - POSLOVNA GRAĐEVINA, BLATO</oddHeader>
    <oddFooter>&amp;C&amp;K00-047V V - PROJEKT d.o.o. Put Supavla 1, 21000 Split, tel/fax: 021/322-249</oddFooter>
    <firstFooter>&amp;C&amp;K00-049V V - PROJEKT d.o.o. Put Supavla 1, 21000 Split, tel/fax: 021/322-249</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56"/>
  <sheetViews>
    <sheetView view="pageBreakPreview" topLeftCell="A48" zoomScale="120" zoomScaleNormal="100" zoomScaleSheetLayoutView="120" workbookViewId="0">
      <selection activeCell="A56" sqref="A56"/>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4.57031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205</v>
      </c>
      <c r="B3" s="39" t="s">
        <v>594</v>
      </c>
      <c r="C3" s="37"/>
      <c r="D3" s="18"/>
      <c r="E3" s="18"/>
      <c r="F3" s="18"/>
      <c r="G3" s="101"/>
      <c r="H3" s="101"/>
      <c r="I3" s="320"/>
    </row>
    <row r="4" spans="1:9">
      <c r="A4" s="90"/>
      <c r="B4" s="21"/>
      <c r="G4" s="15"/>
      <c r="H4" s="92"/>
    </row>
    <row r="5" spans="1:9" ht="63.75">
      <c r="A5" s="90"/>
      <c r="B5" s="55" t="s">
        <v>596</v>
      </c>
      <c r="G5" s="15"/>
      <c r="H5" s="92"/>
    </row>
    <row r="6" spans="1:9">
      <c r="A6" s="90"/>
      <c r="B6" s="55"/>
      <c r="G6" s="15"/>
      <c r="H6" s="92"/>
    </row>
    <row r="7" spans="1:9" ht="89.25">
      <c r="A7" s="90"/>
      <c r="B7" t="s">
        <v>618</v>
      </c>
      <c r="G7" s="15"/>
      <c r="H7" s="92"/>
    </row>
    <row r="8" spans="1:9" ht="38.25">
      <c r="A8" s="90"/>
      <c r="B8" t="s">
        <v>619</v>
      </c>
      <c r="G8" s="15"/>
      <c r="H8" s="92"/>
    </row>
    <row r="9" spans="1:9">
      <c r="A9" s="90"/>
      <c r="B9" s="21"/>
      <c r="G9" s="15"/>
      <c r="H9" s="92"/>
    </row>
    <row r="10" spans="1:9" ht="38.25">
      <c r="A10" s="90"/>
      <c r="B10" s="21" t="s">
        <v>617</v>
      </c>
      <c r="G10" s="15"/>
      <c r="H10" s="92"/>
    </row>
    <row r="11" spans="1:9">
      <c r="A11" s="90"/>
      <c r="B11" s="21"/>
      <c r="G11" s="15"/>
      <c r="H11" s="92"/>
    </row>
    <row r="12" spans="1:9" ht="140.25">
      <c r="A12" s="90"/>
      <c r="B12" s="21" t="s">
        <v>604</v>
      </c>
      <c r="G12" s="15"/>
      <c r="H12" s="92"/>
    </row>
    <row r="13" spans="1:9">
      <c r="A13" s="90"/>
      <c r="B13" s="21"/>
      <c r="G13" s="15"/>
      <c r="H13" s="92"/>
    </row>
    <row r="14" spans="1:9" ht="76.5">
      <c r="A14" s="90"/>
      <c r="B14" s="48" t="s">
        <v>1004</v>
      </c>
      <c r="G14" s="15"/>
      <c r="H14" s="92"/>
    </row>
    <row r="15" spans="1:9">
      <c r="A15" s="90"/>
      <c r="B15" s="48"/>
      <c r="G15" s="15"/>
      <c r="H15" s="92"/>
    </row>
    <row r="16" spans="1:9" ht="102">
      <c r="A16" s="90"/>
      <c r="B16" s="3" t="s">
        <v>1003</v>
      </c>
      <c r="G16" s="15"/>
      <c r="H16" s="92"/>
    </row>
    <row r="17" spans="1:9">
      <c r="A17" s="90"/>
      <c r="B17" s="55"/>
      <c r="G17" s="15"/>
      <c r="H17" s="92"/>
    </row>
    <row r="18" spans="1:9" ht="38.25">
      <c r="A18" s="90"/>
      <c r="B18" s="55" t="s">
        <v>1005</v>
      </c>
      <c r="G18" s="15"/>
      <c r="H18" s="92"/>
    </row>
    <row r="19" spans="1:9" ht="51">
      <c r="A19" s="90"/>
      <c r="B19" s="55" t="s">
        <v>595</v>
      </c>
      <c r="G19" s="15"/>
      <c r="H19" s="92"/>
    </row>
    <row r="20" spans="1:9" ht="89.25">
      <c r="A20" s="90"/>
      <c r="B20" s="55" t="s">
        <v>599</v>
      </c>
      <c r="G20" s="15"/>
      <c r="H20" s="92"/>
    </row>
    <row r="21" spans="1:9" ht="51">
      <c r="A21" s="90"/>
      <c r="B21" s="55" t="s">
        <v>600</v>
      </c>
      <c r="G21" s="15"/>
      <c r="H21" s="92"/>
    </row>
    <row r="22" spans="1:9" ht="51">
      <c r="A22" s="90"/>
      <c r="B22" s="55" t="s">
        <v>603</v>
      </c>
      <c r="G22" s="15"/>
      <c r="H22" s="92"/>
    </row>
    <row r="23" spans="1:9">
      <c r="A23" s="90"/>
      <c r="B23" s="75"/>
      <c r="G23" s="15"/>
      <c r="H23" s="92"/>
    </row>
    <row r="24" spans="1:9">
      <c r="A24" s="90"/>
      <c r="B24" s="3" t="s">
        <v>597</v>
      </c>
      <c r="G24" s="15"/>
      <c r="H24" s="92"/>
    </row>
    <row r="25" spans="1:9" ht="178.5">
      <c r="A25" s="90"/>
      <c r="B25" s="55" t="s">
        <v>598</v>
      </c>
      <c r="G25" s="15"/>
      <c r="H25" s="92"/>
    </row>
    <row r="26" spans="1:9">
      <c r="A26" s="90"/>
      <c r="B26" s="75"/>
      <c r="G26" s="15"/>
      <c r="H26" s="92"/>
    </row>
    <row r="27" spans="1:9">
      <c r="A27" s="90"/>
      <c r="B27" s="2" t="s">
        <v>602</v>
      </c>
      <c r="G27" s="15"/>
      <c r="H27" s="92"/>
    </row>
    <row r="28" spans="1:9" ht="89.25">
      <c r="A28" s="90"/>
      <c r="B28" s="75" t="s">
        <v>601</v>
      </c>
      <c r="G28" s="15"/>
      <c r="H28" s="92"/>
    </row>
    <row r="29" spans="1:9">
      <c r="A29" s="90"/>
      <c r="B29" s="75"/>
      <c r="G29" s="15"/>
      <c r="H29" s="92"/>
    </row>
    <row r="30" spans="1:9" ht="165.75">
      <c r="A30" s="90"/>
      <c r="B30" s="75" t="s">
        <v>1006</v>
      </c>
      <c r="G30" s="15"/>
      <c r="H30" s="92"/>
    </row>
    <row r="31" spans="1:9" ht="15">
      <c r="A31" s="89">
        <v>9.1</v>
      </c>
      <c r="B31" s="76" t="s">
        <v>606</v>
      </c>
      <c r="C31" s="76"/>
      <c r="D31" s="13"/>
      <c r="E31" s="13"/>
      <c r="F31" s="13"/>
      <c r="G31" s="11"/>
      <c r="H31" s="13"/>
      <c r="I31" s="321"/>
    </row>
    <row r="32" spans="1:9">
      <c r="A32" s="90"/>
      <c r="B32" s="21"/>
      <c r="G32" s="15"/>
      <c r="H32" s="92"/>
    </row>
    <row r="33" spans="1:9" ht="76.5">
      <c r="A33" s="90"/>
      <c r="B33" s="21" t="s">
        <v>1008</v>
      </c>
      <c r="G33" s="106"/>
      <c r="H33" s="92"/>
    </row>
    <row r="34" spans="1:9" ht="25.5">
      <c r="A34" s="90"/>
      <c r="B34" s="55" t="s">
        <v>610</v>
      </c>
      <c r="G34" s="15"/>
      <c r="H34" s="92"/>
    </row>
    <row r="35" spans="1:9">
      <c r="A35" s="90"/>
      <c r="B35" s="55" t="s">
        <v>609</v>
      </c>
      <c r="C35" s="1" t="s">
        <v>110</v>
      </c>
      <c r="D35" s="96">
        <v>27</v>
      </c>
      <c r="E35" s="96">
        <v>33</v>
      </c>
      <c r="F35" s="96">
        <v>42</v>
      </c>
      <c r="G35" s="15">
        <v>39</v>
      </c>
      <c r="H35" s="92"/>
      <c r="I35" s="306">
        <f t="shared" ref="I35:I37" si="0">(D35+E35+F35+G35)*H35</f>
        <v>0</v>
      </c>
    </row>
    <row r="36" spans="1:9">
      <c r="A36" s="90"/>
      <c r="B36" s="55" t="s">
        <v>1007</v>
      </c>
      <c r="C36" s="1" t="s">
        <v>110</v>
      </c>
      <c r="D36" s="96">
        <v>31</v>
      </c>
      <c r="E36" s="96">
        <v>33</v>
      </c>
      <c r="F36" s="96">
        <v>49</v>
      </c>
      <c r="G36" s="15">
        <v>43</v>
      </c>
      <c r="H36" s="92"/>
      <c r="I36" s="306">
        <f t="shared" si="0"/>
        <v>0</v>
      </c>
    </row>
    <row r="37" spans="1:9">
      <c r="A37" s="90"/>
      <c r="B37" s="55" t="s">
        <v>611</v>
      </c>
      <c r="C37" s="1" t="s">
        <v>110</v>
      </c>
      <c r="D37" s="96">
        <v>5</v>
      </c>
      <c r="E37" s="96">
        <v>1</v>
      </c>
      <c r="G37" s="15"/>
      <c r="H37" s="92"/>
      <c r="I37" s="306">
        <f t="shared" si="0"/>
        <v>0</v>
      </c>
    </row>
    <row r="38" spans="1:9">
      <c r="A38" s="90"/>
      <c r="B38" s="55"/>
      <c r="G38" s="15"/>
      <c r="H38" s="92"/>
    </row>
    <row r="39" spans="1:9" ht="15">
      <c r="A39" s="89">
        <f>+MAX($A$1:A38)+0.1</f>
        <v>9.1999999999999993</v>
      </c>
      <c r="B39" s="76" t="s">
        <v>637</v>
      </c>
      <c r="C39" s="76"/>
      <c r="D39" s="13"/>
      <c r="E39" s="13"/>
      <c r="F39" s="13"/>
      <c r="G39" s="11"/>
      <c r="H39" s="13"/>
      <c r="I39" s="321"/>
    </row>
    <row r="40" spans="1:9">
      <c r="A40" s="90"/>
      <c r="B40" s="21"/>
      <c r="G40" s="15"/>
      <c r="H40" s="92"/>
    </row>
    <row r="41" spans="1:9" ht="38.25">
      <c r="A41" s="90"/>
      <c r="B41" s="21" t="s">
        <v>638</v>
      </c>
      <c r="G41" s="15"/>
      <c r="H41" s="92"/>
    </row>
    <row r="42" spans="1:9" ht="140.25">
      <c r="A42" s="90"/>
      <c r="B42" s="21" t="s">
        <v>1009</v>
      </c>
      <c r="G42" s="15"/>
      <c r="H42" s="92"/>
    </row>
    <row r="43" spans="1:9">
      <c r="A43" s="90"/>
      <c r="B43" s="55" t="s">
        <v>639</v>
      </c>
      <c r="C43" s="1" t="s">
        <v>110</v>
      </c>
      <c r="D43" s="96">
        <v>4</v>
      </c>
      <c r="F43" s="96">
        <v>4</v>
      </c>
      <c r="G43" s="15">
        <v>4</v>
      </c>
      <c r="H43" s="92"/>
      <c r="I43" s="306">
        <f t="shared" ref="I43" si="1">(D43+E43+F43+G43)*H43</f>
        <v>0</v>
      </c>
    </row>
    <row r="44" spans="1:9">
      <c r="A44" s="90"/>
      <c r="B44" s="55" t="s">
        <v>640</v>
      </c>
      <c r="C44" s="1" t="s">
        <v>110</v>
      </c>
      <c r="D44" s="96">
        <v>4</v>
      </c>
      <c r="G44" s="15"/>
      <c r="H44" s="92"/>
      <c r="I44" s="306">
        <f t="shared" ref="I44:I45" si="2">(D44+E44+F44+G44)*H44</f>
        <v>0</v>
      </c>
    </row>
    <row r="45" spans="1:9">
      <c r="A45" s="90"/>
      <c r="B45" s="55" t="s">
        <v>641</v>
      </c>
      <c r="C45" s="1" t="s">
        <v>110</v>
      </c>
      <c r="D45" s="96">
        <v>3</v>
      </c>
      <c r="E45" s="96">
        <v>7</v>
      </c>
      <c r="F45" s="96">
        <v>8</v>
      </c>
      <c r="G45" s="15">
        <v>8</v>
      </c>
      <c r="H45" s="92"/>
      <c r="I45" s="306">
        <f t="shared" si="2"/>
        <v>0</v>
      </c>
    </row>
    <row r="46" spans="1:9">
      <c r="A46" s="90"/>
      <c r="B46" s="55" t="s">
        <v>642</v>
      </c>
      <c r="C46" s="1" t="s">
        <v>110</v>
      </c>
      <c r="E46" s="96">
        <v>4</v>
      </c>
      <c r="F46" s="96">
        <v>4</v>
      </c>
      <c r="G46" s="15">
        <v>4</v>
      </c>
      <c r="H46" s="92"/>
      <c r="I46" s="306">
        <f t="shared" ref="I46" si="3">(D46+E46+F46+G46)*H46</f>
        <v>0</v>
      </c>
    </row>
    <row r="47" spans="1:9">
      <c r="A47" s="90"/>
      <c r="B47" s="21"/>
      <c r="G47" s="15"/>
      <c r="H47" s="92"/>
    </row>
    <row r="48" spans="1:9" ht="15">
      <c r="A48" s="89">
        <f>+MAX($A$1:A47)+0.1</f>
        <v>9.2999999999999989</v>
      </c>
      <c r="B48" s="76" t="s">
        <v>608</v>
      </c>
      <c r="C48" s="76"/>
      <c r="D48" s="13"/>
      <c r="E48" s="13"/>
      <c r="F48" s="13"/>
      <c r="G48" s="11"/>
      <c r="H48" s="13"/>
      <c r="I48" s="321"/>
    </row>
    <row r="49" spans="1:9">
      <c r="A49" s="90"/>
      <c r="B49" s="21"/>
      <c r="G49" s="15"/>
      <c r="H49" s="92"/>
    </row>
    <row r="50" spans="1:9">
      <c r="A50" s="90"/>
      <c r="B50" s="21" t="s">
        <v>612</v>
      </c>
      <c r="G50" s="15"/>
      <c r="H50" s="92"/>
    </row>
    <row r="51" spans="1:9" ht="102">
      <c r="A51" s="90"/>
      <c r="B51" s="21" t="s">
        <v>613</v>
      </c>
      <c r="G51" s="15"/>
      <c r="H51" s="92"/>
    </row>
    <row r="52" spans="1:9">
      <c r="A52" s="90"/>
      <c r="B52" s="55" t="s">
        <v>111</v>
      </c>
      <c r="C52" s="1" t="s">
        <v>110</v>
      </c>
      <c r="D52" s="96">
        <v>1</v>
      </c>
      <c r="E52" s="96">
        <v>1</v>
      </c>
      <c r="F52" s="96">
        <v>1</v>
      </c>
      <c r="G52" s="15">
        <v>1</v>
      </c>
      <c r="H52" s="92"/>
      <c r="I52" s="306">
        <f t="shared" ref="I52" si="4">(D52+E52+F52+G52)*H52</f>
        <v>0</v>
      </c>
    </row>
    <row r="53" spans="1:9">
      <c r="A53" s="90"/>
      <c r="B53" s="55"/>
      <c r="G53" s="15"/>
      <c r="H53" s="92"/>
    </row>
    <row r="54" spans="1:9">
      <c r="A54" s="90"/>
      <c r="B54" s="21"/>
      <c r="G54" s="15"/>
      <c r="H54" s="92"/>
    </row>
    <row r="55" spans="1:9" ht="13.5" thickBot="1">
      <c r="A55" s="90"/>
      <c r="B55" s="21"/>
      <c r="G55" s="15"/>
      <c r="H55" s="92"/>
    </row>
    <row r="56" spans="1:9" ht="21.75" thickBot="1">
      <c r="A56" s="609" t="s">
        <v>205</v>
      </c>
      <c r="B56" s="51" t="s">
        <v>607</v>
      </c>
      <c r="C56" s="52"/>
      <c r="D56" s="17"/>
      <c r="E56" s="17"/>
      <c r="F56" s="17"/>
      <c r="G56" s="104"/>
      <c r="H56" s="348"/>
      <c r="I56" s="322">
        <f>SUM(I4:I54)</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firstHeader>&amp;L&amp;K00-047Troškovnik&amp;C&amp;"-,Podebljano"&amp;K00-048PROJEKT ARHITEKTURE
Građevinsko - zanatski radovi&amp;R&amp;K00-049STAMBENO - POSLOVNA GRAĐEVINA, BLATO</firstHeader>
  </headerFooter>
  <rowBreaks count="2" manualBreakCount="2">
    <brk id="18" max="16383" man="1"/>
    <brk id="30"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57"/>
  <sheetViews>
    <sheetView view="pageBreakPreview" topLeftCell="A52" zoomScale="120" zoomScaleNormal="100" zoomScaleSheetLayoutView="120" workbookViewId="0">
      <selection activeCell="A57" sqref="A57"/>
    </sheetView>
  </sheetViews>
  <sheetFormatPr defaultColWidth="2.28515625" defaultRowHeight="12.75"/>
  <cols>
    <col min="1" max="1" width="6" style="40" customWidth="1"/>
    <col min="2" max="2" width="45" style="56" customWidth="1"/>
    <col min="3" max="3" width="5.5703125" style="1" customWidth="1"/>
    <col min="4" max="4" width="8.5703125" style="96" customWidth="1"/>
    <col min="5" max="5" width="9.140625" style="96" customWidth="1"/>
    <col min="6" max="6" width="9.7109375" style="96" customWidth="1"/>
    <col min="7" max="7" width="9.5703125" style="102" customWidth="1"/>
    <col min="8" max="8" width="10.140625" style="15" customWidth="1"/>
    <col min="9" max="9" width="10.57031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206</v>
      </c>
      <c r="B3" s="39" t="s">
        <v>614</v>
      </c>
      <c r="C3" s="37"/>
      <c r="D3" s="18"/>
      <c r="E3" s="18"/>
      <c r="F3" s="18"/>
      <c r="G3" s="101"/>
      <c r="H3" s="101"/>
      <c r="I3" s="320"/>
    </row>
    <row r="4" spans="1:9">
      <c r="A4" s="90"/>
      <c r="B4" s="21"/>
      <c r="G4" s="15"/>
      <c r="H4" s="92"/>
    </row>
    <row r="5" spans="1:9" ht="38.25">
      <c r="A5" s="90"/>
      <c r="B5" s="55" t="s">
        <v>615</v>
      </c>
      <c r="G5" s="15"/>
      <c r="H5" s="92"/>
    </row>
    <row r="6" spans="1:9" ht="63.75">
      <c r="A6" s="90"/>
      <c r="B6" s="55" t="s">
        <v>605</v>
      </c>
      <c r="G6" s="15"/>
      <c r="H6" s="92"/>
    </row>
    <row r="7" spans="1:9" ht="38.25">
      <c r="A7" s="90"/>
      <c r="B7" t="s">
        <v>616</v>
      </c>
      <c r="G7" s="15"/>
      <c r="H7" s="92"/>
    </row>
    <row r="8" spans="1:9" ht="38.25">
      <c r="A8" s="90"/>
      <c r="B8" s="21" t="s">
        <v>617</v>
      </c>
      <c r="G8" s="15"/>
      <c r="H8" s="92"/>
    </row>
    <row r="9" spans="1:9" ht="51">
      <c r="A9" s="90"/>
      <c r="B9" s="21" t="s">
        <v>779</v>
      </c>
      <c r="G9" s="15"/>
      <c r="H9" s="92"/>
    </row>
    <row r="10" spans="1:9">
      <c r="A10" s="90"/>
      <c r="B10" s="21"/>
      <c r="G10" s="15"/>
      <c r="H10" s="92"/>
    </row>
    <row r="11" spans="1:9" ht="140.25">
      <c r="A11" s="90"/>
      <c r="B11" s="21" t="s">
        <v>620</v>
      </c>
      <c r="G11" s="15"/>
      <c r="H11" s="92"/>
    </row>
    <row r="12" spans="1:9">
      <c r="A12" s="90"/>
      <c r="B12" s="21"/>
      <c r="G12" s="15"/>
      <c r="H12" s="92"/>
    </row>
    <row r="13" spans="1:9" ht="280.5">
      <c r="A13" s="90"/>
      <c r="B13" s="55" t="s">
        <v>624</v>
      </c>
      <c r="G13" s="15"/>
      <c r="H13" s="92"/>
    </row>
    <row r="14" spans="1:9" ht="76.5">
      <c r="A14" s="90"/>
      <c r="B14" s="55" t="s">
        <v>625</v>
      </c>
      <c r="G14" s="15"/>
      <c r="H14" s="92"/>
    </row>
    <row r="15" spans="1:9" ht="89.25">
      <c r="A15" s="90"/>
      <c r="B15" s="55" t="s">
        <v>621</v>
      </c>
      <c r="G15" s="15"/>
      <c r="H15" s="92"/>
    </row>
    <row r="16" spans="1:9">
      <c r="A16" s="90"/>
      <c r="B16" s="55"/>
      <c r="G16" s="15"/>
      <c r="H16" s="92"/>
    </row>
    <row r="17" spans="1:9" ht="102">
      <c r="A17" s="90"/>
      <c r="B17" s="55" t="s">
        <v>622</v>
      </c>
      <c r="G17" s="15"/>
      <c r="H17" s="92"/>
    </row>
    <row r="18" spans="1:9">
      <c r="A18" s="90"/>
      <c r="B18" s="55"/>
      <c r="G18" s="15"/>
      <c r="H18" s="92"/>
    </row>
    <row r="19" spans="1:9" ht="127.5">
      <c r="A19" s="90"/>
      <c r="B19" s="55" t="s">
        <v>1010</v>
      </c>
      <c r="G19" s="15"/>
      <c r="H19" s="92"/>
    </row>
    <row r="20" spans="1:9">
      <c r="A20" s="90"/>
      <c r="B20" s="55"/>
      <c r="G20" s="15"/>
      <c r="H20" s="92"/>
    </row>
    <row r="21" spans="1:9" ht="15.75" thickBot="1">
      <c r="A21" s="90"/>
      <c r="B21" s="123" t="s">
        <v>840</v>
      </c>
      <c r="G21" s="15"/>
      <c r="H21" s="92"/>
    </row>
    <row r="22" spans="1:9" ht="127.5">
      <c r="A22" s="90"/>
      <c r="B22" s="55" t="s">
        <v>1011</v>
      </c>
      <c r="G22" s="15"/>
      <c r="H22" s="92"/>
    </row>
    <row r="23" spans="1:9">
      <c r="A23" s="90"/>
      <c r="B23" s="55"/>
      <c r="G23" s="15"/>
      <c r="H23" s="92"/>
    </row>
    <row r="24" spans="1:9" ht="15.75" thickBot="1">
      <c r="A24" s="90"/>
      <c r="B24" s="123" t="s">
        <v>841</v>
      </c>
      <c r="G24" s="15"/>
      <c r="H24" s="92"/>
    </row>
    <row r="25" spans="1:9" ht="140.25">
      <c r="A25" s="90"/>
      <c r="B25" s="55" t="s">
        <v>1012</v>
      </c>
      <c r="G25" s="15"/>
      <c r="H25" s="92"/>
    </row>
    <row r="26" spans="1:9">
      <c r="A26" s="90"/>
      <c r="B26" s="75"/>
      <c r="G26" s="15"/>
      <c r="H26" s="92"/>
    </row>
    <row r="27" spans="1:9">
      <c r="A27" s="90"/>
      <c r="B27" s="3" t="s">
        <v>1013</v>
      </c>
      <c r="G27" s="15"/>
      <c r="H27" s="92"/>
    </row>
    <row r="28" spans="1:9">
      <c r="A28" s="90"/>
      <c r="B28" s="55" t="s">
        <v>623</v>
      </c>
      <c r="G28" s="15"/>
      <c r="H28" s="92"/>
    </row>
    <row r="29" spans="1:9">
      <c r="A29" s="90"/>
      <c r="B29" s="75"/>
      <c r="G29" s="15"/>
      <c r="H29" s="92"/>
    </row>
    <row r="30" spans="1:9" ht="178.5">
      <c r="A30" s="90"/>
      <c r="B30" s="2" t="s">
        <v>1014</v>
      </c>
      <c r="G30" s="15"/>
      <c r="H30" s="92"/>
    </row>
    <row r="31" spans="1:9">
      <c r="A31" s="90"/>
      <c r="B31" s="75"/>
      <c r="G31" s="15"/>
      <c r="H31" s="92"/>
    </row>
    <row r="32" spans="1:9" ht="15">
      <c r="A32" s="89">
        <v>10.1</v>
      </c>
      <c r="B32" s="76" t="s">
        <v>626</v>
      </c>
      <c r="C32" s="76"/>
      <c r="D32" s="13"/>
      <c r="E32" s="13"/>
      <c r="F32" s="13"/>
      <c r="G32" s="11"/>
      <c r="H32" s="13"/>
      <c r="I32" s="321"/>
    </row>
    <row r="33" spans="1:9">
      <c r="A33" s="90"/>
      <c r="B33" s="21" t="s">
        <v>627</v>
      </c>
      <c r="G33" s="15"/>
      <c r="H33" s="92"/>
    </row>
    <row r="34" spans="1:9">
      <c r="A34" s="90"/>
      <c r="B34" s="21"/>
      <c r="G34" s="106"/>
      <c r="H34" s="92"/>
    </row>
    <row r="35" spans="1:9" ht="38.25">
      <c r="A35" s="90"/>
      <c r="B35" s="55" t="s">
        <v>630</v>
      </c>
      <c r="C35" s="1" t="s">
        <v>110</v>
      </c>
      <c r="D35" s="96">
        <v>25</v>
      </c>
      <c r="E35" s="96">
        <v>31</v>
      </c>
      <c r="F35" s="96">
        <v>45</v>
      </c>
      <c r="G35" s="15">
        <v>39</v>
      </c>
      <c r="H35" s="92"/>
      <c r="I35" s="306">
        <f t="shared" ref="I35:I36" si="0">(D35+E35+F35+G35)*H35</f>
        <v>0</v>
      </c>
    </row>
    <row r="36" spans="1:9" ht="38.25">
      <c r="A36" s="90"/>
      <c r="B36" s="55" t="s">
        <v>631</v>
      </c>
      <c r="C36" s="1" t="s">
        <v>110</v>
      </c>
      <c r="D36" s="96">
        <v>3</v>
      </c>
      <c r="G36" s="15"/>
      <c r="H36" s="92"/>
      <c r="I36" s="306">
        <f t="shared" si="0"/>
        <v>0</v>
      </c>
    </row>
    <row r="37" spans="1:9" ht="51">
      <c r="A37" s="90"/>
      <c r="B37" s="55" t="s">
        <v>884</v>
      </c>
      <c r="C37" s="1" t="s">
        <v>110</v>
      </c>
      <c r="G37" s="15">
        <v>3</v>
      </c>
      <c r="H37" s="92"/>
      <c r="I37" s="306">
        <f t="shared" ref="I37" si="1">(D37+E37+F37+G37)*H37</f>
        <v>0</v>
      </c>
    </row>
    <row r="38" spans="1:9">
      <c r="A38" s="90"/>
      <c r="B38" s="21"/>
      <c r="G38" s="15"/>
      <c r="H38" s="92"/>
    </row>
    <row r="39" spans="1:9" ht="15">
      <c r="A39" s="89">
        <f>+MAX($A$1:A34)+0.1</f>
        <v>10.199999999999999</v>
      </c>
      <c r="B39" s="76" t="s">
        <v>628</v>
      </c>
      <c r="C39" s="76"/>
      <c r="D39" s="13"/>
      <c r="E39" s="13"/>
      <c r="F39" s="13"/>
      <c r="G39" s="11"/>
      <c r="H39" s="13"/>
      <c r="I39" s="321"/>
    </row>
    <row r="40" spans="1:9">
      <c r="A40" s="90"/>
      <c r="B40" s="21" t="s">
        <v>627</v>
      </c>
      <c r="G40" s="15"/>
      <c r="H40" s="92"/>
    </row>
    <row r="41" spans="1:9">
      <c r="A41" s="90"/>
      <c r="B41" s="21" t="s">
        <v>842</v>
      </c>
      <c r="G41" s="15"/>
      <c r="H41" s="92"/>
    </row>
    <row r="42" spans="1:9">
      <c r="A42" s="90"/>
      <c r="B42" s="21"/>
      <c r="G42" s="15"/>
      <c r="H42" s="92"/>
    </row>
    <row r="43" spans="1:9" ht="38.25">
      <c r="A43" s="90"/>
      <c r="B43" s="55" t="s">
        <v>880</v>
      </c>
      <c r="C43" s="1" t="s">
        <v>110</v>
      </c>
      <c r="D43" s="96">
        <v>9</v>
      </c>
      <c r="E43" s="96">
        <v>15</v>
      </c>
      <c r="F43" s="96">
        <v>22</v>
      </c>
      <c r="G43" s="15">
        <v>19</v>
      </c>
      <c r="H43" s="92"/>
      <c r="I43" s="306">
        <f t="shared" ref="I43:I44" si="2">(D43+E43+F43+G43)*H43</f>
        <v>0</v>
      </c>
    </row>
    <row r="44" spans="1:9" ht="38.25">
      <c r="A44" s="90"/>
      <c r="B44" s="55" t="s">
        <v>881</v>
      </c>
      <c r="C44" s="1" t="s">
        <v>110</v>
      </c>
      <c r="D44" s="96">
        <v>9</v>
      </c>
      <c r="E44" s="96">
        <v>4</v>
      </c>
      <c r="F44" s="96">
        <v>6</v>
      </c>
      <c r="G44" s="15">
        <v>9</v>
      </c>
      <c r="H44" s="92"/>
      <c r="I44" s="306">
        <f t="shared" si="2"/>
        <v>0</v>
      </c>
    </row>
    <row r="45" spans="1:9" ht="38.25">
      <c r="A45" s="90"/>
      <c r="B45" s="55" t="s">
        <v>882</v>
      </c>
      <c r="C45" s="1" t="s">
        <v>110</v>
      </c>
      <c r="G45" s="15">
        <v>4</v>
      </c>
      <c r="H45" s="92"/>
      <c r="I45" s="306">
        <f t="shared" ref="I45:I46" si="3">(D45+E45+F45+G45)*H45</f>
        <v>0</v>
      </c>
    </row>
    <row r="46" spans="1:9" ht="38.25">
      <c r="A46" s="90"/>
      <c r="B46" s="55" t="s">
        <v>883</v>
      </c>
      <c r="C46" s="1" t="s">
        <v>110</v>
      </c>
      <c r="D46" s="96">
        <v>16</v>
      </c>
      <c r="E46" s="96">
        <v>21</v>
      </c>
      <c r="F46" s="96">
        <v>29</v>
      </c>
      <c r="G46" s="15">
        <v>27</v>
      </c>
      <c r="H46" s="92"/>
      <c r="I46" s="306">
        <f t="shared" si="3"/>
        <v>0</v>
      </c>
    </row>
    <row r="47" spans="1:9">
      <c r="A47" s="90"/>
      <c r="B47" s="21"/>
      <c r="G47" s="15"/>
      <c r="H47" s="92"/>
    </row>
    <row r="48" spans="1:9" ht="15">
      <c r="A48" s="89">
        <f>+MAX($A$1:A44)+0.1</f>
        <v>10.299999999999999</v>
      </c>
      <c r="B48" s="76" t="s">
        <v>777</v>
      </c>
      <c r="C48" s="76"/>
      <c r="D48" s="13"/>
      <c r="E48" s="13"/>
      <c r="F48" s="13"/>
      <c r="G48" s="11"/>
      <c r="H48" s="13"/>
      <c r="I48" s="321"/>
    </row>
    <row r="49" spans="1:9">
      <c r="A49" s="90"/>
      <c r="B49" s="21"/>
      <c r="G49" s="15"/>
      <c r="H49" s="92"/>
    </row>
    <row r="50" spans="1:9" ht="38.25">
      <c r="A50" s="90"/>
      <c r="B50" s="21" t="s">
        <v>778</v>
      </c>
      <c r="G50" s="15"/>
      <c r="H50" s="92"/>
    </row>
    <row r="51" spans="1:9" ht="76.5">
      <c r="A51" s="90"/>
      <c r="B51" s="21" t="s">
        <v>780</v>
      </c>
      <c r="G51" s="15"/>
      <c r="H51" s="92"/>
    </row>
    <row r="52" spans="1:9" ht="38.25">
      <c r="A52" s="90"/>
      <c r="B52" s="21" t="s">
        <v>1015</v>
      </c>
      <c r="G52" s="15"/>
      <c r="H52" s="92"/>
    </row>
    <row r="53" spans="1:9" ht="229.5">
      <c r="A53" s="90"/>
      <c r="B53" s="21" t="s">
        <v>782</v>
      </c>
      <c r="G53" s="15"/>
      <c r="H53" s="92"/>
    </row>
    <row r="54" spans="1:9">
      <c r="A54" s="90"/>
      <c r="B54" s="21" t="s">
        <v>781</v>
      </c>
      <c r="G54" s="15"/>
      <c r="H54" s="92"/>
    </row>
    <row r="55" spans="1:9">
      <c r="A55" s="109"/>
      <c r="B55" s="58" t="s">
        <v>111</v>
      </c>
      <c r="C55" s="1" t="s">
        <v>110</v>
      </c>
      <c r="D55" s="96">
        <v>1</v>
      </c>
      <c r="E55" s="96">
        <v>1</v>
      </c>
      <c r="F55" s="96">
        <v>1</v>
      </c>
      <c r="G55" s="15">
        <v>1</v>
      </c>
      <c r="H55" s="92"/>
      <c r="I55" s="306">
        <f t="shared" ref="I55" si="4">(D55+E55+F55+G55)*H55</f>
        <v>0</v>
      </c>
    </row>
    <row r="56" spans="1:9" ht="13.5" thickBot="1">
      <c r="A56" s="90"/>
      <c r="B56" s="21"/>
      <c r="G56" s="15"/>
      <c r="H56" s="92"/>
    </row>
    <row r="57" spans="1:9" ht="21.75" thickBot="1">
      <c r="A57" s="609" t="s">
        <v>206</v>
      </c>
      <c r="B57" s="51" t="s">
        <v>629</v>
      </c>
      <c r="C57" s="52"/>
      <c r="D57" s="17"/>
      <c r="E57" s="17"/>
      <c r="F57" s="17"/>
      <c r="G57" s="104"/>
      <c r="H57" s="348"/>
      <c r="I57" s="322">
        <f>SUM(I34:I55)</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&amp;L&amp;K01+045Troškovnik&amp;C&amp;"-,Podebljano"&amp;K01+045PROJEKT ARHITEKTURE
Građevinsko - zanatski radovi&amp;R&amp;K01+045STAMBENO - POSLOVNA GRAĐEVINA, BLATO</oddHeader>
    <oddFooter>&amp;C&amp;K00-047V V - PROJEKT d.o.o. Put Supavla 1, 21000 Split, tel/fax: 021/322-249</oddFooter>
    <firstHeader>&amp;L&amp;K00-048Troškovnik&amp;C&amp;"-,Podebljano"&amp;K00-047PROJEKT ARHITEKTURE
Građevinsko - zanatski radovi&amp;R&amp;K00-046STAMBENO - POSLOVNA GRAĐEVINA, BLATO</firstHeader>
    <firstFooter>&amp;C&amp;K00-049V V - PROJEKT d.o.o. Put Supavla 1, 21000 Split, tel/fax: 021/322-249</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48"/>
  <sheetViews>
    <sheetView view="pageBreakPreview" topLeftCell="A30" zoomScale="120" zoomScaleNormal="100" zoomScaleSheetLayoutView="120" workbookViewId="0">
      <selection activeCell="A48" sqref="A48"/>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0.140625" style="15" customWidth="1"/>
    <col min="9" max="9" width="12.285156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233</v>
      </c>
      <c r="B3" s="39" t="s">
        <v>246</v>
      </c>
      <c r="C3" s="37"/>
      <c r="D3" s="18"/>
      <c r="E3" s="18"/>
      <c r="F3" s="18"/>
      <c r="G3" s="101"/>
      <c r="H3" s="101"/>
      <c r="I3" s="320"/>
    </row>
    <row r="4" spans="1:9">
      <c r="A4" s="90"/>
      <c r="B4" s="21"/>
      <c r="G4" s="15"/>
      <c r="H4" s="92"/>
    </row>
    <row r="5" spans="1:9" ht="25.5">
      <c r="A5" s="90"/>
      <c r="B5" t="s">
        <v>632</v>
      </c>
      <c r="G5" s="15"/>
      <c r="H5" s="92"/>
    </row>
    <row r="6" spans="1:9" ht="127.5">
      <c r="A6" s="90"/>
      <c r="B6" t="s">
        <v>661</v>
      </c>
      <c r="G6" s="15"/>
      <c r="H6" s="92"/>
    </row>
    <row r="7" spans="1:9" ht="38.25">
      <c r="A7" s="90"/>
      <c r="B7" t="s">
        <v>633</v>
      </c>
      <c r="G7" s="15"/>
      <c r="H7" s="92"/>
    </row>
    <row r="8" spans="1:9" ht="76.5">
      <c r="A8" s="90"/>
      <c r="B8" t="s">
        <v>634</v>
      </c>
      <c r="G8" s="15"/>
      <c r="H8" s="92"/>
    </row>
    <row r="9" spans="1:9" ht="114.75">
      <c r="A9" s="90"/>
      <c r="B9" t="s">
        <v>1016</v>
      </c>
      <c r="G9" s="15"/>
      <c r="H9" s="92"/>
    </row>
    <row r="10" spans="1:9">
      <c r="A10" s="90"/>
      <c r="B10" t="s">
        <v>247</v>
      </c>
      <c r="G10" s="15"/>
      <c r="H10" s="92"/>
    </row>
    <row r="11" spans="1:9">
      <c r="A11" s="90"/>
      <c r="B11" s="77" t="s">
        <v>1017</v>
      </c>
      <c r="G11" s="15"/>
      <c r="H11" s="92"/>
    </row>
    <row r="12" spans="1:9">
      <c r="A12" s="90"/>
      <c r="B12" s="77" t="s">
        <v>1018</v>
      </c>
      <c r="G12" s="15"/>
      <c r="H12" s="92"/>
    </row>
    <row r="13" spans="1:9">
      <c r="A13" s="90"/>
      <c r="B13" s="77" t="s">
        <v>1019</v>
      </c>
      <c r="G13" s="15"/>
      <c r="H13" s="92"/>
    </row>
    <row r="14" spans="1:9">
      <c r="A14" s="90"/>
      <c r="B14"/>
      <c r="G14" s="15"/>
      <c r="H14" s="92"/>
    </row>
    <row r="15" spans="1:9" ht="15">
      <c r="A15" s="89">
        <v>11.1</v>
      </c>
      <c r="B15" s="76" t="s">
        <v>248</v>
      </c>
      <c r="C15" s="76"/>
      <c r="D15" s="13"/>
      <c r="E15" s="13"/>
      <c r="F15" s="13"/>
      <c r="G15" s="11"/>
      <c r="H15" s="13"/>
      <c r="I15" s="321"/>
    </row>
    <row r="16" spans="1:9">
      <c r="A16" s="90"/>
      <c r="B16" s="21"/>
      <c r="G16" s="15"/>
      <c r="H16" s="92"/>
    </row>
    <row r="17" spans="1:9" ht="114.75">
      <c r="A17" s="90"/>
      <c r="B17" t="s">
        <v>635</v>
      </c>
      <c r="G17" s="15"/>
      <c r="H17" s="92"/>
    </row>
    <row r="18" spans="1:9">
      <c r="A18" s="90"/>
      <c r="B18"/>
      <c r="G18" s="15"/>
      <c r="H18" s="92"/>
    </row>
    <row r="19" spans="1:9" ht="114.75">
      <c r="A19" s="90"/>
      <c r="B19" s="21" t="s">
        <v>636</v>
      </c>
      <c r="G19" s="15"/>
      <c r="H19" s="92"/>
    </row>
    <row r="20" spans="1:9">
      <c r="A20" s="90"/>
      <c r="B20" s="21"/>
      <c r="G20" s="15"/>
      <c r="H20" s="92"/>
    </row>
    <row r="21" spans="1:9" ht="25.5">
      <c r="A21" s="90"/>
      <c r="B21" s="48" t="s">
        <v>1022</v>
      </c>
      <c r="G21" s="15"/>
      <c r="H21" s="92"/>
    </row>
    <row r="22" spans="1:9">
      <c r="A22" s="90"/>
      <c r="B22" s="48" t="s">
        <v>1020</v>
      </c>
      <c r="G22" s="15"/>
      <c r="H22" s="92"/>
    </row>
    <row r="23" spans="1:9">
      <c r="A23" s="90"/>
      <c r="B23" s="48" t="s">
        <v>1021</v>
      </c>
      <c r="G23" s="15"/>
      <c r="H23" s="92"/>
    </row>
    <row r="24" spans="1:9">
      <c r="A24" s="90"/>
      <c r="B24" s="48"/>
      <c r="G24" s="15"/>
      <c r="H24" s="92"/>
    </row>
    <row r="25" spans="1:9" ht="15.75" thickBot="1">
      <c r="A25" s="90"/>
      <c r="B25" s="122" t="s">
        <v>859</v>
      </c>
      <c r="G25" s="15"/>
      <c r="H25" s="92"/>
    </row>
    <row r="26" spans="1:9">
      <c r="A26" s="90"/>
      <c r="B26" s="48"/>
      <c r="G26" s="15"/>
      <c r="H26" s="92"/>
    </row>
    <row r="27" spans="1:9" ht="15.75" thickBot="1">
      <c r="A27" s="125" t="s">
        <v>9</v>
      </c>
      <c r="B27" s="54" t="s">
        <v>50</v>
      </c>
    </row>
    <row r="28" spans="1:9">
      <c r="B28" s="21" t="s">
        <v>714</v>
      </c>
      <c r="C28" s="1" t="s">
        <v>51</v>
      </c>
      <c r="D28" s="96">
        <v>900</v>
      </c>
      <c r="E28" s="96">
        <v>900</v>
      </c>
      <c r="F28" s="96">
        <v>1380</v>
      </c>
      <c r="G28" s="102">
        <v>1230</v>
      </c>
      <c r="I28" s="306">
        <f t="shared" ref="I28:I31" si="0">(D28+E28+F28+G28)*H28</f>
        <v>0</v>
      </c>
    </row>
    <row r="29" spans="1:9">
      <c r="B29" s="21" t="s">
        <v>715</v>
      </c>
      <c r="C29" s="1" t="s">
        <v>51</v>
      </c>
      <c r="D29" s="96">
        <v>840</v>
      </c>
      <c r="E29" s="96">
        <v>1050</v>
      </c>
      <c r="F29" s="96">
        <v>1410</v>
      </c>
      <c r="G29" s="102">
        <v>1200</v>
      </c>
      <c r="I29" s="306">
        <f t="shared" si="0"/>
        <v>0</v>
      </c>
    </row>
    <row r="30" spans="1:9">
      <c r="B30" s="21" t="s">
        <v>716</v>
      </c>
      <c r="C30" s="1" t="s">
        <v>51</v>
      </c>
      <c r="D30" s="96">
        <v>840</v>
      </c>
      <c r="E30" s="96">
        <v>1050</v>
      </c>
      <c r="F30" s="96">
        <v>1410</v>
      </c>
      <c r="G30" s="102">
        <v>1200</v>
      </c>
      <c r="I30" s="306">
        <f t="shared" si="0"/>
        <v>0</v>
      </c>
    </row>
    <row r="31" spans="1:9">
      <c r="B31" s="21" t="s">
        <v>717</v>
      </c>
      <c r="C31" s="1" t="s">
        <v>51</v>
      </c>
      <c r="D31" s="96">
        <v>840</v>
      </c>
      <c r="E31" s="96">
        <v>1050</v>
      </c>
      <c r="F31" s="96">
        <v>1410</v>
      </c>
      <c r="G31" s="102">
        <v>1200</v>
      </c>
      <c r="I31" s="306">
        <f t="shared" si="0"/>
        <v>0</v>
      </c>
    </row>
    <row r="32" spans="1:9">
      <c r="B32" s="21"/>
    </row>
    <row r="33" spans="1:9" ht="15.75" thickBot="1">
      <c r="A33" s="125" t="s">
        <v>18</v>
      </c>
      <c r="B33" s="54" t="s">
        <v>52</v>
      </c>
    </row>
    <row r="34" spans="1:9">
      <c r="B34" s="21" t="s">
        <v>713</v>
      </c>
      <c r="C34" s="1" t="s">
        <v>51</v>
      </c>
      <c r="D34" s="96">
        <v>400</v>
      </c>
      <c r="E34" s="96">
        <v>400</v>
      </c>
      <c r="F34" s="96">
        <v>1460</v>
      </c>
      <c r="G34" s="102">
        <v>1300</v>
      </c>
      <c r="I34" s="306">
        <f t="shared" ref="I34:I38" si="1">(D34+E34+F34+G34)*H34</f>
        <v>0</v>
      </c>
    </row>
    <row r="35" spans="1:9">
      <c r="B35" s="21" t="s">
        <v>714</v>
      </c>
      <c r="C35" s="1" t="s">
        <v>51</v>
      </c>
      <c r="D35" s="96">
        <v>460</v>
      </c>
      <c r="E35" s="96">
        <v>460</v>
      </c>
      <c r="F35" s="96">
        <v>800</v>
      </c>
      <c r="G35" s="102">
        <v>690</v>
      </c>
      <c r="I35" s="306">
        <f t="shared" si="1"/>
        <v>0</v>
      </c>
    </row>
    <row r="36" spans="1:9">
      <c r="B36" s="21" t="s">
        <v>718</v>
      </c>
      <c r="C36" s="1" t="s">
        <v>51</v>
      </c>
      <c r="D36" s="96">
        <v>470</v>
      </c>
      <c r="E36" s="96">
        <v>600</v>
      </c>
      <c r="F36" s="96">
        <v>815</v>
      </c>
      <c r="G36" s="102">
        <v>700</v>
      </c>
      <c r="I36" s="306">
        <f t="shared" si="1"/>
        <v>0</v>
      </c>
    </row>
    <row r="37" spans="1:9">
      <c r="B37" s="21" t="s">
        <v>716</v>
      </c>
      <c r="C37" s="1" t="s">
        <v>51</v>
      </c>
      <c r="D37" s="96">
        <v>470</v>
      </c>
      <c r="E37" s="96">
        <v>600</v>
      </c>
      <c r="F37" s="96">
        <v>815</v>
      </c>
      <c r="G37" s="102">
        <v>700</v>
      </c>
      <c r="I37" s="306">
        <f t="shared" si="1"/>
        <v>0</v>
      </c>
    </row>
    <row r="38" spans="1:9">
      <c r="B38" s="21" t="s">
        <v>717</v>
      </c>
      <c r="C38" s="1" t="s">
        <v>51</v>
      </c>
      <c r="D38" s="96">
        <v>470</v>
      </c>
      <c r="E38" s="96">
        <v>600</v>
      </c>
      <c r="F38" s="96">
        <v>815</v>
      </c>
      <c r="G38" s="102">
        <v>700</v>
      </c>
      <c r="I38" s="306">
        <f t="shared" si="1"/>
        <v>0</v>
      </c>
    </row>
    <row r="39" spans="1:9">
      <c r="A39" s="90"/>
      <c r="B39" s="48"/>
      <c r="G39" s="15"/>
      <c r="H39" s="92"/>
    </row>
    <row r="40" spans="1:9" ht="15.75" thickBot="1">
      <c r="A40" s="90"/>
      <c r="B40" s="122" t="s">
        <v>860</v>
      </c>
      <c r="G40" s="15"/>
      <c r="H40" s="92"/>
    </row>
    <row r="41" spans="1:9" ht="15.75" thickBot="1">
      <c r="A41" s="125" t="s">
        <v>19</v>
      </c>
      <c r="B41" s="54" t="s">
        <v>50</v>
      </c>
    </row>
    <row r="42" spans="1:9">
      <c r="A42" s="90"/>
      <c r="B42" s="48" t="s">
        <v>768</v>
      </c>
      <c r="C42" s="1" t="s">
        <v>40</v>
      </c>
      <c r="D42" s="96">
        <v>342</v>
      </c>
      <c r="E42" s="96">
        <v>471.6</v>
      </c>
      <c r="F42" s="96">
        <v>838.8</v>
      </c>
      <c r="G42" s="102">
        <v>692.4</v>
      </c>
      <c r="I42" s="306">
        <f t="shared" ref="I42:I45" si="2">(D42+E42+F42+G42)*H42</f>
        <v>0</v>
      </c>
    </row>
    <row r="43" spans="1:9">
      <c r="B43" s="48" t="s">
        <v>795</v>
      </c>
      <c r="C43" s="1" t="s">
        <v>40</v>
      </c>
      <c r="D43" s="96">
        <v>323.2</v>
      </c>
      <c r="E43" s="96">
        <v>444.6</v>
      </c>
      <c r="F43" s="96">
        <v>565.48</v>
      </c>
      <c r="G43" s="102">
        <v>578.5</v>
      </c>
      <c r="I43" s="306">
        <f>(D43+E43+F43+G43)*H43</f>
        <v>0</v>
      </c>
    </row>
    <row r="44" spans="1:9">
      <c r="B44" s="48" t="s">
        <v>794</v>
      </c>
      <c r="C44" s="1" t="s">
        <v>40</v>
      </c>
      <c r="D44" s="96">
        <v>1581.2</v>
      </c>
      <c r="E44" s="96">
        <v>1810.9</v>
      </c>
      <c r="F44" s="96">
        <v>2173.75</v>
      </c>
      <c r="G44" s="102">
        <v>2212.9</v>
      </c>
      <c r="I44" s="306">
        <f>(D44+E44+F44+G44)*H44</f>
        <v>0</v>
      </c>
    </row>
    <row r="45" spans="1:9">
      <c r="A45" s="90"/>
      <c r="B45" s="48" t="s">
        <v>769</v>
      </c>
      <c r="C45" s="1" t="s">
        <v>40</v>
      </c>
      <c r="D45" s="96">
        <v>651.6</v>
      </c>
      <c r="E45" s="96">
        <v>836.4</v>
      </c>
      <c r="F45" s="96">
        <v>1206</v>
      </c>
      <c r="G45" s="102">
        <v>1025</v>
      </c>
      <c r="I45" s="306">
        <f t="shared" si="2"/>
        <v>0</v>
      </c>
    </row>
    <row r="46" spans="1:9">
      <c r="A46" s="90"/>
      <c r="B46" s="48"/>
      <c r="G46" s="15"/>
      <c r="H46" s="92"/>
    </row>
    <row r="47" spans="1:9" ht="13.5" thickBot="1">
      <c r="A47" s="90"/>
      <c r="B47" s="21"/>
      <c r="G47" s="15"/>
      <c r="H47" s="92"/>
    </row>
    <row r="48" spans="1:9" ht="21.75" thickBot="1">
      <c r="A48" s="609" t="s">
        <v>233</v>
      </c>
      <c r="B48" s="51" t="s">
        <v>249</v>
      </c>
      <c r="C48" s="52"/>
      <c r="D48" s="17"/>
      <c r="E48" s="17"/>
      <c r="F48" s="17"/>
      <c r="G48" s="104"/>
      <c r="H48" s="348"/>
      <c r="I48" s="322">
        <f>SUM(I27:I45)</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firstHeader>&amp;L&amp;K00-045Troškovnik&amp;C&amp;"-,Podebljano"&amp;K00-046PROJEKT ARHITEKTURE
Građevinsko - zanatski radovi&amp;R&amp;K00-047STAMBENO - POSLOVNA GRAĐEVINA, BLATO</firstHeader>
    <firstFooter>&amp;C&amp;K00-048V V - PROJEKT d.o.o. Put Supavla 1, 21000 Split, tel/fax: 021/322-249</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13"/>
  <sheetViews>
    <sheetView view="pageBreakPreview" topLeftCell="A103" zoomScale="120" zoomScaleNormal="100" zoomScaleSheetLayoutView="120" workbookViewId="0">
      <selection activeCell="A112" sqref="A112"/>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0.8554687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245</v>
      </c>
      <c r="B3" s="39" t="s">
        <v>251</v>
      </c>
      <c r="C3" s="37"/>
      <c r="D3" s="18"/>
      <c r="E3" s="18"/>
      <c r="F3" s="18"/>
      <c r="G3" s="101"/>
      <c r="H3" s="101"/>
      <c r="I3" s="320"/>
    </row>
    <row r="4" spans="1:9">
      <c r="A4" s="90"/>
      <c r="B4" s="21"/>
      <c r="G4" s="15"/>
      <c r="H4" s="92"/>
    </row>
    <row r="5" spans="1:9" ht="25.5">
      <c r="A5" s="90"/>
      <c r="B5" s="21" t="s">
        <v>261</v>
      </c>
      <c r="G5" s="15"/>
      <c r="H5" s="92"/>
    </row>
    <row r="6" spans="1:9">
      <c r="A6" s="90"/>
      <c r="B6" s="21"/>
      <c r="G6" s="15"/>
      <c r="H6" s="92"/>
    </row>
    <row r="7" spans="1:9" ht="15.75" thickBot="1">
      <c r="A7" s="90"/>
      <c r="B7" s="54" t="s">
        <v>255</v>
      </c>
      <c r="G7" s="15"/>
      <c r="H7" s="92"/>
    </row>
    <row r="8" spans="1:9" ht="38.25">
      <c r="A8" s="90"/>
      <c r="B8" t="s">
        <v>643</v>
      </c>
      <c r="G8" s="15"/>
      <c r="H8" s="92"/>
    </row>
    <row r="9" spans="1:9">
      <c r="A9" s="90"/>
      <c r="B9" t="s">
        <v>252</v>
      </c>
      <c r="G9" s="15"/>
      <c r="H9" s="92"/>
    </row>
    <row r="10" spans="1:9" ht="89.25">
      <c r="A10" s="90"/>
      <c r="B10" s="75" t="s">
        <v>644</v>
      </c>
      <c r="G10" s="15"/>
      <c r="H10" s="92"/>
    </row>
    <row r="11" spans="1:9" s="56" customFormat="1" ht="25.5">
      <c r="A11" s="90"/>
      <c r="B11" t="s">
        <v>645</v>
      </c>
      <c r="C11" s="1"/>
      <c r="D11" s="96"/>
      <c r="E11" s="96"/>
      <c r="F11" s="96"/>
      <c r="G11" s="15"/>
      <c r="H11" s="92"/>
      <c r="I11" s="306"/>
    </row>
    <row r="12" spans="1:9" s="56" customFormat="1">
      <c r="A12" s="90"/>
      <c r="B12"/>
      <c r="C12" s="1"/>
      <c r="D12" s="96"/>
      <c r="E12" s="96"/>
      <c r="F12" s="96"/>
      <c r="G12" s="15"/>
      <c r="H12" s="92"/>
      <c r="I12" s="306"/>
    </row>
    <row r="13" spans="1:9" s="56" customFormat="1" ht="15.75" thickBot="1">
      <c r="A13" s="90"/>
      <c r="B13" s="54" t="s">
        <v>256</v>
      </c>
      <c r="C13" s="1"/>
      <c r="D13" s="96"/>
      <c r="E13" s="96"/>
      <c r="F13" s="96"/>
      <c r="G13" s="15"/>
      <c r="H13" s="92"/>
      <c r="I13" s="306"/>
    </row>
    <row r="14" spans="1:9" s="56" customFormat="1" ht="127.5">
      <c r="A14" s="90"/>
      <c r="B14" t="s">
        <v>1023</v>
      </c>
      <c r="C14" s="1"/>
      <c r="D14" s="96"/>
      <c r="E14" s="96"/>
      <c r="F14" s="96"/>
      <c r="G14" s="15"/>
      <c r="H14" s="92"/>
      <c r="I14" s="306"/>
    </row>
    <row r="15" spans="1:9" s="56" customFormat="1">
      <c r="A15" s="90"/>
      <c r="B15" t="s">
        <v>1024</v>
      </c>
      <c r="C15" s="1"/>
      <c r="D15" s="96"/>
      <c r="E15" s="96"/>
      <c r="F15" s="96"/>
      <c r="G15" s="15"/>
      <c r="H15" s="92"/>
      <c r="I15" s="306"/>
    </row>
    <row r="16" spans="1:9" s="56" customFormat="1">
      <c r="A16" s="90"/>
      <c r="B16" t="s">
        <v>1025</v>
      </c>
      <c r="C16" s="1"/>
      <c r="D16" s="96"/>
      <c r="E16" s="96"/>
      <c r="F16" s="96"/>
      <c r="G16" s="15"/>
      <c r="H16" s="92"/>
      <c r="I16" s="306"/>
    </row>
    <row r="17" spans="1:9" s="56" customFormat="1" ht="25.5">
      <c r="A17" s="90"/>
      <c r="B17" t="s">
        <v>1026</v>
      </c>
      <c r="C17" s="1"/>
      <c r="D17" s="96"/>
      <c r="E17" s="96"/>
      <c r="F17" s="96"/>
      <c r="G17" s="15"/>
      <c r="H17" s="92"/>
      <c r="I17" s="306"/>
    </row>
    <row r="18" spans="1:9" s="56" customFormat="1" ht="25.5">
      <c r="A18" s="90"/>
      <c r="B18" t="s">
        <v>1027</v>
      </c>
      <c r="C18" s="1"/>
      <c r="D18" s="96"/>
      <c r="E18" s="96"/>
      <c r="F18" s="96"/>
      <c r="G18" s="15"/>
      <c r="H18" s="92"/>
      <c r="I18" s="306"/>
    </row>
    <row r="19" spans="1:9" s="56" customFormat="1">
      <c r="A19" s="90"/>
      <c r="B19" t="s">
        <v>1028</v>
      </c>
      <c r="C19" s="1"/>
      <c r="D19" s="96"/>
      <c r="E19" s="96"/>
      <c r="F19" s="96"/>
      <c r="G19" s="15"/>
      <c r="H19" s="92"/>
      <c r="I19" s="306"/>
    </row>
    <row r="20" spans="1:9" s="56" customFormat="1">
      <c r="A20" s="90"/>
      <c r="B20" t="s">
        <v>1029</v>
      </c>
      <c r="C20" s="1"/>
      <c r="D20" s="96"/>
      <c r="E20" s="96"/>
      <c r="F20" s="96"/>
      <c r="G20" s="15"/>
      <c r="H20" s="92"/>
      <c r="I20" s="306"/>
    </row>
    <row r="21" spans="1:9" s="56" customFormat="1" ht="25.5">
      <c r="A21" s="90"/>
      <c r="B21" t="s">
        <v>1030</v>
      </c>
      <c r="C21" s="1"/>
      <c r="D21" s="96"/>
      <c r="E21" s="96"/>
      <c r="F21" s="96"/>
      <c r="G21" s="15"/>
      <c r="H21" s="92"/>
      <c r="I21" s="306"/>
    </row>
    <row r="22" spans="1:9" s="56" customFormat="1">
      <c r="A22" s="90"/>
      <c r="B22" t="s">
        <v>1031</v>
      </c>
      <c r="C22" s="1"/>
      <c r="D22" s="96"/>
      <c r="E22" s="96"/>
      <c r="F22" s="96"/>
      <c r="G22" s="15"/>
      <c r="H22" s="92"/>
      <c r="I22" s="306"/>
    </row>
    <row r="23" spans="1:9" s="56" customFormat="1">
      <c r="A23" s="90"/>
      <c r="B23" t="s">
        <v>1032</v>
      </c>
      <c r="C23" s="1"/>
      <c r="D23" s="96"/>
      <c r="E23" s="96"/>
      <c r="F23" s="96"/>
      <c r="G23" s="15"/>
      <c r="H23" s="92"/>
      <c r="I23" s="306"/>
    </row>
    <row r="24" spans="1:9" s="56" customFormat="1">
      <c r="A24" s="90"/>
      <c r="B24" t="s">
        <v>1033</v>
      </c>
      <c r="C24" s="1"/>
      <c r="D24" s="96"/>
      <c r="E24" s="96"/>
      <c r="F24" s="96"/>
      <c r="G24" s="15"/>
      <c r="H24" s="92"/>
      <c r="I24" s="306"/>
    </row>
    <row r="25" spans="1:9" s="56" customFormat="1">
      <c r="A25" s="90"/>
      <c r="B25" t="s">
        <v>1034</v>
      </c>
      <c r="C25" s="1"/>
      <c r="D25" s="96"/>
      <c r="E25" s="96"/>
      <c r="F25" s="96"/>
      <c r="G25" s="15"/>
      <c r="H25" s="92"/>
      <c r="I25" s="306"/>
    </row>
    <row r="26" spans="1:9" s="56" customFormat="1">
      <c r="A26" s="90"/>
      <c r="B26" t="s">
        <v>1035</v>
      </c>
      <c r="C26" s="1"/>
      <c r="D26" s="96"/>
      <c r="E26" s="96"/>
      <c r="F26" s="96"/>
      <c r="G26" s="15"/>
      <c r="H26" s="92"/>
      <c r="I26" s="306"/>
    </row>
    <row r="27" spans="1:9" s="56" customFormat="1">
      <c r="A27" s="90"/>
      <c r="B27" t="s">
        <v>1036</v>
      </c>
      <c r="C27" s="1"/>
      <c r="D27" s="96"/>
      <c r="E27" s="96"/>
      <c r="F27" s="96"/>
      <c r="G27" s="15"/>
      <c r="H27" s="92"/>
      <c r="I27" s="306"/>
    </row>
    <row r="28" spans="1:9" s="56" customFormat="1" ht="25.5">
      <c r="A28" s="90"/>
      <c r="B28" t="s">
        <v>1037</v>
      </c>
      <c r="C28" s="1"/>
      <c r="D28" s="96"/>
      <c r="E28" s="96"/>
      <c r="F28" s="96"/>
      <c r="G28" s="15"/>
      <c r="H28" s="92"/>
      <c r="I28" s="306"/>
    </row>
    <row r="29" spans="1:9" s="56" customFormat="1" ht="25.5">
      <c r="A29" s="90"/>
      <c r="B29" t="s">
        <v>1038</v>
      </c>
      <c r="C29" s="1"/>
      <c r="D29" s="96"/>
      <c r="E29" s="96"/>
      <c r="F29" s="96"/>
      <c r="G29" s="15"/>
      <c r="H29" s="92"/>
      <c r="I29" s="306"/>
    </row>
    <row r="30" spans="1:9" s="56" customFormat="1" ht="25.5">
      <c r="A30" s="90"/>
      <c r="B30" t="s">
        <v>1039</v>
      </c>
      <c r="C30" s="1"/>
      <c r="D30" s="96"/>
      <c r="E30" s="96"/>
      <c r="F30" s="96"/>
      <c r="G30" s="15"/>
      <c r="H30" s="92"/>
      <c r="I30" s="306"/>
    </row>
    <row r="31" spans="1:9" s="56" customFormat="1">
      <c r="A31" s="90"/>
      <c r="B31"/>
      <c r="C31" s="1"/>
      <c r="D31" s="96"/>
      <c r="E31" s="96"/>
      <c r="F31" s="96"/>
      <c r="G31" s="15"/>
      <c r="H31" s="92"/>
      <c r="I31" s="306"/>
    </row>
    <row r="32" spans="1:9" s="56" customFormat="1">
      <c r="A32" s="90"/>
      <c r="B32" t="s">
        <v>1040</v>
      </c>
      <c r="C32" s="1"/>
      <c r="D32" s="96"/>
      <c r="E32" s="96"/>
      <c r="F32" s="96"/>
      <c r="G32" s="15"/>
      <c r="H32" s="92"/>
      <c r="I32" s="306"/>
    </row>
    <row r="33" spans="1:9" s="56" customFormat="1">
      <c r="A33" s="90"/>
      <c r="B33" t="s">
        <v>1041</v>
      </c>
      <c r="C33" s="1"/>
      <c r="D33" s="96"/>
      <c r="E33" s="96"/>
      <c r="F33" s="96"/>
      <c r="G33" s="15"/>
      <c r="H33" s="92"/>
      <c r="I33" s="306"/>
    </row>
    <row r="34" spans="1:9" s="56" customFormat="1">
      <c r="A34" s="90"/>
      <c r="B34" t="s">
        <v>1042</v>
      </c>
      <c r="C34" s="1"/>
      <c r="D34" s="96"/>
      <c r="E34" s="96"/>
      <c r="F34" s="96"/>
      <c r="G34" s="15"/>
      <c r="H34" s="92"/>
      <c r="I34" s="306"/>
    </row>
    <row r="35" spans="1:9" s="56" customFormat="1" ht="25.5">
      <c r="A35" s="90"/>
      <c r="B35" t="s">
        <v>1043</v>
      </c>
      <c r="C35" s="1"/>
      <c r="D35" s="96"/>
      <c r="E35" s="96"/>
      <c r="F35" s="96"/>
      <c r="G35" s="15"/>
      <c r="H35" s="92"/>
      <c r="I35" s="306"/>
    </row>
    <row r="36" spans="1:9" s="56" customFormat="1">
      <c r="A36" s="90"/>
      <c r="B36" t="s">
        <v>1044</v>
      </c>
      <c r="C36" s="1"/>
      <c r="D36" s="96"/>
      <c r="E36" s="96"/>
      <c r="F36" s="96"/>
      <c r="G36" s="15"/>
      <c r="H36" s="92"/>
      <c r="I36" s="306"/>
    </row>
    <row r="37" spans="1:9" s="56" customFormat="1" ht="25.5">
      <c r="A37" s="90"/>
      <c r="B37" t="s">
        <v>1045</v>
      </c>
      <c r="C37" s="1"/>
      <c r="D37" s="96"/>
      <c r="E37" s="96"/>
      <c r="F37" s="96"/>
      <c r="G37" s="15"/>
      <c r="H37" s="92"/>
      <c r="I37" s="306"/>
    </row>
    <row r="38" spans="1:9" s="56" customFormat="1" ht="25.5">
      <c r="A38" s="90"/>
      <c r="B38" t="s">
        <v>1046</v>
      </c>
      <c r="C38" s="1"/>
      <c r="D38" s="96"/>
      <c r="E38" s="96"/>
      <c r="F38" s="96"/>
      <c r="G38" s="15"/>
      <c r="H38" s="92"/>
      <c r="I38" s="306"/>
    </row>
    <row r="39" spans="1:9" s="56" customFormat="1">
      <c r="A39" s="90"/>
      <c r="B39" t="s">
        <v>1047</v>
      </c>
      <c r="C39" s="1"/>
      <c r="D39" s="96"/>
      <c r="E39" s="96"/>
      <c r="F39" s="96"/>
      <c r="G39" s="15"/>
      <c r="H39" s="92"/>
      <c r="I39" s="306"/>
    </row>
    <row r="40" spans="1:9" s="56" customFormat="1" ht="25.5">
      <c r="A40" s="90"/>
      <c r="B40" t="s">
        <v>1048</v>
      </c>
      <c r="C40" s="1"/>
      <c r="D40" s="96"/>
      <c r="E40" s="96"/>
      <c r="F40" s="96"/>
      <c r="G40" s="15"/>
      <c r="H40" s="92"/>
      <c r="I40" s="306"/>
    </row>
    <row r="41" spans="1:9" s="56" customFormat="1" ht="15.75" thickBot="1">
      <c r="A41" s="90"/>
      <c r="B41" s="54" t="s">
        <v>257</v>
      </c>
      <c r="C41" s="1"/>
      <c r="D41" s="96"/>
      <c r="E41" s="96"/>
      <c r="F41" s="96"/>
      <c r="G41" s="15"/>
      <c r="H41" s="92"/>
      <c r="I41" s="306"/>
    </row>
    <row r="42" spans="1:9" s="56" customFormat="1" ht="63.75">
      <c r="A42" s="90"/>
      <c r="B42" t="s">
        <v>1050</v>
      </c>
      <c r="C42" s="1"/>
      <c r="D42" s="96"/>
      <c r="E42" s="96"/>
      <c r="F42" s="96"/>
      <c r="G42" s="15"/>
      <c r="H42" s="92"/>
      <c r="I42" s="306"/>
    </row>
    <row r="43" spans="1:9" s="56" customFormat="1" ht="127.5">
      <c r="A43" s="90"/>
      <c r="B43" t="s">
        <v>1049</v>
      </c>
      <c r="C43" s="1"/>
      <c r="D43" s="96"/>
      <c r="E43" s="96"/>
      <c r="F43" s="96"/>
      <c r="G43" s="15"/>
      <c r="H43" s="92"/>
      <c r="I43" s="306"/>
    </row>
    <row r="44" spans="1:9" s="56" customFormat="1">
      <c r="A44" s="90"/>
      <c r="B44"/>
      <c r="C44" s="1"/>
      <c r="D44" s="96"/>
      <c r="E44" s="96"/>
      <c r="F44" s="96"/>
      <c r="G44" s="15"/>
      <c r="H44" s="92"/>
      <c r="I44" s="306"/>
    </row>
    <row r="45" spans="1:9" s="56" customFormat="1" ht="15.75" thickBot="1">
      <c r="A45" s="90"/>
      <c r="B45" s="54" t="s">
        <v>258</v>
      </c>
      <c r="C45" s="1"/>
      <c r="D45" s="96"/>
      <c r="E45" s="96"/>
      <c r="F45" s="96"/>
      <c r="G45" s="15"/>
      <c r="H45" s="92"/>
      <c r="I45" s="306"/>
    </row>
    <row r="46" spans="1:9" s="56" customFormat="1" ht="63.75">
      <c r="A46" s="90"/>
      <c r="B46" t="s">
        <v>263</v>
      </c>
      <c r="C46" s="1"/>
      <c r="D46" s="96"/>
      <c r="E46" s="96"/>
      <c r="F46" s="96"/>
      <c r="G46" s="15"/>
      <c r="H46" s="92"/>
      <c r="I46" s="306"/>
    </row>
    <row r="47" spans="1:9" s="56" customFormat="1">
      <c r="A47" s="90"/>
      <c r="B47"/>
      <c r="C47" s="1"/>
      <c r="D47" s="96"/>
      <c r="E47" s="96"/>
      <c r="F47" s="96"/>
      <c r="G47" s="15"/>
      <c r="H47" s="92"/>
      <c r="I47" s="306"/>
    </row>
    <row r="48" spans="1:9" s="56" customFormat="1" ht="15.75" thickBot="1">
      <c r="A48" s="90"/>
      <c r="B48" s="54" t="s">
        <v>259</v>
      </c>
      <c r="C48" s="1"/>
      <c r="D48" s="96"/>
      <c r="E48" s="96"/>
      <c r="F48" s="96"/>
      <c r="G48" s="15"/>
      <c r="H48" s="92"/>
      <c r="I48" s="306"/>
    </row>
    <row r="49" spans="1:9" s="56" customFormat="1" ht="25.5">
      <c r="A49" s="90"/>
      <c r="B49" t="s">
        <v>646</v>
      </c>
      <c r="C49" s="1"/>
      <c r="D49" s="96"/>
      <c r="E49" s="96"/>
      <c r="F49" s="96"/>
      <c r="G49" s="15"/>
      <c r="H49" s="92"/>
      <c r="I49" s="306"/>
    </row>
    <row r="50" spans="1:9" s="56" customFormat="1" ht="25.5">
      <c r="A50" s="90"/>
      <c r="B50" t="s">
        <v>253</v>
      </c>
      <c r="C50" s="1"/>
      <c r="D50" s="96"/>
      <c r="E50" s="96"/>
      <c r="F50" s="96"/>
      <c r="G50" s="15"/>
      <c r="H50" s="92"/>
      <c r="I50" s="306"/>
    </row>
    <row r="51" spans="1:9" s="56" customFormat="1" ht="38.25">
      <c r="A51" s="90"/>
      <c r="B51" t="s">
        <v>647</v>
      </c>
      <c r="C51" s="1"/>
      <c r="D51" s="96"/>
      <c r="E51" s="96"/>
      <c r="F51" s="96"/>
      <c r="G51" s="15"/>
      <c r="H51" s="92"/>
      <c r="I51" s="306"/>
    </row>
    <row r="52" spans="1:9" s="56" customFormat="1" ht="63.75">
      <c r="A52" s="90"/>
      <c r="B52" t="s">
        <v>648</v>
      </c>
      <c r="C52" s="1"/>
      <c r="D52" s="96"/>
      <c r="E52" s="96"/>
      <c r="F52" s="96"/>
      <c r="G52" s="15"/>
      <c r="H52" s="92"/>
      <c r="I52" s="306"/>
    </row>
    <row r="53" spans="1:9" s="56" customFormat="1" ht="25.5">
      <c r="A53" s="90"/>
      <c r="B53" t="s">
        <v>254</v>
      </c>
      <c r="C53" s="1"/>
      <c r="D53" s="96"/>
      <c r="E53" s="96"/>
      <c r="F53" s="96"/>
      <c r="G53" s="15"/>
      <c r="H53" s="92"/>
      <c r="I53" s="306"/>
    </row>
    <row r="54" spans="1:9" s="56" customFormat="1" ht="89.25">
      <c r="A54" s="90"/>
      <c r="B54" t="s">
        <v>262</v>
      </c>
      <c r="C54" s="1"/>
      <c r="D54" s="96"/>
      <c r="E54" s="96"/>
      <c r="F54" s="96"/>
      <c r="G54" s="15"/>
      <c r="H54" s="92"/>
      <c r="I54" s="306"/>
    </row>
    <row r="55" spans="1:9" s="56" customFormat="1" ht="63.75">
      <c r="A55" s="90"/>
      <c r="B55" t="s">
        <v>264</v>
      </c>
      <c r="C55" s="1"/>
      <c r="D55" s="96"/>
      <c r="E55" s="96"/>
      <c r="F55" s="96"/>
      <c r="G55" s="15"/>
      <c r="H55" s="92"/>
      <c r="I55" s="306"/>
    </row>
    <row r="56" spans="1:9" s="56" customFormat="1">
      <c r="A56" s="90"/>
      <c r="B56"/>
      <c r="C56" s="1"/>
      <c r="D56" s="96"/>
      <c r="E56" s="96"/>
      <c r="F56" s="96"/>
      <c r="G56" s="15"/>
      <c r="H56" s="92"/>
      <c r="I56" s="306"/>
    </row>
    <row r="57" spans="1:9" s="56" customFormat="1" ht="15.75" thickBot="1">
      <c r="A57" s="90"/>
      <c r="B57" s="54" t="s">
        <v>666</v>
      </c>
      <c r="C57" s="1"/>
      <c r="D57" s="96"/>
      <c r="E57" s="96"/>
      <c r="F57" s="96"/>
      <c r="G57" s="15"/>
      <c r="H57" s="92"/>
      <c r="I57" s="306"/>
    </row>
    <row r="58" spans="1:9" s="56" customFormat="1" ht="140.25">
      <c r="A58" s="90"/>
      <c r="B58" s="75" t="s">
        <v>1051</v>
      </c>
      <c r="C58" s="1"/>
      <c r="D58" s="96"/>
      <c r="E58" s="96"/>
      <c r="F58" s="96"/>
      <c r="G58" s="15"/>
      <c r="H58" s="92"/>
      <c r="I58" s="306"/>
    </row>
    <row r="59" spans="1:9" s="56" customFormat="1">
      <c r="A59" s="90"/>
      <c r="B59"/>
      <c r="C59" s="1"/>
      <c r="D59" s="96"/>
      <c r="E59" s="96"/>
      <c r="F59" s="96"/>
      <c r="G59" s="15"/>
      <c r="H59" s="92"/>
      <c r="I59" s="306"/>
    </row>
    <row r="60" spans="1:9" s="56" customFormat="1" ht="51">
      <c r="A60" s="90"/>
      <c r="B60" s="77" t="s">
        <v>266</v>
      </c>
      <c r="C60" s="1"/>
      <c r="D60" s="96"/>
      <c r="E60" s="96"/>
      <c r="F60" s="96"/>
      <c r="G60" s="15"/>
      <c r="H60" s="92"/>
      <c r="I60" s="306"/>
    </row>
    <row r="61" spans="1:9" s="56" customFormat="1" ht="25.5">
      <c r="A61" s="90"/>
      <c r="B61" s="85" t="s">
        <v>265</v>
      </c>
      <c r="C61" s="1"/>
      <c r="D61" s="96"/>
      <c r="E61" s="96"/>
      <c r="F61" s="96"/>
      <c r="G61" s="15"/>
      <c r="H61" s="92"/>
      <c r="I61" s="306"/>
    </row>
    <row r="62" spans="1:9" s="56" customFormat="1">
      <c r="A62" s="90"/>
      <c r="B62" s="85"/>
      <c r="C62" s="1"/>
      <c r="D62" s="96"/>
      <c r="E62" s="96"/>
      <c r="F62" s="96"/>
      <c r="G62" s="15"/>
      <c r="H62" s="92"/>
      <c r="I62" s="306"/>
    </row>
    <row r="63" spans="1:9" s="56" customFormat="1" ht="15.75" thickBot="1">
      <c r="A63" s="90"/>
      <c r="B63" s="54" t="s">
        <v>260</v>
      </c>
      <c r="C63" s="1"/>
      <c r="D63" s="96"/>
      <c r="E63" s="96"/>
      <c r="F63" s="96"/>
      <c r="G63" s="15"/>
      <c r="H63" s="92"/>
      <c r="I63" s="306"/>
    </row>
    <row r="64" spans="1:9" s="56" customFormat="1" ht="63.75">
      <c r="A64" s="90"/>
      <c r="B64" t="s">
        <v>649</v>
      </c>
      <c r="C64" s="1"/>
      <c r="D64" s="96"/>
      <c r="E64" s="96"/>
      <c r="F64" s="96"/>
      <c r="G64" s="15"/>
      <c r="H64" s="92"/>
      <c r="I64" s="306"/>
    </row>
    <row r="65" spans="1:9" s="56" customFormat="1" ht="89.25">
      <c r="A65" s="90"/>
      <c r="B65" t="s">
        <v>1052</v>
      </c>
      <c r="C65" s="1"/>
      <c r="D65" s="96"/>
      <c r="E65" s="96"/>
      <c r="F65" s="96"/>
      <c r="G65" s="15"/>
      <c r="H65" s="92"/>
      <c r="I65" s="306"/>
    </row>
    <row r="66" spans="1:9" s="56" customFormat="1">
      <c r="A66" s="90"/>
      <c r="B66"/>
      <c r="C66" s="1"/>
      <c r="D66" s="96"/>
      <c r="E66" s="96"/>
      <c r="F66" s="96"/>
      <c r="G66" s="15"/>
      <c r="H66" s="92"/>
      <c r="I66" s="306"/>
    </row>
    <row r="67" spans="1:9" s="56" customFormat="1" ht="38.25">
      <c r="A67" s="90"/>
      <c r="B67" s="77" t="s">
        <v>667</v>
      </c>
      <c r="C67" s="1"/>
      <c r="D67" s="96"/>
      <c r="E67" s="96"/>
      <c r="F67" s="96"/>
      <c r="G67" s="15"/>
      <c r="H67" s="92"/>
      <c r="I67" s="306"/>
    </row>
    <row r="68" spans="1:9" ht="15">
      <c r="A68" s="89">
        <v>12.1</v>
      </c>
      <c r="B68" s="76" t="s">
        <v>671</v>
      </c>
      <c r="C68" s="76"/>
      <c r="D68" s="13"/>
      <c r="E68" s="13"/>
      <c r="F68" s="13"/>
      <c r="G68" s="11"/>
      <c r="H68" s="13"/>
      <c r="I68" s="321"/>
    </row>
    <row r="69" spans="1:9">
      <c r="A69" s="90"/>
      <c r="B69"/>
      <c r="G69" s="15"/>
      <c r="H69" s="92"/>
    </row>
    <row r="70" spans="1:9" ht="15.75" thickBot="1">
      <c r="A70" s="90"/>
      <c r="B70" s="54" t="s">
        <v>668</v>
      </c>
      <c r="G70" s="15"/>
      <c r="H70" s="92"/>
    </row>
    <row r="71" spans="1:9" ht="127.5">
      <c r="A71" s="90"/>
      <c r="B71" t="s">
        <v>761</v>
      </c>
      <c r="G71" s="15"/>
      <c r="H71" s="92"/>
    </row>
    <row r="72" spans="1:9" ht="89.25">
      <c r="A72" s="90"/>
      <c r="B72" s="83" t="s">
        <v>1053</v>
      </c>
      <c r="G72" s="15"/>
      <c r="H72" s="92"/>
    </row>
    <row r="73" spans="1:9">
      <c r="A73" s="90"/>
      <c r="B73" s="78"/>
      <c r="G73" s="15"/>
      <c r="H73" s="92"/>
    </row>
    <row r="74" spans="1:9">
      <c r="A74" s="90" t="s">
        <v>39</v>
      </c>
      <c r="B74" s="113" t="s">
        <v>669</v>
      </c>
      <c r="G74" s="15"/>
      <c r="H74" s="92"/>
    </row>
    <row r="75" spans="1:9" ht="76.5">
      <c r="A75" s="90"/>
      <c r="B75" s="21" t="s">
        <v>2861</v>
      </c>
      <c r="G75" s="15"/>
      <c r="H75" s="92"/>
    </row>
    <row r="76" spans="1:9">
      <c r="A76" s="90"/>
      <c r="B76" s="21" t="s">
        <v>117</v>
      </c>
      <c r="C76" s="1" t="s">
        <v>115</v>
      </c>
      <c r="D76" s="96">
        <v>1</v>
      </c>
      <c r="E76" s="96">
        <v>1</v>
      </c>
      <c r="G76" s="15"/>
      <c r="H76" s="92"/>
      <c r="I76" s="306">
        <f>(D76+E76+F76+G76)*H76</f>
        <v>0</v>
      </c>
    </row>
    <row r="77" spans="1:9">
      <c r="A77" s="90"/>
      <c r="B77"/>
      <c r="G77" s="15"/>
      <c r="H77" s="92"/>
    </row>
    <row r="78" spans="1:9">
      <c r="A78" s="90" t="s">
        <v>41</v>
      </c>
      <c r="B78" s="113" t="s">
        <v>670</v>
      </c>
      <c r="G78" s="15"/>
      <c r="H78" s="92"/>
    </row>
    <row r="79" spans="1:9" ht="76.5">
      <c r="A79" s="90"/>
      <c r="B79" s="21" t="s">
        <v>2610</v>
      </c>
      <c r="G79" s="15"/>
      <c r="H79" s="92"/>
    </row>
    <row r="80" spans="1:9">
      <c r="A80" s="90"/>
      <c r="B80" s="21" t="s">
        <v>117</v>
      </c>
      <c r="C80" s="1" t="s">
        <v>115</v>
      </c>
      <c r="F80" s="96">
        <v>1</v>
      </c>
      <c r="G80" s="15">
        <v>1</v>
      </c>
      <c r="H80" s="92"/>
      <c r="I80" s="306">
        <f>(D80+E80+F80+G80)*H80</f>
        <v>0</v>
      </c>
    </row>
    <row r="81" spans="1:9">
      <c r="A81" s="90"/>
      <c r="B81"/>
      <c r="G81" s="15"/>
      <c r="H81" s="92"/>
    </row>
    <row r="82" spans="1:9" ht="15.75" thickBot="1">
      <c r="A82" s="90"/>
      <c r="B82" s="54" t="s">
        <v>664</v>
      </c>
      <c r="G82" s="15"/>
      <c r="H82" s="92"/>
    </row>
    <row r="83" spans="1:9">
      <c r="A83" s="90"/>
      <c r="B83"/>
      <c r="G83" s="15"/>
      <c r="H83" s="92"/>
    </row>
    <row r="84" spans="1:9" ht="76.5">
      <c r="A84" s="90" t="s">
        <v>42</v>
      </c>
      <c r="B84" s="78" t="s">
        <v>1054</v>
      </c>
      <c r="G84" s="15"/>
      <c r="H84" s="92"/>
    </row>
    <row r="85" spans="1:9">
      <c r="A85" s="90"/>
      <c r="B85" s="78"/>
      <c r="G85" s="15"/>
      <c r="H85" s="92"/>
    </row>
    <row r="86" spans="1:9">
      <c r="A86" s="90"/>
      <c r="B86" t="s">
        <v>662</v>
      </c>
      <c r="C86" s="1" t="s">
        <v>40</v>
      </c>
      <c r="D86" s="96">
        <v>210</v>
      </c>
      <c r="E86" s="96">
        <v>260</v>
      </c>
      <c r="F86" s="96">
        <v>340</v>
      </c>
      <c r="G86" s="15">
        <v>310</v>
      </c>
      <c r="H86" s="92"/>
      <c r="I86" s="306">
        <f>(D86+E86+F86+G86)*H86</f>
        <v>0</v>
      </c>
    </row>
    <row r="87" spans="1:9">
      <c r="A87" s="90"/>
      <c r="B87"/>
      <c r="G87" s="15"/>
      <c r="H87" s="92"/>
    </row>
    <row r="88" spans="1:9">
      <c r="A88" s="90" t="s">
        <v>102</v>
      </c>
      <c r="B88" t="s">
        <v>837</v>
      </c>
      <c r="G88" s="15"/>
      <c r="H88" s="92"/>
    </row>
    <row r="89" spans="1:9" ht="89.25">
      <c r="A89" s="90"/>
      <c r="B89" t="s">
        <v>1055</v>
      </c>
      <c r="C89"/>
      <c r="F89" s="16"/>
      <c r="G89" s="15"/>
      <c r="H89" s="92"/>
    </row>
    <row r="90" spans="1:9">
      <c r="A90" s="90"/>
      <c r="B90" t="s">
        <v>130</v>
      </c>
      <c r="C90" s="1" t="s">
        <v>129</v>
      </c>
      <c r="D90" s="96">
        <v>200</v>
      </c>
      <c r="E90" s="96">
        <v>242.3</v>
      </c>
      <c r="F90" s="96">
        <v>345.5</v>
      </c>
      <c r="G90" s="15">
        <v>305.89999999999998</v>
      </c>
      <c r="H90" s="92"/>
      <c r="I90" s="306">
        <f>(D90+E90+F90+G90)*H90</f>
        <v>0</v>
      </c>
    </row>
    <row r="91" spans="1:9">
      <c r="A91" s="90"/>
      <c r="B91"/>
      <c r="G91" s="15"/>
      <c r="H91" s="92"/>
    </row>
    <row r="92" spans="1:9" ht="15">
      <c r="A92" s="89">
        <f>+MAX($A$1:A89)+0.1</f>
        <v>12.2</v>
      </c>
      <c r="B92" s="76" t="s">
        <v>845</v>
      </c>
      <c r="C92" s="76"/>
      <c r="D92" s="13"/>
      <c r="E92" s="13"/>
      <c r="F92" s="13"/>
      <c r="G92" s="11"/>
      <c r="H92" s="13"/>
      <c r="I92" s="321"/>
    </row>
    <row r="93" spans="1:9">
      <c r="A93" s="90"/>
      <c r="B93"/>
      <c r="G93" s="15"/>
      <c r="H93" s="92"/>
    </row>
    <row r="94" spans="1:9" ht="15.75" thickBot="1">
      <c r="A94" s="90"/>
      <c r="B94" s="54" t="s">
        <v>663</v>
      </c>
      <c r="G94" s="15"/>
      <c r="H94" s="92"/>
    </row>
    <row r="95" spans="1:9" ht="63.75">
      <c r="A95" s="90"/>
      <c r="B95" s="83" t="s">
        <v>1056</v>
      </c>
      <c r="G95" s="15"/>
      <c r="H95" s="92"/>
    </row>
    <row r="96" spans="1:9">
      <c r="A96" s="90"/>
      <c r="B96" t="s">
        <v>675</v>
      </c>
      <c r="C96" s="1" t="s">
        <v>40</v>
      </c>
      <c r="D96" s="96">
        <v>340</v>
      </c>
      <c r="E96" s="96">
        <v>410</v>
      </c>
      <c r="F96" s="96">
        <v>560</v>
      </c>
      <c r="G96" s="15">
        <v>500</v>
      </c>
      <c r="H96" s="92"/>
      <c r="I96" s="306">
        <f>(D96+E96+F96+G96)*H96</f>
        <v>0</v>
      </c>
    </row>
    <row r="97" spans="1:9">
      <c r="A97" s="90"/>
      <c r="B97"/>
      <c r="G97" s="15"/>
      <c r="H97" s="92"/>
    </row>
    <row r="98" spans="1:9" ht="15.75" thickBot="1">
      <c r="A98" s="90"/>
      <c r="B98" s="54" t="s">
        <v>1060</v>
      </c>
      <c r="G98" s="15"/>
      <c r="H98" s="92"/>
    </row>
    <row r="99" spans="1:9" ht="63.75">
      <c r="A99" s="90"/>
      <c r="B99" s="83" t="s">
        <v>1059</v>
      </c>
      <c r="G99" s="15"/>
      <c r="H99" s="92"/>
    </row>
    <row r="100" spans="1:9">
      <c r="A100" s="90"/>
      <c r="B100" t="s">
        <v>1058</v>
      </c>
      <c r="C100" s="1" t="s">
        <v>40</v>
      </c>
      <c r="D100" s="96">
        <v>165</v>
      </c>
      <c r="E100" s="96">
        <v>190</v>
      </c>
      <c r="F100" s="96">
        <v>265</v>
      </c>
      <c r="G100" s="15">
        <v>230</v>
      </c>
      <c r="H100" s="92"/>
      <c r="I100" s="306">
        <f>(D100+E100+F100+G100)*H100</f>
        <v>0</v>
      </c>
    </row>
    <row r="101" spans="1:9">
      <c r="A101" s="90"/>
      <c r="B101"/>
      <c r="G101" s="15"/>
      <c r="H101" s="92"/>
    </row>
    <row r="102" spans="1:9" ht="15.75" thickBot="1">
      <c r="A102" s="90"/>
      <c r="B102" s="54" t="s">
        <v>672</v>
      </c>
      <c r="G102" s="15"/>
      <c r="H102" s="92"/>
    </row>
    <row r="103" spans="1:9" ht="102">
      <c r="A103" s="90"/>
      <c r="B103" s="83" t="s">
        <v>1057</v>
      </c>
      <c r="G103" s="15"/>
      <c r="H103" s="92"/>
    </row>
    <row r="104" spans="1:9">
      <c r="A104" s="90"/>
      <c r="B104" t="s">
        <v>673</v>
      </c>
      <c r="C104" s="1" t="s">
        <v>40</v>
      </c>
      <c r="D104" s="96">
        <v>140</v>
      </c>
      <c r="E104" s="96">
        <v>150</v>
      </c>
      <c r="F104" s="96">
        <v>225</v>
      </c>
      <c r="G104" s="15">
        <v>200</v>
      </c>
      <c r="H104" s="92"/>
      <c r="I104" s="306">
        <f>(D104+E104+F104+G104)*H104</f>
        <v>0</v>
      </c>
    </row>
    <row r="105" spans="1:9">
      <c r="A105" s="90"/>
      <c r="B105" t="s">
        <v>674</v>
      </c>
      <c r="C105" s="1" t="s">
        <v>40</v>
      </c>
      <c r="D105" s="96">
        <v>640</v>
      </c>
      <c r="E105" s="96">
        <v>710</v>
      </c>
      <c r="F105" s="96">
        <v>1050</v>
      </c>
      <c r="G105" s="15">
        <v>950</v>
      </c>
      <c r="H105" s="92"/>
      <c r="I105" s="306">
        <f>(D105+E105+F105+G105)*H105</f>
        <v>0</v>
      </c>
    </row>
    <row r="106" spans="1:9">
      <c r="A106" s="90"/>
      <c r="B106"/>
      <c r="G106" s="15"/>
      <c r="H106" s="92"/>
    </row>
    <row r="107" spans="1:9" ht="15.75" thickBot="1">
      <c r="A107" s="90"/>
      <c r="B107" s="54" t="s">
        <v>665</v>
      </c>
      <c r="G107" s="15"/>
      <c r="H107" s="92"/>
    </row>
    <row r="108" spans="1:9" ht="89.25">
      <c r="A108" s="90"/>
      <c r="B108" s="83" t="s">
        <v>850</v>
      </c>
      <c r="G108" s="15"/>
      <c r="H108" s="92"/>
    </row>
    <row r="109" spans="1:9">
      <c r="A109" s="90"/>
      <c r="B109" t="s">
        <v>662</v>
      </c>
      <c r="C109" s="1" t="s">
        <v>40</v>
      </c>
      <c r="D109" s="96">
        <v>350</v>
      </c>
      <c r="E109" s="96">
        <v>400</v>
      </c>
      <c r="F109" s="96">
        <v>560</v>
      </c>
      <c r="G109" s="15">
        <v>500</v>
      </c>
      <c r="H109" s="92"/>
      <c r="I109" s="306">
        <f>(D109+E109+F109+G109)*H109</f>
        <v>0</v>
      </c>
    </row>
    <row r="110" spans="1:9">
      <c r="A110" s="90"/>
      <c r="B110"/>
      <c r="G110" s="15"/>
      <c r="H110" s="92"/>
    </row>
    <row r="111" spans="1:9" ht="13.5" thickBot="1">
      <c r="A111" s="90"/>
      <c r="B111"/>
      <c r="G111" s="15"/>
      <c r="H111" s="92"/>
    </row>
    <row r="112" spans="1:9" ht="21.75" thickBot="1">
      <c r="A112" s="609" t="s">
        <v>245</v>
      </c>
      <c r="B112" s="51" t="s">
        <v>267</v>
      </c>
      <c r="C112" s="52"/>
      <c r="D112" s="17"/>
      <c r="E112" s="17"/>
      <c r="F112" s="17"/>
      <c r="G112" s="104"/>
      <c r="H112" s="348"/>
      <c r="I112" s="322">
        <f>SUM(I74:I110)</f>
        <v>0</v>
      </c>
    </row>
    <row r="113" spans="1:8">
      <c r="A113" s="90"/>
      <c r="G113" s="15"/>
      <c r="H113" s="92"/>
    </row>
  </sheetData>
  <pageMargins left="0.70866141732283472" right="0.31496062992125984" top="0.74803149606299213" bottom="0.74803149606299213" header="0.31496062992125984" footer="0.31496062992125984"/>
  <pageSetup paperSize="9" scale="89" orientation="portrait" r:id="rId1"/>
  <headerFooter differentFirst="1">
    <oddHeader>&amp;L&amp;K01+045Troškovnik&amp;C&amp;"-,Podebljano"&amp;K01+045PROJEKT ARHITEKTURE
Građevinsko - zanatski radovi&amp;R&amp;K01+045STAMBENO - POSLOVNA GRAĐEVINA, BLATO</oddHeader>
    <oddFooter>&amp;C&amp;K00-045V V - PROJEKT d.o.o. Put Supavla 1, 21000 Split, tel/fax: 021/322-249</oddFooter>
    <firstHeader>&amp;L&amp;K00-045Troškovnik&amp;C&amp;"-,Podebljano"&amp;K00-046PROJEKT ARHITEKTURE
Građevinsko - zanatski radovi&amp;R&amp;K00-043STAMBENO - POSLOVNA GRAĐEVINA, BLATO</firstHeader>
  </headerFooter>
  <rowBreaks count="1" manualBreakCount="1">
    <brk id="67"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9"/>
  <sheetViews>
    <sheetView view="pageBreakPreview" topLeftCell="A14" zoomScale="136" zoomScaleNormal="100" zoomScaleSheetLayoutView="136" workbookViewId="0">
      <selection activeCell="A19" sqref="A19"/>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6.28515625"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250</v>
      </c>
      <c r="B3" s="39" t="s">
        <v>268</v>
      </c>
      <c r="C3" s="37"/>
      <c r="D3" s="18"/>
      <c r="E3" s="18"/>
      <c r="F3" s="18"/>
      <c r="G3" s="101"/>
      <c r="H3" s="101"/>
      <c r="I3" s="320"/>
    </row>
    <row r="4" spans="1:9">
      <c r="A4" s="90"/>
      <c r="B4" s="21"/>
      <c r="G4" s="15"/>
      <c r="H4" s="92"/>
    </row>
    <row r="5" spans="1:9" ht="51">
      <c r="A5" s="90"/>
      <c r="B5" t="s">
        <v>1061</v>
      </c>
      <c r="G5" s="15"/>
      <c r="H5" s="92"/>
    </row>
    <row r="6" spans="1:9" ht="102">
      <c r="A6" s="90"/>
      <c r="B6" t="s">
        <v>1064</v>
      </c>
      <c r="G6" s="15"/>
      <c r="H6" s="92"/>
    </row>
    <row r="7" spans="1:9" ht="38.25">
      <c r="A7" s="90"/>
      <c r="B7" t="s">
        <v>1062</v>
      </c>
      <c r="G7" s="15"/>
      <c r="H7" s="92"/>
    </row>
    <row r="8" spans="1:9">
      <c r="A8" s="90"/>
      <c r="B8" s="21"/>
      <c r="G8" s="15"/>
      <c r="H8" s="92"/>
    </row>
    <row r="9" spans="1:9" ht="15">
      <c r="A9" s="89">
        <v>13.1</v>
      </c>
      <c r="B9" s="76" t="s">
        <v>677</v>
      </c>
      <c r="C9" s="76"/>
      <c r="D9" s="13"/>
      <c r="E9" s="13"/>
      <c r="F9" s="13"/>
      <c r="G9" s="11"/>
      <c r="H9" s="13"/>
      <c r="I9" s="321"/>
    </row>
    <row r="10" spans="1:9">
      <c r="A10" s="90"/>
      <c r="B10" s="21"/>
      <c r="G10" s="15"/>
      <c r="H10" s="92"/>
    </row>
    <row r="11" spans="1:9" ht="76.5">
      <c r="A11" s="90"/>
      <c r="B11" s="21" t="s">
        <v>1063</v>
      </c>
      <c r="G11" s="15"/>
      <c r="H11" s="92"/>
    </row>
    <row r="12" spans="1:9" ht="63.75">
      <c r="A12" s="90"/>
      <c r="B12" s="21" t="s">
        <v>843</v>
      </c>
      <c r="G12" s="15"/>
      <c r="H12" s="92"/>
    </row>
    <row r="13" spans="1:9" ht="153">
      <c r="A13" s="90"/>
      <c r="B13" s="21" t="s">
        <v>844</v>
      </c>
      <c r="G13" s="15"/>
      <c r="H13" s="92"/>
    </row>
    <row r="14" spans="1:9">
      <c r="A14" s="90"/>
      <c r="B14" s="21" t="s">
        <v>676</v>
      </c>
      <c r="C14" s="1" t="s">
        <v>51</v>
      </c>
      <c r="D14" s="96">
        <v>900</v>
      </c>
      <c r="E14" s="96">
        <v>1060</v>
      </c>
      <c r="F14" s="96">
        <v>1520</v>
      </c>
      <c r="G14" s="15">
        <v>1350</v>
      </c>
      <c r="H14" s="92"/>
      <c r="I14" s="306">
        <f t="shared" ref="I14" si="0">(D14+E14+F14+G14)*H14</f>
        <v>0</v>
      </c>
    </row>
    <row r="15" spans="1:9">
      <c r="A15" s="90"/>
      <c r="B15" s="21"/>
      <c r="G15" s="15"/>
      <c r="H15" s="92"/>
    </row>
    <row r="16" spans="1:9" ht="63.75">
      <c r="A16" s="90"/>
      <c r="B16" s="21" t="s">
        <v>1065</v>
      </c>
      <c r="G16" s="15"/>
      <c r="H16" s="92"/>
    </row>
    <row r="17" spans="1:9">
      <c r="A17" s="90"/>
      <c r="B17" s="21" t="s">
        <v>128</v>
      </c>
      <c r="C17" s="1" t="s">
        <v>129</v>
      </c>
      <c r="D17" s="96">
        <v>680</v>
      </c>
      <c r="E17" s="96">
        <v>821.5</v>
      </c>
      <c r="F17" s="96">
        <v>1153.4000000000001</v>
      </c>
      <c r="G17" s="15">
        <v>1029.5</v>
      </c>
      <c r="H17" s="92"/>
      <c r="I17" s="306">
        <f t="shared" ref="I17" si="1">(D17+E17+F17+G17)*H17</f>
        <v>0</v>
      </c>
    </row>
    <row r="18" spans="1:9" ht="13.5" thickBot="1">
      <c r="A18" s="90"/>
      <c r="B18"/>
      <c r="G18" s="15"/>
      <c r="H18" s="92"/>
    </row>
    <row r="19" spans="1:9" ht="21.75" thickBot="1">
      <c r="A19" s="609" t="s">
        <v>250</v>
      </c>
      <c r="B19" s="51" t="s">
        <v>269</v>
      </c>
      <c r="C19" s="52"/>
      <c r="D19" s="17"/>
      <c r="E19" s="17"/>
      <c r="F19" s="17"/>
      <c r="G19" s="104"/>
      <c r="H19" s="348"/>
      <c r="I19" s="322">
        <f>SUM(I4:I18)</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firstHeader>&amp;L&amp;K00-047Troškovnik&amp;C&amp;"-,Podebljano"&amp;K00-045PROJEKT ARHITEKTURE
Građevinsko - zanatski radovi&amp;R&amp;K00-046STAMBENO - POSLOVNA GRAĐEVINA, BLATO</firstHeader>
    <firstFooter>&amp;C&amp;K00-049V V - PROJEKT d.o.o. Put Supavla 1, 21000 Split, tel/fax: 021/322-249</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36"/>
  <sheetViews>
    <sheetView view="pageBreakPreview" topLeftCell="A20" zoomScale="120" zoomScaleNormal="100" zoomScaleSheetLayoutView="120" workbookViewId="0">
      <selection activeCell="A34" sqref="A34"/>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11.28515625" style="15" customWidth="1"/>
    <col min="9" max="9" width="12" style="306" customWidth="1"/>
    <col min="10" max="16384" width="2.28515625" style="21"/>
  </cols>
  <sheetData>
    <row r="1" spans="1:9" ht="25.5">
      <c r="A1" s="29" t="s">
        <v>4</v>
      </c>
      <c r="B1" s="31" t="s">
        <v>5</v>
      </c>
      <c r="C1" s="32" t="s">
        <v>436</v>
      </c>
      <c r="D1" s="110" t="s">
        <v>432</v>
      </c>
      <c r="E1" s="110" t="s">
        <v>433</v>
      </c>
      <c r="F1" s="110" t="s">
        <v>434</v>
      </c>
      <c r="G1" s="110" t="s">
        <v>435</v>
      </c>
      <c r="H1" s="347" t="s">
        <v>7</v>
      </c>
      <c r="I1" s="319" t="s">
        <v>8</v>
      </c>
    </row>
    <row r="3" spans="1:9" ht="21">
      <c r="A3" s="34" t="s">
        <v>734</v>
      </c>
      <c r="B3" s="39" t="s">
        <v>270</v>
      </c>
      <c r="C3" s="37"/>
      <c r="D3" s="18"/>
      <c r="E3" s="18"/>
      <c r="F3" s="18"/>
      <c r="G3" s="101"/>
      <c r="H3" s="101"/>
      <c r="I3" s="320"/>
    </row>
    <row r="4" spans="1:9">
      <c r="A4" s="90"/>
      <c r="B4"/>
      <c r="G4" s="15"/>
      <c r="H4" s="92"/>
    </row>
    <row r="5" spans="1:9" ht="15">
      <c r="A5" s="89">
        <v>14.1</v>
      </c>
      <c r="B5" s="76" t="s">
        <v>271</v>
      </c>
      <c r="C5" s="76"/>
      <c r="D5" s="13"/>
      <c r="E5" s="13"/>
      <c r="F5" s="13"/>
      <c r="G5" s="11"/>
      <c r="H5" s="13"/>
      <c r="I5" s="321"/>
    </row>
    <row r="6" spans="1:9">
      <c r="A6" s="90"/>
      <c r="B6"/>
      <c r="G6" s="15"/>
      <c r="H6" s="92"/>
    </row>
    <row r="7" spans="1:9" ht="38.25">
      <c r="A7" s="90"/>
      <c r="B7" t="s">
        <v>317</v>
      </c>
      <c r="G7" s="15"/>
      <c r="H7" s="92"/>
    </row>
    <row r="8" spans="1:9">
      <c r="A8" s="90"/>
      <c r="B8" t="s">
        <v>128</v>
      </c>
      <c r="D8" s="96">
        <v>133.25</v>
      </c>
      <c r="E8" s="96">
        <v>168.8</v>
      </c>
      <c r="F8" s="96">
        <v>245.8</v>
      </c>
      <c r="G8" s="15">
        <v>216.7</v>
      </c>
      <c r="H8" s="92"/>
      <c r="I8" s="306">
        <f t="shared" ref="I8" si="0">(D8+E8+F8+G8)*H8</f>
        <v>0</v>
      </c>
    </row>
    <row r="9" spans="1:9">
      <c r="A9" s="90"/>
      <c r="B9"/>
      <c r="G9" s="15"/>
      <c r="H9" s="92"/>
    </row>
    <row r="10" spans="1:9" ht="15">
      <c r="A10" s="89">
        <f>+MAX($A$1:A9)+0.1</f>
        <v>14.2</v>
      </c>
      <c r="B10" s="76" t="s">
        <v>272</v>
      </c>
      <c r="C10" s="76"/>
      <c r="D10" s="13"/>
      <c r="E10" s="13"/>
      <c r="F10" s="13"/>
      <c r="G10" s="11"/>
      <c r="H10" s="13"/>
      <c r="I10" s="321"/>
    </row>
    <row r="11" spans="1:9">
      <c r="A11" s="90"/>
      <c r="B11"/>
      <c r="G11" s="15"/>
      <c r="H11" s="92"/>
    </row>
    <row r="12" spans="1:9" ht="89.25">
      <c r="A12" s="90"/>
      <c r="B12" t="s">
        <v>789</v>
      </c>
      <c r="G12" s="15"/>
      <c r="H12" s="92"/>
    </row>
    <row r="13" spans="1:9">
      <c r="A13" s="90"/>
      <c r="B13" t="s">
        <v>787</v>
      </c>
      <c r="C13" s="1" t="s">
        <v>788</v>
      </c>
      <c r="D13" s="96">
        <v>1</v>
      </c>
      <c r="E13" s="96">
        <v>1</v>
      </c>
      <c r="F13" s="96">
        <v>1</v>
      </c>
      <c r="G13" s="15">
        <v>1</v>
      </c>
      <c r="H13" s="92"/>
      <c r="I13" s="306">
        <f t="shared" ref="I13" si="1">(D13+E13+F13+G13)*H13</f>
        <v>0</v>
      </c>
    </row>
    <row r="14" spans="1:9">
      <c r="A14" s="90"/>
      <c r="B14"/>
      <c r="G14" s="15"/>
      <c r="H14" s="92"/>
    </row>
    <row r="15" spans="1:9">
      <c r="A15" s="90"/>
      <c r="B15" s="83"/>
      <c r="G15" s="15"/>
      <c r="H15" s="92"/>
    </row>
    <row r="16" spans="1:9" ht="15">
      <c r="A16" s="89">
        <v>14.3</v>
      </c>
      <c r="B16" s="124" t="s">
        <v>678</v>
      </c>
      <c r="C16" s="76"/>
      <c r="D16" s="13"/>
      <c r="E16" s="13"/>
      <c r="F16" s="13"/>
      <c r="G16" s="11"/>
      <c r="H16" s="13"/>
      <c r="I16" s="321"/>
    </row>
    <row r="17" spans="1:9">
      <c r="A17" s="90"/>
      <c r="B17" s="83"/>
      <c r="G17" s="15"/>
      <c r="H17" s="92"/>
    </row>
    <row r="18" spans="1:9" ht="114.75">
      <c r="A18" s="90"/>
      <c r="B18" s="83" t="s">
        <v>680</v>
      </c>
      <c r="G18" s="15"/>
      <c r="H18" s="92"/>
    </row>
    <row r="19" spans="1:9">
      <c r="A19" s="90"/>
      <c r="B19" s="83" t="s">
        <v>679</v>
      </c>
      <c r="C19" s="1" t="s">
        <v>110</v>
      </c>
      <c r="D19" s="96">
        <v>1</v>
      </c>
      <c r="E19" s="96">
        <v>1</v>
      </c>
      <c r="F19" s="96">
        <v>1</v>
      </c>
      <c r="G19" s="15">
        <v>1</v>
      </c>
      <c r="H19" s="92"/>
      <c r="I19" s="306">
        <f t="shared" ref="I19" si="2">(D19+E19+F19+G19)*H19</f>
        <v>0</v>
      </c>
    </row>
    <row r="20" spans="1:9">
      <c r="A20" s="90"/>
      <c r="B20" s="83"/>
      <c r="G20" s="15"/>
      <c r="H20" s="92"/>
    </row>
    <row r="21" spans="1:9" ht="15">
      <c r="A21" s="89">
        <f>+MAX($A$1:A19)+0.1</f>
        <v>14.4</v>
      </c>
      <c r="B21" s="76" t="s">
        <v>681</v>
      </c>
      <c r="C21" s="76"/>
      <c r="D21" s="13"/>
      <c r="E21" s="13"/>
      <c r="F21" s="13"/>
      <c r="G21" s="11"/>
      <c r="H21" s="13"/>
      <c r="I21" s="321"/>
    </row>
    <row r="22" spans="1:9">
      <c r="A22" s="90"/>
      <c r="B22"/>
      <c r="G22" s="15"/>
      <c r="H22" s="92"/>
    </row>
    <row r="23" spans="1:9" ht="89.25">
      <c r="A23" s="90"/>
      <c r="B23" t="s">
        <v>786</v>
      </c>
      <c r="G23" s="15"/>
      <c r="H23" s="92"/>
    </row>
    <row r="24" spans="1:9">
      <c r="A24" s="90"/>
      <c r="B24" t="s">
        <v>679</v>
      </c>
      <c r="C24" s="1" t="s">
        <v>110</v>
      </c>
      <c r="D24" s="96">
        <v>1</v>
      </c>
      <c r="E24" s="96">
        <v>1</v>
      </c>
      <c r="F24" s="96">
        <v>1</v>
      </c>
      <c r="G24" s="15">
        <v>1</v>
      </c>
      <c r="H24" s="92"/>
      <c r="I24" s="306">
        <f t="shared" ref="I24" si="3">(D24+E24+F24+G24)*H24</f>
        <v>0</v>
      </c>
    </row>
    <row r="25" spans="1:9">
      <c r="A25" s="90"/>
      <c r="B25"/>
      <c r="G25" s="15"/>
      <c r="H25" s="92"/>
    </row>
    <row r="26" spans="1:9" ht="15">
      <c r="A26" s="89">
        <f>+MAX($A$1:A24)+0.1</f>
        <v>14.5</v>
      </c>
      <c r="B26" s="76" t="s">
        <v>874</v>
      </c>
      <c r="C26" s="76"/>
      <c r="D26" s="13"/>
      <c r="E26" s="13"/>
      <c r="F26" s="13"/>
      <c r="G26" s="11"/>
      <c r="H26" s="13"/>
      <c r="I26" s="321"/>
    </row>
    <row r="27" spans="1:9">
      <c r="A27" s="90"/>
      <c r="B27"/>
      <c r="G27" s="15"/>
      <c r="H27" s="92"/>
    </row>
    <row r="28" spans="1:9" ht="63.75">
      <c r="A28" s="90"/>
      <c r="B28" t="s">
        <v>875</v>
      </c>
      <c r="G28" s="15"/>
      <c r="H28" s="92"/>
    </row>
    <row r="29" spans="1:9">
      <c r="A29" s="90"/>
      <c r="B29" t="s">
        <v>876</v>
      </c>
      <c r="C29" s="1" t="s">
        <v>110</v>
      </c>
      <c r="F29" s="96">
        <v>8</v>
      </c>
      <c r="G29" s="15">
        <v>7</v>
      </c>
      <c r="H29" s="92"/>
      <c r="I29" s="306">
        <f t="shared" ref="I29" si="4">(D29+E29+F29+G29)*H29</f>
        <v>0</v>
      </c>
    </row>
    <row r="30" spans="1:9">
      <c r="A30" s="90"/>
      <c r="B30" t="s">
        <v>877</v>
      </c>
      <c r="C30" s="1" t="s">
        <v>110</v>
      </c>
      <c r="F30" s="96">
        <v>14</v>
      </c>
      <c r="G30" s="15">
        <v>10</v>
      </c>
      <c r="H30" s="92"/>
      <c r="I30" s="306">
        <f t="shared" ref="I30" si="5">(D30+E30+F30+G30)*H30</f>
        <v>0</v>
      </c>
    </row>
    <row r="31" spans="1:9">
      <c r="A31" s="90"/>
      <c r="B31"/>
      <c r="G31" s="15"/>
      <c r="H31" s="92"/>
    </row>
    <row r="32" spans="1:9">
      <c r="A32" s="90"/>
      <c r="B32" s="118"/>
      <c r="G32" s="15"/>
      <c r="H32" s="92"/>
    </row>
    <row r="33" spans="1:9" ht="13.5" thickBot="1">
      <c r="A33" s="90"/>
      <c r="B33"/>
      <c r="G33" s="15"/>
      <c r="H33" s="92"/>
    </row>
    <row r="34" spans="1:9" ht="21.75" thickBot="1">
      <c r="A34" s="609" t="s">
        <v>734</v>
      </c>
      <c r="B34" s="51" t="s">
        <v>273</v>
      </c>
      <c r="C34" s="52"/>
      <c r="D34" s="17"/>
      <c r="E34" s="17"/>
      <c r="F34" s="17"/>
      <c r="G34" s="104"/>
      <c r="H34" s="348"/>
      <c r="I34" s="322">
        <f>SUM(I7:I32)</f>
        <v>0</v>
      </c>
    </row>
    <row r="35" spans="1:9">
      <c r="A35" s="90"/>
      <c r="B35"/>
      <c r="G35" s="15"/>
      <c r="H35" s="92"/>
    </row>
    <row r="36" spans="1:9">
      <c r="A36" s="88"/>
      <c r="B36" s="21"/>
      <c r="G36" s="15"/>
      <c r="H36" s="92"/>
      <c r="I36" s="312"/>
    </row>
  </sheetData>
  <pageMargins left="0.70866141732283472" right="0.31496062992125984" top="0.74803149606299213" bottom="0.74803149606299213" header="0.31496062992125984" footer="0.31496062992125984"/>
  <pageSetup paperSize="9" scale="89" orientation="portrait" r:id="rId1"/>
  <headerFooter differentFirst="1">
    <oddHeader>&amp;L&amp;K01+044Troškovnik&amp;C&amp;"-,Podebljano"&amp;K01+044PROJEKT ARHITEKTURE
Građevinsko - zanatski radovi&amp;R&amp;K01+044STAMBENO - POSLOVNA GRAĐEVINA, BLATO</oddHeader>
    <oddFooter>&amp;C&amp;K00-047V V - PROJEKT d.o.o. Put Supavla 1, 21000 Split, tel/fax: 021/322-249</oddFooter>
  </headerFooter>
  <rowBreaks count="1" manualBreakCount="1">
    <brk id="20"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8"/>
  <sheetViews>
    <sheetView view="pageBreakPreview" zoomScale="110" zoomScaleNormal="100" zoomScaleSheetLayoutView="110" workbookViewId="0">
      <selection activeCell="I22" sqref="I22"/>
    </sheetView>
  </sheetViews>
  <sheetFormatPr defaultColWidth="2.28515625" defaultRowHeight="12.75"/>
  <cols>
    <col min="1" max="1" width="6" style="40" customWidth="1"/>
    <col min="2" max="2" width="45" style="56" customWidth="1"/>
    <col min="3" max="3" width="5.5703125" style="1" customWidth="1"/>
    <col min="4" max="6" width="7.7109375" style="96" customWidth="1"/>
    <col min="7" max="7" width="8.7109375" style="102" customWidth="1"/>
    <col min="8" max="8" width="6" style="43" customWidth="1"/>
    <col min="9" max="9" width="20.7109375" style="306" customWidth="1"/>
    <col min="10" max="16384" width="2.28515625" style="21"/>
  </cols>
  <sheetData>
    <row r="1" spans="1:9" ht="23.25">
      <c r="A1" s="610"/>
      <c r="B1" s="87" t="s">
        <v>105</v>
      </c>
      <c r="C1" s="65"/>
      <c r="D1" s="12"/>
      <c r="E1" s="12"/>
      <c r="F1" s="12"/>
      <c r="G1" s="107"/>
      <c r="H1" s="67"/>
      <c r="I1" s="308"/>
    </row>
    <row r="2" spans="1:9" ht="13.5" thickBot="1"/>
    <row r="3" spans="1:9" ht="21.75" thickBot="1">
      <c r="A3" s="68" t="s">
        <v>9</v>
      </c>
      <c r="B3" s="51" t="s">
        <v>17</v>
      </c>
      <c r="C3" s="71"/>
      <c r="D3" s="111"/>
      <c r="E3" s="111"/>
      <c r="F3" s="111"/>
      <c r="G3" s="108"/>
      <c r="H3" s="73"/>
      <c r="I3" s="357">
        <f>'1-GEODETSKI'!I60</f>
        <v>0</v>
      </c>
    </row>
    <row r="4" spans="1:9" ht="21.75" thickBot="1">
      <c r="A4" s="68" t="s">
        <v>18</v>
      </c>
      <c r="B4" s="51" t="s">
        <v>59</v>
      </c>
      <c r="C4" s="71"/>
      <c r="D4" s="111"/>
      <c r="E4" s="111"/>
      <c r="F4" s="111"/>
      <c r="G4" s="108"/>
      <c r="H4" s="73"/>
      <c r="I4" s="357">
        <f>'2-ZIDARSKI'!I158</f>
        <v>0</v>
      </c>
    </row>
    <row r="5" spans="1:9" ht="21.75" thickBot="1">
      <c r="A5" s="68" t="s">
        <v>19</v>
      </c>
      <c r="B5" s="51" t="s">
        <v>77</v>
      </c>
      <c r="C5" s="71"/>
      <c r="D5" s="111"/>
      <c r="E5" s="111"/>
      <c r="F5" s="111"/>
      <c r="G5" s="108"/>
      <c r="H5" s="73"/>
      <c r="I5" s="357">
        <f>'3-GIPS RADOVI'!I103</f>
        <v>0</v>
      </c>
    </row>
    <row r="6" spans="1:9" ht="21.75" thickBot="1">
      <c r="A6" s="68" t="s">
        <v>20</v>
      </c>
      <c r="B6" s="51" t="s">
        <v>106</v>
      </c>
      <c r="C6" s="71"/>
      <c r="D6" s="111"/>
      <c r="E6" s="111"/>
      <c r="F6" s="111"/>
      <c r="G6" s="108"/>
      <c r="H6" s="73"/>
      <c r="I6" s="357">
        <f>'5-FASADERSKI'!I78</f>
        <v>0</v>
      </c>
    </row>
    <row r="7" spans="1:9" ht="21.75" thickBot="1">
      <c r="A7" s="68" t="s">
        <v>21</v>
      </c>
      <c r="B7" s="51" t="s">
        <v>230</v>
      </c>
      <c r="C7" s="71"/>
      <c r="D7" s="111"/>
      <c r="E7" s="111"/>
      <c r="F7" s="111"/>
      <c r="G7" s="108"/>
      <c r="H7" s="73"/>
      <c r="I7" s="357">
        <f>'5-FASADERSKI'!I78</f>
        <v>0</v>
      </c>
    </row>
    <row r="8" spans="1:9" ht="21.75" thickBot="1">
      <c r="A8" s="68" t="s">
        <v>60</v>
      </c>
      <c r="B8" s="51" t="s">
        <v>232</v>
      </c>
      <c r="C8" s="71"/>
      <c r="D8" s="111"/>
      <c r="E8" s="111"/>
      <c r="F8" s="111"/>
      <c r="G8" s="108"/>
      <c r="H8" s="73"/>
      <c r="I8" s="357">
        <f>'6-BRAVARSKI i ČELIČNI'!I211</f>
        <v>0</v>
      </c>
    </row>
    <row r="9" spans="1:9" ht="21.75" thickBot="1">
      <c r="A9" s="68" t="s">
        <v>78</v>
      </c>
      <c r="B9" s="51" t="s">
        <v>241</v>
      </c>
      <c r="C9" s="71"/>
      <c r="D9" s="111"/>
      <c r="E9" s="111"/>
      <c r="F9" s="111"/>
      <c r="G9" s="108"/>
      <c r="H9" s="73"/>
      <c r="I9" s="357">
        <f>'7-ALUMINIJSKI'!I104</f>
        <v>0</v>
      </c>
    </row>
    <row r="10" spans="1:9" ht="21.75" thickBot="1">
      <c r="A10" s="68" t="s">
        <v>165</v>
      </c>
      <c r="B10" s="51" t="s">
        <v>733</v>
      </c>
      <c r="C10" s="71"/>
      <c r="D10" s="111"/>
      <c r="E10" s="111"/>
      <c r="F10" s="111"/>
      <c r="G10" s="108"/>
      <c r="H10" s="73"/>
      <c r="I10" s="357">
        <f>'8-LIMARSKI'!I31</f>
        <v>0</v>
      </c>
    </row>
    <row r="11" spans="1:9" ht="21.75" thickBot="1">
      <c r="A11" s="68" t="s">
        <v>205</v>
      </c>
      <c r="B11" s="51" t="s">
        <v>607</v>
      </c>
      <c r="C11" s="71"/>
      <c r="D11" s="111"/>
      <c r="E11" s="111"/>
      <c r="F11" s="111"/>
      <c r="G11" s="108"/>
      <c r="H11" s="73"/>
      <c r="I11" s="357">
        <f>'9-STOLARSKI'!I56</f>
        <v>0</v>
      </c>
    </row>
    <row r="12" spans="1:9" ht="21.75" thickBot="1">
      <c r="A12" s="68" t="s">
        <v>206</v>
      </c>
      <c r="B12" s="51" t="s">
        <v>629</v>
      </c>
      <c r="C12" s="71"/>
      <c r="D12" s="111"/>
      <c r="E12" s="111"/>
      <c r="F12" s="111"/>
      <c r="G12" s="108"/>
      <c r="H12" s="73"/>
      <c r="I12" s="357">
        <f>'10-PVC STOLARIJA i KROVNA KUPOL'!I57</f>
        <v>0</v>
      </c>
    </row>
    <row r="13" spans="1:9" ht="21.75" thickBot="1">
      <c r="A13" s="68" t="s">
        <v>233</v>
      </c>
      <c r="B13" s="51" t="s">
        <v>249</v>
      </c>
      <c r="C13" s="71"/>
      <c r="D13" s="111"/>
      <c r="E13" s="111"/>
      <c r="F13" s="111"/>
      <c r="G13" s="108"/>
      <c r="H13" s="73"/>
      <c r="I13" s="357">
        <f>'11-SOBOSLIKARSKI LIČILAČKI'!I48</f>
        <v>0</v>
      </c>
    </row>
    <row r="14" spans="1:9" s="116" customFormat="1" ht="21.75" thickBot="1">
      <c r="A14" s="68" t="s">
        <v>245</v>
      </c>
      <c r="B14" s="114" t="s">
        <v>267</v>
      </c>
      <c r="C14" s="71"/>
      <c r="D14" s="111"/>
      <c r="E14" s="111"/>
      <c r="F14" s="111"/>
      <c r="G14" s="108"/>
      <c r="H14" s="115"/>
      <c r="I14" s="358">
        <f>'12-KERAMIČARSKI'!I112</f>
        <v>0</v>
      </c>
    </row>
    <row r="15" spans="1:9" ht="21.75" thickBot="1">
      <c r="A15" s="68" t="s">
        <v>250</v>
      </c>
      <c r="B15" s="51" t="s">
        <v>269</v>
      </c>
      <c r="C15" s="71"/>
      <c r="D15" s="111"/>
      <c r="E15" s="111"/>
      <c r="F15" s="111"/>
      <c r="G15" s="108"/>
      <c r="H15" s="73"/>
      <c r="I15" s="357">
        <f>'13-PODOVI PARKET'!I19</f>
        <v>0</v>
      </c>
    </row>
    <row r="16" spans="1:9" ht="21.75" thickBot="1">
      <c r="A16" s="68" t="s">
        <v>734</v>
      </c>
      <c r="B16" s="51" t="s">
        <v>273</v>
      </c>
      <c r="C16" s="71"/>
      <c r="D16" s="111"/>
      <c r="E16" s="111"/>
      <c r="F16" s="111"/>
      <c r="G16" s="108"/>
      <c r="H16" s="73"/>
      <c r="I16" s="357">
        <f>'14-RAZNI RADOVI'!I34</f>
        <v>0</v>
      </c>
    </row>
    <row r="18" spans="1:9" ht="23.25">
      <c r="A18" s="62"/>
      <c r="B18" s="87" t="s">
        <v>107</v>
      </c>
      <c r="C18" s="65"/>
      <c r="D18" s="12"/>
      <c r="E18" s="12"/>
      <c r="F18" s="12"/>
      <c r="G18" s="107"/>
      <c r="H18" s="67"/>
      <c r="I18" s="308">
        <f>SUM(I3:I16)</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N450"/>
  <sheetViews>
    <sheetView view="pageBreakPreview" topLeftCell="A433" zoomScale="130" zoomScaleNormal="100" zoomScaleSheetLayoutView="130" workbookViewId="0">
      <selection activeCell="C313" sqref="C313"/>
    </sheetView>
  </sheetViews>
  <sheetFormatPr defaultColWidth="9.140625" defaultRowHeight="12.75"/>
  <cols>
    <col min="1" max="1" width="5.42578125" style="297" customWidth="1"/>
    <col min="2" max="2" width="4" style="365" customWidth="1"/>
    <col min="3" max="3" width="45.5703125" style="367" customWidth="1"/>
    <col min="4" max="4" width="6" style="335" customWidth="1"/>
    <col min="5" max="5" width="8.28515625" style="493" customWidth="1"/>
    <col min="6" max="6" width="13.42578125" style="493" customWidth="1"/>
    <col min="7" max="7" width="14" style="335" customWidth="1"/>
    <col min="8" max="8" width="9.140625" style="296"/>
    <col min="9" max="9" width="9.140625" style="296" customWidth="1"/>
    <col min="10" max="16384" width="9.140625" style="296"/>
  </cols>
  <sheetData>
    <row r="1" spans="1:7">
      <c r="A1" s="637"/>
      <c r="B1" s="638"/>
      <c r="C1" s="638"/>
      <c r="D1" s="638"/>
      <c r="E1" s="638"/>
      <c r="F1" s="638"/>
      <c r="G1" s="639"/>
    </row>
    <row r="2" spans="1:7">
      <c r="A2" s="640"/>
      <c r="B2" s="641"/>
      <c r="C2" s="641"/>
      <c r="D2" s="641"/>
      <c r="E2" s="641"/>
      <c r="F2" s="641"/>
      <c r="G2" s="642"/>
    </row>
    <row r="3" spans="1:7">
      <c r="A3" s="640"/>
      <c r="B3" s="641"/>
      <c r="C3" s="641"/>
      <c r="D3" s="641"/>
      <c r="E3" s="641"/>
      <c r="F3" s="641"/>
      <c r="G3" s="642"/>
    </row>
    <row r="4" spans="1:7">
      <c r="A4" s="640"/>
      <c r="B4" s="641"/>
      <c r="C4" s="641"/>
      <c r="D4" s="641"/>
      <c r="E4" s="641"/>
      <c r="F4" s="641"/>
      <c r="G4" s="642"/>
    </row>
    <row r="5" spans="1:7">
      <c r="A5" s="640"/>
      <c r="B5" s="641"/>
      <c r="C5" s="641"/>
      <c r="D5" s="641"/>
      <c r="E5" s="641"/>
      <c r="F5" s="641"/>
      <c r="G5" s="642"/>
    </row>
    <row r="6" spans="1:7">
      <c r="A6" s="640"/>
      <c r="B6" s="641"/>
      <c r="C6" s="641"/>
      <c r="D6" s="641"/>
      <c r="E6" s="641"/>
      <c r="F6" s="641"/>
      <c r="G6" s="642"/>
    </row>
    <row r="7" spans="1:7">
      <c r="A7" s="640"/>
      <c r="B7" s="641"/>
      <c r="C7" s="641"/>
      <c r="D7" s="641"/>
      <c r="E7" s="641"/>
      <c r="F7" s="641"/>
      <c r="G7" s="642"/>
    </row>
    <row r="8" spans="1:7">
      <c r="A8" s="640"/>
      <c r="B8" s="641"/>
      <c r="C8" s="641"/>
      <c r="D8" s="641"/>
      <c r="E8" s="641"/>
      <c r="F8" s="641"/>
      <c r="G8" s="642"/>
    </row>
    <row r="9" spans="1:7">
      <c r="A9" s="640"/>
      <c r="B9" s="641"/>
      <c r="C9" s="641"/>
      <c r="D9" s="641"/>
      <c r="E9" s="641"/>
      <c r="F9" s="641"/>
      <c r="G9" s="642"/>
    </row>
    <row r="10" spans="1:7">
      <c r="A10" s="640"/>
      <c r="B10" s="641"/>
      <c r="C10" s="641"/>
      <c r="D10" s="641"/>
      <c r="E10" s="641"/>
      <c r="F10" s="641"/>
      <c r="G10" s="642"/>
    </row>
    <row r="11" spans="1:7">
      <c r="A11" s="640"/>
      <c r="B11" s="641"/>
      <c r="C11" s="641"/>
      <c r="D11" s="641"/>
      <c r="E11" s="641"/>
      <c r="F11" s="641"/>
      <c r="G11" s="642"/>
    </row>
    <row r="12" spans="1:7">
      <c r="A12" s="640"/>
      <c r="B12" s="641"/>
      <c r="C12" s="641"/>
      <c r="D12" s="641"/>
      <c r="E12" s="641"/>
      <c r="F12" s="641"/>
      <c r="G12" s="642"/>
    </row>
    <row r="13" spans="1:7">
      <c r="A13" s="640"/>
      <c r="B13" s="641"/>
      <c r="C13" s="641"/>
      <c r="D13" s="641"/>
      <c r="E13" s="641"/>
      <c r="F13" s="641"/>
      <c r="G13" s="642"/>
    </row>
    <row r="14" spans="1:7">
      <c r="A14" s="640"/>
      <c r="B14" s="641"/>
      <c r="C14" s="641"/>
      <c r="D14" s="641"/>
      <c r="E14" s="641"/>
      <c r="F14" s="641"/>
      <c r="G14" s="642"/>
    </row>
    <row r="15" spans="1:7">
      <c r="A15" s="643"/>
      <c r="B15" s="644"/>
      <c r="C15" s="644"/>
      <c r="D15" s="644"/>
      <c r="E15" s="644"/>
      <c r="F15" s="644"/>
      <c r="G15" s="645"/>
    </row>
    <row r="16" spans="1:7" ht="27.75" customHeight="1">
      <c r="A16" s="646" t="s">
        <v>2621</v>
      </c>
      <c r="B16" s="647"/>
      <c r="C16" s="647"/>
      <c r="D16" s="647"/>
      <c r="E16" s="647"/>
      <c r="F16" s="647"/>
      <c r="G16" s="648"/>
    </row>
    <row r="17" spans="1:7">
      <c r="A17" s="649"/>
      <c r="B17" s="650"/>
      <c r="C17" s="650"/>
      <c r="D17" s="650"/>
      <c r="E17" s="650"/>
      <c r="F17" s="650"/>
      <c r="G17" s="651"/>
    </row>
    <row r="18" spans="1:7" ht="18">
      <c r="A18" s="652" t="s">
        <v>2622</v>
      </c>
      <c r="B18" s="653"/>
      <c r="C18" s="653"/>
      <c r="D18" s="653"/>
      <c r="E18" s="653"/>
      <c r="F18" s="653"/>
      <c r="G18" s="654"/>
    </row>
    <row r="19" spans="1:7" ht="15" customHeight="1">
      <c r="A19" s="655" t="s">
        <v>2623</v>
      </c>
      <c r="B19" s="656"/>
      <c r="C19" s="656"/>
      <c r="D19" s="656"/>
      <c r="E19" s="656"/>
      <c r="F19" s="656"/>
      <c r="G19" s="657"/>
    </row>
    <row r="20" spans="1:7" ht="15" customHeight="1">
      <c r="A20" s="658" t="s">
        <v>2624</v>
      </c>
      <c r="B20" s="659"/>
      <c r="C20" s="659"/>
      <c r="D20" s="659"/>
      <c r="E20" s="659"/>
      <c r="F20" s="659"/>
      <c r="G20" s="660"/>
    </row>
    <row r="21" spans="1:7">
      <c r="A21" s="649"/>
      <c r="B21" s="650"/>
      <c r="C21" s="650"/>
      <c r="D21" s="650"/>
      <c r="E21" s="650"/>
      <c r="F21" s="650"/>
      <c r="G21" s="651"/>
    </row>
    <row r="22" spans="1:7" ht="26.25" customHeight="1">
      <c r="A22" s="661" t="s">
        <v>2625</v>
      </c>
      <c r="B22" s="662"/>
      <c r="C22" s="662"/>
      <c r="D22" s="662"/>
      <c r="E22" s="662"/>
      <c r="F22" s="662"/>
      <c r="G22" s="663"/>
    </row>
    <row r="23" spans="1:7">
      <c r="A23" s="637"/>
      <c r="B23" s="638"/>
      <c r="C23" s="638"/>
      <c r="D23" s="638"/>
      <c r="E23" s="638"/>
      <c r="F23" s="638"/>
      <c r="G23" s="639"/>
    </row>
    <row r="24" spans="1:7">
      <c r="A24" s="640"/>
      <c r="B24" s="641"/>
      <c r="C24" s="641"/>
      <c r="D24" s="641"/>
      <c r="E24" s="641"/>
      <c r="F24" s="641"/>
      <c r="G24" s="642"/>
    </row>
    <row r="25" spans="1:7">
      <c r="A25" s="640"/>
      <c r="B25" s="641"/>
      <c r="C25" s="641"/>
      <c r="D25" s="641"/>
      <c r="E25" s="641"/>
      <c r="F25" s="641"/>
      <c r="G25" s="642"/>
    </row>
    <row r="26" spans="1:7">
      <c r="A26" s="640"/>
      <c r="B26" s="641"/>
      <c r="C26" s="641"/>
      <c r="D26" s="641"/>
      <c r="E26" s="641"/>
      <c r="F26" s="641"/>
      <c r="G26" s="642"/>
    </row>
    <row r="27" spans="1:7">
      <c r="A27" s="640"/>
      <c r="B27" s="641"/>
      <c r="C27" s="641"/>
      <c r="D27" s="641"/>
      <c r="E27" s="641"/>
      <c r="F27" s="641"/>
      <c r="G27" s="642"/>
    </row>
    <row r="28" spans="1:7">
      <c r="A28" s="640"/>
      <c r="B28" s="641"/>
      <c r="C28" s="641"/>
      <c r="D28" s="641"/>
      <c r="E28" s="641"/>
      <c r="F28" s="641"/>
      <c r="G28" s="642"/>
    </row>
    <row r="29" spans="1:7">
      <c r="A29" s="640"/>
      <c r="B29" s="641"/>
      <c r="C29" s="641"/>
      <c r="D29" s="641"/>
      <c r="E29" s="641"/>
      <c r="F29" s="641"/>
      <c r="G29" s="642"/>
    </row>
    <row r="30" spans="1:7">
      <c r="A30" s="640"/>
      <c r="B30" s="641"/>
      <c r="C30" s="641"/>
      <c r="D30" s="641"/>
      <c r="E30" s="641"/>
      <c r="F30" s="641"/>
      <c r="G30" s="642"/>
    </row>
    <row r="31" spans="1:7">
      <c r="A31" s="640"/>
      <c r="B31" s="641"/>
      <c r="C31" s="641"/>
      <c r="D31" s="641"/>
      <c r="E31" s="641"/>
      <c r="F31" s="641"/>
      <c r="G31" s="642"/>
    </row>
    <row r="32" spans="1:7">
      <c r="A32" s="640"/>
      <c r="B32" s="641"/>
      <c r="C32" s="641"/>
      <c r="D32" s="641"/>
      <c r="E32" s="641"/>
      <c r="F32" s="641"/>
      <c r="G32" s="642"/>
    </row>
    <row r="33" spans="1:7">
      <c r="A33" s="640"/>
      <c r="B33" s="641"/>
      <c r="C33" s="641"/>
      <c r="D33" s="641"/>
      <c r="E33" s="641"/>
      <c r="F33" s="641"/>
      <c r="G33" s="642"/>
    </row>
    <row r="34" spans="1:7">
      <c r="A34" s="640"/>
      <c r="B34" s="641"/>
      <c r="C34" s="641"/>
      <c r="D34" s="641"/>
      <c r="E34" s="641"/>
      <c r="F34" s="641"/>
      <c r="G34" s="642"/>
    </row>
    <row r="35" spans="1:7">
      <c r="A35" s="640"/>
      <c r="B35" s="641"/>
      <c r="C35" s="641"/>
      <c r="D35" s="641"/>
      <c r="E35" s="641"/>
      <c r="F35" s="641"/>
      <c r="G35" s="642"/>
    </row>
    <row r="36" spans="1:7">
      <c r="A36" s="640"/>
      <c r="B36" s="641"/>
      <c r="C36" s="641"/>
      <c r="D36" s="641"/>
      <c r="E36" s="641"/>
      <c r="F36" s="641"/>
      <c r="G36" s="642"/>
    </row>
    <row r="37" spans="1:7">
      <c r="A37" s="640"/>
      <c r="B37" s="641"/>
      <c r="C37" s="641"/>
      <c r="D37" s="641"/>
      <c r="E37" s="641"/>
      <c r="F37" s="641"/>
      <c r="G37" s="642"/>
    </row>
    <row r="38" spans="1:7">
      <c r="A38" s="640"/>
      <c r="B38" s="641"/>
      <c r="C38" s="641"/>
      <c r="D38" s="641"/>
      <c r="E38" s="641"/>
      <c r="F38" s="641"/>
      <c r="G38" s="642"/>
    </row>
    <row r="39" spans="1:7">
      <c r="A39" s="640"/>
      <c r="B39" s="641"/>
      <c r="C39" s="641"/>
      <c r="D39" s="641"/>
      <c r="E39" s="641"/>
      <c r="F39" s="641"/>
      <c r="G39" s="642"/>
    </row>
    <row r="40" spans="1:7">
      <c r="A40" s="640"/>
      <c r="B40" s="641"/>
      <c r="C40" s="641"/>
      <c r="D40" s="641"/>
      <c r="E40" s="641"/>
      <c r="F40" s="641"/>
      <c r="G40" s="642"/>
    </row>
    <row r="41" spans="1:7">
      <c r="A41" s="640"/>
      <c r="B41" s="641"/>
      <c r="C41" s="641"/>
      <c r="D41" s="641"/>
      <c r="E41" s="641"/>
      <c r="F41" s="641"/>
      <c r="G41" s="642"/>
    </row>
    <row r="42" spans="1:7">
      <c r="A42" s="640"/>
      <c r="B42" s="641"/>
      <c r="C42" s="641"/>
      <c r="D42" s="641"/>
      <c r="E42" s="641"/>
      <c r="F42" s="641"/>
      <c r="G42" s="642"/>
    </row>
    <row r="43" spans="1:7">
      <c r="A43" s="640"/>
      <c r="B43" s="641"/>
      <c r="C43" s="641"/>
      <c r="D43" s="641"/>
      <c r="E43" s="641"/>
      <c r="F43" s="641"/>
      <c r="G43" s="642"/>
    </row>
    <row r="44" spans="1:7">
      <c r="A44" s="640"/>
      <c r="B44" s="641"/>
      <c r="C44" s="641"/>
      <c r="D44" s="641"/>
      <c r="E44" s="641"/>
      <c r="F44" s="641"/>
      <c r="G44" s="642"/>
    </row>
    <row r="45" spans="1:7">
      <c r="A45" s="640"/>
      <c r="B45" s="641"/>
      <c r="C45" s="641"/>
      <c r="D45" s="641"/>
      <c r="E45" s="641"/>
      <c r="F45" s="641"/>
      <c r="G45" s="642"/>
    </row>
    <row r="46" spans="1:7">
      <c r="A46" s="640"/>
      <c r="B46" s="641"/>
      <c r="C46" s="641"/>
      <c r="D46" s="641"/>
      <c r="E46" s="641"/>
      <c r="F46" s="641"/>
      <c r="G46" s="642"/>
    </row>
    <row r="47" spans="1:7">
      <c r="A47" s="640"/>
      <c r="B47" s="641"/>
      <c r="C47" s="641"/>
      <c r="D47" s="641"/>
      <c r="E47" s="641"/>
      <c r="F47" s="641"/>
      <c r="G47" s="642"/>
    </row>
    <row r="48" spans="1:7">
      <c r="A48" s="640"/>
      <c r="B48" s="641"/>
      <c r="C48" s="641"/>
      <c r="D48" s="641"/>
      <c r="E48" s="641"/>
      <c r="F48" s="641"/>
      <c r="G48" s="642"/>
    </row>
    <row r="49" spans="1:7">
      <c r="A49" s="640"/>
      <c r="B49" s="641"/>
      <c r="C49" s="641"/>
      <c r="D49" s="641"/>
      <c r="E49" s="641"/>
      <c r="F49" s="641"/>
      <c r="G49" s="642"/>
    </row>
    <row r="50" spans="1:7">
      <c r="A50" s="640"/>
      <c r="B50" s="641"/>
      <c r="C50" s="641"/>
      <c r="D50" s="641"/>
      <c r="E50" s="641"/>
      <c r="F50" s="641"/>
      <c r="G50" s="642"/>
    </row>
    <row r="51" spans="1:7">
      <c r="A51" s="643"/>
      <c r="B51" s="644"/>
      <c r="C51" s="644"/>
      <c r="D51" s="644"/>
      <c r="E51" s="644"/>
      <c r="F51" s="644"/>
      <c r="G51" s="645"/>
    </row>
    <row r="52" spans="1:7" ht="22.5">
      <c r="A52" s="477" t="s">
        <v>4</v>
      </c>
      <c r="B52" s="359"/>
      <c r="C52" s="360" t="s">
        <v>2626</v>
      </c>
      <c r="D52" s="334" t="s">
        <v>2627</v>
      </c>
      <c r="E52" s="492" t="s">
        <v>2628</v>
      </c>
      <c r="F52" s="492" t="s">
        <v>2629</v>
      </c>
      <c r="G52" s="334" t="s">
        <v>2630</v>
      </c>
    </row>
    <row r="53" spans="1:7">
      <c r="A53" s="478"/>
      <c r="B53" s="361"/>
      <c r="C53" s="362"/>
    </row>
    <row r="54" spans="1:7" ht="21">
      <c r="A54" s="180">
        <v>1</v>
      </c>
      <c r="B54" s="363"/>
      <c r="C54" s="364" t="s">
        <v>10</v>
      </c>
      <c r="D54" s="336"/>
      <c r="E54" s="333"/>
      <c r="F54" s="333"/>
      <c r="G54" s="336"/>
    </row>
    <row r="56" spans="1:7" ht="25.5">
      <c r="A56" s="627"/>
      <c r="C56" s="366" t="s">
        <v>2631</v>
      </c>
    </row>
    <row r="57" spans="1:7">
      <c r="A57" s="478"/>
      <c r="B57" s="361"/>
      <c r="C57" s="362"/>
    </row>
    <row r="58" spans="1:7" ht="21">
      <c r="A58" s="180">
        <v>2</v>
      </c>
      <c r="B58" s="363"/>
      <c r="C58" s="364" t="s">
        <v>1114</v>
      </c>
      <c r="D58" s="336"/>
      <c r="E58" s="333"/>
      <c r="F58" s="333"/>
      <c r="G58" s="336"/>
    </row>
    <row r="60" spans="1:7" ht="25.5">
      <c r="A60" s="627"/>
      <c r="C60" s="366" t="s">
        <v>2631</v>
      </c>
    </row>
    <row r="61" spans="1:7">
      <c r="A61" s="478"/>
      <c r="B61" s="361"/>
      <c r="C61" s="362"/>
    </row>
    <row r="62" spans="1:7" ht="21">
      <c r="A62" s="180">
        <v>3</v>
      </c>
      <c r="B62" s="363"/>
      <c r="C62" s="364" t="s">
        <v>1323</v>
      </c>
      <c r="D62" s="336"/>
      <c r="E62" s="333"/>
      <c r="F62" s="333"/>
      <c r="G62" s="336"/>
    </row>
    <row r="64" spans="1:7" ht="25.5">
      <c r="A64" s="627"/>
      <c r="C64" s="420" t="s">
        <v>2632</v>
      </c>
    </row>
    <row r="65" spans="1:7">
      <c r="A65" s="478"/>
    </row>
    <row r="66" spans="1:7" ht="21">
      <c r="A66" s="180" t="s">
        <v>2633</v>
      </c>
      <c r="B66" s="363"/>
      <c r="C66" s="364" t="s">
        <v>22</v>
      </c>
      <c r="D66" s="336"/>
      <c r="E66" s="333"/>
      <c r="F66" s="333"/>
      <c r="G66" s="336"/>
    </row>
    <row r="68" spans="1:7" ht="63.75">
      <c r="C68" s="368" t="s">
        <v>2634</v>
      </c>
    </row>
    <row r="69" spans="1:7">
      <c r="C69" s="368"/>
    </row>
    <row r="70" spans="1:7" ht="76.5">
      <c r="C70" s="368" t="s">
        <v>2635</v>
      </c>
    </row>
    <row r="71" spans="1:7">
      <c r="C71" s="368"/>
    </row>
    <row r="72" spans="1:7" ht="114.75">
      <c r="C72" s="368" t="s">
        <v>2636</v>
      </c>
    </row>
    <row r="73" spans="1:7">
      <c r="C73" s="368"/>
    </row>
    <row r="74" spans="1:7" ht="102">
      <c r="C74" s="368" t="s">
        <v>2637</v>
      </c>
    </row>
    <row r="75" spans="1:7" ht="63.75">
      <c r="C75" s="368" t="s">
        <v>2638</v>
      </c>
    </row>
    <row r="76" spans="1:7">
      <c r="C76" s="369"/>
    </row>
    <row r="77" spans="1:7" ht="15.75" thickBot="1">
      <c r="C77" s="370" t="s">
        <v>2639</v>
      </c>
    </row>
    <row r="78" spans="1:7" ht="51">
      <c r="C78" s="368" t="s">
        <v>24</v>
      </c>
    </row>
    <row r="79" spans="1:7" ht="357">
      <c r="C79" s="368" t="s">
        <v>2640</v>
      </c>
    </row>
    <row r="80" spans="1:7">
      <c r="C80" s="369"/>
    </row>
    <row r="81" spans="1:14" ht="15.75" thickBot="1">
      <c r="C81" s="370" t="s">
        <v>25</v>
      </c>
    </row>
    <row r="82" spans="1:14" s="298" customFormat="1" ht="25.5">
      <c r="A82" s="297"/>
      <c r="B82" s="365"/>
      <c r="C82" s="368" t="s">
        <v>2641</v>
      </c>
      <c r="D82" s="335"/>
      <c r="E82" s="493"/>
      <c r="F82" s="493"/>
      <c r="G82" s="335"/>
      <c r="H82" s="296"/>
      <c r="I82" s="296"/>
      <c r="J82" s="296"/>
      <c r="K82" s="296"/>
      <c r="L82" s="296"/>
      <c r="M82" s="296"/>
      <c r="N82" s="296"/>
    </row>
    <row r="83" spans="1:14" s="298" customFormat="1" ht="76.5">
      <c r="A83" s="297"/>
      <c r="B83" s="365"/>
      <c r="C83" s="368" t="s">
        <v>2838</v>
      </c>
      <c r="D83" s="335"/>
      <c r="E83" s="493"/>
      <c r="F83" s="493"/>
      <c r="G83" s="335"/>
      <c r="H83" s="296"/>
      <c r="I83" s="296"/>
      <c r="J83" s="296"/>
      <c r="K83" s="296"/>
      <c r="L83" s="296"/>
      <c r="M83" s="296"/>
      <c r="N83" s="296"/>
    </row>
    <row r="84" spans="1:14" s="298" customFormat="1" ht="76.5">
      <c r="A84" s="297"/>
      <c r="B84" s="365"/>
      <c r="C84" s="368" t="s">
        <v>2839</v>
      </c>
      <c r="D84" s="335"/>
      <c r="E84" s="493"/>
      <c r="F84" s="493"/>
      <c r="G84" s="335"/>
      <c r="H84" s="296"/>
      <c r="I84" s="296"/>
      <c r="J84" s="296"/>
      <c r="K84" s="296"/>
      <c r="L84" s="296"/>
      <c r="M84" s="296"/>
      <c r="N84" s="296"/>
    </row>
    <row r="85" spans="1:14" s="298" customFormat="1" ht="102">
      <c r="A85" s="297"/>
      <c r="B85" s="365"/>
      <c r="C85" s="368" t="s">
        <v>2642</v>
      </c>
      <c r="D85" s="335"/>
      <c r="E85" s="493"/>
      <c r="F85" s="493"/>
      <c r="G85" s="335"/>
      <c r="H85" s="296"/>
      <c r="I85" s="296"/>
      <c r="J85" s="296"/>
      <c r="K85" s="296"/>
      <c r="L85" s="296"/>
      <c r="M85" s="296"/>
      <c r="N85" s="296"/>
    </row>
    <row r="86" spans="1:14" s="298" customFormat="1" ht="165.75">
      <c r="A86" s="297"/>
      <c r="B86" s="365"/>
      <c r="C86" s="368" t="s">
        <v>2643</v>
      </c>
      <c r="D86" s="335"/>
      <c r="E86" s="493"/>
      <c r="F86" s="493"/>
      <c r="G86" s="335"/>
      <c r="H86" s="296"/>
      <c r="I86" s="296"/>
      <c r="J86" s="296"/>
      <c r="K86" s="296"/>
      <c r="L86" s="296"/>
      <c r="M86" s="296"/>
      <c r="N86" s="296"/>
    </row>
    <row r="87" spans="1:14" s="298" customFormat="1">
      <c r="A87" s="297"/>
      <c r="B87" s="365"/>
      <c r="C87" s="369"/>
      <c r="D87" s="335"/>
      <c r="E87" s="493"/>
      <c r="F87" s="493"/>
      <c r="G87" s="335"/>
      <c r="H87" s="296"/>
      <c r="I87" s="296"/>
      <c r="J87" s="296"/>
      <c r="K87" s="296"/>
      <c r="L87" s="296"/>
      <c r="M87" s="296"/>
      <c r="N87" s="296"/>
    </row>
    <row r="88" spans="1:14" s="298" customFormat="1" ht="13.5" thickBot="1">
      <c r="A88" s="297"/>
      <c r="B88" s="365"/>
      <c r="C88" s="371" t="s">
        <v>26</v>
      </c>
      <c r="D88" s="335"/>
      <c r="E88" s="493"/>
      <c r="F88" s="493"/>
      <c r="G88" s="335"/>
      <c r="H88" s="296"/>
      <c r="I88" s="296"/>
      <c r="J88" s="296"/>
      <c r="K88" s="296"/>
      <c r="L88" s="296"/>
      <c r="M88" s="296"/>
      <c r="N88" s="296"/>
    </row>
    <row r="89" spans="1:14" s="298" customFormat="1" ht="127.5">
      <c r="A89" s="297"/>
      <c r="B89" s="365"/>
      <c r="C89" s="368" t="s">
        <v>2644</v>
      </c>
      <c r="D89" s="335"/>
      <c r="E89" s="493"/>
      <c r="F89" s="493"/>
      <c r="G89" s="335"/>
      <c r="H89" s="296"/>
      <c r="I89" s="296"/>
      <c r="J89" s="296"/>
      <c r="K89" s="296"/>
      <c r="L89" s="296"/>
      <c r="M89" s="296"/>
      <c r="N89" s="296"/>
    </row>
    <row r="90" spans="1:14" s="298" customFormat="1" ht="89.25">
      <c r="A90" s="297"/>
      <c r="B90" s="365"/>
      <c r="C90" s="368" t="s">
        <v>2645</v>
      </c>
      <c r="D90" s="335"/>
      <c r="E90" s="493"/>
      <c r="F90" s="493"/>
      <c r="G90" s="335"/>
      <c r="H90" s="296"/>
      <c r="I90" s="296"/>
      <c r="J90" s="296"/>
      <c r="K90" s="296"/>
      <c r="L90" s="296"/>
      <c r="M90" s="296"/>
      <c r="N90" s="296"/>
    </row>
    <row r="91" spans="1:14" s="298" customFormat="1" ht="63.75">
      <c r="A91" s="297"/>
      <c r="B91" s="365"/>
      <c r="C91" s="368" t="s">
        <v>2646</v>
      </c>
      <c r="D91" s="335"/>
      <c r="E91" s="493"/>
      <c r="F91" s="493"/>
      <c r="G91" s="335"/>
      <c r="H91" s="296"/>
      <c r="I91" s="296"/>
      <c r="J91" s="296"/>
      <c r="K91" s="296"/>
      <c r="L91" s="296"/>
      <c r="M91" s="296"/>
      <c r="N91" s="296"/>
    </row>
    <row r="92" spans="1:14" s="298" customFormat="1" ht="51">
      <c r="A92" s="297"/>
      <c r="B92" s="365"/>
      <c r="C92" s="368" t="s">
        <v>2647</v>
      </c>
      <c r="D92" s="335"/>
      <c r="E92" s="493"/>
      <c r="F92" s="493"/>
      <c r="G92" s="335"/>
      <c r="H92" s="296"/>
      <c r="I92" s="296"/>
      <c r="J92" s="296"/>
      <c r="K92" s="296"/>
      <c r="L92" s="296"/>
      <c r="M92" s="296"/>
      <c r="N92" s="296"/>
    </row>
    <row r="93" spans="1:14" s="298" customFormat="1" ht="89.25">
      <c r="A93" s="297"/>
      <c r="B93" s="365"/>
      <c r="C93" s="368" t="s">
        <v>2648</v>
      </c>
      <c r="D93" s="335"/>
      <c r="E93" s="493"/>
      <c r="F93" s="493"/>
      <c r="G93" s="335"/>
      <c r="H93" s="296"/>
      <c r="I93" s="296"/>
      <c r="J93" s="296"/>
      <c r="K93" s="296"/>
      <c r="L93" s="296"/>
      <c r="M93" s="296"/>
      <c r="N93" s="296"/>
    </row>
    <row r="94" spans="1:14" s="298" customFormat="1" ht="102">
      <c r="A94" s="297"/>
      <c r="B94" s="365"/>
      <c r="C94" s="368" t="s">
        <v>2649</v>
      </c>
      <c r="D94" s="335"/>
      <c r="E94" s="493"/>
      <c r="F94" s="493"/>
      <c r="G94" s="335"/>
      <c r="H94" s="296"/>
      <c r="I94" s="296"/>
      <c r="J94" s="296"/>
      <c r="K94" s="296"/>
      <c r="L94" s="296"/>
      <c r="M94" s="296"/>
      <c r="N94" s="296"/>
    </row>
    <row r="95" spans="1:14" s="298" customFormat="1" ht="140.25">
      <c r="A95" s="297"/>
      <c r="B95" s="365"/>
      <c r="C95" s="368" t="s">
        <v>2650</v>
      </c>
      <c r="D95" s="335"/>
      <c r="E95" s="493"/>
      <c r="F95" s="493"/>
      <c r="G95" s="335"/>
      <c r="H95" s="296"/>
      <c r="I95" s="296"/>
      <c r="J95" s="296"/>
      <c r="K95" s="296"/>
      <c r="L95" s="296"/>
      <c r="M95" s="296"/>
      <c r="N95" s="296"/>
    </row>
    <row r="96" spans="1:14" s="298" customFormat="1" ht="63.75">
      <c r="A96" s="297"/>
      <c r="B96" s="365"/>
      <c r="C96" s="368" t="s">
        <v>28</v>
      </c>
      <c r="D96" s="335"/>
      <c r="E96" s="493"/>
      <c r="F96" s="493"/>
      <c r="G96" s="335"/>
      <c r="H96" s="296"/>
      <c r="I96" s="296"/>
      <c r="J96" s="296"/>
      <c r="K96" s="296"/>
      <c r="L96" s="296"/>
      <c r="M96" s="296"/>
      <c r="N96" s="296"/>
    </row>
    <row r="97" spans="1:14" s="298" customFormat="1">
      <c r="A97" s="297"/>
      <c r="B97" s="365"/>
      <c r="C97" s="372" t="s">
        <v>2651</v>
      </c>
      <c r="D97" s="335"/>
      <c r="E97" s="493"/>
      <c r="F97" s="493"/>
      <c r="G97" s="335"/>
      <c r="H97" s="296"/>
      <c r="I97" s="296"/>
      <c r="J97" s="296"/>
      <c r="K97" s="296"/>
      <c r="L97" s="296"/>
      <c r="M97" s="296"/>
      <c r="N97" s="296"/>
    </row>
    <row r="98" spans="1:14" ht="38.25">
      <c r="C98" s="368" t="s">
        <v>30</v>
      </c>
    </row>
    <row r="99" spans="1:14">
      <c r="B99" s="373"/>
      <c r="C99" s="374"/>
      <c r="D99" s="337"/>
      <c r="E99" s="494"/>
      <c r="F99" s="494"/>
      <c r="G99" s="337"/>
    </row>
    <row r="100" spans="1:14">
      <c r="A100" s="479" t="s">
        <v>1817</v>
      </c>
      <c r="B100" s="301"/>
      <c r="C100" s="375" t="s">
        <v>32</v>
      </c>
      <c r="D100" s="376"/>
      <c r="E100" s="495"/>
      <c r="F100" s="495"/>
      <c r="G100" s="326"/>
    </row>
    <row r="101" spans="1:14">
      <c r="B101" s="377"/>
      <c r="C101" s="378"/>
      <c r="D101" s="338"/>
      <c r="E101" s="496"/>
      <c r="F101" s="496"/>
      <c r="G101" s="338"/>
    </row>
    <row r="102" spans="1:14" ht="25.5">
      <c r="C102" s="368" t="s">
        <v>2652</v>
      </c>
    </row>
    <row r="103" spans="1:14">
      <c r="C103" s="379"/>
    </row>
    <row r="104" spans="1:14" ht="13.5" thickBot="1">
      <c r="C104" s="380" t="s">
        <v>2653</v>
      </c>
    </row>
    <row r="105" spans="1:14" ht="102">
      <c r="C105" s="368" t="s">
        <v>488</v>
      </c>
    </row>
    <row r="107" spans="1:14" ht="13.5" thickBot="1">
      <c r="C107" s="380" t="s">
        <v>32</v>
      </c>
    </row>
    <row r="108" spans="1:14" ht="89.25">
      <c r="C108" s="368" t="s">
        <v>2654</v>
      </c>
    </row>
    <row r="109" spans="1:14" ht="63.75">
      <c r="C109" s="368" t="s">
        <v>33</v>
      </c>
    </row>
    <row r="110" spans="1:14" ht="102">
      <c r="C110" s="368" t="s">
        <v>34</v>
      </c>
    </row>
    <row r="111" spans="1:14" ht="63.75">
      <c r="C111" s="368" t="s">
        <v>35</v>
      </c>
    </row>
    <row r="112" spans="1:14" ht="153">
      <c r="C112" s="368" t="s">
        <v>2840</v>
      </c>
    </row>
    <row r="113" spans="1:7" ht="89.25">
      <c r="C113" s="368" t="s">
        <v>2841</v>
      </c>
    </row>
    <row r="114" spans="1:7" ht="76.5">
      <c r="C114" s="368" t="s">
        <v>36</v>
      </c>
    </row>
    <row r="115" spans="1:7" ht="102">
      <c r="C115" s="368" t="s">
        <v>2655</v>
      </c>
    </row>
    <row r="117" spans="1:7">
      <c r="B117" s="365" t="s">
        <v>39</v>
      </c>
      <c r="C117" s="381" t="s">
        <v>2656</v>
      </c>
    </row>
    <row r="118" spans="1:7" ht="25.5">
      <c r="C118" s="367" t="s">
        <v>2657</v>
      </c>
      <c r="D118" s="335" t="s">
        <v>1120</v>
      </c>
      <c r="E118" s="493">
        <v>375.25</v>
      </c>
      <c r="G118" s="335">
        <f>E118*F118</f>
        <v>0</v>
      </c>
    </row>
    <row r="120" spans="1:7">
      <c r="A120" s="479" t="s">
        <v>1819</v>
      </c>
      <c r="B120" s="301"/>
      <c r="C120" s="375" t="s">
        <v>495</v>
      </c>
      <c r="D120" s="376"/>
      <c r="E120" s="495"/>
      <c r="F120" s="495"/>
      <c r="G120" s="326"/>
    </row>
    <row r="122" spans="1:7" ht="344.25">
      <c r="C122" s="369" t="s">
        <v>2658</v>
      </c>
    </row>
    <row r="123" spans="1:7">
      <c r="B123" s="365" t="s">
        <v>39</v>
      </c>
      <c r="C123" s="381" t="s">
        <v>2659</v>
      </c>
      <c r="D123" s="335" t="s">
        <v>1120</v>
      </c>
      <c r="E123" s="493">
        <v>375.25</v>
      </c>
      <c r="G123" s="335">
        <f>E123*F123</f>
        <v>0</v>
      </c>
    </row>
    <row r="125" spans="1:7" ht="25.5">
      <c r="A125" s="479" t="s">
        <v>2660</v>
      </c>
      <c r="B125" s="301"/>
      <c r="C125" s="375" t="s">
        <v>53</v>
      </c>
      <c r="D125" s="376"/>
      <c r="E125" s="495"/>
      <c r="F125" s="495"/>
      <c r="G125" s="326"/>
    </row>
    <row r="126" spans="1:7" ht="51">
      <c r="C126" s="382" t="s">
        <v>54</v>
      </c>
      <c r="D126" s="335" t="s">
        <v>14</v>
      </c>
      <c r="E126" s="493">
        <v>30</v>
      </c>
      <c r="G126" s="335">
        <f>E126*F126</f>
        <v>0</v>
      </c>
    </row>
    <row r="128" spans="1:7">
      <c r="A128" s="479" t="s">
        <v>2661</v>
      </c>
      <c r="B128" s="301"/>
      <c r="C128" s="375" t="s">
        <v>2662</v>
      </c>
      <c r="D128" s="376"/>
      <c r="E128" s="495"/>
      <c r="F128" s="495"/>
      <c r="G128" s="326"/>
    </row>
    <row r="129" spans="1:7" ht="63.75">
      <c r="C129" s="382" t="s">
        <v>56</v>
      </c>
      <c r="D129" s="335" t="s">
        <v>14</v>
      </c>
      <c r="E129" s="493">
        <v>50</v>
      </c>
      <c r="G129" s="335">
        <f>E129*F129</f>
        <v>0</v>
      </c>
    </row>
    <row r="131" spans="1:7">
      <c r="A131" s="479" t="s">
        <v>2663</v>
      </c>
      <c r="B131" s="301"/>
      <c r="C131" s="375" t="s">
        <v>57</v>
      </c>
      <c r="D131" s="376"/>
      <c r="E131" s="495"/>
      <c r="F131" s="495"/>
      <c r="G131" s="326"/>
    </row>
    <row r="132" spans="1:7" ht="38.25">
      <c r="C132" s="369" t="s">
        <v>58</v>
      </c>
      <c r="D132" s="335" t="s">
        <v>14</v>
      </c>
      <c r="E132" s="493">
        <v>75</v>
      </c>
      <c r="G132" s="335">
        <f>E132*F132</f>
        <v>0</v>
      </c>
    </row>
    <row r="134" spans="1:7" ht="46.5">
      <c r="A134" s="297" t="s">
        <v>20</v>
      </c>
      <c r="C134" s="383" t="s">
        <v>59</v>
      </c>
      <c r="G134" s="335">
        <f>SUM(G67:G133)</f>
        <v>0</v>
      </c>
    </row>
    <row r="136" spans="1:7">
      <c r="A136" s="478"/>
      <c r="B136" s="361"/>
      <c r="C136" s="362"/>
    </row>
    <row r="137" spans="1:7">
      <c r="A137" s="480"/>
      <c r="B137" s="384"/>
      <c r="C137" s="385"/>
      <c r="D137" s="339"/>
      <c r="E137" s="497"/>
      <c r="F137" s="497"/>
      <c r="G137" s="339"/>
    </row>
    <row r="138" spans="1:7" ht="21">
      <c r="A138" s="180">
        <v>5</v>
      </c>
      <c r="B138" s="363"/>
      <c r="C138" s="364" t="s">
        <v>2664</v>
      </c>
      <c r="D138" s="336"/>
      <c r="E138" s="333"/>
      <c r="F138" s="333"/>
      <c r="G138" s="336"/>
    </row>
    <row r="140" spans="1:7" ht="30">
      <c r="A140" s="76" t="s">
        <v>1823</v>
      </c>
      <c r="B140" s="304"/>
      <c r="C140" s="304" t="s">
        <v>2665</v>
      </c>
      <c r="D140" s="340"/>
      <c r="E140" s="475"/>
      <c r="F140" s="475"/>
      <c r="G140" s="340"/>
    </row>
    <row r="141" spans="1:7">
      <c r="C141" s="381"/>
    </row>
    <row r="142" spans="1:7" ht="25.5">
      <c r="C142" s="368" t="s">
        <v>2666</v>
      </c>
    </row>
    <row r="143" spans="1:7" ht="38.25">
      <c r="B143" s="365" t="s">
        <v>39</v>
      </c>
      <c r="C143" s="368" t="s">
        <v>2667</v>
      </c>
      <c r="D143" s="335" t="s">
        <v>1335</v>
      </c>
      <c r="E143" s="493">
        <v>241.6</v>
      </c>
      <c r="G143" s="335">
        <f>E143*F143</f>
        <v>0</v>
      </c>
    </row>
    <row r="144" spans="1:7" ht="38.25">
      <c r="B144" s="365" t="s">
        <v>41</v>
      </c>
      <c r="C144" s="368" t="s">
        <v>2668</v>
      </c>
      <c r="D144" s="335" t="s">
        <v>1335</v>
      </c>
      <c r="E144" s="493">
        <v>241.6</v>
      </c>
      <c r="G144" s="335">
        <f>E144*F144</f>
        <v>0</v>
      </c>
    </row>
    <row r="145" spans="1:7" ht="38.25">
      <c r="B145" s="365" t="s">
        <v>42</v>
      </c>
      <c r="C145" s="368" t="s">
        <v>2669</v>
      </c>
    </row>
    <row r="146" spans="1:7">
      <c r="C146" s="386"/>
    </row>
    <row r="147" spans="1:7" ht="46.5">
      <c r="A147" s="481" t="s">
        <v>21</v>
      </c>
      <c r="C147" s="383" t="s">
        <v>2670</v>
      </c>
      <c r="G147" s="335">
        <f>SUM(G140:G145)</f>
        <v>0</v>
      </c>
    </row>
    <row r="148" spans="1:7" ht="23.25">
      <c r="A148" s="482">
        <v>6</v>
      </c>
      <c r="B148" s="387"/>
      <c r="C148" s="388" t="s">
        <v>61</v>
      </c>
      <c r="D148" s="389"/>
      <c r="E148" s="498"/>
      <c r="F148" s="498"/>
      <c r="G148" s="341"/>
    </row>
    <row r="149" spans="1:7">
      <c r="C149" s="382"/>
    </row>
    <row r="150" spans="1:7" ht="140.25">
      <c r="C150" s="368" t="s">
        <v>2847</v>
      </c>
    </row>
    <row r="151" spans="1:7" ht="331.5">
      <c r="C151" s="368" t="s">
        <v>2848</v>
      </c>
    </row>
    <row r="152" spans="1:7">
      <c r="C152" s="382"/>
    </row>
    <row r="153" spans="1:7" ht="13.5" thickBot="1">
      <c r="C153" s="390" t="s">
        <v>44</v>
      </c>
    </row>
    <row r="154" spans="1:7" ht="76.5">
      <c r="C154" s="368" t="s">
        <v>2671</v>
      </c>
    </row>
    <row r="155" spans="1:7">
      <c r="C155" s="382"/>
    </row>
    <row r="156" spans="1:7" ht="13.5" thickBot="1">
      <c r="A156" s="296"/>
      <c r="B156" s="302"/>
      <c r="C156" s="390" t="s">
        <v>62</v>
      </c>
    </row>
    <row r="157" spans="1:7" ht="89.25">
      <c r="A157" s="296"/>
      <c r="B157" s="302"/>
      <c r="C157" s="368" t="s">
        <v>2849</v>
      </c>
    </row>
    <row r="158" spans="1:7" ht="127.5">
      <c r="A158" s="296"/>
      <c r="B158" s="302"/>
      <c r="C158" s="368" t="s">
        <v>2850</v>
      </c>
    </row>
    <row r="159" spans="1:7">
      <c r="A159" s="296"/>
      <c r="B159" s="302"/>
      <c r="C159" s="382"/>
    </row>
    <row r="160" spans="1:7" ht="13.5" thickBot="1">
      <c r="A160" s="296"/>
      <c r="B160" s="302"/>
      <c r="C160" s="371" t="s">
        <v>63</v>
      </c>
    </row>
    <row r="161" spans="1:3" ht="153">
      <c r="A161" s="296"/>
      <c r="B161" s="302"/>
      <c r="C161" s="368" t="s">
        <v>2851</v>
      </c>
    </row>
    <row r="162" spans="1:3">
      <c r="A162" s="296"/>
      <c r="B162" s="302"/>
      <c r="C162" s="369"/>
    </row>
    <row r="163" spans="1:3" ht="13.5" thickBot="1">
      <c r="A163" s="296"/>
      <c r="B163" s="302"/>
      <c r="C163" s="371" t="s">
        <v>64</v>
      </c>
    </row>
    <row r="164" spans="1:3" ht="25.5">
      <c r="A164" s="296"/>
      <c r="B164" s="302"/>
      <c r="C164" s="391" t="s">
        <v>2672</v>
      </c>
    </row>
    <row r="165" spans="1:3">
      <c r="A165" s="296"/>
      <c r="B165" s="302"/>
      <c r="C165" s="369"/>
    </row>
    <row r="166" spans="1:3" ht="140.25">
      <c r="A166" s="296"/>
      <c r="B166" s="302"/>
      <c r="C166" s="368" t="s">
        <v>2852</v>
      </c>
    </row>
    <row r="167" spans="1:3" ht="216.75">
      <c r="A167" s="296"/>
      <c r="B167" s="302"/>
      <c r="C167" s="368" t="s">
        <v>2853</v>
      </c>
    </row>
    <row r="168" spans="1:3">
      <c r="A168" s="296"/>
      <c r="B168" s="302"/>
      <c r="C168" s="369"/>
    </row>
    <row r="169" spans="1:3" ht="216.75">
      <c r="A169" s="296"/>
      <c r="B169" s="302"/>
      <c r="C169" s="368" t="s">
        <v>2854</v>
      </c>
    </row>
    <row r="170" spans="1:3">
      <c r="A170" s="296"/>
      <c r="B170" s="302"/>
      <c r="C170" s="382"/>
    </row>
    <row r="171" spans="1:3" ht="13.5" thickBot="1">
      <c r="A171" s="296"/>
      <c r="B171" s="302"/>
      <c r="C171" s="390" t="s">
        <v>66</v>
      </c>
    </row>
    <row r="172" spans="1:3" ht="51">
      <c r="A172" s="296"/>
      <c r="B172" s="302"/>
      <c r="C172" s="368" t="s">
        <v>2673</v>
      </c>
    </row>
    <row r="173" spans="1:3">
      <c r="C173" s="368"/>
    </row>
    <row r="174" spans="1:3" ht="51">
      <c r="C174" s="368" t="s">
        <v>2674</v>
      </c>
    </row>
    <row r="175" spans="1:3">
      <c r="C175" s="369"/>
    </row>
    <row r="176" spans="1:3" ht="76.5">
      <c r="C176" s="368" t="s">
        <v>2675</v>
      </c>
    </row>
    <row r="177" spans="1:7" ht="153">
      <c r="C177" s="368" t="s">
        <v>2855</v>
      </c>
    </row>
    <row r="178" spans="1:7">
      <c r="C178" s="382"/>
    </row>
    <row r="179" spans="1:7" ht="63.75">
      <c r="A179" s="479" t="s">
        <v>1837</v>
      </c>
      <c r="B179" s="301"/>
      <c r="C179" s="392" t="s">
        <v>2676</v>
      </c>
      <c r="D179" s="376"/>
      <c r="E179" s="495"/>
      <c r="F179" s="495"/>
      <c r="G179" s="326"/>
    </row>
    <row r="180" spans="1:7">
      <c r="C180" s="382"/>
    </row>
    <row r="181" spans="1:7" ht="51">
      <c r="C181" s="368" t="s">
        <v>2677</v>
      </c>
    </row>
    <row r="182" spans="1:7">
      <c r="C182" s="368"/>
    </row>
    <row r="183" spans="1:7">
      <c r="B183" s="365" t="s">
        <v>39</v>
      </c>
      <c r="C183" s="372" t="s">
        <v>69</v>
      </c>
    </row>
    <row r="184" spans="1:7" ht="51">
      <c r="C184" s="368" t="s">
        <v>2678</v>
      </c>
    </row>
    <row r="185" spans="1:7">
      <c r="C185" s="368"/>
    </row>
    <row r="186" spans="1:7">
      <c r="B186" s="365" t="s">
        <v>41</v>
      </c>
      <c r="C186" s="372" t="s">
        <v>70</v>
      </c>
    </row>
    <row r="187" spans="1:7" ht="25.5">
      <c r="C187" s="368" t="s">
        <v>2679</v>
      </c>
    </row>
    <row r="188" spans="1:7">
      <c r="C188" s="368"/>
    </row>
    <row r="189" spans="1:7">
      <c r="B189" s="365" t="s">
        <v>42</v>
      </c>
      <c r="C189" s="372" t="s">
        <v>71</v>
      </c>
    </row>
    <row r="190" spans="1:7" ht="38.25">
      <c r="C190" s="368" t="s">
        <v>2856</v>
      </c>
    </row>
    <row r="191" spans="1:7">
      <c r="C191" s="382"/>
    </row>
    <row r="192" spans="1:7">
      <c r="C192" s="393" t="s">
        <v>2680</v>
      </c>
    </row>
    <row r="193" spans="1:14" ht="38.25">
      <c r="C193" s="382" t="s">
        <v>2681</v>
      </c>
      <c r="D193" s="335" t="s">
        <v>1335</v>
      </c>
      <c r="E193" s="493">
        <v>23</v>
      </c>
      <c r="G193" s="335">
        <f>E193*F193</f>
        <v>0</v>
      </c>
    </row>
    <row r="194" spans="1:14">
      <c r="C194" s="382"/>
    </row>
    <row r="195" spans="1:14" ht="13.5" thickBot="1">
      <c r="C195" s="382"/>
    </row>
    <row r="196" spans="1:14" customFormat="1" ht="21.75" thickBot="1">
      <c r="A196" s="49" t="s">
        <v>60</v>
      </c>
      <c r="B196" s="394"/>
      <c r="C196" s="395" t="s">
        <v>77</v>
      </c>
      <c r="D196" s="396"/>
      <c r="E196" s="471"/>
      <c r="F196" s="471"/>
      <c r="G196" s="342">
        <f>SUM(G180:G194)</f>
        <v>0</v>
      </c>
      <c r="H196" s="299"/>
      <c r="I196" s="296"/>
      <c r="J196" s="296"/>
      <c r="K196" s="296"/>
      <c r="L196" s="296"/>
      <c r="M196" s="296"/>
      <c r="N196" s="296"/>
    </row>
    <row r="197" spans="1:14">
      <c r="C197" s="382"/>
    </row>
    <row r="198" spans="1:14">
      <c r="C198" s="382"/>
    </row>
    <row r="199" spans="1:14">
      <c r="C199" s="382"/>
    </row>
    <row r="200" spans="1:14">
      <c r="C200" s="369"/>
    </row>
    <row r="201" spans="1:14" ht="21">
      <c r="A201" s="180" t="s">
        <v>2682</v>
      </c>
      <c r="B201" s="363"/>
      <c r="C201" s="364" t="s">
        <v>79</v>
      </c>
      <c r="D201" s="336"/>
      <c r="E201" s="333"/>
      <c r="F201" s="333"/>
      <c r="G201" s="336"/>
    </row>
    <row r="203" spans="1:14" s="324" customFormat="1" ht="51">
      <c r="A203" s="483"/>
      <c r="B203" s="397"/>
      <c r="C203" s="368" t="s">
        <v>2683</v>
      </c>
      <c r="D203" s="323"/>
      <c r="E203" s="499"/>
      <c r="F203" s="499"/>
      <c r="G203" s="323"/>
    </row>
    <row r="204" spans="1:14" s="324" customFormat="1" ht="25.5">
      <c r="A204" s="483"/>
      <c r="B204" s="397"/>
      <c r="C204" s="368" t="s">
        <v>2684</v>
      </c>
      <c r="D204" s="323"/>
      <c r="E204" s="499"/>
      <c r="F204" s="499"/>
      <c r="G204" s="323"/>
    </row>
    <row r="205" spans="1:14" s="324" customFormat="1">
      <c r="A205" s="483"/>
      <c r="B205" s="397"/>
      <c r="C205" s="368"/>
      <c r="D205" s="323"/>
      <c r="E205" s="499"/>
      <c r="F205" s="499"/>
      <c r="G205" s="323"/>
    </row>
    <row r="206" spans="1:14" s="324" customFormat="1" ht="15.75" thickBot="1">
      <c r="B206" s="398"/>
      <c r="C206" s="370" t="s">
        <v>2685</v>
      </c>
      <c r="D206" s="323"/>
      <c r="E206" s="499"/>
      <c r="F206" s="499"/>
      <c r="G206" s="323"/>
    </row>
    <row r="207" spans="1:14" s="324" customFormat="1" ht="255">
      <c r="B207" s="398"/>
      <c r="C207" s="368" t="s">
        <v>2845</v>
      </c>
      <c r="D207" s="323"/>
      <c r="E207" s="499"/>
      <c r="F207" s="499"/>
      <c r="G207" s="323"/>
    </row>
    <row r="208" spans="1:14" s="324" customFormat="1" ht="267.75">
      <c r="B208" s="398"/>
      <c r="C208" s="368" t="s">
        <v>2686</v>
      </c>
      <c r="D208" s="323"/>
      <c r="E208" s="499"/>
      <c r="F208" s="499"/>
      <c r="G208" s="323"/>
    </row>
    <row r="209" spans="1:7" s="324" customFormat="1">
      <c r="B209" s="398"/>
      <c r="C209" s="368"/>
      <c r="D209" s="323"/>
      <c r="E209" s="499"/>
      <c r="F209" s="499"/>
      <c r="G209" s="323"/>
    </row>
    <row r="210" spans="1:7" s="324" customFormat="1" ht="204">
      <c r="B210" s="398"/>
      <c r="C210" s="368" t="s">
        <v>2687</v>
      </c>
      <c r="D210" s="323"/>
      <c r="E210" s="499"/>
      <c r="F210" s="499"/>
      <c r="G210" s="323"/>
    </row>
    <row r="211" spans="1:7" s="324" customFormat="1">
      <c r="B211" s="398"/>
      <c r="C211" s="399"/>
      <c r="D211" s="323"/>
      <c r="E211" s="499"/>
      <c r="F211" s="499"/>
      <c r="G211" s="323"/>
    </row>
    <row r="212" spans="1:7" s="324" customFormat="1" ht="153">
      <c r="B212" s="398"/>
      <c r="C212" s="368" t="s">
        <v>2688</v>
      </c>
      <c r="D212" s="323"/>
      <c r="E212" s="499"/>
      <c r="F212" s="499"/>
      <c r="G212" s="323"/>
    </row>
    <row r="213" spans="1:7" s="324" customFormat="1">
      <c r="B213" s="398"/>
      <c r="C213" s="400"/>
      <c r="D213" s="323"/>
      <c r="E213" s="499"/>
      <c r="F213" s="499"/>
      <c r="G213" s="323"/>
    </row>
    <row r="214" spans="1:7" s="324" customFormat="1" ht="102">
      <c r="B214" s="398"/>
      <c r="C214" s="368" t="s">
        <v>2689</v>
      </c>
      <c r="D214" s="323"/>
      <c r="E214" s="499"/>
      <c r="F214" s="499"/>
      <c r="G214" s="323"/>
    </row>
    <row r="215" spans="1:7" s="324" customFormat="1">
      <c r="B215" s="398"/>
      <c r="C215" s="368"/>
      <c r="D215" s="323"/>
      <c r="E215" s="499"/>
      <c r="F215" s="499"/>
      <c r="G215" s="323"/>
    </row>
    <row r="216" spans="1:7" s="324" customFormat="1" ht="15.75" thickBot="1">
      <c r="B216" s="398"/>
      <c r="C216" s="370" t="s">
        <v>2690</v>
      </c>
      <c r="D216" s="323"/>
      <c r="E216" s="499"/>
      <c r="F216" s="499"/>
      <c r="G216" s="323"/>
    </row>
    <row r="217" spans="1:7" s="324" customFormat="1" ht="127.5">
      <c r="B217" s="398"/>
      <c r="C217" s="368" t="s">
        <v>2691</v>
      </c>
      <c r="D217" s="323"/>
      <c r="E217" s="499"/>
      <c r="F217" s="499"/>
      <c r="G217" s="323"/>
    </row>
    <row r="218" spans="1:7" s="324" customFormat="1">
      <c r="B218" s="398"/>
      <c r="C218" s="400"/>
      <c r="D218" s="323"/>
      <c r="E218" s="499"/>
      <c r="F218" s="499"/>
      <c r="G218" s="323"/>
    </row>
    <row r="219" spans="1:7" s="324" customFormat="1" ht="15.75" thickBot="1">
      <c r="B219" s="398"/>
      <c r="C219" s="370" t="s">
        <v>2692</v>
      </c>
      <c r="D219" s="323"/>
      <c r="E219" s="499"/>
      <c r="F219" s="499"/>
      <c r="G219" s="323"/>
    </row>
    <row r="220" spans="1:7" s="324" customFormat="1" ht="89.25">
      <c r="B220" s="398"/>
      <c r="C220" s="368" t="s">
        <v>2693</v>
      </c>
      <c r="D220" s="323"/>
      <c r="E220" s="499"/>
      <c r="F220" s="499"/>
      <c r="G220" s="323"/>
    </row>
    <row r="221" spans="1:7" s="324" customFormat="1">
      <c r="B221" s="398"/>
      <c r="C221" s="400"/>
      <c r="D221" s="323"/>
      <c r="E221" s="499"/>
      <c r="F221" s="499"/>
      <c r="G221" s="323"/>
    </row>
    <row r="222" spans="1:7" s="324" customFormat="1" ht="15.75" thickBot="1">
      <c r="A222" s="483"/>
      <c r="B222" s="397"/>
      <c r="C222" s="370" t="s">
        <v>2694</v>
      </c>
      <c r="D222" s="323"/>
      <c r="E222" s="499"/>
      <c r="F222" s="499"/>
      <c r="G222" s="323"/>
    </row>
    <row r="223" spans="1:7" s="324" customFormat="1" ht="153">
      <c r="A223" s="483"/>
      <c r="B223" s="397"/>
      <c r="C223" s="368" t="s">
        <v>2695</v>
      </c>
      <c r="D223" s="323"/>
      <c r="E223" s="499"/>
      <c r="F223" s="499"/>
      <c r="G223" s="323"/>
    </row>
    <row r="224" spans="1:7" s="324" customFormat="1">
      <c r="A224" s="483"/>
      <c r="B224" s="397"/>
      <c r="C224" s="368"/>
      <c r="D224" s="323"/>
      <c r="E224" s="499"/>
      <c r="F224" s="499"/>
      <c r="G224" s="323"/>
    </row>
    <row r="225" spans="1:7" s="324" customFormat="1" ht="15.75" thickBot="1">
      <c r="A225" s="483"/>
      <c r="B225" s="397"/>
      <c r="C225" s="370" t="s">
        <v>81</v>
      </c>
      <c r="D225" s="323"/>
      <c r="E225" s="499"/>
      <c r="F225" s="499"/>
      <c r="G225" s="323"/>
    </row>
    <row r="226" spans="1:7" s="324" customFormat="1" ht="306">
      <c r="A226" s="483"/>
      <c r="B226" s="397"/>
      <c r="C226" s="401" t="s">
        <v>2696</v>
      </c>
      <c r="D226" s="323"/>
      <c r="E226" s="499"/>
      <c r="F226" s="499"/>
      <c r="G226" s="323"/>
    </row>
    <row r="227" spans="1:7" s="324" customFormat="1">
      <c r="A227" s="483"/>
      <c r="B227" s="397"/>
      <c r="C227" s="399"/>
      <c r="D227" s="323"/>
      <c r="E227" s="499"/>
      <c r="F227" s="499"/>
      <c r="G227" s="323"/>
    </row>
    <row r="228" spans="1:7" s="324" customFormat="1" ht="178.5">
      <c r="A228" s="483"/>
      <c r="B228" s="397"/>
      <c r="C228" s="368" t="s">
        <v>2697</v>
      </c>
      <c r="D228" s="323"/>
      <c r="E228" s="499"/>
      <c r="F228" s="499"/>
      <c r="G228" s="323"/>
    </row>
    <row r="229" spans="1:7" s="324" customFormat="1">
      <c r="A229" s="483"/>
      <c r="B229" s="397"/>
      <c r="C229" s="399"/>
      <c r="D229" s="323"/>
      <c r="E229" s="499"/>
      <c r="F229" s="499"/>
      <c r="G229" s="323"/>
    </row>
    <row r="230" spans="1:7" s="324" customFormat="1">
      <c r="A230" s="484" t="s">
        <v>1846</v>
      </c>
      <c r="B230" s="303"/>
      <c r="C230" s="303" t="s">
        <v>2698</v>
      </c>
      <c r="D230" s="325"/>
      <c r="E230" s="500"/>
      <c r="F230" s="500"/>
      <c r="G230" s="325"/>
    </row>
    <row r="231" spans="1:7" s="324" customFormat="1">
      <c r="A231" s="483"/>
      <c r="B231" s="397"/>
      <c r="C231" s="402"/>
      <c r="D231" s="323"/>
      <c r="E231" s="499"/>
      <c r="F231" s="499"/>
      <c r="G231" s="323"/>
    </row>
    <row r="232" spans="1:7" s="324" customFormat="1" ht="38.25">
      <c r="A232" s="483"/>
      <c r="B232" s="397"/>
      <c r="C232" s="403" t="s">
        <v>93</v>
      </c>
      <c r="D232" s="323"/>
      <c r="E232" s="499"/>
      <c r="F232" s="499"/>
      <c r="G232" s="323"/>
    </row>
    <row r="233" spans="1:7" s="324" customFormat="1">
      <c r="A233" s="483"/>
      <c r="B233" s="397"/>
      <c r="C233" s="403"/>
      <c r="D233" s="323"/>
      <c r="E233" s="499"/>
      <c r="F233" s="499"/>
      <c r="G233" s="323"/>
    </row>
    <row r="234" spans="1:7" s="324" customFormat="1" ht="38.25">
      <c r="A234" s="483"/>
      <c r="B234" s="397"/>
      <c r="C234" s="404" t="s">
        <v>956</v>
      </c>
      <c r="D234" s="323"/>
      <c r="E234" s="499"/>
      <c r="F234" s="499"/>
      <c r="G234" s="323"/>
    </row>
    <row r="235" spans="1:7" s="324" customFormat="1" ht="38.25">
      <c r="A235" s="483"/>
      <c r="B235" s="397"/>
      <c r="C235" s="403" t="s">
        <v>957</v>
      </c>
      <c r="D235" s="323"/>
      <c r="E235" s="499"/>
      <c r="F235" s="499"/>
      <c r="G235" s="323"/>
    </row>
    <row r="236" spans="1:7" s="324" customFormat="1" ht="318.75">
      <c r="A236" s="483"/>
      <c r="B236" s="397"/>
      <c r="C236" s="404" t="s">
        <v>958</v>
      </c>
      <c r="D236" s="323"/>
      <c r="E236" s="499"/>
      <c r="F236" s="499"/>
      <c r="G236" s="323"/>
    </row>
    <row r="237" spans="1:7" s="324" customFormat="1">
      <c r="A237" s="483"/>
      <c r="B237" s="397"/>
      <c r="C237" s="402"/>
      <c r="D237" s="323"/>
      <c r="E237" s="499"/>
      <c r="F237" s="499"/>
      <c r="G237" s="323"/>
    </row>
    <row r="238" spans="1:7" s="324" customFormat="1">
      <c r="A238" s="483"/>
      <c r="B238" s="397"/>
      <c r="C238" s="405" t="s">
        <v>2699</v>
      </c>
      <c r="D238" s="323"/>
      <c r="E238" s="499"/>
      <c r="F238" s="499"/>
      <c r="G238" s="323"/>
    </row>
    <row r="239" spans="1:7" s="324" customFormat="1">
      <c r="A239" s="483"/>
      <c r="B239" s="397"/>
      <c r="C239" s="402"/>
      <c r="D239" s="323"/>
      <c r="E239" s="499"/>
      <c r="F239" s="499"/>
      <c r="G239" s="323"/>
    </row>
    <row r="240" spans="1:7" s="324" customFormat="1" ht="25.5">
      <c r="A240" s="483"/>
      <c r="B240" s="397" t="s">
        <v>39</v>
      </c>
      <c r="C240" s="406" t="s">
        <v>2700</v>
      </c>
      <c r="D240" s="323" t="s">
        <v>1335</v>
      </c>
      <c r="E240" s="499">
        <v>454.5</v>
      </c>
      <c r="F240" s="499"/>
      <c r="G240" s="323">
        <f>E240*F240</f>
        <v>0</v>
      </c>
    </row>
    <row r="241" spans="1:7" s="324" customFormat="1" ht="38.25">
      <c r="A241" s="483"/>
      <c r="B241" s="397" t="s">
        <v>41</v>
      </c>
      <c r="C241" s="406" t="s">
        <v>2701</v>
      </c>
      <c r="D241" s="323" t="s">
        <v>40</v>
      </c>
      <c r="E241" s="499">
        <v>45.4</v>
      </c>
      <c r="F241" s="499"/>
      <c r="G241" s="323">
        <f>E241*F241</f>
        <v>0</v>
      </c>
    </row>
    <row r="242" spans="1:7" s="324" customFormat="1">
      <c r="A242" s="483"/>
      <c r="B242" s="397"/>
      <c r="C242" s="402"/>
      <c r="D242" s="323"/>
      <c r="E242" s="499"/>
      <c r="F242" s="499"/>
      <c r="G242" s="323"/>
    </row>
    <row r="243" spans="1:7" s="324" customFormat="1">
      <c r="A243" s="483"/>
      <c r="B243" s="397"/>
      <c r="C243" s="405" t="s">
        <v>2702</v>
      </c>
      <c r="D243" s="323"/>
      <c r="E243" s="499"/>
      <c r="F243" s="499"/>
      <c r="G243" s="323"/>
    </row>
    <row r="244" spans="1:7" s="324" customFormat="1">
      <c r="A244" s="483"/>
      <c r="B244" s="397"/>
      <c r="C244" s="402"/>
      <c r="D244" s="323"/>
      <c r="E244" s="499"/>
      <c r="F244" s="499"/>
      <c r="G244" s="323"/>
    </row>
    <row r="245" spans="1:7" s="324" customFormat="1" ht="25.5">
      <c r="A245" s="483"/>
      <c r="B245" s="397" t="s">
        <v>39</v>
      </c>
      <c r="C245" s="406" t="s">
        <v>2703</v>
      </c>
      <c r="D245" s="323" t="s">
        <v>40</v>
      </c>
      <c r="E245" s="499">
        <v>57.24</v>
      </c>
      <c r="F245" s="499"/>
      <c r="G245" s="323">
        <f>E245*F245</f>
        <v>0</v>
      </c>
    </row>
    <row r="246" spans="1:7" s="324" customFormat="1" ht="38.25">
      <c r="A246" s="483"/>
      <c r="B246" s="397" t="s">
        <v>41</v>
      </c>
      <c r="C246" s="406" t="s">
        <v>2704</v>
      </c>
      <c r="D246" s="323" t="s">
        <v>40</v>
      </c>
      <c r="E246" s="499">
        <v>311.10000000000002</v>
      </c>
      <c r="F246" s="499"/>
      <c r="G246" s="323">
        <f>E246*F246</f>
        <v>0</v>
      </c>
    </row>
    <row r="247" spans="1:7" s="324" customFormat="1">
      <c r="A247" s="483"/>
      <c r="B247" s="397"/>
      <c r="C247" s="406"/>
      <c r="D247" s="323"/>
      <c r="E247" s="499"/>
      <c r="F247" s="499"/>
      <c r="G247" s="323"/>
    </row>
    <row r="248" spans="1:7" s="324" customFormat="1">
      <c r="A248" s="479" t="s">
        <v>1848</v>
      </c>
      <c r="B248" s="301"/>
      <c r="C248" s="392" t="s">
        <v>2705</v>
      </c>
      <c r="D248" s="376"/>
      <c r="E248" s="495"/>
      <c r="F248" s="495"/>
      <c r="G248" s="326"/>
    </row>
    <row r="249" spans="1:7" s="324" customFormat="1">
      <c r="A249" s="483"/>
      <c r="B249" s="397"/>
      <c r="C249" s="406"/>
      <c r="D249" s="323"/>
      <c r="E249" s="499"/>
      <c r="F249" s="499"/>
      <c r="G249" s="323"/>
    </row>
    <row r="250" spans="1:7" s="324" customFormat="1" ht="63.75">
      <c r="A250" s="483"/>
      <c r="B250" s="397"/>
      <c r="C250" s="403" t="s">
        <v>2706</v>
      </c>
      <c r="D250" s="323"/>
      <c r="E250" s="499"/>
      <c r="F250" s="499"/>
      <c r="G250" s="323"/>
    </row>
    <row r="251" spans="1:7" s="324" customFormat="1" ht="102">
      <c r="A251" s="483"/>
      <c r="B251" s="397"/>
      <c r="C251" s="403" t="s">
        <v>2707</v>
      </c>
      <c r="D251" s="323"/>
      <c r="E251" s="499"/>
      <c r="F251" s="499"/>
      <c r="G251" s="323"/>
    </row>
    <row r="252" spans="1:7" s="324" customFormat="1" ht="191.25">
      <c r="A252" s="483"/>
      <c r="B252" s="397"/>
      <c r="C252" s="403" t="s">
        <v>2708</v>
      </c>
      <c r="D252" s="323"/>
      <c r="E252" s="499"/>
      <c r="F252" s="499"/>
      <c r="G252" s="323"/>
    </row>
    <row r="253" spans="1:7" s="324" customFormat="1">
      <c r="A253" s="483"/>
      <c r="B253" s="397"/>
      <c r="C253" s="406"/>
      <c r="D253" s="323"/>
      <c r="E253" s="499"/>
      <c r="F253" s="499"/>
      <c r="G253" s="323"/>
    </row>
    <row r="254" spans="1:7" s="324" customFormat="1" ht="51">
      <c r="A254" s="483"/>
      <c r="B254" s="397" t="s">
        <v>39</v>
      </c>
      <c r="C254" s="406" t="s">
        <v>2709</v>
      </c>
      <c r="D254" s="323" t="s">
        <v>40</v>
      </c>
      <c r="E254" s="499">
        <v>311.10000000000002</v>
      </c>
      <c r="F254" s="499"/>
      <c r="G254" s="323">
        <f>E254*F254</f>
        <v>0</v>
      </c>
    </row>
    <row r="255" spans="1:7" s="324" customFormat="1">
      <c r="A255" s="483"/>
      <c r="B255" s="397"/>
      <c r="C255" s="406"/>
      <c r="D255" s="323"/>
      <c r="E255" s="499"/>
      <c r="F255" s="499"/>
      <c r="G255" s="323"/>
    </row>
    <row r="256" spans="1:7" s="324" customFormat="1">
      <c r="A256" s="479" t="s">
        <v>2710</v>
      </c>
      <c r="B256" s="301"/>
      <c r="C256" s="392" t="s">
        <v>2711</v>
      </c>
      <c r="D256" s="376"/>
      <c r="E256" s="495"/>
      <c r="F256" s="495"/>
      <c r="G256" s="326"/>
    </row>
    <row r="257" spans="1:7" s="324" customFormat="1">
      <c r="A257" s="483"/>
      <c r="B257" s="397"/>
      <c r="C257" s="402"/>
      <c r="D257" s="323"/>
      <c r="E257" s="499"/>
      <c r="F257" s="499"/>
      <c r="G257" s="323"/>
    </row>
    <row r="258" spans="1:7" s="324" customFormat="1" ht="153">
      <c r="A258" s="483"/>
      <c r="B258" s="397"/>
      <c r="C258" s="400" t="s">
        <v>2712</v>
      </c>
      <c r="D258" s="323"/>
      <c r="E258" s="499"/>
      <c r="F258" s="499"/>
      <c r="G258" s="323"/>
    </row>
    <row r="259" spans="1:7" s="324" customFormat="1">
      <c r="A259" s="483"/>
      <c r="B259" s="397" t="s">
        <v>39</v>
      </c>
      <c r="C259" s="402" t="s">
        <v>2713</v>
      </c>
      <c r="D259" s="323" t="s">
        <v>1335</v>
      </c>
      <c r="E259" s="499">
        <v>311.10000000000002</v>
      </c>
      <c r="F259" s="499"/>
      <c r="G259" s="323">
        <f>E259*F259</f>
        <v>0</v>
      </c>
    </row>
    <row r="260" spans="1:7" s="324" customFormat="1">
      <c r="A260" s="483"/>
      <c r="B260" s="397"/>
      <c r="C260" s="402"/>
      <c r="D260" s="323"/>
      <c r="E260" s="499"/>
      <c r="F260" s="499"/>
      <c r="G260" s="323"/>
    </row>
    <row r="261" spans="1:7" s="324" customFormat="1" ht="25.5">
      <c r="A261" s="479" t="s">
        <v>2714</v>
      </c>
      <c r="B261" s="301"/>
      <c r="C261" s="392" t="s">
        <v>2715</v>
      </c>
      <c r="D261" s="376"/>
      <c r="E261" s="495"/>
      <c r="F261" s="495"/>
      <c r="G261" s="326"/>
    </row>
    <row r="262" spans="1:7" s="324" customFormat="1">
      <c r="A262" s="483"/>
      <c r="B262" s="397"/>
      <c r="C262" s="402"/>
      <c r="D262" s="323"/>
      <c r="E262" s="499"/>
      <c r="F262" s="499"/>
      <c r="G262" s="323"/>
    </row>
    <row r="263" spans="1:7" s="324" customFormat="1">
      <c r="A263" s="483"/>
      <c r="B263" s="397"/>
      <c r="C263" s="407"/>
      <c r="D263" s="323"/>
      <c r="E263" s="499"/>
      <c r="F263" s="499"/>
      <c r="G263" s="323"/>
    </row>
    <row r="264" spans="1:7" s="324" customFormat="1" ht="38.25">
      <c r="A264" s="483"/>
      <c r="B264" s="397"/>
      <c r="C264" s="407" t="s">
        <v>93</v>
      </c>
      <c r="D264" s="323"/>
      <c r="E264" s="499"/>
      <c r="F264" s="499"/>
      <c r="G264" s="323"/>
    </row>
    <row r="265" spans="1:7" s="324" customFormat="1">
      <c r="A265" s="483"/>
      <c r="B265" s="397"/>
      <c r="C265" s="407"/>
      <c r="D265" s="323"/>
      <c r="E265" s="499"/>
      <c r="F265" s="499"/>
      <c r="G265" s="323"/>
    </row>
    <row r="266" spans="1:7" s="324" customFormat="1" ht="38.25">
      <c r="A266" s="483"/>
      <c r="B266" s="397"/>
      <c r="C266" s="407" t="s">
        <v>956</v>
      </c>
      <c r="D266" s="323"/>
      <c r="E266" s="499"/>
      <c r="F266" s="499"/>
      <c r="G266" s="323"/>
    </row>
    <row r="267" spans="1:7" s="324" customFormat="1" ht="38.25">
      <c r="A267" s="483"/>
      <c r="B267" s="397"/>
      <c r="C267" s="407" t="s">
        <v>957</v>
      </c>
      <c r="D267" s="323"/>
      <c r="E267" s="499"/>
      <c r="F267" s="499"/>
      <c r="G267" s="323"/>
    </row>
    <row r="268" spans="1:7" s="324" customFormat="1" ht="319.5" thickBot="1">
      <c r="A268" s="483"/>
      <c r="B268" s="397"/>
      <c r="C268" s="408" t="s">
        <v>2859</v>
      </c>
      <c r="D268" s="323"/>
      <c r="E268" s="499"/>
      <c r="F268" s="499"/>
      <c r="G268" s="323"/>
    </row>
    <row r="269" spans="1:7" s="324" customFormat="1">
      <c r="A269" s="483"/>
      <c r="B269" s="397"/>
      <c r="C269" s="400"/>
      <c r="D269" s="323"/>
      <c r="E269" s="499"/>
      <c r="F269" s="499"/>
      <c r="G269" s="323"/>
    </row>
    <row r="270" spans="1:7" s="324" customFormat="1">
      <c r="A270" s="483"/>
      <c r="B270" s="397" t="s">
        <v>39</v>
      </c>
      <c r="C270" s="402" t="s">
        <v>2716</v>
      </c>
      <c r="D270" s="323" t="s">
        <v>1335</v>
      </c>
      <c r="E270" s="499">
        <v>375.25</v>
      </c>
      <c r="F270" s="499"/>
      <c r="G270" s="323">
        <f>E270*F270</f>
        <v>0</v>
      </c>
    </row>
    <row r="271" spans="1:7" s="324" customFormat="1" ht="51">
      <c r="A271" s="483"/>
      <c r="B271" s="397" t="s">
        <v>41</v>
      </c>
      <c r="C271" s="402" t="s">
        <v>2717</v>
      </c>
      <c r="D271" s="323" t="s">
        <v>129</v>
      </c>
      <c r="E271" s="499">
        <v>50</v>
      </c>
      <c r="F271" s="499"/>
      <c r="G271" s="323">
        <f>E271*F271</f>
        <v>0</v>
      </c>
    </row>
    <row r="272" spans="1:7" s="324" customFormat="1">
      <c r="A272" s="483"/>
      <c r="B272" s="397"/>
      <c r="C272" s="402"/>
      <c r="D272" s="323"/>
      <c r="E272" s="499"/>
      <c r="F272" s="499"/>
      <c r="G272" s="323"/>
    </row>
    <row r="273" spans="1:14" s="329" customFormat="1">
      <c r="A273" s="485"/>
      <c r="B273" s="409"/>
      <c r="C273" s="410"/>
      <c r="D273" s="327"/>
      <c r="E273" s="501"/>
      <c r="F273" s="501"/>
      <c r="G273" s="327"/>
      <c r="H273" s="328"/>
      <c r="I273" s="324"/>
      <c r="J273" s="324"/>
      <c r="K273" s="324"/>
      <c r="L273" s="324"/>
      <c r="M273" s="324"/>
      <c r="N273" s="324"/>
    </row>
    <row r="275" spans="1:14" s="300" customFormat="1" ht="13.5" thickBot="1">
      <c r="A275" s="486"/>
      <c r="B275" s="411"/>
      <c r="C275" s="412"/>
      <c r="D275" s="339"/>
      <c r="E275" s="497"/>
      <c r="F275" s="497"/>
      <c r="G275" s="339"/>
      <c r="H275" s="299"/>
      <c r="I275" s="296"/>
      <c r="J275" s="296"/>
      <c r="K275" s="296"/>
      <c r="L275" s="296"/>
      <c r="M275" s="296"/>
      <c r="N275" s="296"/>
    </row>
    <row r="276" spans="1:14" customFormat="1" ht="21.75" thickBot="1">
      <c r="A276" s="49" t="s">
        <v>78</v>
      </c>
      <c r="B276" s="394"/>
      <c r="C276" s="395" t="s">
        <v>106</v>
      </c>
      <c r="D276" s="396"/>
      <c r="E276" s="471"/>
      <c r="F276" s="471"/>
      <c r="G276" s="342">
        <f>SUM(G237:G274)</f>
        <v>0</v>
      </c>
      <c r="H276" s="299"/>
      <c r="I276" s="296"/>
      <c r="J276" s="296"/>
      <c r="K276" s="296"/>
      <c r="L276" s="296"/>
      <c r="M276" s="296"/>
      <c r="N276" s="296"/>
    </row>
    <row r="278" spans="1:14" ht="21">
      <c r="A278" s="180" t="s">
        <v>2718</v>
      </c>
      <c r="B278" s="363"/>
      <c r="C278" s="364" t="s">
        <v>207</v>
      </c>
      <c r="D278" s="336"/>
      <c r="E278" s="333"/>
      <c r="F278" s="333"/>
      <c r="G278" s="336"/>
    </row>
    <row r="280" spans="1:14" ht="127.5">
      <c r="C280" s="368" t="s">
        <v>2719</v>
      </c>
    </row>
    <row r="281" spans="1:14" s="297" customFormat="1" ht="38.25">
      <c r="B281" s="365"/>
      <c r="C281" s="368" t="s">
        <v>2829</v>
      </c>
      <c r="D281" s="335"/>
      <c r="E281" s="493"/>
      <c r="F281" s="493"/>
      <c r="G281" s="335"/>
      <c r="H281" s="296"/>
      <c r="I281" s="296"/>
      <c r="J281" s="296"/>
      <c r="K281" s="296"/>
      <c r="L281" s="296"/>
      <c r="M281" s="296"/>
      <c r="N281" s="296"/>
    </row>
    <row r="282" spans="1:14" s="297" customFormat="1" ht="102">
      <c r="B282" s="365"/>
      <c r="C282" s="368" t="s">
        <v>2720</v>
      </c>
      <c r="D282" s="335"/>
      <c r="E282" s="493"/>
      <c r="F282" s="493"/>
      <c r="G282" s="335"/>
      <c r="H282" s="296"/>
      <c r="I282" s="296"/>
      <c r="J282" s="296"/>
      <c r="K282" s="296"/>
      <c r="L282" s="296"/>
      <c r="M282" s="296"/>
      <c r="N282" s="296"/>
    </row>
    <row r="283" spans="1:14" s="297" customFormat="1" ht="153">
      <c r="B283" s="365"/>
      <c r="C283" s="368" t="s">
        <v>2721</v>
      </c>
      <c r="D283" s="335"/>
      <c r="E283" s="493"/>
      <c r="F283" s="493"/>
      <c r="G283" s="335"/>
      <c r="H283" s="296"/>
      <c r="I283" s="296"/>
      <c r="J283" s="296"/>
      <c r="K283" s="296"/>
      <c r="L283" s="296"/>
      <c r="M283" s="296"/>
      <c r="N283" s="296"/>
    </row>
    <row r="284" spans="1:14" s="297" customFormat="1" ht="76.5">
      <c r="B284" s="365"/>
      <c r="C284" s="368" t="s">
        <v>2722</v>
      </c>
      <c r="D284" s="335"/>
      <c r="E284" s="493"/>
      <c r="F284" s="493"/>
      <c r="G284" s="335"/>
      <c r="H284" s="296"/>
      <c r="I284" s="296"/>
      <c r="J284" s="296"/>
      <c r="K284" s="296"/>
      <c r="L284" s="296"/>
      <c r="M284" s="296"/>
      <c r="N284" s="296"/>
    </row>
    <row r="285" spans="1:14" s="297" customFormat="1" ht="153">
      <c r="B285" s="365"/>
      <c r="C285" s="368" t="s">
        <v>2723</v>
      </c>
      <c r="D285" s="335"/>
      <c r="E285" s="493"/>
      <c r="F285" s="493"/>
      <c r="G285" s="335"/>
      <c r="H285" s="296"/>
      <c r="I285" s="296"/>
      <c r="J285" s="296"/>
      <c r="K285" s="296"/>
      <c r="L285" s="296"/>
      <c r="M285" s="296"/>
      <c r="N285" s="296"/>
    </row>
    <row r="286" spans="1:14" s="297" customFormat="1" ht="76.5">
      <c r="B286" s="365"/>
      <c r="C286" s="368" t="s">
        <v>2724</v>
      </c>
      <c r="D286" s="335"/>
      <c r="E286" s="493"/>
      <c r="F286" s="493"/>
      <c r="G286" s="335"/>
      <c r="H286" s="296"/>
      <c r="I286" s="296"/>
      <c r="J286" s="296"/>
      <c r="K286" s="296"/>
      <c r="L286" s="296"/>
      <c r="M286" s="296"/>
      <c r="N286" s="296"/>
    </row>
    <row r="287" spans="1:14" s="297" customFormat="1" ht="102">
      <c r="B287" s="365"/>
      <c r="C287" s="368" t="s">
        <v>2725</v>
      </c>
      <c r="D287" s="335"/>
      <c r="E287" s="493"/>
      <c r="F287" s="493"/>
      <c r="G287" s="335"/>
      <c r="H287" s="296"/>
      <c r="I287" s="296"/>
      <c r="J287" s="296"/>
      <c r="K287" s="296"/>
      <c r="L287" s="296"/>
      <c r="M287" s="296"/>
      <c r="N287" s="296"/>
    </row>
    <row r="288" spans="1:14" s="297" customFormat="1" ht="76.5">
      <c r="B288" s="365"/>
      <c r="C288" s="368" t="s">
        <v>2726</v>
      </c>
      <c r="D288" s="335"/>
      <c r="E288" s="493"/>
      <c r="F288" s="493"/>
      <c r="G288" s="335"/>
      <c r="H288" s="296"/>
      <c r="I288" s="296"/>
      <c r="J288" s="296"/>
      <c r="K288" s="296"/>
      <c r="L288" s="296"/>
      <c r="M288" s="296"/>
      <c r="N288" s="296"/>
    </row>
    <row r="289" spans="1:14" s="297" customFormat="1">
      <c r="B289" s="365"/>
      <c r="C289" s="368" t="s">
        <v>2727</v>
      </c>
      <c r="D289" s="335"/>
      <c r="E289" s="493"/>
      <c r="F289" s="493"/>
      <c r="G289" s="335"/>
      <c r="H289" s="296"/>
      <c r="I289" s="296"/>
      <c r="J289" s="296"/>
      <c r="K289" s="296"/>
      <c r="L289" s="296"/>
      <c r="M289" s="296"/>
      <c r="N289" s="296"/>
    </row>
    <row r="290" spans="1:14" s="297" customFormat="1">
      <c r="B290" s="365"/>
      <c r="C290" s="368"/>
      <c r="D290" s="335"/>
      <c r="E290" s="493"/>
      <c r="F290" s="493"/>
      <c r="G290" s="335"/>
      <c r="H290" s="296"/>
      <c r="I290" s="296"/>
      <c r="J290" s="296"/>
      <c r="K290" s="296"/>
      <c r="L290" s="296"/>
      <c r="M290" s="296"/>
      <c r="N290" s="296"/>
    </row>
    <row r="291" spans="1:14" s="297" customFormat="1" ht="38.25">
      <c r="B291" s="365"/>
      <c r="C291" s="368" t="s">
        <v>2728</v>
      </c>
      <c r="D291" s="335"/>
      <c r="E291" s="493"/>
      <c r="F291" s="493"/>
      <c r="G291" s="335"/>
      <c r="H291" s="296"/>
      <c r="I291" s="296"/>
      <c r="J291" s="296"/>
      <c r="K291" s="296"/>
      <c r="L291" s="296"/>
      <c r="M291" s="296"/>
      <c r="N291" s="296"/>
    </row>
    <row r="292" spans="1:14" s="297" customFormat="1" ht="25.5">
      <c r="B292" s="365"/>
      <c r="C292" s="368" t="s">
        <v>2729</v>
      </c>
      <c r="D292" s="335"/>
      <c r="E292" s="493"/>
      <c r="F292" s="493"/>
      <c r="G292" s="335"/>
      <c r="H292" s="296"/>
      <c r="I292" s="296"/>
      <c r="J292" s="296"/>
      <c r="K292" s="296"/>
      <c r="L292" s="296"/>
      <c r="M292" s="296"/>
      <c r="N292" s="296"/>
    </row>
    <row r="293" spans="1:14" s="297" customFormat="1" ht="38.25">
      <c r="B293" s="365"/>
      <c r="C293" s="368" t="s">
        <v>2730</v>
      </c>
      <c r="D293" s="335"/>
      <c r="E293" s="493"/>
      <c r="F293" s="493"/>
      <c r="G293" s="335"/>
      <c r="H293" s="296"/>
      <c r="I293" s="296"/>
      <c r="J293" s="296"/>
      <c r="K293" s="296"/>
      <c r="L293" s="296"/>
      <c r="M293" s="296"/>
      <c r="N293" s="296"/>
    </row>
    <row r="294" spans="1:14" s="297" customFormat="1" ht="25.5">
      <c r="B294" s="365"/>
      <c r="C294" s="368" t="s">
        <v>2731</v>
      </c>
      <c r="D294" s="335"/>
      <c r="E294" s="493"/>
      <c r="F294" s="493"/>
      <c r="G294" s="335"/>
      <c r="H294" s="296"/>
      <c r="I294" s="296"/>
      <c r="J294" s="296"/>
      <c r="K294" s="296"/>
      <c r="L294" s="296"/>
      <c r="M294" s="296"/>
      <c r="N294" s="296"/>
    </row>
    <row r="295" spans="1:14" s="297" customFormat="1" ht="63.75">
      <c r="B295" s="365"/>
      <c r="C295" s="368" t="s">
        <v>2732</v>
      </c>
      <c r="D295" s="335"/>
      <c r="E295" s="493"/>
      <c r="F295" s="493"/>
      <c r="G295" s="335"/>
      <c r="H295" s="296"/>
      <c r="I295" s="296"/>
      <c r="J295" s="296"/>
      <c r="K295" s="296"/>
      <c r="L295" s="296"/>
      <c r="M295" s="296"/>
      <c r="N295" s="296"/>
    </row>
    <row r="296" spans="1:14" ht="51">
      <c r="C296" s="368" t="s">
        <v>2733</v>
      </c>
    </row>
    <row r="297" spans="1:14" ht="76.5">
      <c r="C297" s="368" t="s">
        <v>2734</v>
      </c>
    </row>
    <row r="299" spans="1:14" ht="76.5">
      <c r="C299" s="413" t="s">
        <v>2735</v>
      </c>
    </row>
    <row r="300" spans="1:14">
      <c r="C300" s="369"/>
    </row>
    <row r="301" spans="1:14">
      <c r="A301" s="479" t="s">
        <v>1852</v>
      </c>
      <c r="B301" s="301"/>
      <c r="C301" s="392" t="s">
        <v>2736</v>
      </c>
      <c r="D301" s="376"/>
      <c r="E301" s="495"/>
      <c r="F301" s="495"/>
      <c r="G301" s="326"/>
    </row>
    <row r="302" spans="1:14">
      <c r="C302" s="369"/>
    </row>
    <row r="303" spans="1:14">
      <c r="B303" s="365" t="s">
        <v>39</v>
      </c>
      <c r="C303" s="414" t="s">
        <v>2737</v>
      </c>
    </row>
    <row r="304" spans="1:14" ht="76.5">
      <c r="C304" s="368" t="s">
        <v>2860</v>
      </c>
    </row>
    <row r="305" spans="1:7" ht="51">
      <c r="C305" s="368" t="s">
        <v>2738</v>
      </c>
    </row>
    <row r="306" spans="1:7" ht="25.5">
      <c r="C306" s="367" t="s">
        <v>2739</v>
      </c>
      <c r="D306" s="335" t="s">
        <v>110</v>
      </c>
      <c r="E306" s="493">
        <v>1</v>
      </c>
      <c r="G306" s="335">
        <f>E306*F306</f>
        <v>0</v>
      </c>
    </row>
    <row r="308" spans="1:7">
      <c r="B308" s="365" t="s">
        <v>41</v>
      </c>
      <c r="C308" s="415" t="s">
        <v>2740</v>
      </c>
    </row>
    <row r="309" spans="1:7" ht="25.5">
      <c r="C309" s="378" t="s">
        <v>2741</v>
      </c>
    </row>
    <row r="310" spans="1:7" ht="25.5">
      <c r="C310" s="367" t="s">
        <v>2742</v>
      </c>
      <c r="D310" s="335" t="s">
        <v>110</v>
      </c>
      <c r="E310" s="493">
        <v>2</v>
      </c>
      <c r="G310" s="335">
        <f>E310*F310</f>
        <v>0</v>
      </c>
    </row>
    <row r="312" spans="1:7">
      <c r="A312" s="479" t="s">
        <v>1854</v>
      </c>
      <c r="B312" s="301"/>
      <c r="C312" s="392" t="s">
        <v>2743</v>
      </c>
      <c r="D312" s="376"/>
      <c r="E312" s="495"/>
      <c r="F312" s="495"/>
      <c r="G312" s="326"/>
    </row>
    <row r="314" spans="1:7" ht="63.75">
      <c r="A314" s="296"/>
      <c r="B314" s="365" t="s">
        <v>39</v>
      </c>
      <c r="C314" s="369" t="s">
        <v>2744</v>
      </c>
    </row>
    <row r="315" spans="1:7" ht="25.5">
      <c r="A315" s="296"/>
      <c r="C315" s="369" t="s">
        <v>2745</v>
      </c>
      <c r="D315" s="335" t="s">
        <v>110</v>
      </c>
      <c r="E315" s="493">
        <v>2</v>
      </c>
      <c r="G315" s="335">
        <f>E315*F315</f>
        <v>0</v>
      </c>
    </row>
    <row r="317" spans="1:7" ht="76.5">
      <c r="A317" s="296"/>
      <c r="B317" s="365" t="s">
        <v>41</v>
      </c>
      <c r="C317" s="369" t="s">
        <v>2746</v>
      </c>
    </row>
    <row r="318" spans="1:7" ht="25.5">
      <c r="A318" s="296"/>
      <c r="C318" s="369" t="s">
        <v>2747</v>
      </c>
      <c r="D318" s="335" t="s">
        <v>110</v>
      </c>
      <c r="E318" s="493">
        <v>1</v>
      </c>
      <c r="G318" s="335">
        <f>E318*F318</f>
        <v>0</v>
      </c>
    </row>
    <row r="320" spans="1:7" ht="63.75">
      <c r="A320" s="296"/>
      <c r="B320" s="365" t="s">
        <v>42</v>
      </c>
      <c r="C320" s="366" t="s">
        <v>2748</v>
      </c>
    </row>
    <row r="321" spans="1:7" ht="25.5">
      <c r="A321" s="296"/>
      <c r="C321" s="369" t="s">
        <v>2749</v>
      </c>
      <c r="D321" s="335" t="s">
        <v>110</v>
      </c>
      <c r="E321" s="493">
        <v>2</v>
      </c>
      <c r="G321" s="335">
        <f>E321*F321</f>
        <v>0</v>
      </c>
    </row>
    <row r="322" spans="1:7" ht="25.5">
      <c r="A322" s="296"/>
      <c r="C322" s="369" t="s">
        <v>2750</v>
      </c>
      <c r="D322" s="335" t="s">
        <v>110</v>
      </c>
      <c r="E322" s="493">
        <v>4</v>
      </c>
      <c r="G322" s="335">
        <f>E322*F322</f>
        <v>0</v>
      </c>
    </row>
    <row r="323" spans="1:7">
      <c r="A323" s="296"/>
      <c r="C323" s="369"/>
    </row>
    <row r="324" spans="1:7" ht="51">
      <c r="A324" s="296"/>
      <c r="B324" s="365" t="s">
        <v>102</v>
      </c>
      <c r="C324" s="367" t="s">
        <v>2751</v>
      </c>
    </row>
    <row r="325" spans="1:7" ht="25.5">
      <c r="A325" s="296"/>
      <c r="C325" s="369" t="s">
        <v>2752</v>
      </c>
      <c r="D325" s="335" t="s">
        <v>110</v>
      </c>
      <c r="E325" s="493">
        <v>2</v>
      </c>
      <c r="G325" s="335">
        <f>E325*F325</f>
        <v>0</v>
      </c>
    </row>
    <row r="326" spans="1:7">
      <c r="A326" s="296"/>
      <c r="C326" s="369"/>
    </row>
    <row r="327" spans="1:7" ht="76.5">
      <c r="A327" s="296"/>
      <c r="B327" s="365" t="s">
        <v>118</v>
      </c>
      <c r="C327" s="367" t="s">
        <v>2753</v>
      </c>
    </row>
    <row r="328" spans="1:7" ht="25.5">
      <c r="A328" s="296"/>
      <c r="C328" s="369" t="s">
        <v>2754</v>
      </c>
      <c r="D328" s="335" t="s">
        <v>110</v>
      </c>
      <c r="E328" s="493">
        <v>2</v>
      </c>
      <c r="G328" s="335">
        <f>E328*F328</f>
        <v>0</v>
      </c>
    </row>
    <row r="329" spans="1:7">
      <c r="A329" s="296"/>
      <c r="C329" s="369"/>
    </row>
    <row r="330" spans="1:7">
      <c r="A330" s="479" t="s">
        <v>1856</v>
      </c>
      <c r="B330" s="301"/>
      <c r="C330" s="392" t="s">
        <v>2755</v>
      </c>
      <c r="D330" s="376"/>
      <c r="E330" s="495"/>
      <c r="F330" s="495"/>
      <c r="G330" s="326"/>
    </row>
    <row r="331" spans="1:7" ht="63.75">
      <c r="C331" s="367" t="s">
        <v>2756</v>
      </c>
    </row>
    <row r="332" spans="1:7" ht="25.5">
      <c r="C332" s="369" t="s">
        <v>2757</v>
      </c>
      <c r="D332" s="335" t="s">
        <v>110</v>
      </c>
      <c r="E332" s="493">
        <v>8</v>
      </c>
      <c r="G332" s="335">
        <f>E332*F332</f>
        <v>0</v>
      </c>
    </row>
    <row r="334" spans="1:7" ht="25.5">
      <c r="A334" s="479" t="s">
        <v>2758</v>
      </c>
      <c r="B334" s="301"/>
      <c r="C334" s="392" t="s">
        <v>2759</v>
      </c>
      <c r="D334" s="376"/>
      <c r="E334" s="495"/>
      <c r="F334" s="495"/>
      <c r="G334" s="326"/>
    </row>
    <row r="335" spans="1:7" ht="76.5">
      <c r="C335" s="368" t="s">
        <v>581</v>
      </c>
    </row>
    <row r="336" spans="1:7">
      <c r="C336" s="368" t="s">
        <v>572</v>
      </c>
    </row>
    <row r="337" spans="1:14">
      <c r="C337" s="368" t="s">
        <v>243</v>
      </c>
    </row>
    <row r="338" spans="1:14">
      <c r="C338" s="368" t="s">
        <v>244</v>
      </c>
    </row>
    <row r="339" spans="1:14" ht="38.25">
      <c r="C339" s="368" t="s">
        <v>2760</v>
      </c>
    </row>
    <row r="341" spans="1:14" ht="25.5">
      <c r="C341" s="369" t="s">
        <v>2761</v>
      </c>
      <c r="D341" s="335" t="s">
        <v>110</v>
      </c>
      <c r="E341" s="493">
        <v>2</v>
      </c>
      <c r="G341" s="335">
        <f>E341*F341</f>
        <v>0</v>
      </c>
    </row>
    <row r="343" spans="1:14" ht="15">
      <c r="A343" s="76" t="s">
        <v>2762</v>
      </c>
      <c r="B343" s="304"/>
      <c r="C343" s="304" t="s">
        <v>2763</v>
      </c>
      <c r="D343" s="340"/>
      <c r="E343" s="475"/>
      <c r="F343" s="475"/>
      <c r="G343" s="340"/>
    </row>
    <row r="344" spans="1:14">
      <c r="C344" s="416"/>
    </row>
    <row r="345" spans="1:14" ht="127.5">
      <c r="C345" s="368" t="s">
        <v>2764</v>
      </c>
    </row>
    <row r="346" spans="1:14">
      <c r="C346" s="368" t="s">
        <v>2765</v>
      </c>
      <c r="D346" s="335" t="s">
        <v>110</v>
      </c>
      <c r="E346" s="493">
        <v>6</v>
      </c>
      <c r="G346" s="335">
        <f t="shared" ref="G346" si="0">E346*F346</f>
        <v>0</v>
      </c>
    </row>
    <row r="347" spans="1:14">
      <c r="A347" s="487"/>
      <c r="B347" s="411"/>
      <c r="C347" s="417"/>
      <c r="D347" s="339"/>
      <c r="E347" s="497"/>
      <c r="F347" s="497"/>
      <c r="G347" s="339"/>
    </row>
    <row r="348" spans="1:14" ht="13.5" thickBot="1">
      <c r="A348" s="487"/>
      <c r="B348" s="411"/>
      <c r="C348" s="417"/>
      <c r="D348" s="339"/>
      <c r="E348" s="497"/>
      <c r="F348" s="497"/>
      <c r="G348" s="339"/>
    </row>
    <row r="349" spans="1:14" customFormat="1" ht="21.75" thickBot="1">
      <c r="A349" s="49" t="s">
        <v>165</v>
      </c>
      <c r="B349" s="394"/>
      <c r="C349" s="395" t="s">
        <v>232</v>
      </c>
      <c r="D349" s="396"/>
      <c r="E349" s="471"/>
      <c r="F349" s="471"/>
      <c r="G349" s="342">
        <f>SUM(G305:G346)</f>
        <v>0</v>
      </c>
      <c r="H349" s="299"/>
      <c r="I349" s="296"/>
      <c r="J349" s="296"/>
      <c r="K349" s="296"/>
      <c r="L349" s="296"/>
      <c r="M349" s="296"/>
      <c r="N349" s="296"/>
    </row>
    <row r="350" spans="1:14">
      <c r="A350" s="487"/>
      <c r="B350" s="411"/>
      <c r="C350" s="417"/>
      <c r="D350" s="339"/>
      <c r="E350" s="497"/>
      <c r="F350" s="497"/>
      <c r="G350" s="339"/>
    </row>
    <row r="351" spans="1:14">
      <c r="A351" s="487"/>
      <c r="B351" s="411"/>
      <c r="C351" s="417"/>
      <c r="D351" s="339"/>
      <c r="E351" s="497"/>
      <c r="F351" s="497"/>
      <c r="G351" s="339"/>
    </row>
    <row r="352" spans="1:14">
      <c r="A352" s="487"/>
      <c r="B352" s="411"/>
      <c r="C352" s="417"/>
      <c r="D352" s="339"/>
      <c r="E352" s="497"/>
      <c r="F352" s="497"/>
      <c r="G352" s="339"/>
    </row>
    <row r="353" spans="1:7" ht="21">
      <c r="A353" s="180" t="s">
        <v>2766</v>
      </c>
      <c r="B353" s="363"/>
      <c r="C353" s="364" t="s">
        <v>246</v>
      </c>
      <c r="D353" s="336"/>
      <c r="E353" s="333"/>
      <c r="F353" s="333"/>
      <c r="G353" s="336"/>
    </row>
    <row r="354" spans="1:7">
      <c r="D354" s="338"/>
      <c r="E354" s="496"/>
      <c r="F354" s="496"/>
      <c r="G354" s="338"/>
    </row>
    <row r="355" spans="1:7" ht="25.5">
      <c r="C355" s="368" t="s">
        <v>632</v>
      </c>
    </row>
    <row r="356" spans="1:7" ht="127.5">
      <c r="C356" s="368" t="s">
        <v>661</v>
      </c>
    </row>
    <row r="357" spans="1:7" ht="38.25">
      <c r="C357" s="368" t="s">
        <v>633</v>
      </c>
    </row>
    <row r="358" spans="1:7" ht="76.5">
      <c r="C358" s="368" t="s">
        <v>634</v>
      </c>
    </row>
    <row r="359" spans="1:7" ht="102">
      <c r="C359" s="368" t="s">
        <v>2834</v>
      </c>
    </row>
    <row r="360" spans="1:7">
      <c r="C360" s="368" t="s">
        <v>2767</v>
      </c>
    </row>
    <row r="361" spans="1:7">
      <c r="C361" s="368"/>
    </row>
    <row r="362" spans="1:7">
      <c r="C362" s="368" t="s">
        <v>2768</v>
      </c>
    </row>
    <row r="363" spans="1:7">
      <c r="C363" s="372" t="s">
        <v>2769</v>
      </c>
    </row>
    <row r="364" spans="1:7">
      <c r="C364" s="372" t="s">
        <v>2770</v>
      </c>
    </row>
    <row r="365" spans="1:7">
      <c r="C365" s="368"/>
    </row>
    <row r="366" spans="1:7" ht="63.75">
      <c r="C366" s="418" t="s">
        <v>2771</v>
      </c>
    </row>
    <row r="367" spans="1:7">
      <c r="C367" s="419"/>
    </row>
    <row r="368" spans="1:7" ht="45">
      <c r="A368" s="76" t="s">
        <v>2772</v>
      </c>
      <c r="B368" s="304"/>
      <c r="C368" s="304" t="s">
        <v>2773</v>
      </c>
      <c r="D368" s="340"/>
      <c r="E368" s="475"/>
      <c r="F368" s="475"/>
      <c r="G368" s="340"/>
    </row>
    <row r="369" spans="1:14">
      <c r="C369" s="302"/>
    </row>
    <row r="370" spans="1:14" ht="114.75">
      <c r="C370" s="368" t="s">
        <v>635</v>
      </c>
    </row>
    <row r="371" spans="1:14">
      <c r="C371" s="368"/>
    </row>
    <row r="372" spans="1:14" ht="114.75">
      <c r="C372" s="368" t="s">
        <v>636</v>
      </c>
    </row>
    <row r="373" spans="1:14">
      <c r="C373" s="302"/>
    </row>
    <row r="374" spans="1:14">
      <c r="B374" s="365" t="s">
        <v>39</v>
      </c>
      <c r="C374" s="420" t="s">
        <v>2774</v>
      </c>
    </row>
    <row r="375" spans="1:14">
      <c r="C375" s="420" t="s">
        <v>2680</v>
      </c>
      <c r="D375" s="335" t="s">
        <v>1335</v>
      </c>
      <c r="E375" s="493">
        <v>50</v>
      </c>
      <c r="G375" s="335">
        <f>E375*F375</f>
        <v>0</v>
      </c>
    </row>
    <row r="376" spans="1:14">
      <c r="C376" s="302"/>
    </row>
    <row r="377" spans="1:14">
      <c r="B377" s="365" t="s">
        <v>39</v>
      </c>
      <c r="C377" s="420" t="s">
        <v>2775</v>
      </c>
    </row>
    <row r="378" spans="1:14">
      <c r="C378" s="302" t="s">
        <v>2776</v>
      </c>
      <c r="D378" s="335" t="s">
        <v>1335</v>
      </c>
      <c r="E378" s="493">
        <v>420</v>
      </c>
      <c r="G378" s="335">
        <f>E378*F378</f>
        <v>0</v>
      </c>
    </row>
    <row r="379" spans="1:14">
      <c r="C379" s="421" t="s">
        <v>2777</v>
      </c>
      <c r="D379" s="335" t="s">
        <v>1335</v>
      </c>
      <c r="E379" s="493">
        <v>375.25</v>
      </c>
      <c r="G379" s="335">
        <f>E379*F379</f>
        <v>0</v>
      </c>
    </row>
    <row r="380" spans="1:14">
      <c r="A380" s="478"/>
      <c r="B380" s="422"/>
      <c r="C380" s="423"/>
      <c r="D380" s="337"/>
      <c r="E380" s="494"/>
      <c r="F380" s="494"/>
      <c r="G380" s="337"/>
    </row>
    <row r="381" spans="1:14" s="300" customFormat="1">
      <c r="A381" s="486"/>
      <c r="B381" s="411"/>
      <c r="C381" s="412"/>
      <c r="D381" s="339"/>
      <c r="E381" s="497"/>
      <c r="F381" s="497"/>
      <c r="G381" s="339"/>
      <c r="H381" s="299"/>
      <c r="I381" s="296"/>
      <c r="J381" s="296"/>
      <c r="K381" s="296"/>
      <c r="L381" s="296"/>
      <c r="M381" s="296"/>
      <c r="N381" s="296"/>
    </row>
    <row r="382" spans="1:14" s="300" customFormat="1" ht="13.5" thickBot="1">
      <c r="A382" s="486"/>
      <c r="B382" s="411"/>
      <c r="C382" s="412"/>
      <c r="D382" s="339"/>
      <c r="E382" s="497"/>
      <c r="F382" s="497"/>
      <c r="G382" s="339"/>
      <c r="H382" s="299"/>
      <c r="I382" s="296"/>
      <c r="J382" s="296"/>
      <c r="K382" s="296"/>
      <c r="L382" s="296"/>
      <c r="M382" s="296"/>
      <c r="N382" s="296"/>
    </row>
    <row r="383" spans="1:14" customFormat="1" ht="21.75" thickBot="1">
      <c r="A383" s="49" t="s">
        <v>205</v>
      </c>
      <c r="B383" s="394"/>
      <c r="C383" s="395" t="s">
        <v>249</v>
      </c>
      <c r="D383" s="396"/>
      <c r="E383" s="471"/>
      <c r="F383" s="471"/>
      <c r="G383" s="342">
        <f>SUM(G354:G380)</f>
        <v>0</v>
      </c>
      <c r="H383" s="299"/>
      <c r="I383" s="296"/>
      <c r="J383" s="296"/>
      <c r="K383" s="296"/>
      <c r="L383" s="296"/>
      <c r="M383" s="296"/>
      <c r="N383" s="296"/>
    </row>
    <row r="384" spans="1:14" s="300" customFormat="1">
      <c r="A384" s="486"/>
      <c r="B384" s="411"/>
      <c r="C384" s="412"/>
      <c r="D384" s="339"/>
      <c r="E384" s="497"/>
      <c r="F384" s="497"/>
      <c r="G384" s="339"/>
      <c r="H384" s="299"/>
      <c r="I384" s="296"/>
      <c r="J384" s="296"/>
      <c r="K384" s="296"/>
      <c r="L384" s="296"/>
      <c r="M384" s="296"/>
      <c r="N384" s="296"/>
    </row>
    <row r="385" spans="1:14" s="300" customFormat="1">
      <c r="A385" s="486"/>
      <c r="B385" s="411"/>
      <c r="C385" s="412"/>
      <c r="D385" s="339"/>
      <c r="E385" s="497"/>
      <c r="F385" s="497"/>
      <c r="G385" s="339"/>
      <c r="H385" s="299"/>
      <c r="I385" s="296"/>
      <c r="J385" s="296"/>
      <c r="K385" s="296"/>
      <c r="L385" s="296"/>
      <c r="M385" s="296"/>
      <c r="N385" s="296"/>
    </row>
    <row r="386" spans="1:14" ht="21">
      <c r="A386" s="180" t="s">
        <v>2778</v>
      </c>
      <c r="B386" s="363"/>
      <c r="C386" s="364" t="s">
        <v>2779</v>
      </c>
      <c r="D386" s="336"/>
      <c r="E386" s="333"/>
      <c r="F386" s="333"/>
      <c r="G386" s="336"/>
    </row>
    <row r="387" spans="1:14">
      <c r="A387" s="488"/>
      <c r="B387" s="424"/>
      <c r="C387" s="378"/>
      <c r="D387" s="338"/>
      <c r="E387" s="496"/>
      <c r="F387" s="496"/>
      <c r="G387" s="338"/>
    </row>
    <row r="388" spans="1:14" ht="15.75" thickBot="1">
      <c r="C388" s="370" t="s">
        <v>2780</v>
      </c>
    </row>
    <row r="389" spans="1:14" ht="63.75">
      <c r="A389" s="486"/>
      <c r="B389" s="411"/>
      <c r="C389" s="368" t="s">
        <v>2781</v>
      </c>
      <c r="D389" s="339"/>
      <c r="E389" s="497"/>
      <c r="F389" s="497"/>
      <c r="G389" s="339"/>
    </row>
    <row r="390" spans="1:14" ht="63.75">
      <c r="A390" s="486"/>
      <c r="B390" s="411"/>
      <c r="C390" s="368" t="s">
        <v>2782</v>
      </c>
      <c r="D390" s="339"/>
      <c r="E390" s="497"/>
      <c r="F390" s="497"/>
      <c r="G390" s="339"/>
    </row>
    <row r="391" spans="1:14">
      <c r="A391" s="486"/>
      <c r="B391" s="411"/>
      <c r="C391" s="412"/>
      <c r="D391" s="339"/>
      <c r="E391" s="497"/>
      <c r="F391" s="497"/>
      <c r="G391" s="339"/>
    </row>
    <row r="392" spans="1:14">
      <c r="A392" s="479" t="s">
        <v>2783</v>
      </c>
      <c r="B392" s="301"/>
      <c r="C392" s="392" t="s">
        <v>2784</v>
      </c>
      <c r="D392" s="425" t="s">
        <v>110</v>
      </c>
      <c r="E392" s="502">
        <v>10</v>
      </c>
      <c r="F392" s="495"/>
      <c r="G392" s="326">
        <f>E392*F392</f>
        <v>0</v>
      </c>
    </row>
    <row r="393" spans="1:14">
      <c r="A393" s="479" t="s">
        <v>2785</v>
      </c>
      <c r="B393" s="301"/>
      <c r="C393" s="392" t="s">
        <v>2786</v>
      </c>
      <c r="D393" s="425" t="s">
        <v>110</v>
      </c>
      <c r="E393" s="502">
        <v>2</v>
      </c>
      <c r="F393" s="495"/>
      <c r="G393" s="326">
        <f>E393*F393</f>
        <v>0</v>
      </c>
    </row>
    <row r="395" spans="1:14">
      <c r="A395" s="479" t="s">
        <v>2787</v>
      </c>
      <c r="B395" s="301"/>
      <c r="C395" s="392" t="s">
        <v>2788</v>
      </c>
      <c r="D395" s="425" t="s">
        <v>110</v>
      </c>
      <c r="E395" s="502">
        <v>4</v>
      </c>
      <c r="F395" s="495"/>
      <c r="G395" s="326">
        <f t="shared" ref="G395:G429" si="1">E395*F395</f>
        <v>0</v>
      </c>
    </row>
    <row r="396" spans="1:14">
      <c r="A396" s="479" t="s">
        <v>2789</v>
      </c>
      <c r="B396" s="301"/>
      <c r="C396" s="392" t="s">
        <v>2790</v>
      </c>
      <c r="D396" s="425" t="s">
        <v>110</v>
      </c>
      <c r="E396" s="502">
        <v>2</v>
      </c>
      <c r="F396" s="495"/>
      <c r="G396" s="326">
        <f t="shared" si="1"/>
        <v>0</v>
      </c>
    </row>
    <row r="398" spans="1:14">
      <c r="A398" s="479" t="s">
        <v>2791</v>
      </c>
      <c r="B398" s="301"/>
      <c r="C398" s="392" t="s">
        <v>2792</v>
      </c>
      <c r="D398" s="425" t="s">
        <v>110</v>
      </c>
      <c r="E398" s="502">
        <v>18</v>
      </c>
      <c r="F398" s="495"/>
      <c r="G398" s="326">
        <f t="shared" si="1"/>
        <v>0</v>
      </c>
    </row>
    <row r="400" spans="1:14">
      <c r="A400" s="479" t="s">
        <v>2793</v>
      </c>
      <c r="B400" s="301"/>
      <c r="C400" s="392" t="s">
        <v>2794</v>
      </c>
      <c r="D400" s="425" t="s">
        <v>110</v>
      </c>
      <c r="E400" s="502">
        <v>6</v>
      </c>
      <c r="F400" s="495"/>
      <c r="G400" s="326">
        <f t="shared" si="1"/>
        <v>0</v>
      </c>
    </row>
    <row r="402" spans="1:7">
      <c r="A402" s="479" t="s">
        <v>2795</v>
      </c>
      <c r="B402" s="301"/>
      <c r="C402" s="392" t="s">
        <v>2796</v>
      </c>
      <c r="D402" s="425" t="s">
        <v>110</v>
      </c>
      <c r="E402" s="502">
        <v>8</v>
      </c>
      <c r="F402" s="495"/>
      <c r="G402" s="326">
        <f t="shared" si="1"/>
        <v>0</v>
      </c>
    </row>
    <row r="404" spans="1:7">
      <c r="A404" s="489" t="s">
        <v>2797</v>
      </c>
      <c r="B404" s="301"/>
      <c r="C404" s="392" t="s">
        <v>2798</v>
      </c>
      <c r="D404" s="425" t="s">
        <v>110</v>
      </c>
      <c r="E404" s="502">
        <v>38</v>
      </c>
      <c r="F404" s="495"/>
      <c r="G404" s="326">
        <f t="shared" si="1"/>
        <v>0</v>
      </c>
    </row>
    <row r="405" spans="1:7">
      <c r="A405" s="490"/>
    </row>
    <row r="406" spans="1:7">
      <c r="A406" s="489" t="s">
        <v>2799</v>
      </c>
      <c r="B406" s="301"/>
      <c r="C406" s="392" t="s">
        <v>2800</v>
      </c>
      <c r="D406" s="425" t="s">
        <v>110</v>
      </c>
      <c r="E406" s="502">
        <v>3</v>
      </c>
      <c r="F406" s="495"/>
      <c r="G406" s="326">
        <f t="shared" si="1"/>
        <v>0</v>
      </c>
    </row>
    <row r="407" spans="1:7">
      <c r="A407" s="490"/>
    </row>
    <row r="408" spans="1:7">
      <c r="A408" s="489" t="s">
        <v>2801</v>
      </c>
      <c r="B408" s="301"/>
      <c r="C408" s="392" t="s">
        <v>2802</v>
      </c>
      <c r="D408" s="425" t="s">
        <v>110</v>
      </c>
      <c r="E408" s="502">
        <v>20</v>
      </c>
      <c r="F408" s="495"/>
      <c r="G408" s="326">
        <f t="shared" si="1"/>
        <v>0</v>
      </c>
    </row>
    <row r="410" spans="1:7">
      <c r="A410" s="489" t="s">
        <v>2803</v>
      </c>
      <c r="B410" s="301"/>
      <c r="C410" s="392" t="s">
        <v>2804</v>
      </c>
      <c r="D410" s="425" t="s">
        <v>110</v>
      </c>
      <c r="E410" s="502">
        <v>1</v>
      </c>
      <c r="F410" s="495"/>
      <c r="G410" s="326">
        <f t="shared" si="1"/>
        <v>0</v>
      </c>
    </row>
    <row r="411" spans="1:7">
      <c r="A411" s="489" t="s">
        <v>2805</v>
      </c>
      <c r="B411" s="301"/>
      <c r="C411" s="392" t="s">
        <v>2806</v>
      </c>
      <c r="D411" s="425" t="s">
        <v>110</v>
      </c>
      <c r="E411" s="502">
        <v>27</v>
      </c>
      <c r="F411" s="495"/>
      <c r="G411" s="326">
        <f t="shared" si="1"/>
        <v>0</v>
      </c>
    </row>
    <row r="412" spans="1:7">
      <c r="A412" s="489" t="s">
        <v>2807</v>
      </c>
      <c r="B412" s="301"/>
      <c r="C412" s="392" t="s">
        <v>2808</v>
      </c>
      <c r="D412" s="425" t="s">
        <v>110</v>
      </c>
      <c r="E412" s="502">
        <v>2</v>
      </c>
      <c r="F412" s="495"/>
      <c r="G412" s="326">
        <f t="shared" si="1"/>
        <v>0</v>
      </c>
    </row>
    <row r="413" spans="1:7">
      <c r="A413" s="490"/>
    </row>
    <row r="414" spans="1:7">
      <c r="A414" s="489" t="s">
        <v>2809</v>
      </c>
      <c r="B414" s="301"/>
      <c r="C414" s="392" t="s">
        <v>2810</v>
      </c>
      <c r="D414" s="425" t="s">
        <v>110</v>
      </c>
      <c r="E414" s="502">
        <v>4</v>
      </c>
      <c r="F414" s="495"/>
      <c r="G414" s="326">
        <f t="shared" si="1"/>
        <v>0</v>
      </c>
    </row>
    <row r="415" spans="1:7">
      <c r="A415" s="490"/>
    </row>
    <row r="416" spans="1:7">
      <c r="A416" s="489" t="s">
        <v>2811</v>
      </c>
      <c r="B416" s="301"/>
      <c r="C416" s="392" t="s">
        <v>2812</v>
      </c>
      <c r="D416" s="425" t="s">
        <v>110</v>
      </c>
      <c r="E416" s="502">
        <v>4</v>
      </c>
      <c r="F416" s="495"/>
      <c r="G416" s="326">
        <f t="shared" si="1"/>
        <v>0</v>
      </c>
    </row>
    <row r="417" spans="1:14">
      <c r="A417" s="490"/>
    </row>
    <row r="418" spans="1:14">
      <c r="A418" s="489" t="s">
        <v>2813</v>
      </c>
      <c r="B418" s="301"/>
      <c r="C418" s="392" t="s">
        <v>2814</v>
      </c>
      <c r="D418" s="425" t="s">
        <v>110</v>
      </c>
      <c r="E418" s="502">
        <v>6</v>
      </c>
      <c r="F418" s="495"/>
      <c r="G418" s="326">
        <f t="shared" si="1"/>
        <v>0</v>
      </c>
    </row>
    <row r="419" spans="1:14">
      <c r="A419" s="490"/>
      <c r="C419" s="426" t="s">
        <v>2815</v>
      </c>
    </row>
    <row r="420" spans="1:14">
      <c r="A420" s="489" t="s">
        <v>2816</v>
      </c>
      <c r="B420" s="301"/>
      <c r="C420" s="392" t="s">
        <v>2817</v>
      </c>
      <c r="D420" s="425" t="s">
        <v>110</v>
      </c>
      <c r="E420" s="502">
        <v>4</v>
      </c>
      <c r="F420" s="495"/>
      <c r="G420" s="326">
        <f t="shared" si="1"/>
        <v>0</v>
      </c>
    </row>
    <row r="421" spans="1:14">
      <c r="A421" s="490"/>
      <c r="C421" s="426" t="s">
        <v>2815</v>
      </c>
    </row>
    <row r="422" spans="1:14">
      <c r="A422" s="489" t="s">
        <v>2818</v>
      </c>
      <c r="B422" s="301"/>
      <c r="C422" s="392" t="s">
        <v>2819</v>
      </c>
      <c r="D422" s="425" t="s">
        <v>110</v>
      </c>
      <c r="E422" s="502">
        <v>4</v>
      </c>
      <c r="F422" s="495"/>
      <c r="G422" s="326">
        <f t="shared" si="1"/>
        <v>0</v>
      </c>
    </row>
    <row r="423" spans="1:14">
      <c r="A423" s="490"/>
      <c r="C423" s="426" t="s">
        <v>2815</v>
      </c>
    </row>
    <row r="424" spans="1:14">
      <c r="A424" s="491"/>
      <c r="B424" s="411"/>
      <c r="C424" s="427"/>
      <c r="D424" s="339"/>
      <c r="E424" s="497"/>
      <c r="F424" s="497"/>
      <c r="G424" s="339"/>
    </row>
    <row r="425" spans="1:14">
      <c r="A425" s="489" t="s">
        <v>2820</v>
      </c>
      <c r="B425" s="301"/>
      <c r="C425" s="392" t="s">
        <v>2821</v>
      </c>
      <c r="D425" s="425" t="s">
        <v>110</v>
      </c>
      <c r="E425" s="502">
        <v>4</v>
      </c>
      <c r="F425" s="495"/>
      <c r="G425" s="326">
        <f t="shared" si="1"/>
        <v>0</v>
      </c>
    </row>
    <row r="426" spans="1:14">
      <c r="A426" s="489" t="s">
        <v>2822</v>
      </c>
      <c r="B426" s="301"/>
      <c r="C426" s="392" t="s">
        <v>2823</v>
      </c>
      <c r="D426" s="425" t="s">
        <v>110</v>
      </c>
      <c r="E426" s="502">
        <v>4</v>
      </c>
      <c r="F426" s="495"/>
      <c r="G426" s="326">
        <f t="shared" si="1"/>
        <v>0</v>
      </c>
    </row>
    <row r="427" spans="1:14">
      <c r="A427" s="489" t="s">
        <v>2824</v>
      </c>
      <c r="B427" s="301"/>
      <c r="C427" s="392" t="s">
        <v>2825</v>
      </c>
      <c r="D427" s="376"/>
      <c r="E427" s="495">
        <v>4</v>
      </c>
      <c r="F427" s="495"/>
      <c r="G427" s="326">
        <f t="shared" si="1"/>
        <v>0</v>
      </c>
    </row>
    <row r="428" spans="1:14">
      <c r="A428" s="490"/>
    </row>
    <row r="429" spans="1:14">
      <c r="A429" s="489" t="s">
        <v>2826</v>
      </c>
      <c r="B429" s="301"/>
      <c r="C429" s="392" t="s">
        <v>2827</v>
      </c>
      <c r="D429" s="376"/>
      <c r="E429" s="495">
        <v>1</v>
      </c>
      <c r="F429" s="495"/>
      <c r="G429" s="326">
        <f t="shared" si="1"/>
        <v>0</v>
      </c>
    </row>
    <row r="430" spans="1:14" ht="13.5" thickBot="1"/>
    <row r="431" spans="1:14" customFormat="1" ht="21.75" thickBot="1">
      <c r="A431" s="49" t="s">
        <v>206</v>
      </c>
      <c r="B431" s="394"/>
      <c r="C431" s="395" t="s">
        <v>2833</v>
      </c>
      <c r="D431" s="396"/>
      <c r="E431" s="471"/>
      <c r="F431" s="471"/>
      <c r="G431" s="342">
        <f>SUM(G391:G430)</f>
        <v>0</v>
      </c>
      <c r="H431" s="299"/>
      <c r="I431" s="296"/>
      <c r="J431" s="296"/>
      <c r="K431" s="296"/>
      <c r="L431" s="296"/>
      <c r="M431" s="296"/>
      <c r="N431" s="296"/>
    </row>
    <row r="434" spans="1:14" s="21" customFormat="1" ht="23.25">
      <c r="A434" s="610"/>
      <c r="B434" s="428"/>
      <c r="C434" s="429" t="s">
        <v>2831</v>
      </c>
      <c r="D434" s="430"/>
      <c r="E434" s="503"/>
      <c r="F434" s="504"/>
      <c r="G434" s="343"/>
      <c r="H434" s="296"/>
      <c r="I434" s="296"/>
      <c r="J434" s="296"/>
      <c r="K434" s="296"/>
      <c r="L434" s="296"/>
      <c r="M434" s="296"/>
      <c r="N434" s="296"/>
    </row>
    <row r="435" spans="1:14" s="21" customFormat="1" ht="13.5" thickBot="1">
      <c r="A435" s="40"/>
      <c r="B435" s="431"/>
      <c r="C435" s="432"/>
      <c r="D435" s="433"/>
      <c r="E435" s="9"/>
      <c r="F435" s="332"/>
      <c r="G435" s="312"/>
      <c r="H435" s="296"/>
      <c r="I435" s="296"/>
      <c r="J435" s="296"/>
      <c r="K435" s="296"/>
      <c r="L435" s="296"/>
      <c r="M435" s="296"/>
      <c r="N435" s="296"/>
    </row>
    <row r="436" spans="1:14" s="21" customFormat="1" ht="19.5" thickBot="1">
      <c r="A436" s="68" t="s">
        <v>9</v>
      </c>
      <c r="B436" s="434"/>
      <c r="C436" s="435" t="s">
        <v>2836</v>
      </c>
      <c r="D436" s="436"/>
      <c r="E436" s="505"/>
      <c r="F436" s="506"/>
      <c r="G436" s="344"/>
      <c r="H436" s="296"/>
      <c r="I436" s="296"/>
      <c r="J436" s="296"/>
      <c r="K436" s="296"/>
      <c r="L436" s="296"/>
      <c r="M436" s="296"/>
      <c r="N436" s="296"/>
    </row>
    <row r="437" spans="1:14" ht="13.5" thickBot="1">
      <c r="C437" s="634" t="s">
        <v>2835</v>
      </c>
      <c r="D437" s="635"/>
      <c r="E437" s="635"/>
      <c r="F437" s="636"/>
    </row>
    <row r="438" spans="1:14" s="21" customFormat="1" ht="19.5" thickBot="1">
      <c r="A438" s="68" t="s">
        <v>18</v>
      </c>
      <c r="B438" s="434"/>
      <c r="C438" s="437" t="s">
        <v>2837</v>
      </c>
      <c r="D438" s="436"/>
      <c r="E438" s="505"/>
      <c r="F438" s="506"/>
      <c r="G438" s="344"/>
      <c r="H438" s="296"/>
      <c r="I438" s="296"/>
      <c r="J438" s="296"/>
      <c r="K438" s="296"/>
      <c r="L438" s="296"/>
      <c r="M438" s="296"/>
      <c r="N438" s="296"/>
    </row>
    <row r="439" spans="1:14" ht="13.5" thickBot="1">
      <c r="C439" s="634" t="s">
        <v>2835</v>
      </c>
      <c r="D439" s="635"/>
      <c r="E439" s="635"/>
      <c r="F439" s="636"/>
    </row>
    <row r="440" spans="1:14" s="21" customFormat="1" ht="19.5" thickBot="1">
      <c r="A440" s="68" t="s">
        <v>19</v>
      </c>
      <c r="B440" s="434"/>
      <c r="C440" s="435" t="s">
        <v>1319</v>
      </c>
      <c r="D440" s="436"/>
      <c r="E440" s="505"/>
      <c r="F440" s="506"/>
      <c r="G440" s="344"/>
    </row>
    <row r="441" spans="1:14" ht="13.5" thickBot="1">
      <c r="C441" s="634" t="s">
        <v>2835</v>
      </c>
      <c r="D441" s="635"/>
      <c r="E441" s="635"/>
      <c r="F441" s="636"/>
    </row>
    <row r="442" spans="1:14" s="21" customFormat="1" ht="19.5" thickBot="1">
      <c r="A442" s="68" t="s">
        <v>20</v>
      </c>
      <c r="B442" s="434"/>
      <c r="C442" s="435" t="s">
        <v>322</v>
      </c>
      <c r="D442" s="436"/>
      <c r="E442" s="505"/>
      <c r="F442" s="506"/>
      <c r="G442" s="344">
        <f>G134</f>
        <v>0</v>
      </c>
    </row>
    <row r="443" spans="1:14" s="21" customFormat="1" ht="19.5" thickBot="1">
      <c r="A443" s="68" t="s">
        <v>21</v>
      </c>
      <c r="B443" s="434"/>
      <c r="C443" s="437" t="s">
        <v>2842</v>
      </c>
      <c r="D443" s="436"/>
      <c r="E443" s="505"/>
      <c r="F443" s="506"/>
      <c r="G443" s="344">
        <f>G147</f>
        <v>0</v>
      </c>
    </row>
    <row r="444" spans="1:14" s="21" customFormat="1" ht="19.5" thickBot="1">
      <c r="A444" s="68" t="s">
        <v>60</v>
      </c>
      <c r="B444" s="434"/>
      <c r="C444" s="435" t="s">
        <v>2843</v>
      </c>
      <c r="D444" s="436"/>
      <c r="E444" s="505"/>
      <c r="F444" s="506"/>
      <c r="G444" s="344">
        <f>G196</f>
        <v>0</v>
      </c>
    </row>
    <row r="445" spans="1:14" s="21" customFormat="1" ht="19.5" thickBot="1">
      <c r="A445" s="68" t="s">
        <v>78</v>
      </c>
      <c r="B445" s="434"/>
      <c r="C445" s="435" t="s">
        <v>2846</v>
      </c>
      <c r="D445" s="436"/>
      <c r="E445" s="505"/>
      <c r="F445" s="506"/>
      <c r="G445" s="344">
        <f>G276</f>
        <v>0</v>
      </c>
    </row>
    <row r="446" spans="1:14" s="21" customFormat="1" ht="19.5" thickBot="1">
      <c r="A446" s="68" t="s">
        <v>165</v>
      </c>
      <c r="B446" s="434"/>
      <c r="C446" s="435" t="s">
        <v>696</v>
      </c>
      <c r="D446" s="436"/>
      <c r="E446" s="505"/>
      <c r="F446" s="506"/>
      <c r="G446" s="344">
        <f>G349</f>
        <v>0</v>
      </c>
    </row>
    <row r="447" spans="1:14" s="21" customFormat="1" ht="19.5" thickBot="1">
      <c r="A447" s="68" t="s">
        <v>205</v>
      </c>
      <c r="B447" s="434"/>
      <c r="C447" s="435" t="s">
        <v>2844</v>
      </c>
      <c r="D447" s="436"/>
      <c r="E447" s="505"/>
      <c r="F447" s="506"/>
      <c r="G447" s="344">
        <f>G383</f>
        <v>0</v>
      </c>
    </row>
    <row r="448" spans="1:14" s="21" customFormat="1" ht="19.5" thickBot="1">
      <c r="A448" s="68" t="s">
        <v>206</v>
      </c>
      <c r="B448" s="434"/>
      <c r="C448" s="435" t="s">
        <v>2832</v>
      </c>
      <c r="D448" s="436"/>
      <c r="E448" s="505"/>
      <c r="F448" s="506"/>
      <c r="G448" s="344">
        <f>G431</f>
        <v>0</v>
      </c>
    </row>
    <row r="449" spans="1:7" s="21" customFormat="1">
      <c r="A449" s="40"/>
      <c r="B449" s="431"/>
      <c r="C449" s="306"/>
      <c r="D449" s="433"/>
      <c r="E449" s="9"/>
      <c r="F449" s="332"/>
      <c r="G449" s="312"/>
    </row>
    <row r="450" spans="1:7" s="21" customFormat="1" ht="46.5">
      <c r="A450" s="610"/>
      <c r="B450" s="428"/>
      <c r="C450" s="429" t="s">
        <v>2857</v>
      </c>
      <c r="D450" s="430"/>
      <c r="E450" s="503"/>
      <c r="F450" s="504"/>
      <c r="G450" s="345">
        <f>SUM(G435:G449)</f>
        <v>0</v>
      </c>
    </row>
  </sheetData>
  <mergeCells count="12">
    <mergeCell ref="C441:F441"/>
    <mergeCell ref="A1:G15"/>
    <mergeCell ref="A16:G16"/>
    <mergeCell ref="A17:G17"/>
    <mergeCell ref="A18:G18"/>
    <mergeCell ref="A19:G19"/>
    <mergeCell ref="A20:G20"/>
    <mergeCell ref="A21:G21"/>
    <mergeCell ref="A22:G22"/>
    <mergeCell ref="A23:G51"/>
    <mergeCell ref="C437:F437"/>
    <mergeCell ref="C439:F439"/>
  </mergeCells>
  <pageMargins left="0.70866141732283461" right="0.39370078740157483" top="0.86614173228346458" bottom="0.625" header="0.31496062992125984" footer="0.31496062992125984"/>
  <pageSetup paperSize="9" scale="81" orientation="portrait" r:id="rId1"/>
  <headerFooter differentFirst="1">
    <oddHeader>&amp;L&amp;K00-042Troškovnik&amp;C&amp;"-,Podebljano"&amp;K00-043ARHITEKTONSKI PROJEKT SKLONIŠTA
Građevinsko - zanatski radovi&amp;R&amp;8&amp;K00-046STAMBENO – POSLOVNA GRAĐEVINA, BLATO</oddHeader>
    <oddFooter>&amp;C&amp;K00-031V V - PROJEKT d.o.o. Put Supavla 1, 21000 Split, tel/fax: 021/322-249&amp;R&amp;K00-032&amp;P</oddFooter>
    <firstHeader>&amp;C&amp;"Arial,Uobičajeno"&amp;8&amp;G</firstHeader>
    <firstFooter>&amp;C&amp;10&amp;K00-047V V - PROJEKT d.o.o. Put Supavla 1, 21000 Split, tel/fax: 021/322-249</firstFooter>
  </headerFooter>
  <rowBreaks count="10" manualBreakCount="10">
    <brk id="51" max="16383" man="1"/>
    <brk id="99" max="16383" man="1"/>
    <brk id="127" max="16383" man="1"/>
    <brk id="147" max="16383" man="1"/>
    <brk id="155" max="16383" man="1"/>
    <brk id="200" max="16383" man="1"/>
    <brk id="238" max="6" man="1"/>
    <brk id="260" max="6" man="1"/>
    <brk id="277" max="16383" man="1"/>
    <brk id="367" max="16383" man="1"/>
  </rowBreaks>
  <colBreaks count="1" manualBreakCount="1">
    <brk id="7" max="1048575" man="1"/>
  </colBreaks>
  <legacyDrawingHF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263"/>
  <sheetViews>
    <sheetView view="pageBreakPreview" topLeftCell="A241" zoomScale="120" zoomScaleNormal="100" zoomScaleSheetLayoutView="120" workbookViewId="0">
      <selection activeCell="C265" sqref="C265"/>
    </sheetView>
  </sheetViews>
  <sheetFormatPr defaultColWidth="8" defaultRowHeight="12.75"/>
  <cols>
    <col min="1" max="1" width="6" style="40" customWidth="1"/>
    <col min="2" max="2" width="5.5703125" style="41" customWidth="1"/>
    <col min="3" max="3" width="61.85546875" style="56" customWidth="1"/>
    <col min="4" max="4" width="5.5703125" style="1" customWidth="1"/>
    <col min="5" max="5" width="8.7109375" style="42" customWidth="1"/>
    <col min="6" max="6" width="11.28515625" style="15" customWidth="1"/>
    <col min="7" max="7" width="13.28515625" style="306" customWidth="1"/>
    <col min="8" max="16384" width="8" style="21"/>
  </cols>
  <sheetData>
    <row r="4" spans="1:7" ht="46.5">
      <c r="A4" s="90"/>
      <c r="B4" s="21"/>
      <c r="C4" s="20" t="s">
        <v>0</v>
      </c>
      <c r="D4" s="21"/>
      <c r="E4" s="92"/>
      <c r="F4" s="92"/>
      <c r="G4" s="432"/>
    </row>
    <row r="5" spans="1:7">
      <c r="A5" s="90"/>
      <c r="B5" s="21"/>
      <c r="C5" s="22"/>
      <c r="D5" s="21"/>
      <c r="E5" s="92"/>
      <c r="F5" s="92"/>
      <c r="G5" s="432"/>
    </row>
    <row r="6" spans="1:7" ht="21">
      <c r="A6" s="90"/>
      <c r="B6" s="21"/>
      <c r="C6" s="23" t="s">
        <v>428</v>
      </c>
      <c r="D6" s="21"/>
      <c r="E6" s="92"/>
      <c r="F6" s="92"/>
      <c r="G6" s="432"/>
    </row>
    <row r="7" spans="1:7" ht="21">
      <c r="A7" s="90"/>
      <c r="B7" s="21"/>
      <c r="C7" s="24"/>
      <c r="D7" s="21"/>
      <c r="E7" s="92"/>
      <c r="F7" s="92"/>
      <c r="G7" s="432"/>
    </row>
    <row r="8" spans="1:7" ht="23.25">
      <c r="A8" s="90"/>
      <c r="B8" s="21"/>
      <c r="C8" s="25" t="s">
        <v>1</v>
      </c>
      <c r="D8" s="21"/>
      <c r="E8" s="92"/>
      <c r="F8" s="92"/>
      <c r="G8" s="432"/>
    </row>
    <row r="9" spans="1:7" ht="15.75">
      <c r="A9" s="90"/>
      <c r="B9" s="21"/>
      <c r="C9" s="26" t="s">
        <v>2</v>
      </c>
      <c r="D9" s="21"/>
      <c r="E9" s="92"/>
      <c r="F9" s="92"/>
      <c r="G9" s="432"/>
    </row>
    <row r="10" spans="1:7" ht="15.75">
      <c r="A10" s="90"/>
      <c r="B10" s="21"/>
      <c r="C10" s="611" t="s">
        <v>278</v>
      </c>
      <c r="D10" s="21"/>
      <c r="E10" s="92"/>
      <c r="F10" s="92"/>
      <c r="G10" s="432"/>
    </row>
    <row r="11" spans="1:7">
      <c r="A11" s="90"/>
      <c r="B11" s="21"/>
      <c r="C11" s="22"/>
      <c r="D11" s="21"/>
      <c r="E11" s="92"/>
      <c r="F11" s="92"/>
      <c r="G11" s="432"/>
    </row>
    <row r="12" spans="1:7">
      <c r="A12" s="90"/>
      <c r="B12" s="21"/>
      <c r="C12" s="28" t="s">
        <v>691</v>
      </c>
      <c r="D12" s="21"/>
      <c r="E12" s="92"/>
      <c r="F12" s="92"/>
      <c r="G12" s="432"/>
    </row>
    <row r="46" spans="1:7" ht="25.5">
      <c r="A46" s="29" t="s">
        <v>4</v>
      </c>
      <c r="B46" s="30"/>
      <c r="C46" s="31" t="s">
        <v>5</v>
      </c>
      <c r="D46" s="32" t="s">
        <v>109</v>
      </c>
      <c r="E46" s="33" t="s">
        <v>6</v>
      </c>
      <c r="F46" s="99" t="s">
        <v>113</v>
      </c>
      <c r="G46" s="442" t="s">
        <v>8</v>
      </c>
    </row>
    <row r="48" spans="1:7" ht="21">
      <c r="A48" s="34" t="s">
        <v>9</v>
      </c>
      <c r="B48" s="35"/>
      <c r="C48" s="39" t="s">
        <v>22</v>
      </c>
      <c r="D48" s="37"/>
      <c r="E48" s="38"/>
      <c r="F48" s="438"/>
      <c r="G48" s="443"/>
    </row>
    <row r="50" spans="1:7" ht="25.5">
      <c r="C50" s="93" t="s">
        <v>692</v>
      </c>
    </row>
    <row r="51" spans="1:7">
      <c r="C51"/>
    </row>
    <row r="52" spans="1:7" ht="15">
      <c r="A52" s="89">
        <v>1.1000000000000001</v>
      </c>
      <c r="B52" s="76"/>
      <c r="C52" s="76" t="s">
        <v>341</v>
      </c>
      <c r="D52" s="76"/>
      <c r="E52" s="13"/>
      <c r="F52" s="13"/>
      <c r="G52" s="304"/>
    </row>
    <row r="53" spans="1:7">
      <c r="C53"/>
    </row>
    <row r="54" spans="1:7" ht="76.5">
      <c r="B54" s="40"/>
      <c r="C54" t="s">
        <v>1069</v>
      </c>
    </row>
    <row r="55" spans="1:7" ht="38.25">
      <c r="B55" s="40"/>
      <c r="C55" t="s">
        <v>1066</v>
      </c>
    </row>
    <row r="56" spans="1:7">
      <c r="B56" s="40"/>
      <c r="C56" s="21" t="s">
        <v>902</v>
      </c>
      <c r="D56" s="1" t="s">
        <v>129</v>
      </c>
      <c r="E56" s="42">
        <v>410</v>
      </c>
      <c r="G56" s="306">
        <f>E56*F56</f>
        <v>0</v>
      </c>
    </row>
    <row r="57" spans="1:7">
      <c r="C57"/>
    </row>
    <row r="58" spans="1:7" ht="15">
      <c r="A58" s="89">
        <v>1.2</v>
      </c>
      <c r="B58" s="76"/>
      <c r="C58" s="76" t="s">
        <v>906</v>
      </c>
      <c r="D58" s="76"/>
      <c r="E58" s="13"/>
      <c r="F58" s="13"/>
      <c r="G58" s="304"/>
    </row>
    <row r="59" spans="1:7">
      <c r="C59"/>
    </row>
    <row r="60" spans="1:7" ht="76.5">
      <c r="B60" s="40"/>
      <c r="C60" t="s">
        <v>1069</v>
      </c>
    </row>
    <row r="61" spans="1:7" ht="38.25">
      <c r="B61" s="40"/>
      <c r="C61" t="s">
        <v>1067</v>
      </c>
    </row>
    <row r="62" spans="1:7">
      <c r="B62" s="40"/>
      <c r="C62" s="21" t="s">
        <v>907</v>
      </c>
      <c r="D62" s="1" t="s">
        <v>129</v>
      </c>
      <c r="E62" s="42">
        <v>220</v>
      </c>
      <c r="G62" s="306">
        <f>E62*F62</f>
        <v>0</v>
      </c>
    </row>
    <row r="63" spans="1:7">
      <c r="C63"/>
    </row>
    <row r="64" spans="1:7" ht="15">
      <c r="A64" s="89">
        <v>1.3</v>
      </c>
      <c r="B64" s="76"/>
      <c r="C64" s="76" t="s">
        <v>339</v>
      </c>
      <c r="D64" s="76"/>
      <c r="E64" s="13"/>
      <c r="F64" s="13"/>
      <c r="G64" s="304"/>
    </row>
    <row r="65" spans="1:7">
      <c r="C65"/>
    </row>
    <row r="66" spans="1:7">
      <c r="C66" t="s">
        <v>1068</v>
      </c>
    </row>
    <row r="67" spans="1:7" ht="63.75">
      <c r="B67" s="40"/>
      <c r="C67" t="s">
        <v>1070</v>
      </c>
    </row>
    <row r="68" spans="1:7">
      <c r="B68" s="40"/>
      <c r="C68" s="21"/>
      <c r="D68" s="1" t="s">
        <v>129</v>
      </c>
      <c r="E68" s="42">
        <v>78</v>
      </c>
      <c r="G68" s="306">
        <f>E68*F68</f>
        <v>0</v>
      </c>
    </row>
    <row r="69" spans="1:7">
      <c r="B69" s="40"/>
      <c r="C69" s="21"/>
    </row>
    <row r="70" spans="1:7" ht="13.5" thickBot="1">
      <c r="B70" s="40"/>
      <c r="C70" s="21"/>
    </row>
    <row r="71" spans="1:7" ht="21.75" thickBot="1">
      <c r="A71" s="49" t="s">
        <v>9</v>
      </c>
      <c r="B71" s="50"/>
      <c r="C71" s="51" t="s">
        <v>342</v>
      </c>
      <c r="D71" s="52"/>
      <c r="E71" s="53"/>
      <c r="F71" s="348"/>
      <c r="G71" s="307">
        <f>SUM(G50:G69)</f>
        <v>0</v>
      </c>
    </row>
    <row r="72" spans="1:7">
      <c r="C72"/>
    </row>
    <row r="73" spans="1:7" s="150" customFormat="1">
      <c r="A73" s="151"/>
      <c r="B73" s="152"/>
      <c r="C73" s="153"/>
      <c r="D73" s="154"/>
      <c r="E73" s="155"/>
      <c r="F73" s="439"/>
      <c r="G73" s="444"/>
    </row>
    <row r="74" spans="1:7" s="150" customFormat="1">
      <c r="A74" s="151"/>
      <c r="B74" s="152"/>
      <c r="C74" s="156"/>
      <c r="D74" s="154"/>
      <c r="E74" s="155"/>
      <c r="F74" s="439"/>
      <c r="G74" s="444"/>
    </row>
    <row r="75" spans="1:7" s="150" customFormat="1" ht="15">
      <c r="A75" s="157"/>
      <c r="B75" s="158"/>
      <c r="C75" s="158"/>
      <c r="D75" s="158"/>
      <c r="E75" s="440"/>
      <c r="F75" s="440"/>
      <c r="G75" s="445"/>
    </row>
    <row r="76" spans="1:7" s="150" customFormat="1">
      <c r="A76" s="151"/>
      <c r="B76" s="152"/>
      <c r="C76" s="156"/>
      <c r="D76" s="154"/>
      <c r="E76" s="155"/>
      <c r="F76" s="439"/>
      <c r="G76" s="444"/>
    </row>
    <row r="77" spans="1:7" s="150" customFormat="1">
      <c r="A77" s="151"/>
      <c r="B77" s="151"/>
      <c r="C77" s="156"/>
      <c r="D77" s="154"/>
      <c r="E77" s="155"/>
      <c r="F77" s="439"/>
      <c r="G77" s="444"/>
    </row>
    <row r="78" spans="1:7" s="150" customFormat="1">
      <c r="A78" s="151"/>
      <c r="B78" s="151"/>
      <c r="C78" s="156"/>
      <c r="D78" s="154"/>
      <c r="E78" s="155"/>
      <c r="F78" s="439"/>
      <c r="G78" s="444"/>
    </row>
    <row r="79" spans="1:7" s="150" customFormat="1">
      <c r="A79" s="151"/>
      <c r="B79" s="151"/>
      <c r="D79" s="154"/>
      <c r="E79" s="155"/>
      <c r="F79" s="439"/>
      <c r="G79" s="444"/>
    </row>
    <row r="80" spans="1:7" s="150" customFormat="1">
      <c r="A80" s="151"/>
      <c r="B80" s="151"/>
      <c r="D80" s="154"/>
      <c r="E80" s="155"/>
      <c r="F80" s="439"/>
      <c r="G80" s="444"/>
    </row>
    <row r="81" spans="1:7" s="150" customFormat="1" ht="21">
      <c r="A81" s="145"/>
      <c r="B81" s="146"/>
      <c r="C81" s="147"/>
      <c r="D81" s="148"/>
      <c r="E81" s="149"/>
      <c r="F81" s="441"/>
      <c r="G81" s="446"/>
    </row>
    <row r="82" spans="1:7" s="144" customFormat="1" ht="21">
      <c r="A82" s="145"/>
      <c r="B82" s="146"/>
      <c r="C82" s="147"/>
      <c r="D82" s="148"/>
      <c r="E82" s="149"/>
      <c r="F82" s="441"/>
      <c r="G82" s="446"/>
    </row>
    <row r="83" spans="1:7" ht="21">
      <c r="A83" s="34" t="s">
        <v>18</v>
      </c>
      <c r="B83" s="35"/>
      <c r="C83" s="39" t="s">
        <v>279</v>
      </c>
      <c r="D83" s="37"/>
      <c r="E83" s="38"/>
      <c r="F83" s="438"/>
      <c r="G83" s="443"/>
    </row>
    <row r="84" spans="1:7">
      <c r="C84"/>
    </row>
    <row r="85" spans="1:7" ht="15">
      <c r="A85" s="89">
        <v>2.1</v>
      </c>
      <c r="B85" s="76"/>
      <c r="C85" s="76" t="s">
        <v>693</v>
      </c>
      <c r="D85" s="76"/>
      <c r="E85" s="13"/>
      <c r="F85" s="13"/>
      <c r="G85" s="304"/>
    </row>
    <row r="86" spans="1:7">
      <c r="B86" s="40"/>
      <c r="C86" s="21"/>
    </row>
    <row r="87" spans="1:7" ht="15.75" thickBot="1">
      <c r="B87" s="40"/>
      <c r="C87" s="54" t="s">
        <v>280</v>
      </c>
    </row>
    <row r="88" spans="1:7" ht="25.5">
      <c r="B88" s="40"/>
      <c r="C88" t="s">
        <v>281</v>
      </c>
    </row>
    <row r="89" spans="1:7">
      <c r="B89" s="40"/>
      <c r="C89"/>
    </row>
    <row r="90" spans="1:7" ht="15.75" thickBot="1">
      <c r="B90" s="40"/>
      <c r="C90" s="54" t="s">
        <v>282</v>
      </c>
    </row>
    <row r="91" spans="1:7" ht="25.5">
      <c r="B91" s="40"/>
      <c r="C91" t="s">
        <v>287</v>
      </c>
    </row>
    <row r="92" spans="1:7">
      <c r="B92" s="40"/>
      <c r="C92"/>
    </row>
    <row r="93" spans="1:7" ht="15.75" thickBot="1">
      <c r="B93" s="40"/>
      <c r="C93" s="54" t="s">
        <v>283</v>
      </c>
    </row>
    <row r="94" spans="1:7" ht="63.75">
      <c r="B94" s="40" t="s">
        <v>181</v>
      </c>
      <c r="C94" t="s">
        <v>1071</v>
      </c>
    </row>
    <row r="95" spans="1:7" ht="63.75">
      <c r="B95" s="40" t="s">
        <v>182</v>
      </c>
      <c r="C95" t="s">
        <v>1072</v>
      </c>
    </row>
    <row r="96" spans="1:7" ht="51">
      <c r="B96" s="40" t="s">
        <v>324</v>
      </c>
      <c r="C96" t="s">
        <v>284</v>
      </c>
    </row>
    <row r="97" spans="1:7" ht="63.75">
      <c r="B97" s="40" t="s">
        <v>325</v>
      </c>
      <c r="C97" t="s">
        <v>340</v>
      </c>
    </row>
    <row r="98" spans="1:7">
      <c r="B98" s="40"/>
      <c r="C98"/>
    </row>
    <row r="99" spans="1:7" ht="15.75" thickBot="1">
      <c r="B99" s="40"/>
      <c r="C99" s="54" t="s">
        <v>285</v>
      </c>
    </row>
    <row r="100" spans="1:7" ht="51">
      <c r="B100" s="40"/>
      <c r="C100" t="s">
        <v>286</v>
      </c>
    </row>
    <row r="101" spans="1:7">
      <c r="B101" s="40"/>
      <c r="C101" s="21"/>
    </row>
    <row r="102" spans="1:7">
      <c r="B102" s="40"/>
      <c r="C102" s="21" t="s">
        <v>76</v>
      </c>
      <c r="D102" s="1" t="s">
        <v>40</v>
      </c>
      <c r="E102" s="42">
        <v>2450</v>
      </c>
      <c r="G102" s="306">
        <f>E102*F102</f>
        <v>0</v>
      </c>
    </row>
    <row r="103" spans="1:7">
      <c r="B103" s="40"/>
      <c r="C103" s="21"/>
    </row>
    <row r="104" spans="1:7" ht="15">
      <c r="A104" s="89">
        <v>2.2000000000000002</v>
      </c>
      <c r="B104" s="76"/>
      <c r="C104" s="76" t="s">
        <v>694</v>
      </c>
      <c r="D104" s="76"/>
      <c r="E104" s="13"/>
      <c r="F104" s="13"/>
      <c r="G104" s="304"/>
    </row>
    <row r="105" spans="1:7">
      <c r="B105" s="40"/>
      <c r="C105" s="21"/>
    </row>
    <row r="106" spans="1:7" ht="15.75" thickBot="1">
      <c r="B106" s="40"/>
      <c r="C106" s="54" t="s">
        <v>280</v>
      </c>
    </row>
    <row r="107" spans="1:7" ht="25.5">
      <c r="B107" s="40"/>
      <c r="C107" t="s">
        <v>281</v>
      </c>
    </row>
    <row r="108" spans="1:7">
      <c r="B108" s="40"/>
      <c r="C108"/>
    </row>
    <row r="109" spans="1:7" ht="15.75" thickBot="1">
      <c r="B109" s="40"/>
      <c r="C109" s="54" t="s">
        <v>282</v>
      </c>
    </row>
    <row r="110" spans="1:7" ht="25.5">
      <c r="B110" s="40"/>
      <c r="C110" t="s">
        <v>287</v>
      </c>
    </row>
    <row r="111" spans="1:7">
      <c r="B111" s="40"/>
      <c r="C111"/>
    </row>
    <row r="112" spans="1:7">
      <c r="B112" s="40"/>
      <c r="C112" s="21" t="s">
        <v>76</v>
      </c>
      <c r="D112" s="1" t="s">
        <v>40</v>
      </c>
      <c r="E112" s="42">
        <v>1175</v>
      </c>
      <c r="G112" s="306">
        <f>E112*F112</f>
        <v>0</v>
      </c>
    </row>
    <row r="113" spans="1:7">
      <c r="B113" s="40"/>
      <c r="C113" s="21"/>
    </row>
    <row r="114" spans="1:7" ht="15">
      <c r="A114" s="89">
        <f>+MAX($A$10:A112)+0.1</f>
        <v>2.3000000000000003</v>
      </c>
      <c r="B114" s="76"/>
      <c r="C114" s="76" t="s">
        <v>316</v>
      </c>
      <c r="D114" s="76"/>
      <c r="E114" s="13"/>
      <c r="F114" s="13"/>
      <c r="G114" s="304"/>
    </row>
    <row r="115" spans="1:7">
      <c r="B115" s="40"/>
      <c r="C115" s="21"/>
    </row>
    <row r="116" spans="1:7" ht="76.5">
      <c r="B116" s="40"/>
      <c r="C116" t="s">
        <v>1073</v>
      </c>
    </row>
    <row r="117" spans="1:7">
      <c r="B117" s="40"/>
      <c r="C117" s="21" t="s">
        <v>343</v>
      </c>
      <c r="D117" s="1" t="s">
        <v>40</v>
      </c>
      <c r="E117" s="42">
        <v>160</v>
      </c>
      <c r="G117" s="306">
        <f>E117*F117</f>
        <v>0</v>
      </c>
    </row>
    <row r="118" spans="1:7">
      <c r="B118" s="40"/>
      <c r="C118" s="21"/>
    </row>
    <row r="119" spans="1:7" ht="15">
      <c r="A119" s="89">
        <f>+MAX($A$10:A117)+0.1</f>
        <v>2.4000000000000004</v>
      </c>
      <c r="B119" s="76"/>
      <c r="C119" s="76" t="s">
        <v>908</v>
      </c>
      <c r="D119" s="76"/>
      <c r="E119" s="13"/>
      <c r="F119" s="13"/>
      <c r="G119" s="304"/>
    </row>
    <row r="120" spans="1:7">
      <c r="B120" s="40"/>
      <c r="C120" s="21"/>
    </row>
    <row r="121" spans="1:7" ht="140.25">
      <c r="B121" s="40"/>
      <c r="C121" t="s">
        <v>910</v>
      </c>
    </row>
    <row r="122" spans="1:7">
      <c r="B122" s="40"/>
      <c r="C122" s="21" t="s">
        <v>1074</v>
      </c>
    </row>
    <row r="123" spans="1:7" ht="216.75">
      <c r="B123" s="40"/>
      <c r="C123" t="s">
        <v>909</v>
      </c>
    </row>
    <row r="124" spans="1:7">
      <c r="B124" s="40"/>
      <c r="C124"/>
    </row>
    <row r="125" spans="1:7">
      <c r="B125" s="40"/>
      <c r="C125" t="s">
        <v>662</v>
      </c>
      <c r="D125" s="1" t="s">
        <v>40</v>
      </c>
      <c r="E125" s="42">
        <v>215</v>
      </c>
      <c r="G125" s="306">
        <f>E125*F125</f>
        <v>0</v>
      </c>
    </row>
    <row r="126" spans="1:7">
      <c r="B126" s="40"/>
      <c r="C126"/>
    </row>
    <row r="127" spans="1:7" ht="13.5" thickBot="1">
      <c r="B127" s="40"/>
      <c r="C127"/>
    </row>
    <row r="128" spans="1:7" ht="42.75" thickBot="1">
      <c r="A128" s="49" t="s">
        <v>18</v>
      </c>
      <c r="B128" s="50"/>
      <c r="C128" s="51" t="s">
        <v>351</v>
      </c>
      <c r="D128" s="52"/>
      <c r="E128" s="53"/>
      <c r="F128" s="348"/>
      <c r="G128" s="307">
        <f>SUM(G85:G125)</f>
        <v>0</v>
      </c>
    </row>
    <row r="129" spans="1:7">
      <c r="B129" s="40"/>
      <c r="C129" s="21"/>
    </row>
    <row r="130" spans="1:7">
      <c r="B130" s="40"/>
      <c r="C130" s="21"/>
    </row>
    <row r="131" spans="1:7">
      <c r="B131" s="40"/>
      <c r="C131" s="21"/>
    </row>
    <row r="132" spans="1:7">
      <c r="B132" s="40"/>
      <c r="C132" s="21"/>
    </row>
    <row r="133" spans="1:7" ht="21">
      <c r="A133" s="34" t="s">
        <v>19</v>
      </c>
      <c r="B133" s="35"/>
      <c r="C133" s="39" t="s">
        <v>207</v>
      </c>
      <c r="D133" s="37"/>
      <c r="E133" s="38"/>
      <c r="F133" s="438"/>
      <c r="G133" s="443"/>
    </row>
    <row r="134" spans="1:7" ht="25.5">
      <c r="C134" s="85" t="s">
        <v>560</v>
      </c>
    </row>
    <row r="135" spans="1:7">
      <c r="C135" s="85"/>
    </row>
    <row r="136" spans="1:7" ht="15">
      <c r="A136" s="89">
        <v>3.1</v>
      </c>
      <c r="B136" s="76"/>
      <c r="C136" s="76" t="s">
        <v>561</v>
      </c>
      <c r="D136" s="76"/>
      <c r="E136" s="13"/>
      <c r="F136" s="13"/>
      <c r="G136" s="304"/>
    </row>
    <row r="137" spans="1:7">
      <c r="C137"/>
    </row>
    <row r="138" spans="1:7">
      <c r="B138" s="41">
        <v>1</v>
      </c>
      <c r="C138" t="s">
        <v>903</v>
      </c>
    </row>
    <row r="139" spans="1:7" ht="76.5">
      <c r="C139" t="s">
        <v>1075</v>
      </c>
    </row>
    <row r="140" spans="1:7">
      <c r="C140" t="s">
        <v>128</v>
      </c>
      <c r="D140" s="1" t="s">
        <v>129</v>
      </c>
      <c r="E140" s="42">
        <v>74</v>
      </c>
      <c r="G140" s="306">
        <f>E140*F140</f>
        <v>0</v>
      </c>
    </row>
    <row r="141" spans="1:7">
      <c r="C141"/>
    </row>
    <row r="142" spans="1:7">
      <c r="B142" s="41">
        <v>2</v>
      </c>
      <c r="C142" t="s">
        <v>904</v>
      </c>
    </row>
    <row r="143" spans="1:7" ht="25.5">
      <c r="C143" t="s">
        <v>905</v>
      </c>
    </row>
    <row r="144" spans="1:7" ht="76.5">
      <c r="C144" t="s">
        <v>1076</v>
      </c>
    </row>
    <row r="145" spans="1:7">
      <c r="C145" t="s">
        <v>128</v>
      </c>
      <c r="D145" s="1" t="s">
        <v>129</v>
      </c>
      <c r="E145" s="42">
        <v>210</v>
      </c>
      <c r="G145" s="306">
        <f>E145*F145</f>
        <v>0</v>
      </c>
    </row>
    <row r="146" spans="1:7">
      <c r="C146"/>
    </row>
    <row r="147" spans="1:7" ht="15">
      <c r="A147" s="89">
        <v>3.2</v>
      </c>
      <c r="B147" s="76"/>
      <c r="C147" s="76" t="s">
        <v>1080</v>
      </c>
      <c r="D147" s="76"/>
      <c r="E147" s="13"/>
      <c r="F147" s="13"/>
      <c r="G147" s="304"/>
    </row>
    <row r="148" spans="1:7">
      <c r="C148"/>
    </row>
    <row r="149" spans="1:7" ht="114.75">
      <c r="C149" t="s">
        <v>1077</v>
      </c>
    </row>
    <row r="150" spans="1:7" ht="102">
      <c r="C150" t="s">
        <v>1078</v>
      </c>
    </row>
    <row r="151" spans="1:7">
      <c r="C151" t="s">
        <v>1079</v>
      </c>
      <c r="D151" s="1" t="s">
        <v>110</v>
      </c>
      <c r="E151" s="42">
        <v>2</v>
      </c>
      <c r="G151" s="306">
        <f>E151*F151</f>
        <v>0</v>
      </c>
    </row>
    <row r="152" spans="1:7" ht="13.5" thickBot="1">
      <c r="C152"/>
    </row>
    <row r="153" spans="1:7" ht="21.75" thickBot="1">
      <c r="A153" s="49" t="s">
        <v>19</v>
      </c>
      <c r="B153" s="50"/>
      <c r="C153" s="51" t="s">
        <v>232</v>
      </c>
      <c r="D153" s="52"/>
      <c r="E153" s="53"/>
      <c r="F153" s="348"/>
      <c r="G153" s="307">
        <f>SUM(G134:G151)</f>
        <v>0</v>
      </c>
    </row>
    <row r="154" spans="1:7" ht="21">
      <c r="A154" s="34" t="s">
        <v>20</v>
      </c>
      <c r="B154" s="35"/>
      <c r="C154" s="39" t="s">
        <v>288</v>
      </c>
      <c r="D154" s="37"/>
      <c r="E154" s="38"/>
      <c r="F154" s="438"/>
      <c r="G154" s="443"/>
    </row>
    <row r="155" spans="1:7">
      <c r="B155" s="40"/>
      <c r="C155" s="21"/>
    </row>
    <row r="156" spans="1:7" ht="76.5">
      <c r="B156" s="40"/>
      <c r="C156" t="s">
        <v>687</v>
      </c>
    </row>
    <row r="157" spans="1:7">
      <c r="B157" s="40"/>
      <c r="C157"/>
    </row>
    <row r="158" spans="1:7" ht="15">
      <c r="A158" s="89">
        <v>4.0999999999999996</v>
      </c>
      <c r="B158" s="76"/>
      <c r="C158" s="76" t="s">
        <v>344</v>
      </c>
      <c r="D158" s="76"/>
      <c r="E158" s="13"/>
      <c r="F158" s="13"/>
      <c r="G158" s="304"/>
    </row>
    <row r="159" spans="1:7" ht="38.25">
      <c r="B159" s="40"/>
      <c r="C159" t="s">
        <v>345</v>
      </c>
      <c r="D159" s="1" t="s">
        <v>321</v>
      </c>
      <c r="E159" s="96">
        <v>480</v>
      </c>
      <c r="G159" s="306">
        <f>E159*F159</f>
        <v>0</v>
      </c>
    </row>
    <row r="160" spans="1:7">
      <c r="B160" s="40"/>
      <c r="C160"/>
    </row>
    <row r="161" spans="1:7" ht="15">
      <c r="A161" s="89">
        <v>4.2</v>
      </c>
      <c r="B161" s="76"/>
      <c r="C161" s="76" t="s">
        <v>292</v>
      </c>
      <c r="D161" s="76"/>
      <c r="E161" s="13"/>
      <c r="F161" s="13"/>
      <c r="G161" s="304"/>
    </row>
    <row r="162" spans="1:7">
      <c r="B162" s="40"/>
      <c r="C162" s="21"/>
    </row>
    <row r="163" spans="1:7" ht="25.5">
      <c r="B163" s="40"/>
      <c r="C163" t="s">
        <v>293</v>
      </c>
    </row>
    <row r="164" spans="1:7" ht="178.5">
      <c r="B164" s="40"/>
      <c r="C164" t="s">
        <v>861</v>
      </c>
    </row>
    <row r="165" spans="1:7">
      <c r="B165" s="40"/>
      <c r="C165"/>
    </row>
    <row r="166" spans="1:7" ht="15.75" thickBot="1">
      <c r="B166" s="40"/>
      <c r="C166" s="54" t="s">
        <v>295</v>
      </c>
    </row>
    <row r="167" spans="1:7">
      <c r="B167" s="40"/>
      <c r="C167" t="s">
        <v>1081</v>
      </c>
    </row>
    <row r="168" spans="1:7" ht="51">
      <c r="B168" s="40"/>
      <c r="C168" t="s">
        <v>1082</v>
      </c>
    </row>
    <row r="169" spans="1:7">
      <c r="B169" s="40"/>
      <c r="C169" s="83" t="s">
        <v>688</v>
      </c>
      <c r="D169" s="1" t="s">
        <v>110</v>
      </c>
      <c r="E169" s="42">
        <v>13</v>
      </c>
      <c r="G169" s="306">
        <f t="shared" ref="G169:G173" si="0">E169*F169</f>
        <v>0</v>
      </c>
    </row>
    <row r="170" spans="1:7">
      <c r="B170" s="40"/>
      <c r="C170" s="83" t="s">
        <v>689</v>
      </c>
      <c r="D170" s="1" t="s">
        <v>110</v>
      </c>
      <c r="E170" s="42">
        <v>10</v>
      </c>
      <c r="G170" s="306">
        <f t="shared" si="0"/>
        <v>0</v>
      </c>
    </row>
    <row r="171" spans="1:7">
      <c r="B171" s="40"/>
      <c r="C171" s="83" t="s">
        <v>690</v>
      </c>
      <c r="D171" s="1" t="s">
        <v>110</v>
      </c>
      <c r="E171" s="42">
        <v>7</v>
      </c>
      <c r="G171" s="306">
        <f t="shared" si="0"/>
        <v>0</v>
      </c>
    </row>
    <row r="172" spans="1:7">
      <c r="B172" s="40"/>
      <c r="C172" s="83" t="s">
        <v>862</v>
      </c>
      <c r="D172" s="1" t="s">
        <v>110</v>
      </c>
      <c r="E172" s="42">
        <v>5</v>
      </c>
      <c r="G172" s="306">
        <f t="shared" si="0"/>
        <v>0</v>
      </c>
    </row>
    <row r="173" spans="1:7">
      <c r="B173" s="40"/>
      <c r="C173" s="83" t="s">
        <v>871</v>
      </c>
      <c r="D173" s="1" t="s">
        <v>110</v>
      </c>
      <c r="E173" s="42">
        <v>6</v>
      </c>
      <c r="G173" s="306">
        <f t="shared" si="0"/>
        <v>0</v>
      </c>
    </row>
    <row r="174" spans="1:7">
      <c r="B174" s="40"/>
      <c r="C174"/>
    </row>
    <row r="175" spans="1:7" ht="15.75" thickBot="1">
      <c r="B175" s="40"/>
      <c r="C175" s="54" t="s">
        <v>294</v>
      </c>
    </row>
    <row r="176" spans="1:7" ht="51">
      <c r="B176" s="40"/>
      <c r="C176" t="s">
        <v>1083</v>
      </c>
    </row>
    <row r="177" spans="1:7">
      <c r="B177" s="40"/>
      <c r="C177" s="83" t="s">
        <v>300</v>
      </c>
      <c r="D177" s="1" t="s">
        <v>110</v>
      </c>
      <c r="E177" s="42">
        <v>50</v>
      </c>
      <c r="G177" s="306">
        <f t="shared" ref="G177:G184" si="1">E177*F177</f>
        <v>0</v>
      </c>
    </row>
    <row r="178" spans="1:7">
      <c r="B178" s="40"/>
      <c r="C178" s="83" t="s">
        <v>864</v>
      </c>
      <c r="D178" s="1" t="s">
        <v>110</v>
      </c>
      <c r="E178" s="42">
        <v>50</v>
      </c>
      <c r="G178" s="306">
        <f t="shared" si="1"/>
        <v>0</v>
      </c>
    </row>
    <row r="179" spans="1:7">
      <c r="B179" s="40"/>
      <c r="C179" s="83" t="s">
        <v>863</v>
      </c>
      <c r="D179" s="1" t="s">
        <v>110</v>
      </c>
      <c r="E179" s="42">
        <v>50</v>
      </c>
      <c r="G179" s="306">
        <f t="shared" si="1"/>
        <v>0</v>
      </c>
    </row>
    <row r="180" spans="1:7">
      <c r="B180" s="40"/>
      <c r="C180" s="83" t="s">
        <v>870</v>
      </c>
      <c r="D180" s="1" t="s">
        <v>110</v>
      </c>
      <c r="E180" s="42">
        <v>10</v>
      </c>
      <c r="G180" s="306">
        <f t="shared" si="1"/>
        <v>0</v>
      </c>
    </row>
    <row r="181" spans="1:7">
      <c r="B181" s="40"/>
      <c r="C181" s="83" t="s">
        <v>301</v>
      </c>
      <c r="D181" s="1" t="s">
        <v>110</v>
      </c>
      <c r="E181" s="42">
        <v>50</v>
      </c>
      <c r="G181" s="306">
        <f t="shared" si="1"/>
        <v>0</v>
      </c>
    </row>
    <row r="182" spans="1:7">
      <c r="B182" s="40"/>
      <c r="C182" s="83" t="s">
        <v>866</v>
      </c>
      <c r="D182" s="1" t="s">
        <v>110</v>
      </c>
      <c r="E182" s="42">
        <v>20</v>
      </c>
      <c r="G182" s="306">
        <f t="shared" si="1"/>
        <v>0</v>
      </c>
    </row>
    <row r="183" spans="1:7">
      <c r="B183" s="40"/>
      <c r="C183" s="83" t="s">
        <v>867</v>
      </c>
      <c r="D183" s="1" t="s">
        <v>110</v>
      </c>
      <c r="E183" s="42">
        <v>20</v>
      </c>
      <c r="G183" s="306">
        <f t="shared" ref="G183" si="2">E183*F183</f>
        <v>0</v>
      </c>
    </row>
    <row r="184" spans="1:7">
      <c r="B184" s="40"/>
      <c r="C184" s="83" t="s">
        <v>865</v>
      </c>
      <c r="D184" s="1" t="s">
        <v>110</v>
      </c>
      <c r="E184" s="42">
        <v>20</v>
      </c>
      <c r="G184" s="306">
        <f t="shared" si="1"/>
        <v>0</v>
      </c>
    </row>
    <row r="185" spans="1:7" ht="15">
      <c r="A185" s="89">
        <v>4.3</v>
      </c>
      <c r="B185" s="76"/>
      <c r="C185" s="76" t="s">
        <v>296</v>
      </c>
      <c r="D185" s="76"/>
      <c r="E185" s="13"/>
      <c r="F185" s="13"/>
      <c r="G185" s="304"/>
    </row>
    <row r="186" spans="1:7">
      <c r="B186" s="40"/>
      <c r="C186" s="21"/>
    </row>
    <row r="187" spans="1:7" ht="114.75">
      <c r="B187" s="40"/>
      <c r="C187" t="s">
        <v>297</v>
      </c>
    </row>
    <row r="188" spans="1:7">
      <c r="B188" s="40"/>
      <c r="C188"/>
    </row>
    <row r="189" spans="1:7" ht="63.75">
      <c r="B189" s="40"/>
      <c r="C189" t="s">
        <v>1084</v>
      </c>
    </row>
    <row r="190" spans="1:7">
      <c r="B190" s="40"/>
      <c r="C190"/>
    </row>
    <row r="191" spans="1:7">
      <c r="B191" s="40"/>
      <c r="C191" t="s">
        <v>298</v>
      </c>
      <c r="D191" s="1" t="s">
        <v>51</v>
      </c>
      <c r="E191" s="42">
        <v>300</v>
      </c>
      <c r="G191" s="306">
        <f>E191*F191</f>
        <v>0</v>
      </c>
    </row>
    <row r="192" spans="1:7">
      <c r="C192"/>
    </row>
    <row r="193" spans="1:7" ht="13.5" thickBot="1">
      <c r="C193"/>
    </row>
    <row r="194" spans="1:7" ht="21.75" thickBot="1">
      <c r="A194" s="49" t="s">
        <v>20</v>
      </c>
      <c r="B194" s="50"/>
      <c r="C194" s="51" t="s">
        <v>289</v>
      </c>
      <c r="D194" s="52"/>
      <c r="E194" s="53"/>
      <c r="F194" s="348"/>
      <c r="G194" s="307">
        <f>SUM(G155:G191)</f>
        <v>0</v>
      </c>
    </row>
    <row r="195" spans="1:7">
      <c r="C195"/>
    </row>
    <row r="196" spans="1:7">
      <c r="C196"/>
    </row>
    <row r="197" spans="1:7">
      <c r="C197"/>
    </row>
    <row r="198" spans="1:7" ht="21">
      <c r="A198" s="34" t="s">
        <v>21</v>
      </c>
      <c r="B198" s="35"/>
      <c r="C198" s="39" t="s">
        <v>326</v>
      </c>
      <c r="D198" s="37"/>
      <c r="E198" s="38"/>
      <c r="F198" s="438"/>
      <c r="G198" s="443"/>
    </row>
    <row r="199" spans="1:7">
      <c r="C199"/>
    </row>
    <row r="200" spans="1:7" ht="15">
      <c r="A200" s="89">
        <v>5.0999999999999996</v>
      </c>
      <c r="B200" s="76"/>
      <c r="C200" s="76" t="s">
        <v>302</v>
      </c>
      <c r="D200" s="76"/>
      <c r="E200" s="13"/>
      <c r="F200" s="13"/>
      <c r="G200" s="304"/>
    </row>
    <row r="201" spans="1:7">
      <c r="B201" s="40"/>
      <c r="C201" s="21"/>
    </row>
    <row r="202" spans="1:7" ht="89.25">
      <c r="B202" s="40"/>
      <c r="C202" t="s">
        <v>1085</v>
      </c>
    </row>
    <row r="203" spans="1:7">
      <c r="B203" s="40"/>
      <c r="C203" t="s">
        <v>111</v>
      </c>
      <c r="D203" s="1" t="s">
        <v>110</v>
      </c>
      <c r="E203" s="42">
        <v>8</v>
      </c>
      <c r="G203" s="306">
        <f>E203*F203</f>
        <v>0</v>
      </c>
    </row>
    <row r="204" spans="1:7">
      <c r="B204" s="40"/>
      <c r="C204" s="21"/>
    </row>
    <row r="205" spans="1:7" ht="15">
      <c r="A205" s="89">
        <v>5.2</v>
      </c>
      <c r="B205" s="76"/>
      <c r="C205" s="76" t="s">
        <v>702</v>
      </c>
      <c r="D205" s="76"/>
      <c r="E205" s="13"/>
      <c r="F205" s="13"/>
      <c r="G205" s="304"/>
    </row>
    <row r="206" spans="1:7">
      <c r="B206" s="40"/>
      <c r="C206" s="21"/>
    </row>
    <row r="207" spans="1:7" ht="51">
      <c r="B207" s="40"/>
      <c r="C207" t="s">
        <v>704</v>
      </c>
    </row>
    <row r="208" spans="1:7">
      <c r="B208" s="40"/>
      <c r="C208" t="s">
        <v>703</v>
      </c>
      <c r="D208" s="1" t="s">
        <v>110</v>
      </c>
      <c r="E208" s="42">
        <v>60</v>
      </c>
      <c r="G208" s="306">
        <f>E208*F208</f>
        <v>0</v>
      </c>
    </row>
    <row r="209" spans="1:7" ht="13.5" thickBot="1">
      <c r="B209" s="40"/>
      <c r="C209" s="21"/>
    </row>
    <row r="210" spans="1:7" ht="21.75" thickBot="1">
      <c r="A210" s="49" t="s">
        <v>21</v>
      </c>
      <c r="B210" s="50"/>
      <c r="C210" s="51" t="s">
        <v>303</v>
      </c>
      <c r="D210" s="52"/>
      <c r="E210" s="53"/>
      <c r="F210" s="348"/>
      <c r="G210" s="307">
        <f>SUM(G199:G209)</f>
        <v>0</v>
      </c>
    </row>
    <row r="211" spans="1:7">
      <c r="B211" s="40"/>
      <c r="C211" s="21"/>
    </row>
    <row r="212" spans="1:7" ht="21">
      <c r="A212" s="34" t="s">
        <v>60</v>
      </c>
      <c r="B212" s="35"/>
      <c r="C212" s="39" t="s">
        <v>304</v>
      </c>
      <c r="D212" s="37"/>
      <c r="E212" s="38"/>
      <c r="F212" s="438"/>
      <c r="G212" s="443"/>
    </row>
    <row r="213" spans="1:7">
      <c r="C213"/>
    </row>
    <row r="214" spans="1:7" ht="25.5">
      <c r="C214" s="85" t="s">
        <v>695</v>
      </c>
    </row>
    <row r="215" spans="1:7">
      <c r="C215"/>
    </row>
    <row r="216" spans="1:7" ht="15">
      <c r="A216" s="89">
        <v>6.1</v>
      </c>
      <c r="B216" s="76"/>
      <c r="C216" s="76" t="s">
        <v>305</v>
      </c>
      <c r="D216" s="76"/>
      <c r="E216" s="13"/>
      <c r="F216" s="13"/>
      <c r="G216" s="304"/>
    </row>
    <row r="217" spans="1:7">
      <c r="C217"/>
    </row>
    <row r="218" spans="1:7" ht="76.5">
      <c r="C218" t="s">
        <v>306</v>
      </c>
    </row>
    <row r="219" spans="1:7">
      <c r="C219"/>
    </row>
    <row r="220" spans="1:7" ht="15.75" thickBot="1">
      <c r="B220" s="54" t="s">
        <v>39</v>
      </c>
      <c r="C220" s="54" t="s">
        <v>307</v>
      </c>
    </row>
    <row r="221" spans="1:7">
      <c r="C221" t="s">
        <v>697</v>
      </c>
      <c r="D221" s="1" t="s">
        <v>110</v>
      </c>
      <c r="E221" s="42">
        <v>1</v>
      </c>
      <c r="G221" s="306">
        <f t="shared" ref="G221:G222" si="3">E221*F221</f>
        <v>0</v>
      </c>
    </row>
    <row r="222" spans="1:7">
      <c r="C222" t="s">
        <v>698</v>
      </c>
      <c r="D222" s="1" t="s">
        <v>110</v>
      </c>
      <c r="E222" s="42">
        <v>1</v>
      </c>
      <c r="G222" s="306">
        <f t="shared" si="3"/>
        <v>0</v>
      </c>
    </row>
    <row r="223" spans="1:7">
      <c r="C223"/>
    </row>
    <row r="224" spans="1:7" ht="15.75" thickBot="1">
      <c r="B224" s="54" t="s">
        <v>41</v>
      </c>
      <c r="C224" s="54" t="s">
        <v>309</v>
      </c>
    </row>
    <row r="225" spans="1:7">
      <c r="C225" s="94" t="s">
        <v>310</v>
      </c>
      <c r="D225" s="1" t="s">
        <v>110</v>
      </c>
      <c r="E225" s="42">
        <v>2</v>
      </c>
      <c r="G225" s="306">
        <f>E225*F225</f>
        <v>0</v>
      </c>
    </row>
    <row r="226" spans="1:7">
      <c r="C226" s="94"/>
    </row>
    <row r="227" spans="1:7" ht="15">
      <c r="A227" s="89">
        <v>6.2</v>
      </c>
      <c r="B227" s="76"/>
      <c r="C227" s="76" t="s">
        <v>311</v>
      </c>
      <c r="D227" s="76"/>
      <c r="E227" s="13"/>
      <c r="F227" s="13"/>
      <c r="G227" s="304"/>
    </row>
    <row r="228" spans="1:7">
      <c r="C228"/>
    </row>
    <row r="229" spans="1:7" ht="25.5">
      <c r="C229" t="s">
        <v>701</v>
      </c>
    </row>
    <row r="230" spans="1:7" ht="76.5">
      <c r="C230" t="s">
        <v>700</v>
      </c>
    </row>
    <row r="231" spans="1:7" ht="25.5">
      <c r="C231" t="s">
        <v>699</v>
      </c>
    </row>
    <row r="232" spans="1:7">
      <c r="C232"/>
    </row>
    <row r="233" spans="1:7" ht="15.75" thickBot="1">
      <c r="B233" s="54" t="s">
        <v>39</v>
      </c>
      <c r="C233" s="54" t="s">
        <v>312</v>
      </c>
    </row>
    <row r="234" spans="1:7">
      <c r="C234" t="s">
        <v>333</v>
      </c>
    </row>
    <row r="235" spans="1:7">
      <c r="C235" t="s">
        <v>314</v>
      </c>
      <c r="D235" s="1" t="s">
        <v>129</v>
      </c>
      <c r="E235" s="42">
        <v>270</v>
      </c>
      <c r="G235" s="306">
        <f>E235*F235</f>
        <v>0</v>
      </c>
    </row>
    <row r="236" spans="1:7">
      <c r="C236"/>
    </row>
    <row r="237" spans="1:7" ht="15.75" thickBot="1">
      <c r="B237" s="54" t="s">
        <v>41</v>
      </c>
      <c r="C237" s="54" t="s">
        <v>313</v>
      </c>
    </row>
    <row r="238" spans="1:7">
      <c r="C238" t="s">
        <v>328</v>
      </c>
    </row>
    <row r="239" spans="1:7">
      <c r="C239" t="s">
        <v>315</v>
      </c>
      <c r="D239" s="1" t="s">
        <v>110</v>
      </c>
      <c r="E239" s="42">
        <v>1</v>
      </c>
      <c r="G239" s="306">
        <f>E239*F239</f>
        <v>0</v>
      </c>
    </row>
    <row r="240" spans="1:7">
      <c r="C240"/>
    </row>
    <row r="241" spans="1:7" ht="15.75" thickBot="1">
      <c r="B241" s="54" t="s">
        <v>42</v>
      </c>
      <c r="C241" s="54" t="s">
        <v>330</v>
      </c>
    </row>
    <row r="242" spans="1:7">
      <c r="C242" t="s">
        <v>329</v>
      </c>
      <c r="D242" s="1" t="s">
        <v>110</v>
      </c>
      <c r="E242" s="42">
        <v>3</v>
      </c>
      <c r="G242" s="306">
        <f t="shared" ref="G242:G243" si="4">E242*F242</f>
        <v>0</v>
      </c>
    </row>
    <row r="243" spans="1:7">
      <c r="C243" t="s">
        <v>331</v>
      </c>
      <c r="D243" s="1" t="s">
        <v>110</v>
      </c>
      <c r="E243" s="42">
        <v>6</v>
      </c>
      <c r="G243" s="306">
        <f t="shared" si="4"/>
        <v>0</v>
      </c>
    </row>
    <row r="244" spans="1:7">
      <c r="C244" t="s">
        <v>332</v>
      </c>
      <c r="D244" s="1" t="s">
        <v>110</v>
      </c>
      <c r="E244" s="42">
        <v>91</v>
      </c>
      <c r="G244" s="306">
        <f>E244*F244</f>
        <v>0</v>
      </c>
    </row>
    <row r="245" spans="1:7">
      <c r="C245" t="s">
        <v>1087</v>
      </c>
      <c r="D245" s="1" t="s">
        <v>110</v>
      </c>
      <c r="E245" s="42">
        <v>3</v>
      </c>
      <c r="G245" s="306">
        <f>E245*F245</f>
        <v>0</v>
      </c>
    </row>
    <row r="246" spans="1:7" ht="25.5">
      <c r="C246" t="s">
        <v>1086</v>
      </c>
      <c r="D246" s="1" t="s">
        <v>110</v>
      </c>
      <c r="E246" s="42">
        <v>162</v>
      </c>
      <c r="G246" s="306">
        <f>E246*F246</f>
        <v>0</v>
      </c>
    </row>
    <row r="247" spans="1:7">
      <c r="C247"/>
    </row>
    <row r="248" spans="1:7" ht="15">
      <c r="A248" s="89">
        <v>6.3</v>
      </c>
      <c r="B248" s="76"/>
      <c r="C248" s="76" t="s">
        <v>729</v>
      </c>
      <c r="D248" s="76"/>
      <c r="E248" s="13"/>
      <c r="F248" s="13"/>
      <c r="G248" s="304"/>
    </row>
    <row r="249" spans="1:7">
      <c r="C249" t="s">
        <v>730</v>
      </c>
    </row>
    <row r="250" spans="1:7">
      <c r="C250" t="s">
        <v>731</v>
      </c>
      <c r="D250" s="1" t="s">
        <v>110</v>
      </c>
      <c r="E250" s="42">
        <v>1</v>
      </c>
      <c r="G250" s="306">
        <f t="shared" ref="G250:G251" si="5">E250*F250</f>
        <v>0</v>
      </c>
    </row>
    <row r="251" spans="1:7">
      <c r="C251" t="s">
        <v>732</v>
      </c>
      <c r="D251" s="1" t="s">
        <v>110</v>
      </c>
      <c r="E251" s="42">
        <v>1</v>
      </c>
      <c r="G251" s="306">
        <f t="shared" si="5"/>
        <v>0</v>
      </c>
    </row>
    <row r="252" spans="1:7" ht="13.5" thickBot="1">
      <c r="C252"/>
    </row>
    <row r="253" spans="1:7" ht="21.75" thickBot="1">
      <c r="A253" s="49" t="s">
        <v>60</v>
      </c>
      <c r="B253" s="50"/>
      <c r="C253" s="51" t="s">
        <v>308</v>
      </c>
      <c r="D253" s="52"/>
      <c r="E253" s="53"/>
      <c r="F253" s="348"/>
      <c r="G253" s="307">
        <f>SUM(G213:G252)</f>
        <v>0</v>
      </c>
    </row>
    <row r="254" spans="1:7" ht="23.25">
      <c r="A254" s="610"/>
      <c r="B254" s="63"/>
      <c r="C254" s="64" t="s">
        <v>290</v>
      </c>
      <c r="D254" s="65"/>
      <c r="E254" s="66"/>
      <c r="F254" s="330"/>
      <c r="G254" s="305"/>
    </row>
    <row r="255" spans="1:7" ht="13.5" thickBot="1">
      <c r="C255" s="21"/>
    </row>
    <row r="256" spans="1:7" ht="19.5" thickBot="1">
      <c r="A256" s="68" t="s">
        <v>9</v>
      </c>
      <c r="B256" s="69"/>
      <c r="C256" s="70" t="s">
        <v>322</v>
      </c>
      <c r="D256" s="71"/>
      <c r="E256" s="72"/>
      <c r="F256" s="331"/>
      <c r="G256" s="307">
        <f>G71</f>
        <v>0</v>
      </c>
    </row>
    <row r="257" spans="1:7" ht="19.5" thickBot="1">
      <c r="A257" s="68" t="s">
        <v>18</v>
      </c>
      <c r="B257" s="69"/>
      <c r="C257" s="74" t="s">
        <v>299</v>
      </c>
      <c r="D257" s="71"/>
      <c r="E257" s="72"/>
      <c r="F257" s="331"/>
      <c r="G257" s="307">
        <f>G128</f>
        <v>0</v>
      </c>
    </row>
    <row r="258" spans="1:7" ht="19.5" thickBot="1">
      <c r="A258" s="68" t="s">
        <v>19</v>
      </c>
      <c r="B258" s="69"/>
      <c r="C258" s="70" t="s">
        <v>696</v>
      </c>
      <c r="D258" s="71"/>
      <c r="E258" s="72"/>
      <c r="F258" s="331"/>
      <c r="G258" s="307">
        <f>G153</f>
        <v>0</v>
      </c>
    </row>
    <row r="259" spans="1:7" ht="19.5" thickBot="1">
      <c r="A259" s="68" t="s">
        <v>20</v>
      </c>
      <c r="B259" s="69"/>
      <c r="C259" s="70" t="s">
        <v>289</v>
      </c>
      <c r="D259" s="71"/>
      <c r="E259" s="72"/>
      <c r="F259" s="331"/>
      <c r="G259" s="307">
        <f>G194</f>
        <v>0</v>
      </c>
    </row>
    <row r="260" spans="1:7" ht="19.5" thickBot="1">
      <c r="A260" s="68" t="s">
        <v>21</v>
      </c>
      <c r="B260" s="69"/>
      <c r="C260" s="70" t="s">
        <v>327</v>
      </c>
      <c r="D260" s="71"/>
      <c r="E260" s="72"/>
      <c r="F260" s="331"/>
      <c r="G260" s="307">
        <f>G210</f>
        <v>0</v>
      </c>
    </row>
    <row r="261" spans="1:7" ht="19.5" thickBot="1">
      <c r="A261" s="68" t="s">
        <v>60</v>
      </c>
      <c r="B261" s="69"/>
      <c r="C261" s="70" t="s">
        <v>308</v>
      </c>
      <c r="D261" s="71"/>
      <c r="E261" s="72"/>
      <c r="F261" s="331"/>
      <c r="G261" s="307">
        <f>G253</f>
        <v>0</v>
      </c>
    </row>
    <row r="263" spans="1:7" ht="23.25">
      <c r="A263" s="610"/>
      <c r="B263" s="63"/>
      <c r="C263" s="64" t="s">
        <v>291</v>
      </c>
      <c r="D263" s="65"/>
      <c r="E263" s="66"/>
      <c r="F263" s="330"/>
      <c r="G263" s="507">
        <f>SUM(G255:G261)</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&amp;L&amp;K01+044Troškovnik&amp;C&amp;"-,Podebljano"&amp;K01+044PROJEKT ARHITEKTURE
Uređenje terena&amp;R&amp;K01+044STAMBENO - POSLOVNA GRAĐEVINA, BLATO</oddHeader>
    <oddFooter>&amp;C&amp;K00-047V V - PROJEKT d.o.o. Put Supavla 1, 21000 Split, tel/fax: 021/322-249</oddFooter>
  </headerFooter>
  <rowBreaks count="8" manualBreakCount="8">
    <brk id="45" max="16383" man="1"/>
    <brk id="82" max="16383" man="1"/>
    <brk id="113" max="16383" man="1"/>
    <brk id="132" max="16383" man="1"/>
    <brk id="153" max="16383" man="1"/>
    <brk id="184" max="16383" man="1"/>
    <brk id="211" max="16383" man="1"/>
    <brk id="253"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J339"/>
  <sheetViews>
    <sheetView view="pageBreakPreview" topLeftCell="A315" zoomScale="120" zoomScaleNormal="100" zoomScaleSheetLayoutView="120" workbookViewId="0">
      <selection activeCell="C10" sqref="C10"/>
    </sheetView>
  </sheetViews>
  <sheetFormatPr defaultColWidth="1.5703125" defaultRowHeight="12.75"/>
  <cols>
    <col min="1" max="1" width="6" style="40" customWidth="1"/>
    <col min="2" max="2" width="2.7109375" style="41" customWidth="1"/>
    <col min="3" max="3" width="50.5703125" style="56" customWidth="1"/>
    <col min="4" max="4" width="5.5703125" style="1" customWidth="1"/>
    <col min="5" max="5" width="8.28515625" style="42" customWidth="1"/>
    <col min="6" max="7" width="8.28515625" style="15" customWidth="1"/>
    <col min="8" max="9" width="8.28515625" style="92" customWidth="1"/>
    <col min="10" max="10" width="9.42578125" style="432" bestFit="1" customWidth="1"/>
    <col min="11" max="16384" width="1.5703125" style="21"/>
  </cols>
  <sheetData>
    <row r="4" spans="1:7" ht="46.5">
      <c r="A4" s="90"/>
      <c r="B4" s="21"/>
      <c r="C4" s="20" t="s">
        <v>0</v>
      </c>
      <c r="D4" s="21"/>
      <c r="E4" s="92"/>
      <c r="F4" s="92"/>
      <c r="G4" s="92"/>
    </row>
    <row r="5" spans="1:7">
      <c r="A5" s="90"/>
      <c r="B5" s="21"/>
      <c r="C5" s="22"/>
      <c r="D5" s="21"/>
      <c r="E5" s="92"/>
      <c r="F5" s="92"/>
      <c r="G5" s="92"/>
    </row>
    <row r="6" spans="1:7" ht="21">
      <c r="A6" s="90"/>
      <c r="B6" s="21"/>
      <c r="C6" s="23" t="s">
        <v>428</v>
      </c>
      <c r="D6" s="21"/>
      <c r="E6" s="92"/>
      <c r="F6" s="92"/>
      <c r="G6" s="92"/>
    </row>
    <row r="7" spans="1:7" ht="21">
      <c r="A7" s="90"/>
      <c r="B7" s="21"/>
      <c r="C7" s="24"/>
      <c r="D7" s="21"/>
      <c r="E7" s="92"/>
      <c r="F7" s="92"/>
      <c r="G7" s="92"/>
    </row>
    <row r="8" spans="1:7" ht="23.25">
      <c r="A8" s="90"/>
      <c r="B8" s="21"/>
      <c r="C8" s="25" t="s">
        <v>1088</v>
      </c>
      <c r="D8" s="21"/>
      <c r="E8" s="92"/>
      <c r="F8" s="92"/>
      <c r="G8" s="92"/>
    </row>
    <row r="9" spans="1:7" ht="15.75">
      <c r="A9" s="90"/>
      <c r="B9" s="21"/>
      <c r="C9" s="26" t="s">
        <v>1089</v>
      </c>
      <c r="D9" s="21"/>
      <c r="E9" s="92"/>
      <c r="F9" s="92"/>
      <c r="G9" s="92"/>
    </row>
    <row r="10" spans="1:7" ht="15.75">
      <c r="A10" s="90"/>
      <c r="B10" s="21"/>
      <c r="C10" s="611" t="s">
        <v>1090</v>
      </c>
      <c r="D10" s="21"/>
      <c r="E10" s="92"/>
      <c r="F10" s="92"/>
      <c r="G10" s="92"/>
    </row>
    <row r="11" spans="1:7">
      <c r="A11" s="90"/>
      <c r="B11" s="21"/>
      <c r="C11" s="22"/>
      <c r="D11" s="21"/>
      <c r="E11" s="92"/>
      <c r="F11" s="92"/>
      <c r="G11" s="92"/>
    </row>
    <row r="12" spans="1:7">
      <c r="A12" s="90"/>
      <c r="B12" s="21"/>
      <c r="C12" s="28" t="s">
        <v>1091</v>
      </c>
      <c r="D12" s="21"/>
      <c r="E12" s="92"/>
      <c r="F12" s="92"/>
      <c r="G12" s="92"/>
    </row>
    <row r="47" spans="1:10" ht="25.5">
      <c r="A47" s="29" t="s">
        <v>4</v>
      </c>
      <c r="B47" s="30"/>
      <c r="C47" s="31" t="s">
        <v>5</v>
      </c>
      <c r="D47" s="32" t="s">
        <v>109</v>
      </c>
      <c r="E47" s="33" t="s">
        <v>1092</v>
      </c>
      <c r="F47" s="99" t="s">
        <v>1093</v>
      </c>
      <c r="G47" s="99" t="s">
        <v>1094</v>
      </c>
      <c r="H47" s="99" t="s">
        <v>1095</v>
      </c>
      <c r="I47" s="99" t="s">
        <v>113</v>
      </c>
      <c r="J47" s="442" t="s">
        <v>8</v>
      </c>
    </row>
    <row r="49" spans="1:10" customFormat="1" ht="23.25" customHeight="1">
      <c r="A49" s="159">
        <v>1</v>
      </c>
      <c r="B49" s="160"/>
      <c r="C49" s="161" t="s">
        <v>1096</v>
      </c>
      <c r="D49" s="162"/>
      <c r="E49" s="508"/>
      <c r="F49" s="509"/>
      <c r="G49" s="163"/>
      <c r="H49" s="510"/>
      <c r="I49" s="511"/>
      <c r="J49" s="164"/>
    </row>
    <row r="50" spans="1:10" customFormat="1">
      <c r="A50" s="165"/>
      <c r="B50" s="165"/>
      <c r="C50" s="166"/>
      <c r="D50" s="167"/>
      <c r="E50" s="512"/>
      <c r="F50" s="512"/>
      <c r="G50" s="512"/>
      <c r="H50" s="513"/>
      <c r="I50" s="514"/>
      <c r="J50" s="169"/>
    </row>
    <row r="51" spans="1:10" customFormat="1" ht="38.25">
      <c r="A51" s="170"/>
      <c r="B51" s="165"/>
      <c r="C51" t="s">
        <v>1097</v>
      </c>
      <c r="D51" s="171"/>
      <c r="E51" s="515"/>
      <c r="F51" s="515"/>
      <c r="G51" s="515"/>
      <c r="H51" s="242"/>
      <c r="I51" s="516"/>
      <c r="J51" s="173"/>
    </row>
    <row r="52" spans="1:10" customFormat="1" ht="51">
      <c r="A52" s="170"/>
      <c r="B52" s="165"/>
      <c r="C52" t="s">
        <v>1098</v>
      </c>
      <c r="D52" s="171"/>
      <c r="E52" s="515"/>
      <c r="F52" s="515"/>
      <c r="G52" s="515"/>
      <c r="H52" s="242"/>
      <c r="I52" s="516"/>
      <c r="J52" s="173"/>
    </row>
    <row r="53" spans="1:10" customFormat="1" ht="51">
      <c r="A53" s="170"/>
      <c r="B53" s="165"/>
      <c r="C53" t="s">
        <v>1099</v>
      </c>
      <c r="D53" s="171"/>
      <c r="E53" s="515"/>
      <c r="F53" s="515"/>
      <c r="G53" s="515"/>
      <c r="H53" s="242"/>
      <c r="I53" s="516"/>
      <c r="J53" s="173"/>
    </row>
    <row r="54" spans="1:10" customFormat="1" ht="76.5">
      <c r="A54" s="170"/>
      <c r="B54" s="165"/>
      <c r="C54" t="s">
        <v>1100</v>
      </c>
      <c r="D54" s="171"/>
      <c r="E54" s="515"/>
      <c r="F54" s="515"/>
      <c r="G54" s="515"/>
      <c r="H54" s="242"/>
      <c r="I54" s="516"/>
      <c r="J54" s="173"/>
    </row>
    <row r="55" spans="1:10" customFormat="1" ht="38.25">
      <c r="A55" s="170"/>
      <c r="B55" s="165"/>
      <c r="C55" t="s">
        <v>1101</v>
      </c>
      <c r="D55" s="171"/>
      <c r="E55" s="515"/>
      <c r="F55" s="515"/>
      <c r="G55" s="515"/>
      <c r="H55" s="242"/>
      <c r="I55" s="516"/>
      <c r="J55" s="173"/>
    </row>
    <row r="56" spans="1:10" customFormat="1" ht="89.25">
      <c r="A56" s="170"/>
      <c r="B56" s="165"/>
      <c r="C56" t="s">
        <v>1102</v>
      </c>
      <c r="D56" s="171"/>
      <c r="E56" s="515"/>
      <c r="F56" s="515"/>
      <c r="G56" s="515"/>
      <c r="H56" s="242"/>
      <c r="I56" s="516"/>
      <c r="J56" s="173"/>
    </row>
    <row r="57" spans="1:10" customFormat="1" ht="51">
      <c r="A57" s="170"/>
      <c r="B57" s="165"/>
      <c r="C57" t="s">
        <v>1103</v>
      </c>
      <c r="D57" s="171"/>
      <c r="E57" s="515"/>
      <c r="F57" s="515"/>
      <c r="G57" s="515"/>
      <c r="H57" s="242"/>
      <c r="I57" s="516"/>
      <c r="J57" s="173"/>
    </row>
    <row r="58" spans="1:10" customFormat="1" ht="51">
      <c r="A58" s="170"/>
      <c r="B58" s="165"/>
      <c r="C58" t="s">
        <v>1104</v>
      </c>
      <c r="D58" s="171"/>
      <c r="E58" s="515"/>
      <c r="F58" s="515"/>
      <c r="G58" s="515"/>
      <c r="H58" s="242"/>
      <c r="I58" s="516"/>
      <c r="J58" s="173"/>
    </row>
    <row r="59" spans="1:10" customFormat="1" ht="38.25">
      <c r="A59" s="170"/>
      <c r="B59" s="165"/>
      <c r="C59" t="s">
        <v>1105</v>
      </c>
      <c r="D59" s="171"/>
      <c r="E59" s="515"/>
      <c r="F59" s="515"/>
      <c r="G59" s="515"/>
      <c r="H59" s="242"/>
      <c r="I59" s="516"/>
      <c r="J59" s="173"/>
    </row>
    <row r="60" spans="1:10" customFormat="1" ht="38.25">
      <c r="A60" s="170"/>
      <c r="B60" s="165"/>
      <c r="C60" t="s">
        <v>1106</v>
      </c>
      <c r="D60" s="171"/>
      <c r="E60" s="515"/>
      <c r="F60" s="515"/>
      <c r="G60" s="515"/>
      <c r="H60" s="242"/>
      <c r="I60" s="516"/>
      <c r="J60" s="173"/>
    </row>
    <row r="61" spans="1:10" customFormat="1" ht="25.5">
      <c r="A61" s="170"/>
      <c r="B61" s="165"/>
      <c r="C61" t="s">
        <v>1107</v>
      </c>
      <c r="D61" s="171"/>
      <c r="E61" s="515"/>
      <c r="F61" s="515"/>
      <c r="G61" s="515"/>
      <c r="H61" s="242"/>
      <c r="I61" s="516"/>
      <c r="J61" s="173"/>
    </row>
    <row r="62" spans="1:10" customFormat="1" ht="63.75">
      <c r="A62" s="170"/>
      <c r="B62" s="165"/>
      <c r="C62" t="s">
        <v>1108</v>
      </c>
      <c r="D62" s="171"/>
      <c r="E62" s="515"/>
      <c r="F62" s="515"/>
      <c r="G62" s="515"/>
      <c r="H62" s="242"/>
      <c r="I62" s="516"/>
      <c r="J62" s="173"/>
    </row>
    <row r="63" spans="1:10" customFormat="1" ht="89.25">
      <c r="A63" s="170"/>
      <c r="B63" s="165"/>
      <c r="C63" s="174" t="s">
        <v>1109</v>
      </c>
      <c r="D63" s="171"/>
      <c r="E63" s="515"/>
      <c r="F63" s="515"/>
      <c r="G63" s="515"/>
      <c r="H63" s="242"/>
      <c r="I63" s="516"/>
      <c r="J63" s="173"/>
    </row>
    <row r="64" spans="1:10" customFormat="1" ht="38.25">
      <c r="A64" s="170"/>
      <c r="B64" s="165"/>
      <c r="C64" s="174" t="s">
        <v>1110</v>
      </c>
      <c r="D64" s="171"/>
      <c r="E64" s="515"/>
      <c r="F64" s="515"/>
      <c r="G64" s="515"/>
      <c r="H64" s="242"/>
      <c r="I64" s="516"/>
      <c r="J64" s="173"/>
    </row>
    <row r="65" spans="1:10" customFormat="1" ht="38.25">
      <c r="A65" s="170"/>
      <c r="B65" s="165"/>
      <c r="C65" s="175" t="s">
        <v>1111</v>
      </c>
      <c r="D65" s="171"/>
      <c r="E65" s="515"/>
      <c r="F65" s="515"/>
      <c r="G65" s="515"/>
      <c r="H65" s="242"/>
      <c r="I65" s="516"/>
      <c r="J65" s="173"/>
    </row>
    <row r="66" spans="1:10" customFormat="1" ht="51">
      <c r="A66" s="170"/>
      <c r="B66" s="165"/>
      <c r="C66" s="175" t="s">
        <v>1112</v>
      </c>
      <c r="D66" s="171"/>
      <c r="E66" s="515"/>
      <c r="F66" s="515"/>
      <c r="G66" s="515"/>
      <c r="H66" s="242"/>
      <c r="I66" s="516"/>
      <c r="J66" s="173"/>
    </row>
    <row r="67" spans="1:10" customFormat="1" ht="51">
      <c r="A67" s="176"/>
      <c r="B67" s="177"/>
      <c r="C67" s="174" t="s">
        <v>1113</v>
      </c>
      <c r="D67" s="168"/>
      <c r="E67" s="513"/>
      <c r="F67" s="513"/>
      <c r="G67" s="513"/>
      <c r="H67" s="242"/>
      <c r="I67" s="516"/>
      <c r="J67" s="173"/>
    </row>
    <row r="68" spans="1:10" customFormat="1" ht="21">
      <c r="A68" s="176"/>
      <c r="B68" s="177"/>
      <c r="C68" s="174"/>
      <c r="D68" s="168"/>
      <c r="E68" s="513"/>
      <c r="F68" s="513"/>
      <c r="G68" s="513"/>
      <c r="H68" s="242"/>
      <c r="I68" s="516"/>
      <c r="J68" s="173"/>
    </row>
    <row r="69" spans="1:10" s="182" customFormat="1" ht="21">
      <c r="A69" s="178">
        <v>1.1000000000000001</v>
      </c>
      <c r="B69" s="178"/>
      <c r="C69" s="179" t="s">
        <v>1114</v>
      </c>
      <c r="D69" s="180"/>
      <c r="E69" s="517"/>
      <c r="F69" s="517"/>
      <c r="G69" s="517"/>
      <c r="H69" s="518"/>
      <c r="I69" s="519"/>
      <c r="J69" s="181"/>
    </row>
    <row r="70" spans="1:10" s="182" customFormat="1">
      <c r="A70" s="183"/>
      <c r="B70" s="184"/>
      <c r="C70" s="185"/>
      <c r="D70" s="186"/>
      <c r="E70" s="187"/>
      <c r="F70" s="187"/>
      <c r="G70" s="187"/>
      <c r="H70" s="520"/>
      <c r="I70" s="521"/>
      <c r="J70" s="188"/>
    </row>
    <row r="71" spans="1:10" s="182" customFormat="1" ht="153">
      <c r="A71" s="189"/>
      <c r="B71" s="190" t="s">
        <v>1115</v>
      </c>
      <c r="C71" s="191" t="s">
        <v>1116</v>
      </c>
      <c r="D71" s="186" t="s">
        <v>110</v>
      </c>
      <c r="E71" s="192">
        <v>1</v>
      </c>
      <c r="F71" s="192">
        <v>1</v>
      </c>
      <c r="G71" s="192">
        <f>E71*F71</f>
        <v>1</v>
      </c>
      <c r="H71" s="192">
        <f>F71*G71</f>
        <v>1</v>
      </c>
      <c r="I71" s="522"/>
      <c r="J71" s="193">
        <f>(E71+F71+G71+H71)*I71</f>
        <v>0</v>
      </c>
    </row>
    <row r="72" spans="1:10" s="182" customFormat="1">
      <c r="A72" s="183"/>
      <c r="B72" s="194"/>
      <c r="C72" s="185"/>
      <c r="D72" s="186"/>
      <c r="E72" s="187"/>
      <c r="F72" s="187"/>
      <c r="G72" s="187"/>
      <c r="H72" s="520"/>
      <c r="I72" s="521"/>
      <c r="J72" s="188"/>
    </row>
    <row r="73" spans="1:10" s="182" customFormat="1" ht="114.75">
      <c r="A73" s="189"/>
      <c r="B73" s="665" t="s">
        <v>18</v>
      </c>
      <c r="C73" s="191" t="s">
        <v>1117</v>
      </c>
      <c r="D73" s="186"/>
      <c r="E73" s="187"/>
      <c r="F73" s="195"/>
      <c r="G73" s="187"/>
      <c r="H73" s="520"/>
      <c r="I73" s="521"/>
      <c r="J73" s="188"/>
    </row>
    <row r="74" spans="1:10" s="182" customFormat="1" ht="89.25">
      <c r="A74" s="189"/>
      <c r="B74" s="665"/>
      <c r="C74" s="191" t="s">
        <v>1118</v>
      </c>
      <c r="D74" s="186"/>
      <c r="E74" s="187"/>
      <c r="F74" s="195"/>
      <c r="G74" s="187"/>
      <c r="H74" s="520"/>
      <c r="I74" s="521"/>
      <c r="J74" s="188"/>
    </row>
    <row r="75" spans="1:10" s="182" customFormat="1" ht="25.5">
      <c r="A75" s="189"/>
      <c r="B75" s="194"/>
      <c r="C75" s="196" t="s">
        <v>1119</v>
      </c>
      <c r="D75" s="197" t="s">
        <v>1120</v>
      </c>
      <c r="E75" s="187">
        <v>1685.12</v>
      </c>
      <c r="F75" s="187">
        <v>1790.05</v>
      </c>
      <c r="G75" s="187">
        <v>2506.13</v>
      </c>
      <c r="H75" s="520">
        <v>2524.17</v>
      </c>
      <c r="I75" s="521"/>
      <c r="J75" s="188">
        <f t="shared" ref="J75:J117" si="0">(E75+F75+G75+H75)*I75</f>
        <v>0</v>
      </c>
    </row>
    <row r="76" spans="1:10" s="182" customFormat="1">
      <c r="A76" s="198"/>
      <c r="B76" s="199"/>
      <c r="C76" s="200"/>
      <c r="D76" s="201"/>
      <c r="E76" s="202"/>
      <c r="F76" s="202"/>
      <c r="G76" s="187"/>
      <c r="H76" s="520"/>
      <c r="I76" s="521"/>
      <c r="J76" s="188"/>
    </row>
    <row r="77" spans="1:10" s="182" customFormat="1" ht="21">
      <c r="A77" s="178">
        <v>1.2</v>
      </c>
      <c r="B77" s="178"/>
      <c r="C77" s="179" t="s">
        <v>1121</v>
      </c>
      <c r="D77" s="180"/>
      <c r="E77" s="517"/>
      <c r="F77" s="517"/>
      <c r="G77" s="517"/>
      <c r="H77" s="518"/>
      <c r="I77" s="519"/>
      <c r="J77" s="203"/>
    </row>
    <row r="78" spans="1:10" s="182" customFormat="1" ht="21">
      <c r="A78" s="204"/>
      <c r="B78" s="205"/>
      <c r="C78" s="206"/>
      <c r="D78" s="207"/>
      <c r="E78" s="523"/>
      <c r="F78" s="523"/>
      <c r="G78" s="195"/>
      <c r="H78" s="520"/>
      <c r="I78" s="521"/>
      <c r="J78" s="188"/>
    </row>
    <row r="79" spans="1:10" s="182" customFormat="1" ht="15">
      <c r="A79" s="76" t="s">
        <v>1122</v>
      </c>
      <c r="B79" s="76"/>
      <c r="C79" s="76" t="s">
        <v>1123</v>
      </c>
      <c r="D79" s="76"/>
      <c r="E79" s="13"/>
      <c r="F79" s="13"/>
      <c r="G79" s="13"/>
      <c r="H79" s="13"/>
      <c r="I79" s="13"/>
      <c r="J79" s="304"/>
    </row>
    <row r="80" spans="1:10" s="182" customFormat="1" ht="15">
      <c r="A80" s="207"/>
      <c r="B80" s="208"/>
      <c r="C80" s="206"/>
      <c r="D80" s="209"/>
      <c r="E80" s="523"/>
      <c r="F80" s="523"/>
      <c r="G80" s="523"/>
      <c r="H80" s="520"/>
      <c r="I80" s="521"/>
      <c r="J80" s="188"/>
    </row>
    <row r="81" spans="1:10" s="182" customFormat="1" ht="51">
      <c r="A81" s="204"/>
      <c r="B81" s="665" t="s">
        <v>9</v>
      </c>
      <c r="C81" t="s">
        <v>1124</v>
      </c>
      <c r="D81" s="186"/>
      <c r="E81" s="187"/>
      <c r="F81" s="187"/>
      <c r="G81" s="195"/>
      <c r="H81" s="520"/>
      <c r="I81" s="521"/>
      <c r="J81" s="188"/>
    </row>
    <row r="82" spans="1:10" s="182" customFormat="1" ht="63.75">
      <c r="A82" s="204"/>
      <c r="B82" s="665"/>
      <c r="C82" t="s">
        <v>1125</v>
      </c>
      <c r="D82" s="186"/>
      <c r="E82" s="187"/>
      <c r="F82" s="187"/>
      <c r="G82" s="195"/>
      <c r="H82" s="520"/>
      <c r="I82" s="521"/>
      <c r="J82" s="188"/>
    </row>
    <row r="83" spans="1:10" s="182" customFormat="1">
      <c r="A83" s="210"/>
      <c r="B83" s="194"/>
      <c r="C83" t="s">
        <v>1126</v>
      </c>
      <c r="D83" s="197" t="s">
        <v>321</v>
      </c>
      <c r="E83" s="187">
        <f>907.8+360.24</f>
        <v>1268.04</v>
      </c>
      <c r="F83" s="187">
        <f>908.9+360.4</f>
        <v>1269.3</v>
      </c>
      <c r="G83" s="187">
        <f>491.35+133.04+5457.33+1056.26</f>
        <v>7137.9800000000005</v>
      </c>
      <c r="H83" s="520">
        <f>4778.37+916.02</f>
        <v>5694.3899999999994</v>
      </c>
      <c r="I83" s="521"/>
      <c r="J83" s="188">
        <f t="shared" si="0"/>
        <v>0</v>
      </c>
    </row>
    <row r="84" spans="1:10" s="182" customFormat="1">
      <c r="A84" s="210"/>
      <c r="B84" s="194"/>
      <c r="C84"/>
      <c r="D84" s="186"/>
      <c r="E84" s="187"/>
      <c r="F84" s="187"/>
      <c r="G84" s="187"/>
      <c r="H84" s="520"/>
      <c r="I84" s="521"/>
      <c r="J84" s="188"/>
    </row>
    <row r="85" spans="1:10" s="182" customFormat="1" ht="38.25">
      <c r="A85" s="204"/>
      <c r="B85" s="665" t="s">
        <v>18</v>
      </c>
      <c r="C85" t="s">
        <v>1127</v>
      </c>
      <c r="D85" s="186"/>
      <c r="E85" s="187"/>
      <c r="F85" s="187"/>
      <c r="G85" s="187"/>
      <c r="H85" s="520"/>
      <c r="I85" s="521"/>
      <c r="J85" s="188"/>
    </row>
    <row r="86" spans="1:10" s="182" customFormat="1" ht="63.75">
      <c r="A86" s="204"/>
      <c r="B86" s="665"/>
      <c r="C86" t="s">
        <v>1125</v>
      </c>
      <c r="D86" s="186"/>
      <c r="E86" s="187"/>
      <c r="F86" s="187"/>
      <c r="G86" s="187"/>
      <c r="H86" s="520"/>
      <c r="I86" s="521"/>
      <c r="J86" s="188"/>
    </row>
    <row r="87" spans="1:10" s="182" customFormat="1">
      <c r="A87" s="210"/>
      <c r="B87" s="194"/>
      <c r="C87" t="s">
        <v>1126</v>
      </c>
      <c r="D87" s="197" t="s">
        <v>321</v>
      </c>
      <c r="E87" s="187">
        <f>1193+44.8</f>
        <v>1237.8</v>
      </c>
      <c r="F87" s="187">
        <f>1033.6+36.48</f>
        <v>1070.08</v>
      </c>
      <c r="G87" s="187">
        <f>689.7+51.94</f>
        <v>741.6400000000001</v>
      </c>
      <c r="H87" s="520">
        <v>52.1</v>
      </c>
      <c r="I87" s="521"/>
      <c r="J87" s="188">
        <f t="shared" si="0"/>
        <v>0</v>
      </c>
    </row>
    <row r="88" spans="1:10" s="182" customFormat="1">
      <c r="A88" s="210"/>
      <c r="B88" s="194"/>
      <c r="C88"/>
      <c r="D88" s="197"/>
      <c r="E88" s="187"/>
      <c r="F88" s="187"/>
      <c r="G88" s="187"/>
      <c r="H88" s="520"/>
      <c r="I88" s="521"/>
      <c r="J88" s="188"/>
    </row>
    <row r="89" spans="1:10" s="182" customFormat="1" ht="15">
      <c r="A89" s="76" t="s">
        <v>1128</v>
      </c>
      <c r="B89" s="76"/>
      <c r="C89" s="76" t="s">
        <v>1129</v>
      </c>
      <c r="D89" s="76"/>
      <c r="E89" s="13"/>
      <c r="F89" s="13"/>
      <c r="G89" s="13"/>
      <c r="H89" s="13"/>
      <c r="I89" s="13"/>
      <c r="J89" s="304"/>
    </row>
    <row r="90" spans="1:10" s="182" customFormat="1">
      <c r="A90" s="210"/>
      <c r="B90" s="194"/>
      <c r="C90"/>
      <c r="D90" s="197"/>
      <c r="E90" s="187"/>
      <c r="F90" s="187"/>
      <c r="G90" s="187"/>
      <c r="H90" s="520"/>
      <c r="I90" s="521"/>
      <c r="J90" s="188"/>
    </row>
    <row r="91" spans="1:10" customFormat="1">
      <c r="C91" t="s">
        <v>1130</v>
      </c>
      <c r="E91" s="16"/>
      <c r="F91" s="16"/>
      <c r="G91" s="16"/>
      <c r="H91" s="16"/>
      <c r="I91" s="16"/>
      <c r="J91" s="368"/>
    </row>
    <row r="92" spans="1:10" customFormat="1" ht="25.5">
      <c r="C92" t="s">
        <v>1131</v>
      </c>
      <c r="E92" s="16"/>
      <c r="F92" s="16"/>
      <c r="G92" s="16"/>
      <c r="H92" s="16"/>
      <c r="I92" s="16"/>
      <c r="J92" s="368"/>
    </row>
    <row r="93" spans="1:10" customFormat="1" ht="38.25">
      <c r="C93" t="s">
        <v>1132</v>
      </c>
      <c r="E93" s="16"/>
      <c r="F93" s="16"/>
      <c r="G93" s="16"/>
      <c r="H93" s="16"/>
      <c r="I93" s="16"/>
      <c r="J93" s="368"/>
    </row>
    <row r="94" spans="1:10" customFormat="1">
      <c r="C94" t="s">
        <v>1133</v>
      </c>
      <c r="E94" s="16"/>
      <c r="F94" s="16"/>
      <c r="G94" s="16"/>
      <c r="H94" s="16"/>
      <c r="I94" s="16"/>
      <c r="J94" s="368"/>
    </row>
    <row r="95" spans="1:10" customFormat="1" ht="25.5">
      <c r="C95" t="s">
        <v>1134</v>
      </c>
      <c r="E95" s="16"/>
      <c r="F95" s="16"/>
      <c r="G95" s="16"/>
      <c r="H95" s="16"/>
      <c r="I95" s="16"/>
      <c r="J95" s="368"/>
    </row>
    <row r="96" spans="1:10" customFormat="1">
      <c r="C96" t="s">
        <v>1135</v>
      </c>
      <c r="E96" s="16"/>
      <c r="F96" s="16"/>
      <c r="G96" s="16"/>
      <c r="H96" s="16"/>
      <c r="I96" s="16"/>
      <c r="J96" s="368"/>
    </row>
    <row r="97" spans="2:10" customFormat="1">
      <c r="C97" t="s">
        <v>1136</v>
      </c>
      <c r="E97" s="16"/>
      <c r="F97" s="16"/>
      <c r="G97" s="16"/>
      <c r="H97" s="16"/>
      <c r="I97" s="16"/>
      <c r="J97" s="368"/>
    </row>
    <row r="98" spans="2:10" customFormat="1">
      <c r="C98" t="s">
        <v>1137</v>
      </c>
      <c r="E98" s="16"/>
      <c r="F98" s="16"/>
      <c r="G98" s="16"/>
      <c r="H98" s="16"/>
      <c r="I98" s="16"/>
      <c r="J98" s="368"/>
    </row>
    <row r="99" spans="2:10" customFormat="1">
      <c r="C99" t="s">
        <v>1138</v>
      </c>
      <c r="E99" s="16"/>
      <c r="F99" s="16"/>
      <c r="G99" s="16"/>
      <c r="H99" s="16"/>
      <c r="I99" s="16"/>
      <c r="J99" s="368"/>
    </row>
    <row r="100" spans="2:10" customFormat="1" ht="25.5">
      <c r="C100" t="s">
        <v>1139</v>
      </c>
      <c r="E100" s="16"/>
      <c r="F100" s="16"/>
      <c r="G100" s="16"/>
      <c r="H100" s="16"/>
      <c r="I100" s="16"/>
      <c r="J100" s="368"/>
    </row>
    <row r="101" spans="2:10" customFormat="1">
      <c r="E101" s="16"/>
      <c r="F101" s="16"/>
      <c r="G101" s="16"/>
      <c r="H101" s="16"/>
      <c r="I101" s="16"/>
      <c r="J101" s="368"/>
    </row>
    <row r="102" spans="2:10" customFormat="1" ht="229.5">
      <c r="B102" t="s">
        <v>9</v>
      </c>
      <c r="C102" t="s">
        <v>1140</v>
      </c>
      <c r="E102" s="16"/>
      <c r="F102" s="16"/>
      <c r="G102" s="16"/>
      <c r="H102" s="16"/>
      <c r="I102" s="16"/>
      <c r="J102" s="368"/>
    </row>
    <row r="103" spans="2:10" customFormat="1">
      <c r="C103" t="s">
        <v>1141</v>
      </c>
      <c r="D103" t="s">
        <v>321</v>
      </c>
      <c r="E103" s="16">
        <v>360.24</v>
      </c>
      <c r="F103" s="16">
        <v>360.4</v>
      </c>
      <c r="G103" s="16">
        <f>133.04+1056.26</f>
        <v>1189.3</v>
      </c>
      <c r="H103" s="16">
        <v>916.02</v>
      </c>
      <c r="I103" s="16"/>
      <c r="J103" s="368">
        <f t="shared" si="0"/>
        <v>0</v>
      </c>
    </row>
    <row r="104" spans="2:10" customFormat="1">
      <c r="C104" t="s">
        <v>1142</v>
      </c>
      <c r="D104" t="s">
        <v>321</v>
      </c>
      <c r="E104" s="16">
        <v>715.8</v>
      </c>
      <c r="F104" s="16">
        <v>620.16</v>
      </c>
      <c r="G104" s="16">
        <v>413.85</v>
      </c>
      <c r="H104" s="16">
        <v>374.14</v>
      </c>
      <c r="I104" s="16"/>
      <c r="J104" s="368">
        <f t="shared" si="0"/>
        <v>0</v>
      </c>
    </row>
    <row r="105" spans="2:10" customFormat="1">
      <c r="C105" t="s">
        <v>1143</v>
      </c>
      <c r="D105" t="s">
        <v>321</v>
      </c>
      <c r="E105" s="16">
        <v>40.299999999999997</v>
      </c>
      <c r="F105" s="16">
        <v>27.4</v>
      </c>
      <c r="G105" s="16">
        <v>38.799999999999997</v>
      </c>
      <c r="H105" s="16">
        <v>39.1</v>
      </c>
      <c r="I105" s="16"/>
      <c r="J105" s="368">
        <f t="shared" si="0"/>
        <v>0</v>
      </c>
    </row>
    <row r="106" spans="2:10" customFormat="1">
      <c r="E106" s="16"/>
      <c r="F106" s="16"/>
      <c r="G106" s="16"/>
      <c r="H106" s="16"/>
      <c r="I106" s="16"/>
      <c r="J106" s="368"/>
    </row>
    <row r="107" spans="2:10" customFormat="1">
      <c r="B107" s="666" t="s">
        <v>18</v>
      </c>
      <c r="C107" s="77" t="s">
        <v>1144</v>
      </c>
      <c r="E107" s="16"/>
      <c r="F107" s="16"/>
      <c r="G107" s="16"/>
      <c r="H107" s="16"/>
      <c r="I107" s="16"/>
      <c r="J107" s="368"/>
    </row>
    <row r="108" spans="2:10" customFormat="1" ht="25.5">
      <c r="B108" s="666"/>
      <c r="C108" t="s">
        <v>1145</v>
      </c>
      <c r="E108" s="16"/>
      <c r="F108" s="16"/>
      <c r="G108" s="16"/>
      <c r="H108" s="16"/>
      <c r="I108" s="16"/>
      <c r="J108" s="368"/>
    </row>
    <row r="109" spans="2:10" customFormat="1" ht="76.5">
      <c r="B109" s="666"/>
      <c r="C109" t="s">
        <v>1146</v>
      </c>
      <c r="E109" s="16"/>
      <c r="F109" s="16"/>
      <c r="G109" s="16"/>
      <c r="H109" s="16"/>
      <c r="I109" s="16"/>
      <c r="J109" s="368"/>
    </row>
    <row r="110" spans="2:10" customFormat="1">
      <c r="D110" t="s">
        <v>321</v>
      </c>
      <c r="E110" s="16">
        <v>89.1</v>
      </c>
      <c r="F110" s="16">
        <v>89.2</v>
      </c>
      <c r="G110" s="16">
        <v>238.26</v>
      </c>
      <c r="H110" s="16">
        <v>179.25</v>
      </c>
      <c r="I110" s="16"/>
      <c r="J110" s="368">
        <f t="shared" si="0"/>
        <v>0</v>
      </c>
    </row>
    <row r="111" spans="2:10" customFormat="1">
      <c r="E111" s="16"/>
      <c r="F111" s="16"/>
      <c r="G111" s="16"/>
      <c r="H111" s="16"/>
      <c r="I111" s="16"/>
      <c r="J111" s="368"/>
    </row>
    <row r="112" spans="2:10" customFormat="1" ht="178.5">
      <c r="B112" t="s">
        <v>19</v>
      </c>
      <c r="C112" t="s">
        <v>1147</v>
      </c>
      <c r="E112" s="16"/>
      <c r="F112" s="16"/>
      <c r="G112" s="16"/>
      <c r="H112" s="16"/>
      <c r="I112" s="16"/>
      <c r="J112" s="368"/>
    </row>
    <row r="113" spans="1:10" customFormat="1">
      <c r="C113" t="s">
        <v>1148</v>
      </c>
      <c r="D113" t="s">
        <v>321</v>
      </c>
      <c r="E113" s="16">
        <v>147</v>
      </c>
      <c r="F113" s="16">
        <v>145.5</v>
      </c>
      <c r="G113" s="16">
        <v>527.1</v>
      </c>
      <c r="H113" s="16">
        <v>505.3</v>
      </c>
      <c r="I113" s="16"/>
      <c r="J113" s="368">
        <f t="shared" ref="J113" si="1">(E113+F113+G113+H113)*I113</f>
        <v>0</v>
      </c>
    </row>
    <row r="114" spans="1:10" s="182" customFormat="1" ht="25.5">
      <c r="A114" s="210"/>
      <c r="B114" s="194"/>
      <c r="C114" t="s">
        <v>1149</v>
      </c>
      <c r="D114" t="s">
        <v>321</v>
      </c>
      <c r="E114" s="16">
        <v>425.1</v>
      </c>
      <c r="F114" s="16">
        <v>151.4</v>
      </c>
      <c r="G114" s="16">
        <v>103.35</v>
      </c>
      <c r="H114" s="520">
        <v>249.2</v>
      </c>
      <c r="I114" s="521"/>
      <c r="J114" s="188">
        <f t="shared" si="0"/>
        <v>0</v>
      </c>
    </row>
    <row r="115" spans="1:10" s="182" customFormat="1">
      <c r="A115" s="210"/>
      <c r="B115" s="194"/>
      <c r="C115" s="190"/>
      <c r="D115" s="197"/>
      <c r="E115" s="187"/>
      <c r="F115" s="187"/>
      <c r="G115" s="187"/>
      <c r="H115" s="520"/>
      <c r="I115" s="521"/>
      <c r="J115" s="188"/>
    </row>
    <row r="116" spans="1:10" s="182" customFormat="1" ht="51">
      <c r="A116" s="204"/>
      <c r="B116" s="190" t="s">
        <v>1150</v>
      </c>
      <c r="C116" s="211" t="s">
        <v>1151</v>
      </c>
      <c r="D116" s="197"/>
      <c r="E116" s="187"/>
      <c r="F116" s="187"/>
      <c r="G116" s="187"/>
      <c r="H116" s="520"/>
      <c r="I116" s="521"/>
      <c r="J116" s="188"/>
    </row>
    <row r="117" spans="1:10" s="182" customFormat="1">
      <c r="A117" s="210"/>
      <c r="B117" s="194"/>
      <c r="C117" s="211"/>
      <c r="D117" s="197" t="s">
        <v>321</v>
      </c>
      <c r="E117" s="187">
        <v>144.1</v>
      </c>
      <c r="F117" s="187">
        <v>89.1</v>
      </c>
      <c r="G117" s="187">
        <v>217.87</v>
      </c>
      <c r="H117" s="520">
        <v>175.6</v>
      </c>
      <c r="I117" s="521"/>
      <c r="J117" s="188">
        <f t="shared" si="0"/>
        <v>0</v>
      </c>
    </row>
    <row r="118" spans="1:10" customFormat="1" ht="13.5" thickBot="1">
      <c r="A118" s="212"/>
      <c r="B118" s="212"/>
      <c r="C118" s="212"/>
      <c r="D118" s="168"/>
      <c r="E118" s="513"/>
      <c r="F118" s="513"/>
      <c r="G118" s="513"/>
      <c r="H118" s="513"/>
      <c r="I118" s="524"/>
      <c r="J118" s="169"/>
    </row>
    <row r="119" spans="1:10" customFormat="1" ht="21.75" thickBot="1">
      <c r="A119" s="49">
        <v>1</v>
      </c>
      <c r="B119" s="51"/>
      <c r="C119" s="52" t="s">
        <v>1152</v>
      </c>
      <c r="D119" s="17"/>
      <c r="E119" s="17"/>
      <c r="F119" s="17"/>
      <c r="G119" s="104"/>
      <c r="H119" s="348"/>
      <c r="I119" s="525"/>
      <c r="J119" s="260">
        <f>SUM(J71:J117)</f>
        <v>0</v>
      </c>
    </row>
    <row r="120" spans="1:10" customFormat="1" ht="21">
      <c r="A120" s="178">
        <v>2</v>
      </c>
      <c r="B120" s="178"/>
      <c r="C120" s="179" t="s">
        <v>1153</v>
      </c>
      <c r="D120" s="180"/>
      <c r="E120" s="517"/>
      <c r="F120" s="517"/>
      <c r="G120" s="517"/>
      <c r="H120" s="526"/>
      <c r="I120" s="527"/>
      <c r="J120" s="558"/>
    </row>
    <row r="121" spans="1:10" customFormat="1" ht="21">
      <c r="A121" s="176"/>
      <c r="B121" s="177"/>
      <c r="C121" s="177"/>
      <c r="D121" s="172"/>
      <c r="E121" s="242"/>
      <c r="F121" s="242"/>
      <c r="G121" s="242"/>
      <c r="H121" s="242"/>
      <c r="I121" s="516"/>
      <c r="J121" s="173"/>
    </row>
    <row r="122" spans="1:10" customFormat="1" ht="114.75">
      <c r="A122" s="170"/>
      <c r="B122" s="165"/>
      <c r="C122" s="174" t="s">
        <v>1154</v>
      </c>
      <c r="D122" s="213"/>
      <c r="E122" s="528"/>
      <c r="F122" s="512"/>
      <c r="G122" s="512"/>
      <c r="H122" s="242"/>
      <c r="I122" s="516"/>
      <c r="J122" s="173"/>
    </row>
    <row r="123" spans="1:10" s="134" customFormat="1" ht="51">
      <c r="A123" s="176"/>
      <c r="B123" s="212"/>
      <c r="C123" s="214" t="s">
        <v>1155</v>
      </c>
      <c r="D123" s="168"/>
      <c r="E123" s="513"/>
      <c r="F123" s="513"/>
      <c r="G123" s="513"/>
      <c r="H123" s="513"/>
      <c r="I123" s="514"/>
      <c r="J123" s="169"/>
    </row>
    <row r="124" spans="1:10" customFormat="1" ht="38.25">
      <c r="A124" s="170"/>
      <c r="B124" s="165"/>
      <c r="C124" s="214" t="s">
        <v>1156</v>
      </c>
      <c r="D124" s="213"/>
      <c r="E124" s="528"/>
      <c r="F124" s="512"/>
      <c r="G124" s="512"/>
      <c r="H124" s="242"/>
      <c r="I124" s="516"/>
      <c r="J124" s="173"/>
    </row>
    <row r="125" spans="1:10" customFormat="1" ht="25.5">
      <c r="A125" s="170"/>
      <c r="B125" s="165"/>
      <c r="C125" s="215" t="s">
        <v>1157</v>
      </c>
      <c r="D125" s="213"/>
      <c r="E125" s="528"/>
      <c r="F125" s="512"/>
      <c r="G125" s="512"/>
      <c r="H125" s="242"/>
      <c r="I125" s="516"/>
      <c r="J125" s="173"/>
    </row>
    <row r="126" spans="1:10" customFormat="1">
      <c r="A126" s="165"/>
      <c r="B126" s="165"/>
      <c r="C126" s="215" t="s">
        <v>1158</v>
      </c>
      <c r="D126" s="167"/>
      <c r="E126" s="512"/>
      <c r="F126" s="512"/>
      <c r="G126" s="512"/>
      <c r="H126" s="513"/>
      <c r="I126" s="514"/>
      <c r="J126" s="169"/>
    </row>
    <row r="127" spans="1:10" customFormat="1" ht="25.5">
      <c r="A127" s="165"/>
      <c r="B127" s="165"/>
      <c r="C127" s="215" t="s">
        <v>1159</v>
      </c>
      <c r="D127" s="167"/>
      <c r="E127" s="512"/>
      <c r="F127" s="512"/>
      <c r="G127" s="512"/>
      <c r="H127" s="513"/>
      <c r="I127" s="514"/>
      <c r="J127" s="169"/>
    </row>
    <row r="128" spans="1:10" customFormat="1">
      <c r="A128" s="165"/>
      <c r="B128" s="165"/>
      <c r="C128" s="215" t="s">
        <v>1160</v>
      </c>
      <c r="D128" s="167"/>
      <c r="E128" s="512"/>
      <c r="F128" s="512"/>
      <c r="G128" s="512"/>
      <c r="H128" s="513"/>
      <c r="I128" s="514"/>
      <c r="J128" s="169"/>
    </row>
    <row r="129" spans="1:10" customFormat="1">
      <c r="A129" s="165"/>
      <c r="B129" s="165"/>
      <c r="C129" s="215" t="s">
        <v>1161</v>
      </c>
      <c r="D129" s="167"/>
      <c r="E129" s="512"/>
      <c r="F129" s="512"/>
      <c r="G129" s="512"/>
      <c r="H129" s="513"/>
      <c r="I129" s="514"/>
      <c r="J129" s="169"/>
    </row>
    <row r="130" spans="1:10" customFormat="1" ht="25.5">
      <c r="A130" s="165"/>
      <c r="B130" s="165"/>
      <c r="C130" s="214" t="s">
        <v>1162</v>
      </c>
      <c r="D130" s="167"/>
      <c r="E130" s="512"/>
      <c r="F130" s="512"/>
      <c r="G130" s="512"/>
      <c r="H130" s="513"/>
      <c r="I130" s="514"/>
      <c r="J130" s="169"/>
    </row>
    <row r="131" spans="1:10" s="134" customFormat="1" ht="178.5">
      <c r="A131" s="176"/>
      <c r="B131" s="212"/>
      <c r="C131" s="174" t="s">
        <v>1163</v>
      </c>
      <c r="D131" s="168"/>
      <c r="E131" s="513"/>
      <c r="F131" s="513"/>
      <c r="G131" s="513"/>
      <c r="H131" s="513"/>
      <c r="I131" s="514"/>
      <c r="J131" s="169"/>
    </row>
    <row r="132" spans="1:10" s="134" customFormat="1" ht="204">
      <c r="A132" s="212"/>
      <c r="B132" s="212"/>
      <c r="C132" s="174" t="s">
        <v>1164</v>
      </c>
      <c r="D132" s="168"/>
      <c r="E132" s="513"/>
      <c r="F132" s="513"/>
      <c r="G132" s="513"/>
      <c r="H132" s="513"/>
      <c r="I132" s="514"/>
      <c r="J132" s="169"/>
    </row>
    <row r="133" spans="1:10" customFormat="1" ht="76.5">
      <c r="A133" s="165"/>
      <c r="B133" s="165"/>
      <c r="C133" s="174" t="s">
        <v>1165</v>
      </c>
      <c r="D133" s="167"/>
      <c r="E133" s="512"/>
      <c r="F133" s="512"/>
      <c r="G133" s="512"/>
      <c r="H133" s="513"/>
      <c r="I133" s="514"/>
      <c r="J133" s="169"/>
    </row>
    <row r="134" spans="1:10" customFormat="1" ht="255">
      <c r="A134" s="165"/>
      <c r="B134" s="165"/>
      <c r="C134" s="174" t="s">
        <v>1166</v>
      </c>
      <c r="D134" s="167"/>
      <c r="E134" s="512"/>
      <c r="F134" s="512"/>
      <c r="G134" s="512"/>
      <c r="H134" s="513"/>
      <c r="I134" s="514"/>
      <c r="J134" s="169"/>
    </row>
    <row r="135" spans="1:10" customFormat="1" ht="242.25">
      <c r="A135" s="165"/>
      <c r="B135" s="165"/>
      <c r="C135" s="214" t="s">
        <v>1167</v>
      </c>
      <c r="D135" s="167"/>
      <c r="E135" s="512"/>
      <c r="F135" s="512"/>
      <c r="G135" s="512"/>
      <c r="H135" s="513"/>
      <c r="I135" s="514"/>
      <c r="J135" s="169"/>
    </row>
    <row r="136" spans="1:10" customFormat="1">
      <c r="A136" s="165"/>
      <c r="B136" s="165"/>
      <c r="C136" s="214"/>
      <c r="D136" s="167"/>
      <c r="E136" s="512"/>
      <c r="F136" s="512"/>
      <c r="G136" s="512"/>
      <c r="H136" s="513"/>
      <c r="I136" s="514"/>
      <c r="J136" s="169"/>
    </row>
    <row r="137" spans="1:10" customFormat="1" ht="13.5" thickBot="1">
      <c r="A137" s="165"/>
      <c r="B137" s="165"/>
      <c r="C137" s="216" t="s">
        <v>1168</v>
      </c>
      <c r="D137" s="167"/>
      <c r="E137" s="512"/>
      <c r="F137" s="512"/>
      <c r="G137" s="512"/>
      <c r="H137" s="513"/>
      <c r="I137" s="514"/>
      <c r="J137" s="169"/>
    </row>
    <row r="138" spans="1:10" customFormat="1" ht="76.5">
      <c r="A138" s="170"/>
      <c r="B138" s="165"/>
      <c r="C138" s="174" t="s">
        <v>1169</v>
      </c>
      <c r="D138" s="213"/>
      <c r="E138" s="528"/>
      <c r="F138" s="512"/>
      <c r="G138" s="512"/>
      <c r="H138" s="242"/>
      <c r="I138" s="516"/>
      <c r="J138" s="173"/>
    </row>
    <row r="139" spans="1:10" customFormat="1" ht="191.25">
      <c r="A139" s="165"/>
      <c r="B139" s="165"/>
      <c r="C139" s="174" t="s">
        <v>1170</v>
      </c>
      <c r="D139" s="167"/>
      <c r="E139" s="512"/>
      <c r="F139" s="512"/>
      <c r="G139" s="512"/>
      <c r="H139" s="513"/>
      <c r="I139" s="514"/>
      <c r="J139" s="169"/>
    </row>
    <row r="140" spans="1:10" customFormat="1" ht="267.75">
      <c r="A140" s="165"/>
      <c r="B140" s="165"/>
      <c r="C140" s="174" t="s">
        <v>1171</v>
      </c>
      <c r="D140" s="167"/>
      <c r="E140" s="512"/>
      <c r="F140" s="512"/>
      <c r="G140" s="512"/>
      <c r="H140" s="513"/>
      <c r="I140" s="514"/>
      <c r="J140" s="169"/>
    </row>
    <row r="141" spans="1:10" customFormat="1">
      <c r="A141" s="165"/>
      <c r="B141" s="165"/>
      <c r="C141" s="174"/>
      <c r="D141" s="167"/>
      <c r="E141" s="512"/>
      <c r="F141" s="512"/>
      <c r="G141" s="512"/>
      <c r="H141" s="513"/>
      <c r="I141" s="514"/>
      <c r="J141" s="169"/>
    </row>
    <row r="142" spans="1:10" customFormat="1" ht="15.75" thickBot="1">
      <c r="A142" s="165"/>
      <c r="B142" s="165"/>
      <c r="C142" s="54" t="s">
        <v>1172</v>
      </c>
      <c r="D142" s="167"/>
      <c r="E142" s="512"/>
      <c r="F142" s="512"/>
      <c r="G142" s="512"/>
      <c r="H142" s="513"/>
      <c r="I142" s="514"/>
      <c r="J142" s="169"/>
    </row>
    <row r="143" spans="1:10" customFormat="1" ht="140.25">
      <c r="A143" s="165"/>
      <c r="B143" s="165"/>
      <c r="C143" s="174" t="s">
        <v>1173</v>
      </c>
      <c r="D143" s="167"/>
      <c r="E143" s="512"/>
      <c r="F143" s="512"/>
      <c r="G143" s="512"/>
      <c r="H143" s="513"/>
      <c r="I143" s="514"/>
      <c r="J143" s="169"/>
    </row>
    <row r="144" spans="1:10" customFormat="1" ht="89.25">
      <c r="A144" s="165"/>
      <c r="B144" s="165"/>
      <c r="C144" s="174" t="s">
        <v>1174</v>
      </c>
      <c r="D144" s="167"/>
      <c r="E144" s="512"/>
      <c r="F144" s="512"/>
      <c r="G144" s="512"/>
      <c r="H144" s="513"/>
      <c r="I144" s="514"/>
      <c r="J144" s="169"/>
    </row>
    <row r="145" spans="1:10" customFormat="1" ht="89.25">
      <c r="A145" s="170"/>
      <c r="B145" s="165"/>
      <c r="C145" s="174" t="s">
        <v>1175</v>
      </c>
      <c r="D145" s="213"/>
      <c r="E145" s="528"/>
      <c r="F145" s="512"/>
      <c r="G145" s="512"/>
      <c r="H145" s="242"/>
      <c r="I145" s="516"/>
      <c r="J145" s="173"/>
    </row>
    <row r="146" spans="1:10" s="218" customFormat="1" ht="246" customHeight="1">
      <c r="A146" s="170"/>
      <c r="B146" s="165"/>
      <c r="C146" s="217" t="s">
        <v>1176</v>
      </c>
      <c r="D146" s="167"/>
      <c r="E146" s="512"/>
      <c r="F146" s="512"/>
      <c r="G146" s="512"/>
      <c r="H146" s="513"/>
      <c r="I146" s="514"/>
      <c r="J146" s="169"/>
    </row>
    <row r="147" spans="1:10" s="218" customFormat="1" ht="141.75" customHeight="1">
      <c r="A147" s="170"/>
      <c r="B147" s="165"/>
      <c r="C147" s="219" t="s">
        <v>1177</v>
      </c>
      <c r="D147" s="167"/>
      <c r="E147" s="512"/>
      <c r="F147" s="512"/>
      <c r="G147" s="512"/>
      <c r="H147" s="513"/>
      <c r="I147" s="514"/>
      <c r="J147" s="169"/>
    </row>
    <row r="148" spans="1:10" s="218" customFormat="1" ht="114.75">
      <c r="A148" s="170"/>
      <c r="B148" s="165"/>
      <c r="C148" s="217" t="s">
        <v>1178</v>
      </c>
      <c r="D148" s="167"/>
      <c r="E148" s="512"/>
      <c r="F148" s="512"/>
      <c r="G148" s="512"/>
      <c r="H148" s="513"/>
      <c r="I148" s="514"/>
      <c r="J148" s="169"/>
    </row>
    <row r="149" spans="1:10" customFormat="1" ht="15" customHeight="1">
      <c r="A149" s="170"/>
      <c r="B149" s="165"/>
      <c r="C149" s="220"/>
      <c r="D149" s="213"/>
      <c r="E149" s="528"/>
      <c r="F149" s="512"/>
      <c r="G149" s="512"/>
      <c r="H149" s="242"/>
      <c r="I149" s="516"/>
      <c r="J149" s="173"/>
    </row>
    <row r="150" spans="1:10" customFormat="1" ht="15">
      <c r="A150" s="221">
        <v>2.1</v>
      </c>
      <c r="B150" s="222"/>
      <c r="C150" s="223" t="s">
        <v>1179</v>
      </c>
      <c r="D150" s="224"/>
      <c r="E150" s="529"/>
      <c r="F150" s="529"/>
      <c r="G150" s="529"/>
      <c r="H150" s="530"/>
      <c r="I150" s="531"/>
      <c r="J150" s="227"/>
    </row>
    <row r="151" spans="1:10" s="182" customFormat="1" ht="21">
      <c r="A151" s="170"/>
      <c r="B151" s="228"/>
      <c r="C151" s="220"/>
      <c r="D151" s="229"/>
      <c r="E151" s="520"/>
      <c r="F151" s="520"/>
      <c r="G151" s="532"/>
      <c r="H151" s="520"/>
      <c r="I151" s="521"/>
      <c r="J151" s="188"/>
    </row>
    <row r="152" spans="1:10" s="182" customFormat="1" ht="157.5" customHeight="1">
      <c r="A152" s="230"/>
      <c r="B152" s="231" t="s">
        <v>9</v>
      </c>
      <c r="C152" s="232" t="s">
        <v>1180</v>
      </c>
      <c r="D152" s="168"/>
      <c r="E152" s="513"/>
      <c r="F152" s="513"/>
      <c r="G152" s="513"/>
      <c r="H152" s="520"/>
      <c r="I152" s="521"/>
      <c r="J152" s="188"/>
    </row>
    <row r="153" spans="1:10" customFormat="1" ht="27" customHeight="1">
      <c r="A153" s="176"/>
      <c r="B153" s="233"/>
      <c r="C153" s="234" t="s">
        <v>1181</v>
      </c>
      <c r="D153" s="197" t="s">
        <v>1120</v>
      </c>
      <c r="E153" s="533">
        <v>509.8</v>
      </c>
      <c r="F153" s="533">
        <v>515.1</v>
      </c>
      <c r="G153" s="533"/>
      <c r="H153" s="242"/>
      <c r="I153" s="516"/>
      <c r="J153" s="173">
        <f>(E153+F153+G153+H153)*I153</f>
        <v>0</v>
      </c>
    </row>
    <row r="154" spans="1:10" customFormat="1" ht="27" customHeight="1">
      <c r="A154" s="176"/>
      <c r="B154" s="233"/>
      <c r="C154" s="234" t="s">
        <v>1182</v>
      </c>
      <c r="D154" s="197" t="s">
        <v>1120</v>
      </c>
      <c r="E154" s="534"/>
      <c r="F154" s="533"/>
      <c r="G154" s="533">
        <v>1195.8499999999999</v>
      </c>
      <c r="H154" s="242">
        <v>473.06</v>
      </c>
      <c r="I154" s="516"/>
      <c r="J154" s="173">
        <f>(E154+F154+G154+H154)*I154</f>
        <v>0</v>
      </c>
    </row>
    <row r="155" spans="1:10" customFormat="1" ht="27" customHeight="1">
      <c r="A155" s="176"/>
      <c r="B155" s="233"/>
      <c r="C155" s="234" t="s">
        <v>1183</v>
      </c>
      <c r="D155" s="197" t="s">
        <v>1120</v>
      </c>
      <c r="E155" s="533"/>
      <c r="F155" s="533"/>
      <c r="G155" s="533">
        <v>485.24</v>
      </c>
      <c r="H155" s="242">
        <v>495.74</v>
      </c>
      <c r="I155" s="516"/>
      <c r="J155" s="173">
        <f t="shared" ref="J155" si="2">(E155+F155+G155+H155)*I155</f>
        <v>0</v>
      </c>
    </row>
    <row r="156" spans="1:10" customFormat="1" ht="27" customHeight="1">
      <c r="A156" s="176"/>
      <c r="B156" s="233"/>
      <c r="C156" s="234"/>
      <c r="D156" s="197"/>
      <c r="E156" s="533"/>
      <c r="F156" s="533"/>
      <c r="G156" s="533"/>
      <c r="H156" s="242"/>
      <c r="I156" s="516"/>
      <c r="J156" s="173"/>
    </row>
    <row r="157" spans="1:10" customFormat="1" ht="155.25" customHeight="1">
      <c r="A157" s="230"/>
      <c r="B157" s="231" t="s">
        <v>18</v>
      </c>
      <c r="C157" s="232" t="s">
        <v>1184</v>
      </c>
      <c r="D157" s="168"/>
      <c r="E157" s="513"/>
      <c r="F157" s="513"/>
      <c r="G157" s="513"/>
      <c r="H157" s="242"/>
      <c r="I157" s="516"/>
      <c r="J157" s="173"/>
    </row>
    <row r="158" spans="1:10" customFormat="1" ht="25.5">
      <c r="A158" s="176"/>
      <c r="B158" s="231"/>
      <c r="C158" s="234" t="s">
        <v>1185</v>
      </c>
      <c r="D158" s="197" t="s">
        <v>1120</v>
      </c>
      <c r="E158" s="533">
        <v>13.93</v>
      </c>
      <c r="F158" s="533">
        <v>13.93</v>
      </c>
      <c r="G158" s="533"/>
      <c r="H158" s="242"/>
      <c r="I158" s="516"/>
      <c r="J158" s="173">
        <f t="shared" ref="J158:J165" si="3">(E158+F158+G158+H158)*I158</f>
        <v>0</v>
      </c>
    </row>
    <row r="159" spans="1:10" customFormat="1" ht="25.5">
      <c r="A159" s="176"/>
      <c r="B159" s="231"/>
      <c r="C159" s="234" t="s">
        <v>1186</v>
      </c>
      <c r="D159" s="197" t="s">
        <v>1120</v>
      </c>
      <c r="E159" s="533"/>
      <c r="F159" s="533"/>
      <c r="G159" s="533">
        <v>13.93</v>
      </c>
      <c r="H159" s="242">
        <v>13.93</v>
      </c>
      <c r="I159" s="516"/>
      <c r="J159" s="173">
        <f t="shared" si="3"/>
        <v>0</v>
      </c>
    </row>
    <row r="160" spans="1:10" customFormat="1" ht="21">
      <c r="A160" s="176"/>
      <c r="B160" s="231"/>
      <c r="C160" s="234"/>
      <c r="D160" s="197"/>
      <c r="E160" s="533"/>
      <c r="F160" s="533"/>
      <c r="G160" s="533"/>
      <c r="H160" s="242"/>
      <c r="I160" s="516"/>
      <c r="J160" s="173"/>
    </row>
    <row r="161" spans="1:10" customFormat="1" ht="15">
      <c r="A161" s="221">
        <v>2.2000000000000002</v>
      </c>
      <c r="B161" s="222"/>
      <c r="C161" s="223" t="s">
        <v>1187</v>
      </c>
      <c r="D161" s="224"/>
      <c r="E161" s="529"/>
      <c r="F161" s="529"/>
      <c r="G161" s="529"/>
      <c r="H161" s="530"/>
      <c r="I161" s="531"/>
      <c r="J161" s="227"/>
    </row>
    <row r="162" spans="1:10" customFormat="1" ht="21">
      <c r="A162" s="170"/>
      <c r="B162" s="228"/>
      <c r="C162" s="220"/>
      <c r="D162" s="229"/>
      <c r="E162" s="520"/>
      <c r="F162" s="520"/>
      <c r="G162" s="532"/>
      <c r="H162" s="242"/>
      <c r="I162" s="516"/>
      <c r="J162" s="173"/>
    </row>
    <row r="163" spans="1:10" s="182" customFormat="1" ht="39.75" customHeight="1">
      <c r="A163" s="230"/>
      <c r="B163" s="231" t="s">
        <v>9</v>
      </c>
      <c r="C163" s="232" t="s">
        <v>1188</v>
      </c>
      <c r="D163" s="168"/>
      <c r="E163" s="513"/>
      <c r="F163" s="513"/>
      <c r="G163" s="513"/>
      <c r="H163" s="520"/>
      <c r="I163" s="521"/>
      <c r="J163" s="173"/>
    </row>
    <row r="164" spans="1:10" s="182" customFormat="1" ht="21">
      <c r="A164" s="236"/>
      <c r="B164" s="231"/>
      <c r="C164" s="232" t="s">
        <v>1189</v>
      </c>
      <c r="D164" s="197" t="s">
        <v>321</v>
      </c>
      <c r="E164" s="533">
        <v>298.73</v>
      </c>
      <c r="F164" s="533">
        <v>301.89999999999998</v>
      </c>
      <c r="G164" s="533">
        <v>280.43</v>
      </c>
      <c r="H164" s="520">
        <v>286.63</v>
      </c>
      <c r="I164" s="521"/>
      <c r="J164" s="173">
        <f t="shared" si="3"/>
        <v>0</v>
      </c>
    </row>
    <row r="165" spans="1:10" s="182" customFormat="1" ht="21">
      <c r="A165" s="236"/>
      <c r="B165" s="231"/>
      <c r="C165" s="232" t="s">
        <v>1190</v>
      </c>
      <c r="D165" s="197" t="s">
        <v>321</v>
      </c>
      <c r="E165" s="533"/>
      <c r="F165" s="533"/>
      <c r="G165" s="533">
        <v>700.78</v>
      </c>
      <c r="H165" s="520">
        <v>278.76</v>
      </c>
      <c r="I165" s="521"/>
      <c r="J165" s="173">
        <f t="shared" si="3"/>
        <v>0</v>
      </c>
    </row>
    <row r="166" spans="1:10" customFormat="1" ht="21">
      <c r="A166" s="176"/>
      <c r="B166" s="177"/>
      <c r="C166" s="237"/>
      <c r="D166" s="197"/>
      <c r="E166" s="533"/>
      <c r="F166" s="533"/>
      <c r="G166" s="533"/>
      <c r="H166" s="242"/>
      <c r="I166" s="516"/>
      <c r="J166" s="173"/>
    </row>
    <row r="167" spans="1:10" s="182" customFormat="1" ht="38.25">
      <c r="A167" s="230"/>
      <c r="B167" s="231" t="s">
        <v>18</v>
      </c>
      <c r="C167" s="232" t="s">
        <v>1191</v>
      </c>
      <c r="D167" s="168"/>
      <c r="E167" s="513"/>
      <c r="F167" s="513"/>
      <c r="G167" s="513"/>
      <c r="H167" s="520"/>
      <c r="I167" s="521"/>
      <c r="J167" s="188"/>
    </row>
    <row r="168" spans="1:10" s="182" customFormat="1" ht="21">
      <c r="A168" s="236"/>
      <c r="B168" s="231"/>
      <c r="C168" s="232" t="s">
        <v>1192</v>
      </c>
      <c r="D168" s="197" t="s">
        <v>321</v>
      </c>
      <c r="E168" s="533">
        <v>7.07</v>
      </c>
      <c r="F168" s="533">
        <v>7.07</v>
      </c>
      <c r="G168" s="533"/>
      <c r="H168" s="520"/>
      <c r="I168" s="521"/>
      <c r="J168" s="173">
        <f t="shared" ref="J168:J231" si="4">(E168+F168+G168+H168)*I168</f>
        <v>0</v>
      </c>
    </row>
    <row r="169" spans="1:10" s="182" customFormat="1" ht="21">
      <c r="A169" s="236"/>
      <c r="B169" s="231"/>
      <c r="C169" s="232" t="s">
        <v>1193</v>
      </c>
      <c r="D169" s="197" t="s">
        <v>321</v>
      </c>
      <c r="E169" s="533"/>
      <c r="F169" s="533"/>
      <c r="G169" s="533">
        <v>7.07</v>
      </c>
      <c r="H169" s="520">
        <v>7.07</v>
      </c>
      <c r="I169" s="521"/>
      <c r="J169" s="173">
        <f t="shared" si="4"/>
        <v>0</v>
      </c>
    </row>
    <row r="170" spans="1:10" customFormat="1" ht="21">
      <c r="A170" s="176"/>
      <c r="B170" s="177"/>
      <c r="C170" s="237"/>
      <c r="D170" s="197"/>
      <c r="E170" s="533"/>
      <c r="F170" s="533"/>
      <c r="G170" s="533"/>
      <c r="H170" s="242"/>
      <c r="I170" s="516"/>
      <c r="J170" s="173"/>
    </row>
    <row r="171" spans="1:10" customFormat="1" ht="15">
      <c r="A171" s="221">
        <v>2.2999999999999998</v>
      </c>
      <c r="B171" s="222"/>
      <c r="C171" s="223" t="s">
        <v>1194</v>
      </c>
      <c r="D171" s="224"/>
      <c r="E171" s="529"/>
      <c r="F171" s="529"/>
      <c r="G171" s="529"/>
      <c r="H171" s="530"/>
      <c r="I171" s="531"/>
      <c r="J171" s="227"/>
    </row>
    <row r="172" spans="1:10" customFormat="1">
      <c r="A172" s="165"/>
      <c r="B172" s="228"/>
      <c r="C172" s="220"/>
      <c r="D172" s="229"/>
      <c r="E172" s="520"/>
      <c r="F172" s="520"/>
      <c r="G172" s="532"/>
      <c r="H172" s="513"/>
      <c r="I172" s="514"/>
      <c r="J172" s="169"/>
    </row>
    <row r="173" spans="1:10" customFormat="1" ht="39" customHeight="1">
      <c r="A173" s="230"/>
      <c r="B173" s="231" t="s">
        <v>9</v>
      </c>
      <c r="C173" s="232" t="s">
        <v>1195</v>
      </c>
      <c r="D173" s="168"/>
      <c r="E173" s="513"/>
      <c r="F173" s="513"/>
      <c r="G173" s="513"/>
      <c r="H173" s="242"/>
      <c r="I173" s="516"/>
      <c r="J173" s="173"/>
    </row>
    <row r="174" spans="1:10" customFormat="1" ht="25.5">
      <c r="A174" s="176"/>
      <c r="B174" s="238" t="s">
        <v>181</v>
      </c>
      <c r="C174" s="239" t="s">
        <v>1196</v>
      </c>
      <c r="D174" s="197" t="s">
        <v>321</v>
      </c>
      <c r="E174" s="533">
        <v>95.98</v>
      </c>
      <c r="F174" s="533">
        <v>122.4</v>
      </c>
      <c r="G174" s="533"/>
      <c r="H174" s="242"/>
      <c r="I174" s="516"/>
      <c r="J174" s="173">
        <f t="shared" si="4"/>
        <v>0</v>
      </c>
    </row>
    <row r="175" spans="1:10" customFormat="1" ht="25.5">
      <c r="A175" s="176"/>
      <c r="B175" s="238" t="s">
        <v>182</v>
      </c>
      <c r="C175" s="239" t="s">
        <v>1197</v>
      </c>
      <c r="D175" s="197" t="s">
        <v>321</v>
      </c>
      <c r="E175" s="533"/>
      <c r="F175" s="533"/>
      <c r="G175" s="533">
        <v>227.16</v>
      </c>
      <c r="H175" s="242">
        <v>132.22</v>
      </c>
      <c r="I175" s="516"/>
      <c r="J175" s="173">
        <f t="shared" si="4"/>
        <v>0</v>
      </c>
    </row>
    <row r="176" spans="1:10" customFormat="1" ht="25.5">
      <c r="A176" s="176"/>
      <c r="B176" s="238" t="s">
        <v>324</v>
      </c>
      <c r="C176" s="239" t="s">
        <v>1198</v>
      </c>
      <c r="D176" s="197" t="s">
        <v>321</v>
      </c>
      <c r="E176" s="533">
        <v>102.4</v>
      </c>
      <c r="F176" s="533">
        <v>134.56</v>
      </c>
      <c r="G176" s="533">
        <v>164.86</v>
      </c>
      <c r="H176" s="242">
        <v>135.46</v>
      </c>
      <c r="I176" s="516"/>
      <c r="J176" s="173">
        <f t="shared" si="4"/>
        <v>0</v>
      </c>
    </row>
    <row r="177" spans="1:10" customFormat="1" ht="25.5">
      <c r="A177" s="176"/>
      <c r="B177" s="238" t="s">
        <v>325</v>
      </c>
      <c r="C177" s="239" t="s">
        <v>1199</v>
      </c>
      <c r="D177" s="197" t="s">
        <v>321</v>
      </c>
      <c r="E177" s="533">
        <v>89.75</v>
      </c>
      <c r="F177" s="533">
        <v>118.82</v>
      </c>
      <c r="G177" s="533">
        <v>146.65</v>
      </c>
      <c r="H177" s="242">
        <v>125.83</v>
      </c>
      <c r="I177" s="516"/>
      <c r="J177" s="173">
        <f t="shared" si="4"/>
        <v>0</v>
      </c>
    </row>
    <row r="178" spans="1:10" customFormat="1" ht="25.5">
      <c r="A178" s="176"/>
      <c r="B178" s="238" t="s">
        <v>1200</v>
      </c>
      <c r="C178" s="239" t="s">
        <v>1201</v>
      </c>
      <c r="D178" s="197" t="s">
        <v>321</v>
      </c>
      <c r="E178" s="533">
        <v>86.43</v>
      </c>
      <c r="F178" s="533">
        <v>120.1</v>
      </c>
      <c r="G178" s="533">
        <v>145.91</v>
      </c>
      <c r="H178" s="242">
        <v>125.75</v>
      </c>
      <c r="I178" s="516"/>
      <c r="J178" s="173">
        <f t="shared" si="4"/>
        <v>0</v>
      </c>
    </row>
    <row r="179" spans="1:10" customFormat="1" ht="25.5">
      <c r="A179" s="176"/>
      <c r="B179" s="240" t="s">
        <v>1202</v>
      </c>
      <c r="C179" s="239" t="s">
        <v>1203</v>
      </c>
      <c r="D179" s="197" t="s">
        <v>321</v>
      </c>
      <c r="E179" s="533">
        <v>87.46</v>
      </c>
      <c r="F179" s="533">
        <v>118.82</v>
      </c>
      <c r="G179" s="533">
        <v>147.44999999999999</v>
      </c>
      <c r="H179" s="242">
        <v>126.44</v>
      </c>
      <c r="I179" s="516"/>
      <c r="J179" s="173">
        <f t="shared" si="4"/>
        <v>0</v>
      </c>
    </row>
    <row r="180" spans="1:10" customFormat="1">
      <c r="A180" s="212"/>
      <c r="B180" s="241"/>
      <c r="C180" s="241"/>
      <c r="D180" s="168"/>
      <c r="E180" s="513"/>
      <c r="F180" s="513"/>
      <c r="G180" s="513"/>
      <c r="H180" s="513"/>
      <c r="I180" s="514"/>
      <c r="J180" s="169"/>
    </row>
    <row r="181" spans="1:10" customFormat="1" ht="15">
      <c r="A181" s="221">
        <v>2.4</v>
      </c>
      <c r="B181" s="222"/>
      <c r="C181" s="223" t="s">
        <v>1204</v>
      </c>
      <c r="D181" s="224"/>
      <c r="E181" s="529"/>
      <c r="F181" s="529"/>
      <c r="G181" s="529"/>
      <c r="H181" s="530"/>
      <c r="I181" s="531"/>
      <c r="J181" s="227"/>
    </row>
    <row r="182" spans="1:10" customFormat="1" ht="17.25" customHeight="1">
      <c r="A182" s="170"/>
      <c r="B182" s="228"/>
      <c r="C182" s="220"/>
      <c r="D182" s="229"/>
      <c r="E182" s="520"/>
      <c r="F182" s="520"/>
      <c r="G182" s="532"/>
      <c r="H182" s="242"/>
      <c r="I182" s="516"/>
      <c r="J182" s="173"/>
    </row>
    <row r="183" spans="1:10" customFormat="1" ht="51">
      <c r="A183" s="230"/>
      <c r="B183" s="231" t="s">
        <v>9</v>
      </c>
      <c r="C183" s="232" t="s">
        <v>1205</v>
      </c>
      <c r="D183" s="168"/>
      <c r="E183" s="513"/>
      <c r="F183" s="513"/>
      <c r="G183" s="513"/>
      <c r="H183" s="242"/>
      <c r="I183" s="516"/>
      <c r="J183" s="173"/>
    </row>
    <row r="184" spans="1:10" customFormat="1" ht="25.5">
      <c r="A184" s="176"/>
      <c r="B184" s="233"/>
      <c r="C184" s="239" t="s">
        <v>1206</v>
      </c>
      <c r="D184" s="197" t="s">
        <v>321</v>
      </c>
      <c r="E184" s="533">
        <v>0.43</v>
      </c>
      <c r="F184" s="533">
        <v>0.64</v>
      </c>
      <c r="G184" s="533"/>
      <c r="H184" s="242">
        <v>0.41</v>
      </c>
      <c r="I184" s="516"/>
      <c r="J184" s="173">
        <f t="shared" si="4"/>
        <v>0</v>
      </c>
    </row>
    <row r="185" spans="1:10" customFormat="1" ht="25.5">
      <c r="A185" s="176"/>
      <c r="B185" s="233"/>
      <c r="C185" s="239" t="s">
        <v>1207</v>
      </c>
      <c r="D185" s="197" t="s">
        <v>321</v>
      </c>
      <c r="E185" s="533"/>
      <c r="F185" s="533"/>
      <c r="G185" s="533">
        <v>0.3</v>
      </c>
      <c r="H185" s="242"/>
      <c r="I185" s="516"/>
      <c r="J185" s="173">
        <f t="shared" si="4"/>
        <v>0</v>
      </c>
    </row>
    <row r="186" spans="1:10" customFormat="1" ht="25.5">
      <c r="A186" s="176"/>
      <c r="B186" s="233"/>
      <c r="C186" s="239" t="s">
        <v>1208</v>
      </c>
      <c r="D186" s="197" t="s">
        <v>321</v>
      </c>
      <c r="E186" s="533"/>
      <c r="F186" s="533"/>
      <c r="G186" s="533">
        <v>0.28999999999999998</v>
      </c>
      <c r="H186" s="242">
        <v>0.19</v>
      </c>
      <c r="I186" s="516"/>
      <c r="J186" s="173">
        <f t="shared" si="4"/>
        <v>0</v>
      </c>
    </row>
    <row r="187" spans="1:10" customFormat="1" ht="25.5">
      <c r="A187" s="176"/>
      <c r="B187" s="233"/>
      <c r="C187" s="239" t="s">
        <v>1209</v>
      </c>
      <c r="D187" s="197" t="s">
        <v>321</v>
      </c>
      <c r="E187" s="533"/>
      <c r="F187" s="533"/>
      <c r="G187" s="533">
        <v>0.45</v>
      </c>
      <c r="H187" s="242"/>
      <c r="I187" s="516"/>
      <c r="J187" s="173">
        <f t="shared" si="4"/>
        <v>0</v>
      </c>
    </row>
    <row r="188" spans="1:10" customFormat="1" ht="25.5">
      <c r="A188" s="176"/>
      <c r="B188" s="233"/>
      <c r="C188" s="239" t="s">
        <v>1210</v>
      </c>
      <c r="D188" s="197" t="s">
        <v>321</v>
      </c>
      <c r="E188" s="533"/>
      <c r="F188" s="533"/>
      <c r="G188" s="533">
        <v>0.5</v>
      </c>
      <c r="H188" s="242"/>
      <c r="I188" s="516"/>
      <c r="J188" s="173">
        <f t="shared" si="4"/>
        <v>0</v>
      </c>
    </row>
    <row r="189" spans="1:10" customFormat="1" ht="25.5">
      <c r="A189" s="176"/>
      <c r="B189" s="233"/>
      <c r="C189" s="239" t="s">
        <v>1211</v>
      </c>
      <c r="D189" s="197" t="s">
        <v>321</v>
      </c>
      <c r="E189" s="533"/>
      <c r="F189" s="533"/>
      <c r="G189" s="533">
        <v>0.72</v>
      </c>
      <c r="H189" s="242">
        <v>0.34</v>
      </c>
      <c r="I189" s="516"/>
      <c r="J189" s="173">
        <f t="shared" si="4"/>
        <v>0</v>
      </c>
    </row>
    <row r="190" spans="1:10" customFormat="1" ht="25.5">
      <c r="A190" s="176"/>
      <c r="B190" s="233"/>
      <c r="C190" s="239" t="s">
        <v>1212</v>
      </c>
      <c r="D190" s="197" t="s">
        <v>321</v>
      </c>
      <c r="E190" s="533"/>
      <c r="F190" s="533"/>
      <c r="G190" s="533">
        <v>0.52</v>
      </c>
      <c r="H190" s="242"/>
      <c r="I190" s="516"/>
      <c r="J190" s="173">
        <f t="shared" si="4"/>
        <v>0</v>
      </c>
    </row>
    <row r="191" spans="1:10" customFormat="1" ht="25.5">
      <c r="A191" s="176"/>
      <c r="B191" s="233"/>
      <c r="C191" s="239" t="s">
        <v>1213</v>
      </c>
      <c r="D191" s="197" t="s">
        <v>321</v>
      </c>
      <c r="E191" s="533"/>
      <c r="F191" s="533"/>
      <c r="G191" s="533"/>
      <c r="H191" s="242">
        <v>0.28000000000000003</v>
      </c>
      <c r="I191" s="516"/>
      <c r="J191" s="173">
        <f t="shared" si="4"/>
        <v>0</v>
      </c>
    </row>
    <row r="192" spans="1:10" customFormat="1" ht="25.5">
      <c r="A192" s="176"/>
      <c r="B192" s="233"/>
      <c r="C192" s="239" t="s">
        <v>1214</v>
      </c>
      <c r="D192" s="197" t="s">
        <v>321</v>
      </c>
      <c r="E192" s="533"/>
      <c r="F192" s="533"/>
      <c r="G192" s="533">
        <v>8.77</v>
      </c>
      <c r="H192" s="242">
        <v>4.45</v>
      </c>
      <c r="I192" s="516"/>
      <c r="J192" s="173">
        <f t="shared" si="4"/>
        <v>0</v>
      </c>
    </row>
    <row r="193" spans="1:10" customFormat="1" ht="25.5">
      <c r="A193" s="176"/>
      <c r="B193" s="233"/>
      <c r="C193" s="239" t="s">
        <v>1215</v>
      </c>
      <c r="D193" s="197" t="s">
        <v>321</v>
      </c>
      <c r="E193" s="533"/>
      <c r="F193" s="533"/>
      <c r="G193" s="533"/>
      <c r="H193" s="242">
        <v>0.41</v>
      </c>
      <c r="I193" s="516"/>
      <c r="J193" s="173">
        <f t="shared" si="4"/>
        <v>0</v>
      </c>
    </row>
    <row r="194" spans="1:10" customFormat="1" ht="25.5">
      <c r="A194" s="176"/>
      <c r="B194" s="233"/>
      <c r="C194" s="239" t="s">
        <v>1216</v>
      </c>
      <c r="D194" s="197" t="s">
        <v>321</v>
      </c>
      <c r="E194" s="533"/>
      <c r="F194" s="533"/>
      <c r="G194" s="533">
        <v>2.62</v>
      </c>
      <c r="H194" s="242"/>
      <c r="I194" s="516"/>
      <c r="J194" s="173">
        <f t="shared" si="4"/>
        <v>0</v>
      </c>
    </row>
    <row r="195" spans="1:10" customFormat="1" ht="25.5">
      <c r="A195" s="176"/>
      <c r="B195" s="233"/>
      <c r="C195" s="239" t="s">
        <v>1217</v>
      </c>
      <c r="D195" s="197" t="s">
        <v>321</v>
      </c>
      <c r="E195" s="533"/>
      <c r="F195" s="533"/>
      <c r="G195" s="533">
        <v>0.46</v>
      </c>
      <c r="H195" s="242"/>
      <c r="I195" s="516"/>
      <c r="J195" s="173">
        <f t="shared" si="4"/>
        <v>0</v>
      </c>
    </row>
    <row r="196" spans="1:10" customFormat="1" ht="25.5">
      <c r="A196" s="176"/>
      <c r="B196" s="177"/>
      <c r="C196" s="239" t="s">
        <v>1218</v>
      </c>
      <c r="D196" s="197" t="s">
        <v>321</v>
      </c>
      <c r="E196" s="533">
        <v>1.51</v>
      </c>
      <c r="F196" s="533">
        <v>4.8499999999999996</v>
      </c>
      <c r="G196" s="533"/>
      <c r="H196" s="242"/>
      <c r="I196" s="516"/>
      <c r="J196" s="173">
        <f t="shared" si="4"/>
        <v>0</v>
      </c>
    </row>
    <row r="197" spans="1:10" customFormat="1" ht="25.5">
      <c r="A197" s="176"/>
      <c r="B197" s="177"/>
      <c r="C197" s="239" t="s">
        <v>1219</v>
      </c>
      <c r="D197" s="197" t="s">
        <v>321</v>
      </c>
      <c r="E197" s="513"/>
      <c r="F197" s="513"/>
      <c r="G197" s="513">
        <v>1.05</v>
      </c>
      <c r="H197" s="513">
        <v>1.1000000000000001</v>
      </c>
      <c r="I197" s="516"/>
      <c r="J197" s="173">
        <f t="shared" si="4"/>
        <v>0</v>
      </c>
    </row>
    <row r="198" spans="1:10" customFormat="1" ht="25.5">
      <c r="A198" s="176"/>
      <c r="B198" s="177"/>
      <c r="C198" s="239" t="s">
        <v>1220</v>
      </c>
      <c r="D198" s="197" t="s">
        <v>321</v>
      </c>
      <c r="E198" s="513"/>
      <c r="F198" s="513"/>
      <c r="G198" s="513">
        <v>1.39</v>
      </c>
      <c r="H198" s="242">
        <v>1.06</v>
      </c>
      <c r="I198" s="516"/>
      <c r="J198" s="173">
        <f t="shared" si="4"/>
        <v>0</v>
      </c>
    </row>
    <row r="199" spans="1:10" customFormat="1" ht="25.5">
      <c r="A199" s="176"/>
      <c r="B199" s="177"/>
      <c r="C199" s="239" t="s">
        <v>1221</v>
      </c>
      <c r="D199" s="197" t="s">
        <v>321</v>
      </c>
      <c r="E199" s="513"/>
      <c r="F199" s="513"/>
      <c r="G199" s="513">
        <v>1.95</v>
      </c>
      <c r="H199" s="242"/>
      <c r="I199" s="516"/>
      <c r="J199" s="173">
        <f t="shared" si="4"/>
        <v>0</v>
      </c>
    </row>
    <row r="200" spans="1:10" customFormat="1" ht="25.5">
      <c r="A200" s="176"/>
      <c r="B200" s="177"/>
      <c r="C200" s="239" t="s">
        <v>1222</v>
      </c>
      <c r="D200" s="197" t="s">
        <v>321</v>
      </c>
      <c r="E200" s="513"/>
      <c r="F200" s="513"/>
      <c r="G200" s="513"/>
      <c r="H200" s="242">
        <v>0.34</v>
      </c>
      <c r="I200" s="516"/>
      <c r="J200" s="173">
        <f t="shared" si="4"/>
        <v>0</v>
      </c>
    </row>
    <row r="201" spans="1:10" customFormat="1" ht="25.5">
      <c r="A201" s="176"/>
      <c r="B201" s="177"/>
      <c r="C201" s="239" t="s">
        <v>1223</v>
      </c>
      <c r="D201" s="197" t="s">
        <v>321</v>
      </c>
      <c r="E201" s="513">
        <v>0.25</v>
      </c>
      <c r="F201" s="513">
        <v>0.76</v>
      </c>
      <c r="G201" s="513">
        <v>1.1499999999999999</v>
      </c>
      <c r="H201" s="242">
        <v>1.19</v>
      </c>
      <c r="I201" s="516"/>
      <c r="J201" s="173">
        <f>(E201+F201+G201+H201)*I201</f>
        <v>0</v>
      </c>
    </row>
    <row r="202" spans="1:10" customFormat="1" ht="25.5">
      <c r="A202" s="176"/>
      <c r="B202" s="177"/>
      <c r="C202" s="239" t="s">
        <v>1224</v>
      </c>
      <c r="D202" s="197" t="s">
        <v>321</v>
      </c>
      <c r="E202" s="533">
        <v>1.62</v>
      </c>
      <c r="F202" s="533">
        <v>1.87</v>
      </c>
      <c r="G202" s="533">
        <v>1.71</v>
      </c>
      <c r="H202" s="242">
        <v>1.1599999999999999</v>
      </c>
      <c r="I202" s="516"/>
      <c r="J202" s="173">
        <f t="shared" si="4"/>
        <v>0</v>
      </c>
    </row>
    <row r="203" spans="1:10" customFormat="1" ht="25.5">
      <c r="A203" s="176"/>
      <c r="B203" s="177"/>
      <c r="C203" s="239" t="s">
        <v>1225</v>
      </c>
      <c r="D203" s="197" t="s">
        <v>321</v>
      </c>
      <c r="E203" s="533"/>
      <c r="F203" s="533"/>
      <c r="G203" s="533"/>
      <c r="H203" s="242">
        <v>0.34</v>
      </c>
      <c r="I203" s="516"/>
      <c r="J203" s="173">
        <f t="shared" si="4"/>
        <v>0</v>
      </c>
    </row>
    <row r="204" spans="1:10" customFormat="1" ht="25.5">
      <c r="A204" s="176"/>
      <c r="B204" s="177"/>
      <c r="C204" s="239" t="s">
        <v>1226</v>
      </c>
      <c r="D204" s="197" t="s">
        <v>321</v>
      </c>
      <c r="E204" s="513">
        <v>0.25</v>
      </c>
      <c r="F204" s="533">
        <v>0.76</v>
      </c>
      <c r="G204" s="533">
        <v>1.1499999999999999</v>
      </c>
      <c r="H204" s="242">
        <v>1.19</v>
      </c>
      <c r="I204" s="516"/>
      <c r="J204" s="173">
        <f t="shared" si="4"/>
        <v>0</v>
      </c>
    </row>
    <row r="205" spans="1:10" customFormat="1" ht="25.5">
      <c r="A205" s="176"/>
      <c r="B205" s="177"/>
      <c r="C205" s="239" t="s">
        <v>1227</v>
      </c>
      <c r="D205" s="197" t="s">
        <v>321</v>
      </c>
      <c r="E205" s="533">
        <v>1.62</v>
      </c>
      <c r="F205" s="533">
        <v>1.82</v>
      </c>
      <c r="G205" s="533">
        <v>1.71</v>
      </c>
      <c r="H205" s="242">
        <v>1.1599999999999999</v>
      </c>
      <c r="I205" s="516"/>
      <c r="J205" s="173">
        <f t="shared" si="4"/>
        <v>0</v>
      </c>
    </row>
    <row r="206" spans="1:10" customFormat="1" ht="25.5">
      <c r="A206" s="176"/>
      <c r="B206" s="177"/>
      <c r="C206" s="239" t="s">
        <v>1228</v>
      </c>
      <c r="D206" s="197" t="s">
        <v>321</v>
      </c>
      <c r="E206" s="533"/>
      <c r="F206" s="533"/>
      <c r="G206" s="533"/>
      <c r="H206" s="242">
        <v>0.34</v>
      </c>
      <c r="I206" s="516"/>
      <c r="J206" s="173">
        <f t="shared" si="4"/>
        <v>0</v>
      </c>
    </row>
    <row r="207" spans="1:10" customFormat="1" ht="25.5">
      <c r="A207" s="176"/>
      <c r="B207" s="177"/>
      <c r="C207" s="239" t="s">
        <v>1229</v>
      </c>
      <c r="D207" s="197" t="s">
        <v>321</v>
      </c>
      <c r="E207" s="513">
        <v>0.25</v>
      </c>
      <c r="F207" s="533">
        <v>0.75</v>
      </c>
      <c r="G207" s="533">
        <v>1.1499999999999999</v>
      </c>
      <c r="H207" s="242">
        <v>1.19</v>
      </c>
      <c r="I207" s="516"/>
      <c r="J207" s="173">
        <f t="shared" si="4"/>
        <v>0</v>
      </c>
    </row>
    <row r="208" spans="1:10" customFormat="1" ht="25.5">
      <c r="A208" s="176"/>
      <c r="B208" s="177"/>
      <c r="C208" s="239" t="s">
        <v>1230</v>
      </c>
      <c r="D208" s="197" t="s">
        <v>321</v>
      </c>
      <c r="E208" s="533">
        <v>1.62</v>
      </c>
      <c r="F208" s="533">
        <v>1.84</v>
      </c>
      <c r="G208" s="533">
        <v>1.71</v>
      </c>
      <c r="H208" s="242">
        <v>1.1599999999999999</v>
      </c>
      <c r="I208" s="516"/>
      <c r="J208" s="173">
        <f t="shared" si="4"/>
        <v>0</v>
      </c>
    </row>
    <row r="209" spans="1:10" customFormat="1" ht="25.5">
      <c r="A209" s="176"/>
      <c r="B209" s="177"/>
      <c r="C209" s="239" t="s">
        <v>1231</v>
      </c>
      <c r="D209" s="197" t="s">
        <v>321</v>
      </c>
      <c r="E209" s="533"/>
      <c r="F209" s="533"/>
      <c r="G209" s="533"/>
      <c r="H209" s="242">
        <v>0.34</v>
      </c>
      <c r="I209" s="516"/>
      <c r="J209" s="173">
        <f t="shared" si="4"/>
        <v>0</v>
      </c>
    </row>
    <row r="210" spans="1:10" customFormat="1" ht="21">
      <c r="A210" s="176"/>
      <c r="B210" s="233"/>
      <c r="C210" s="239"/>
      <c r="D210" s="197"/>
      <c r="E210" s="533"/>
      <c r="F210" s="533"/>
      <c r="G210" s="533"/>
      <c r="H210" s="242"/>
      <c r="I210" s="516"/>
      <c r="J210" s="173"/>
    </row>
    <row r="211" spans="1:10" customFormat="1" ht="51">
      <c r="A211" s="230"/>
      <c r="B211" s="231" t="s">
        <v>18</v>
      </c>
      <c r="C211" s="232" t="s">
        <v>1232</v>
      </c>
      <c r="D211" s="168"/>
      <c r="E211" s="513"/>
      <c r="F211" s="513"/>
      <c r="G211" s="513"/>
      <c r="H211" s="242"/>
      <c r="I211" s="516"/>
      <c r="J211" s="173"/>
    </row>
    <row r="212" spans="1:10" customFormat="1" ht="28.5" customHeight="1">
      <c r="A212" s="230"/>
      <c r="B212" s="233" t="s">
        <v>181</v>
      </c>
      <c r="C212" s="239" t="s">
        <v>1233</v>
      </c>
      <c r="D212" s="197" t="s">
        <v>321</v>
      </c>
      <c r="E212" s="513">
        <v>2.0099999999999998</v>
      </c>
      <c r="F212" s="513">
        <v>2.14</v>
      </c>
      <c r="G212" s="513">
        <v>1.62</v>
      </c>
      <c r="H212" s="242">
        <v>1.78</v>
      </c>
      <c r="I212" s="516"/>
      <c r="J212" s="173">
        <f t="shared" si="4"/>
        <v>0</v>
      </c>
    </row>
    <row r="213" spans="1:10" customFormat="1" ht="25.5">
      <c r="A213" s="176"/>
      <c r="B213" s="233" t="s">
        <v>182</v>
      </c>
      <c r="C213" s="239" t="s">
        <v>1234</v>
      </c>
      <c r="D213" s="197" t="s">
        <v>321</v>
      </c>
      <c r="E213" s="533">
        <v>1.55</v>
      </c>
      <c r="F213" s="533">
        <v>1.94</v>
      </c>
      <c r="G213" s="533">
        <v>2.2000000000000002</v>
      </c>
      <c r="H213" s="242">
        <v>2.2000000000000002</v>
      </c>
      <c r="I213" s="516"/>
      <c r="J213" s="173">
        <f t="shared" si="4"/>
        <v>0</v>
      </c>
    </row>
    <row r="214" spans="1:10" customFormat="1" ht="30.75" customHeight="1">
      <c r="A214" s="176"/>
      <c r="B214" s="233" t="s">
        <v>324</v>
      </c>
      <c r="C214" s="239" t="s">
        <v>1235</v>
      </c>
      <c r="D214" s="197" t="s">
        <v>321</v>
      </c>
      <c r="E214" s="533">
        <v>1.67</v>
      </c>
      <c r="F214" s="533">
        <v>1.91</v>
      </c>
      <c r="G214" s="533">
        <v>2.58</v>
      </c>
      <c r="H214" s="242">
        <v>2.2599999999999998</v>
      </c>
      <c r="I214" s="516"/>
      <c r="J214" s="173">
        <f t="shared" si="4"/>
        <v>0</v>
      </c>
    </row>
    <row r="215" spans="1:10" customFormat="1" ht="30" customHeight="1">
      <c r="A215" s="176"/>
      <c r="B215" s="233" t="s">
        <v>325</v>
      </c>
      <c r="C215" s="239" t="s">
        <v>1236</v>
      </c>
      <c r="D215" s="197" t="s">
        <v>321</v>
      </c>
      <c r="E215" s="533">
        <v>1.56</v>
      </c>
      <c r="F215" s="533">
        <v>1.89</v>
      </c>
      <c r="G215" s="533">
        <v>2.7</v>
      </c>
      <c r="H215" s="242">
        <v>2.25</v>
      </c>
      <c r="I215" s="516"/>
      <c r="J215" s="173">
        <f t="shared" si="4"/>
        <v>0</v>
      </c>
    </row>
    <row r="216" spans="1:10" customFormat="1" ht="26.25" customHeight="1">
      <c r="A216" s="176"/>
      <c r="B216" s="233" t="s">
        <v>1200</v>
      </c>
      <c r="C216" s="239" t="s">
        <v>1237</v>
      </c>
      <c r="D216" s="197" t="s">
        <v>321</v>
      </c>
      <c r="E216" s="533">
        <v>1.63</v>
      </c>
      <c r="F216" s="533">
        <v>1.89</v>
      </c>
      <c r="G216" s="533">
        <v>2.58</v>
      </c>
      <c r="H216" s="242">
        <v>2.2599999999999998</v>
      </c>
      <c r="I216" s="516"/>
      <c r="J216" s="173">
        <f t="shared" si="4"/>
        <v>0</v>
      </c>
    </row>
    <row r="217" spans="1:10" customFormat="1" ht="26.25" customHeight="1">
      <c r="D217" s="235"/>
      <c r="E217" s="535"/>
      <c r="F217" s="535"/>
      <c r="G217" s="535"/>
      <c r="H217" s="535"/>
      <c r="I217" s="16"/>
      <c r="J217" s="368"/>
    </row>
    <row r="218" spans="1:10" customFormat="1" ht="15">
      <c r="A218" s="243">
        <v>2.5</v>
      </c>
      <c r="B218" s="221"/>
      <c r="C218" s="223" t="s">
        <v>1238</v>
      </c>
      <c r="D218" s="244"/>
      <c r="E218" s="536"/>
      <c r="F218" s="536"/>
      <c r="G218" s="536"/>
      <c r="H218" s="536"/>
      <c r="I218" s="537"/>
      <c r="J218" s="245"/>
    </row>
    <row r="219" spans="1:10" customFormat="1">
      <c r="D219" s="235"/>
      <c r="E219" s="535"/>
      <c r="F219" s="535"/>
      <c r="G219" s="535"/>
      <c r="H219" s="535"/>
      <c r="I219" s="16"/>
      <c r="J219" s="368"/>
    </row>
    <row r="220" spans="1:10" customFormat="1" ht="107.25" customHeight="1">
      <c r="A220" s="230"/>
      <c r="B220" s="231" t="s">
        <v>9</v>
      </c>
      <c r="C220" s="232" t="s">
        <v>1239</v>
      </c>
      <c r="D220" s="168"/>
      <c r="E220" s="513"/>
      <c r="F220" s="513"/>
      <c r="G220" s="513"/>
      <c r="H220" s="242"/>
      <c r="I220" s="516"/>
      <c r="J220" s="173"/>
    </row>
    <row r="221" spans="1:10" customFormat="1" ht="26.25" customHeight="1">
      <c r="A221" s="176"/>
      <c r="B221" s="238" t="s">
        <v>181</v>
      </c>
      <c r="C221" s="239" t="s">
        <v>1240</v>
      </c>
      <c r="D221" s="197" t="s">
        <v>321</v>
      </c>
      <c r="E221" s="533">
        <v>10.85</v>
      </c>
      <c r="F221" s="533">
        <v>10.85</v>
      </c>
      <c r="G221" s="533"/>
      <c r="H221" s="520"/>
      <c r="I221" s="521"/>
      <c r="J221" s="173">
        <f t="shared" si="4"/>
        <v>0</v>
      </c>
    </row>
    <row r="222" spans="1:10" customFormat="1" ht="26.25" customHeight="1">
      <c r="A222" s="176"/>
      <c r="B222" s="238"/>
      <c r="C222" s="239" t="s">
        <v>1241</v>
      </c>
      <c r="D222" s="197" t="s">
        <v>321</v>
      </c>
      <c r="E222" s="533"/>
      <c r="F222" s="533"/>
      <c r="G222" s="533">
        <v>10.85</v>
      </c>
      <c r="H222" s="520">
        <v>1.69</v>
      </c>
      <c r="I222" s="521"/>
      <c r="J222" s="173">
        <f t="shared" si="4"/>
        <v>0</v>
      </c>
    </row>
    <row r="223" spans="1:10" customFormat="1" ht="26.25" customHeight="1">
      <c r="A223" s="176"/>
      <c r="B223" s="238"/>
      <c r="C223" s="239" t="s">
        <v>1242</v>
      </c>
      <c r="D223" s="197" t="s">
        <v>321</v>
      </c>
      <c r="E223" s="533"/>
      <c r="F223" s="533"/>
      <c r="G223" s="533">
        <v>21.25</v>
      </c>
      <c r="H223" s="520"/>
      <c r="I223" s="521"/>
      <c r="J223" s="173">
        <f t="shared" si="4"/>
        <v>0</v>
      </c>
    </row>
    <row r="224" spans="1:10" customFormat="1" ht="26.25" customHeight="1">
      <c r="A224" s="176"/>
      <c r="B224" s="238" t="s">
        <v>182</v>
      </c>
      <c r="C224" s="239" t="s">
        <v>1243</v>
      </c>
      <c r="D224" s="197" t="s">
        <v>321</v>
      </c>
      <c r="E224" s="533">
        <v>88.64</v>
      </c>
      <c r="F224" s="533">
        <v>97.5</v>
      </c>
      <c r="G224" s="533"/>
      <c r="H224" s="520"/>
      <c r="I224" s="521"/>
      <c r="J224" s="173">
        <f t="shared" si="4"/>
        <v>0</v>
      </c>
    </row>
    <row r="225" spans="1:10" customFormat="1" ht="26.25" customHeight="1">
      <c r="A225" s="176"/>
      <c r="B225" s="238"/>
      <c r="C225" s="239" t="s">
        <v>1244</v>
      </c>
      <c r="D225" s="197" t="s">
        <v>321</v>
      </c>
      <c r="E225" s="533"/>
      <c r="F225" s="533"/>
      <c r="G225" s="533">
        <v>138.61000000000001</v>
      </c>
      <c r="H225" s="520">
        <v>119.47</v>
      </c>
      <c r="I225" s="521"/>
      <c r="J225" s="173">
        <f t="shared" si="4"/>
        <v>0</v>
      </c>
    </row>
    <row r="226" spans="1:10" customFormat="1" ht="41.25" customHeight="1">
      <c r="A226" s="176"/>
      <c r="B226" s="238"/>
      <c r="C226" s="239" t="s">
        <v>1245</v>
      </c>
      <c r="D226" s="197" t="s">
        <v>321</v>
      </c>
      <c r="E226" s="533"/>
      <c r="F226" s="533"/>
      <c r="G226" s="533">
        <v>176.7</v>
      </c>
      <c r="H226" s="520">
        <v>78.34</v>
      </c>
      <c r="I226" s="521"/>
      <c r="J226" s="173">
        <f t="shared" si="4"/>
        <v>0</v>
      </c>
    </row>
    <row r="227" spans="1:10" customFormat="1" ht="26.25" customHeight="1">
      <c r="A227" s="176"/>
      <c r="B227" s="238" t="s">
        <v>324</v>
      </c>
      <c r="C227" s="239" t="s">
        <v>1246</v>
      </c>
      <c r="D227" s="197" t="s">
        <v>321</v>
      </c>
      <c r="E227" s="533">
        <v>106.22</v>
      </c>
      <c r="F227" s="533">
        <v>135.57</v>
      </c>
      <c r="G227" s="533">
        <v>187.63</v>
      </c>
      <c r="H227" s="520">
        <v>160.52000000000001</v>
      </c>
      <c r="I227" s="521"/>
      <c r="J227" s="173">
        <f t="shared" si="4"/>
        <v>0</v>
      </c>
    </row>
    <row r="228" spans="1:10" customFormat="1" ht="26.25" customHeight="1">
      <c r="A228" s="176"/>
      <c r="B228" s="238" t="s">
        <v>325</v>
      </c>
      <c r="C228" s="239" t="s">
        <v>1247</v>
      </c>
      <c r="D228" s="197" t="s">
        <v>321</v>
      </c>
      <c r="E228" s="533">
        <v>106.22</v>
      </c>
      <c r="F228" s="533">
        <v>133.80000000000001</v>
      </c>
      <c r="G228" s="533">
        <v>187.04</v>
      </c>
      <c r="H228" s="520">
        <v>159.97999999999999</v>
      </c>
      <c r="I228" s="521"/>
      <c r="J228" s="173">
        <f t="shared" si="4"/>
        <v>0</v>
      </c>
    </row>
    <row r="229" spans="1:10" customFormat="1" ht="26.25" customHeight="1">
      <c r="A229" s="176"/>
      <c r="B229" s="238" t="s">
        <v>1200</v>
      </c>
      <c r="C229" s="239" t="s">
        <v>1248</v>
      </c>
      <c r="D229" s="197" t="s">
        <v>321</v>
      </c>
      <c r="E229" s="533">
        <v>106.29</v>
      </c>
      <c r="F229" s="533">
        <v>133.80000000000001</v>
      </c>
      <c r="G229" s="533">
        <v>188.39</v>
      </c>
      <c r="H229" s="520">
        <v>159.30000000000001</v>
      </c>
      <c r="I229" s="521"/>
      <c r="J229" s="173">
        <f t="shared" si="4"/>
        <v>0</v>
      </c>
    </row>
    <row r="230" spans="1:10" customFormat="1" ht="26.25" customHeight="1">
      <c r="A230" s="176"/>
      <c r="B230" s="238" t="s">
        <v>1202</v>
      </c>
      <c r="C230" s="239" t="s">
        <v>1249</v>
      </c>
      <c r="D230" s="197" t="s">
        <v>321</v>
      </c>
      <c r="E230" s="533">
        <v>105.2</v>
      </c>
      <c r="F230" s="533">
        <v>131.97999999999999</v>
      </c>
      <c r="G230" s="533">
        <v>180.8</v>
      </c>
      <c r="H230" s="520">
        <v>153.53</v>
      </c>
      <c r="I230" s="521"/>
      <c r="J230" s="173">
        <f t="shared" si="4"/>
        <v>0</v>
      </c>
    </row>
    <row r="231" spans="1:10" customFormat="1" ht="26.25" customHeight="1">
      <c r="A231" s="176"/>
      <c r="B231" s="238" t="s">
        <v>1250</v>
      </c>
      <c r="C231" s="239" t="s">
        <v>1251</v>
      </c>
      <c r="D231" s="197" t="s">
        <v>321</v>
      </c>
      <c r="E231" s="533">
        <v>0.99</v>
      </c>
      <c r="F231" s="533">
        <v>0.99</v>
      </c>
      <c r="G231" s="533">
        <v>0.99</v>
      </c>
      <c r="H231" s="520">
        <v>0.99</v>
      </c>
      <c r="I231" s="521"/>
      <c r="J231" s="173">
        <f t="shared" si="4"/>
        <v>0</v>
      </c>
    </row>
    <row r="232" spans="1:10" customFormat="1" ht="26.25" customHeight="1">
      <c r="A232" s="176"/>
      <c r="B232" s="238"/>
      <c r="C232" s="239"/>
      <c r="D232" s="197"/>
      <c r="E232" s="533"/>
      <c r="F232" s="533"/>
      <c r="G232" s="533"/>
      <c r="H232" s="520"/>
      <c r="I232" s="521"/>
      <c r="J232" s="188"/>
    </row>
    <row r="233" spans="1:10" customFormat="1" ht="15">
      <c r="A233" s="221">
        <v>2.6</v>
      </c>
      <c r="B233" s="222"/>
      <c r="C233" s="664" t="s">
        <v>1252</v>
      </c>
      <c r="D233" s="664"/>
      <c r="E233" s="529"/>
      <c r="F233" s="529"/>
      <c r="G233" s="529"/>
      <c r="H233" s="530"/>
      <c r="I233" s="531"/>
      <c r="J233" s="226"/>
    </row>
    <row r="234" spans="1:10" customFormat="1">
      <c r="A234" s="165"/>
      <c r="B234" s="228"/>
      <c r="C234" s="220"/>
      <c r="D234" s="229"/>
      <c r="E234" s="520"/>
      <c r="F234" s="520"/>
      <c r="G234" s="532"/>
      <c r="H234" s="513"/>
      <c r="I234" s="514"/>
      <c r="J234" s="169"/>
    </row>
    <row r="235" spans="1:10" customFormat="1" ht="38.25" customHeight="1">
      <c r="A235" s="230"/>
      <c r="B235" s="246" t="s">
        <v>9</v>
      </c>
      <c r="C235" s="232" t="s">
        <v>1253</v>
      </c>
      <c r="D235" s="168"/>
      <c r="E235" s="513"/>
      <c r="F235" s="513"/>
      <c r="G235" s="513"/>
      <c r="H235" s="242"/>
      <c r="I235" s="516"/>
      <c r="J235" s="173"/>
    </row>
    <row r="236" spans="1:10" customFormat="1" ht="21">
      <c r="A236" s="176"/>
      <c r="B236" s="172" t="s">
        <v>181</v>
      </c>
      <c r="C236" s="239" t="s">
        <v>1254</v>
      </c>
      <c r="D236" s="197" t="s">
        <v>321</v>
      </c>
      <c r="E236" s="533">
        <v>0.15</v>
      </c>
      <c r="F236" s="533">
        <v>7.0000000000000007E-2</v>
      </c>
      <c r="G236" s="533">
        <v>0.14000000000000001</v>
      </c>
      <c r="H236" s="242">
        <v>7.0000000000000007E-2</v>
      </c>
      <c r="I236" s="516"/>
      <c r="J236" s="173">
        <f t="shared" ref="J236:J261" si="5">(E236+F236+G236+H236)*I236</f>
        <v>0</v>
      </c>
    </row>
    <row r="237" spans="1:10" customFormat="1" ht="21">
      <c r="A237" s="176"/>
      <c r="B237" s="172" t="s">
        <v>182</v>
      </c>
      <c r="C237" s="239" t="s">
        <v>1255</v>
      </c>
      <c r="D237" s="197" t="s">
        <v>321</v>
      </c>
      <c r="E237" s="533">
        <v>0.15</v>
      </c>
      <c r="F237" s="533">
        <v>0.28000000000000003</v>
      </c>
      <c r="G237" s="533">
        <v>0.28000000000000003</v>
      </c>
      <c r="H237" s="242">
        <v>0.28000000000000003</v>
      </c>
      <c r="I237" s="516"/>
      <c r="J237" s="173">
        <f t="shared" si="5"/>
        <v>0</v>
      </c>
    </row>
    <row r="238" spans="1:10" customFormat="1" ht="21">
      <c r="A238" s="176"/>
      <c r="B238" s="172" t="s">
        <v>324</v>
      </c>
      <c r="C238" s="239" t="s">
        <v>1256</v>
      </c>
      <c r="D238" s="197" t="s">
        <v>321</v>
      </c>
      <c r="E238" s="533">
        <v>0.15</v>
      </c>
      <c r="F238" s="533">
        <v>0.21</v>
      </c>
      <c r="G238" s="533">
        <v>0.21</v>
      </c>
      <c r="H238" s="242">
        <v>0.21</v>
      </c>
      <c r="I238" s="516"/>
      <c r="J238" s="173">
        <f t="shared" si="5"/>
        <v>0</v>
      </c>
    </row>
    <row r="239" spans="1:10" customFormat="1" ht="21">
      <c r="A239" s="176"/>
      <c r="B239" s="172" t="s">
        <v>325</v>
      </c>
      <c r="C239" s="239" t="s">
        <v>1257</v>
      </c>
      <c r="D239" s="197" t="s">
        <v>321</v>
      </c>
      <c r="E239" s="533">
        <v>0.15</v>
      </c>
      <c r="F239" s="533">
        <v>0.14000000000000001</v>
      </c>
      <c r="G239" s="533">
        <v>0.35</v>
      </c>
      <c r="H239" s="242">
        <v>0.14000000000000001</v>
      </c>
      <c r="I239" s="516"/>
      <c r="J239" s="173">
        <f t="shared" si="5"/>
        <v>0</v>
      </c>
    </row>
    <row r="240" spans="1:10" customFormat="1" ht="21">
      <c r="A240" s="176"/>
      <c r="B240" s="172" t="s">
        <v>1200</v>
      </c>
      <c r="C240" s="239" t="s">
        <v>1258</v>
      </c>
      <c r="D240" s="197" t="s">
        <v>321</v>
      </c>
      <c r="E240" s="533">
        <v>14.7</v>
      </c>
      <c r="F240" s="533">
        <v>16.12</v>
      </c>
      <c r="G240" s="533">
        <v>21.57</v>
      </c>
      <c r="H240" s="242">
        <v>18.21</v>
      </c>
      <c r="I240" s="516"/>
      <c r="J240" s="173">
        <f t="shared" si="5"/>
        <v>0</v>
      </c>
    </row>
    <row r="241" spans="1:10" customFormat="1">
      <c r="A241" s="212"/>
      <c r="B241" s="168"/>
      <c r="C241" s="239"/>
      <c r="D241" s="197"/>
      <c r="E241" s="533"/>
      <c r="F241" s="533"/>
      <c r="G241" s="533"/>
      <c r="H241" s="513"/>
      <c r="I241" s="514"/>
      <c r="J241" s="169"/>
    </row>
    <row r="242" spans="1:10" customFormat="1" ht="39.75" customHeight="1">
      <c r="A242" s="176"/>
      <c r="B242" s="246" t="s">
        <v>18</v>
      </c>
      <c r="C242" s="232" t="s">
        <v>1259</v>
      </c>
      <c r="D242" s="168"/>
      <c r="E242" s="533"/>
      <c r="F242" s="533"/>
      <c r="G242" s="533"/>
      <c r="H242" s="242"/>
      <c r="I242" s="516"/>
      <c r="J242" s="173"/>
    </row>
    <row r="243" spans="1:10" customFormat="1" ht="21">
      <c r="A243" s="176"/>
      <c r="B243" s="172" t="s">
        <v>181</v>
      </c>
      <c r="C243" s="239" t="s">
        <v>1260</v>
      </c>
      <c r="D243" s="197" t="s">
        <v>321</v>
      </c>
      <c r="E243" s="533">
        <v>0.41</v>
      </c>
      <c r="F243" s="533">
        <v>0.83</v>
      </c>
      <c r="G243" s="533">
        <v>0.41</v>
      </c>
      <c r="H243" s="242">
        <v>0.83</v>
      </c>
      <c r="I243" s="516"/>
      <c r="J243" s="173">
        <f t="shared" si="5"/>
        <v>0</v>
      </c>
    </row>
    <row r="244" spans="1:10" customFormat="1" ht="21">
      <c r="A244" s="176"/>
      <c r="B244" s="172" t="s">
        <v>182</v>
      </c>
      <c r="C244" s="239" t="s">
        <v>1261</v>
      </c>
      <c r="D244" s="197" t="s">
        <v>321</v>
      </c>
      <c r="E244" s="533">
        <v>0.83</v>
      </c>
      <c r="F244" s="533">
        <v>1.66</v>
      </c>
      <c r="G244" s="533">
        <v>1.66</v>
      </c>
      <c r="H244" s="242">
        <v>1.66</v>
      </c>
      <c r="I244" s="516"/>
      <c r="J244" s="173">
        <f t="shared" si="5"/>
        <v>0</v>
      </c>
    </row>
    <row r="245" spans="1:10" customFormat="1" ht="21">
      <c r="A245" s="176"/>
      <c r="B245" s="172" t="s">
        <v>324</v>
      </c>
      <c r="C245" s="239" t="s">
        <v>1262</v>
      </c>
      <c r="D245" s="197" t="s">
        <v>321</v>
      </c>
      <c r="E245" s="533">
        <v>1.24</v>
      </c>
      <c r="F245" s="533">
        <v>0.41</v>
      </c>
      <c r="G245" s="533">
        <v>2.0699999999999998</v>
      </c>
      <c r="H245" s="242">
        <v>0.83</v>
      </c>
      <c r="I245" s="516"/>
      <c r="J245" s="173">
        <f t="shared" si="5"/>
        <v>0</v>
      </c>
    </row>
    <row r="246" spans="1:10" customFormat="1" ht="21">
      <c r="A246" s="176"/>
      <c r="B246" s="172" t="s">
        <v>325</v>
      </c>
      <c r="C246" s="239" t="s">
        <v>1263</v>
      </c>
      <c r="D246" s="197" t="s">
        <v>321</v>
      </c>
      <c r="E246" s="533">
        <v>0.41</v>
      </c>
      <c r="F246" s="533">
        <v>1.24</v>
      </c>
      <c r="G246" s="533">
        <v>1.24</v>
      </c>
      <c r="H246" s="242">
        <v>1.24</v>
      </c>
      <c r="I246" s="516"/>
      <c r="J246" s="173">
        <f t="shared" si="5"/>
        <v>0</v>
      </c>
    </row>
    <row r="247" spans="1:10" customFormat="1" ht="21">
      <c r="A247" s="176"/>
      <c r="B247" s="172" t="s">
        <v>1200</v>
      </c>
      <c r="C247" s="239" t="s">
        <v>1264</v>
      </c>
      <c r="D247" s="197" t="s">
        <v>321</v>
      </c>
      <c r="E247" s="533">
        <v>0.85</v>
      </c>
      <c r="F247" s="533">
        <v>0.45</v>
      </c>
      <c r="G247" s="533">
        <v>0.85</v>
      </c>
      <c r="H247" s="242">
        <v>0.45</v>
      </c>
      <c r="I247" s="516"/>
      <c r="J247" s="173">
        <f t="shared" si="5"/>
        <v>0</v>
      </c>
    </row>
    <row r="248" spans="1:10" customFormat="1" ht="21">
      <c r="A248" s="176"/>
      <c r="B248" s="172" t="s">
        <v>1202</v>
      </c>
      <c r="C248" s="239" t="s">
        <v>1265</v>
      </c>
      <c r="D248" s="197" t="s">
        <v>321</v>
      </c>
      <c r="E248" s="533">
        <v>0.83</v>
      </c>
      <c r="F248" s="533">
        <v>1.81</v>
      </c>
      <c r="G248" s="533">
        <v>1.67</v>
      </c>
      <c r="H248" s="242">
        <v>1.67</v>
      </c>
      <c r="I248" s="516"/>
      <c r="J248" s="173">
        <f>(E247+F248+G248+H248)*I248</f>
        <v>0</v>
      </c>
    </row>
    <row r="249" spans="1:10" customFormat="1" ht="21">
      <c r="A249" s="176"/>
      <c r="B249" s="172" t="s">
        <v>1250</v>
      </c>
      <c r="C249" s="239" t="s">
        <v>1266</v>
      </c>
      <c r="D249" s="197" t="s">
        <v>321</v>
      </c>
      <c r="E249" s="533">
        <v>0.83</v>
      </c>
      <c r="F249" s="533">
        <v>1.22</v>
      </c>
      <c r="G249" s="533">
        <v>1.22</v>
      </c>
      <c r="H249" s="242">
        <v>1.22</v>
      </c>
      <c r="I249" s="516"/>
      <c r="J249" s="173">
        <f>(E248+F249+G249+H249)*I249</f>
        <v>0</v>
      </c>
    </row>
    <row r="250" spans="1:10" customFormat="1" ht="21">
      <c r="A250" s="176"/>
      <c r="B250" s="172" t="s">
        <v>1267</v>
      </c>
      <c r="C250" s="239" t="s">
        <v>1268</v>
      </c>
      <c r="D250" s="197" t="s">
        <v>321</v>
      </c>
      <c r="E250" s="533">
        <v>0.86</v>
      </c>
      <c r="F250" s="533">
        <v>0.83</v>
      </c>
      <c r="G250" s="533">
        <v>1.38</v>
      </c>
      <c r="H250" s="242">
        <v>0.91</v>
      </c>
      <c r="I250" s="516"/>
      <c r="J250" s="173">
        <f>(E249+F250+G250+H250)*I250</f>
        <v>0</v>
      </c>
    </row>
    <row r="251" spans="1:10" customFormat="1">
      <c r="A251" s="212"/>
      <c r="B251" s="168"/>
      <c r="C251" s="212"/>
      <c r="D251" s="168"/>
      <c r="E251" s="513"/>
      <c r="F251" s="533"/>
      <c r="G251" s="533"/>
      <c r="H251" s="513"/>
      <c r="I251" s="514"/>
      <c r="J251" s="169"/>
    </row>
    <row r="252" spans="1:10" customFormat="1" ht="39.75" customHeight="1">
      <c r="A252" s="176"/>
      <c r="B252" s="246" t="s">
        <v>19</v>
      </c>
      <c r="C252" s="232" t="s">
        <v>1269</v>
      </c>
      <c r="D252" s="168"/>
      <c r="E252" s="533"/>
      <c r="F252" s="533"/>
      <c r="G252" s="533"/>
      <c r="H252" s="242"/>
      <c r="I252" s="516"/>
      <c r="J252" s="173"/>
    </row>
    <row r="253" spans="1:10" customFormat="1" ht="21">
      <c r="A253" s="176"/>
      <c r="B253" s="172" t="s">
        <v>181</v>
      </c>
      <c r="C253" s="239" t="s">
        <v>1270</v>
      </c>
      <c r="D253" s="197" t="s">
        <v>321</v>
      </c>
      <c r="E253" s="533">
        <v>0.4</v>
      </c>
      <c r="F253" s="533">
        <v>0.43</v>
      </c>
      <c r="G253" s="533">
        <v>0.69</v>
      </c>
      <c r="H253" s="242">
        <v>0.69</v>
      </c>
      <c r="I253" s="516"/>
      <c r="J253" s="173">
        <f t="shared" si="5"/>
        <v>0</v>
      </c>
    </row>
    <row r="254" spans="1:10" customFormat="1" ht="21">
      <c r="A254" s="176"/>
      <c r="B254" s="172" t="s">
        <v>182</v>
      </c>
      <c r="C254" s="239" t="s">
        <v>1271</v>
      </c>
      <c r="D254" s="197" t="s">
        <v>321</v>
      </c>
      <c r="E254" s="533">
        <v>0.11</v>
      </c>
      <c r="F254" s="533">
        <v>0.06</v>
      </c>
      <c r="G254" s="533">
        <v>0.11</v>
      </c>
      <c r="H254" s="242">
        <v>0.11</v>
      </c>
      <c r="I254" s="516"/>
      <c r="J254" s="173">
        <f t="shared" si="5"/>
        <v>0</v>
      </c>
    </row>
    <row r="255" spans="1:10" customFormat="1" ht="21">
      <c r="A255" s="176"/>
      <c r="B255" s="172" t="s">
        <v>324</v>
      </c>
      <c r="C255" s="239" t="s">
        <v>1272</v>
      </c>
      <c r="D255" s="197" t="s">
        <v>321</v>
      </c>
      <c r="E255" s="533">
        <v>0.88</v>
      </c>
      <c r="F255" s="533">
        <v>0.85</v>
      </c>
      <c r="G255" s="533">
        <v>1.42</v>
      </c>
      <c r="H255" s="242">
        <v>1.1299999999999999</v>
      </c>
      <c r="I255" s="516"/>
      <c r="J255" s="173">
        <f t="shared" si="5"/>
        <v>0</v>
      </c>
    </row>
    <row r="256" spans="1:10" customFormat="1" ht="21">
      <c r="A256" s="176"/>
      <c r="B256" s="172" t="s">
        <v>325</v>
      </c>
      <c r="C256" s="239" t="s">
        <v>1273</v>
      </c>
      <c r="D256" s="197" t="s">
        <v>321</v>
      </c>
      <c r="E256" s="533">
        <v>0.11</v>
      </c>
      <c r="F256" s="533">
        <v>0.22</v>
      </c>
      <c r="G256" s="533">
        <v>0.22</v>
      </c>
      <c r="H256" s="242">
        <v>0.22</v>
      </c>
      <c r="I256" s="516"/>
      <c r="J256" s="173">
        <f t="shared" si="5"/>
        <v>0</v>
      </c>
    </row>
    <row r="257" spans="1:10" customFormat="1" ht="21">
      <c r="A257" s="176"/>
      <c r="B257" s="172" t="s">
        <v>1200</v>
      </c>
      <c r="C257" s="239" t="s">
        <v>1274</v>
      </c>
      <c r="D257" s="197" t="s">
        <v>321</v>
      </c>
      <c r="E257" s="533">
        <v>0.82</v>
      </c>
      <c r="F257" s="533">
        <v>1.04</v>
      </c>
      <c r="G257" s="533">
        <v>1.44</v>
      </c>
      <c r="H257" s="242">
        <v>1.27</v>
      </c>
      <c r="I257" s="516"/>
      <c r="J257" s="173">
        <f t="shared" si="5"/>
        <v>0</v>
      </c>
    </row>
    <row r="258" spans="1:10" customFormat="1" ht="21">
      <c r="A258" s="176"/>
      <c r="B258" s="172" t="s">
        <v>1202</v>
      </c>
      <c r="C258" s="239" t="s">
        <v>1275</v>
      </c>
      <c r="D258" s="197" t="s">
        <v>321</v>
      </c>
      <c r="E258" s="533">
        <v>0.11</v>
      </c>
      <c r="F258" s="533">
        <v>0.22</v>
      </c>
      <c r="G258" s="533">
        <v>0.22</v>
      </c>
      <c r="H258" s="242">
        <v>0.22</v>
      </c>
      <c r="I258" s="516"/>
      <c r="J258" s="173">
        <f t="shared" si="5"/>
        <v>0</v>
      </c>
    </row>
    <row r="259" spans="1:10" customFormat="1" ht="21">
      <c r="A259" s="176"/>
      <c r="B259" s="172" t="s">
        <v>1250</v>
      </c>
      <c r="C259" s="239" t="s">
        <v>1276</v>
      </c>
      <c r="D259" s="197" t="s">
        <v>321</v>
      </c>
      <c r="E259" s="533">
        <v>0.85</v>
      </c>
      <c r="F259" s="533">
        <v>1.06</v>
      </c>
      <c r="G259" s="533">
        <v>1.39</v>
      </c>
      <c r="H259" s="242">
        <v>1.27</v>
      </c>
      <c r="I259" s="516"/>
      <c r="J259" s="173">
        <f t="shared" si="5"/>
        <v>0</v>
      </c>
    </row>
    <row r="260" spans="1:10" customFormat="1" ht="21">
      <c r="A260" s="176"/>
      <c r="B260" s="172" t="s">
        <v>1267</v>
      </c>
      <c r="C260" s="239" t="s">
        <v>1277</v>
      </c>
      <c r="D260" s="197" t="s">
        <v>321</v>
      </c>
      <c r="E260" s="533">
        <v>0.28000000000000003</v>
      </c>
      <c r="F260" s="533">
        <v>0.11</v>
      </c>
      <c r="G260" s="533">
        <v>0.33</v>
      </c>
      <c r="H260" s="242">
        <v>0.22</v>
      </c>
      <c r="I260" s="516"/>
      <c r="J260" s="173">
        <f t="shared" si="5"/>
        <v>0</v>
      </c>
    </row>
    <row r="261" spans="1:10" s="182" customFormat="1" ht="21">
      <c r="A261" s="170"/>
      <c r="B261" s="172" t="s">
        <v>1278</v>
      </c>
      <c r="C261" s="239" t="s">
        <v>1279</v>
      </c>
      <c r="D261" s="197" t="s">
        <v>321</v>
      </c>
      <c r="E261" s="533">
        <v>0.96</v>
      </c>
      <c r="F261" s="520">
        <v>0.86</v>
      </c>
      <c r="G261" s="187">
        <v>1.47</v>
      </c>
      <c r="H261" s="520">
        <v>1.1499999999999999</v>
      </c>
      <c r="I261" s="521"/>
      <c r="J261" s="173">
        <f t="shared" si="5"/>
        <v>0</v>
      </c>
    </row>
    <row r="262" spans="1:10" s="182" customFormat="1" ht="15">
      <c r="A262" s="221">
        <v>2.7</v>
      </c>
      <c r="B262" s="222"/>
      <c r="C262" s="667" t="s">
        <v>1280</v>
      </c>
      <c r="D262" s="667"/>
      <c r="E262" s="529"/>
      <c r="F262" s="529"/>
      <c r="G262" s="529"/>
      <c r="H262" s="530"/>
      <c r="I262" s="531"/>
      <c r="J262" s="226"/>
    </row>
    <row r="263" spans="1:10" s="182" customFormat="1">
      <c r="A263" s="165"/>
      <c r="B263" s="168"/>
      <c r="C263" s="239"/>
      <c r="D263" s="197"/>
      <c r="E263" s="533"/>
      <c r="F263" s="520"/>
      <c r="G263" s="532"/>
      <c r="H263" s="520"/>
      <c r="I263" s="521"/>
      <c r="J263" s="188"/>
    </row>
    <row r="264" spans="1:10" s="182" customFormat="1" ht="102">
      <c r="A264" s="165"/>
      <c r="B264" s="247" t="s">
        <v>9</v>
      </c>
      <c r="C264" s="248" t="s">
        <v>1281</v>
      </c>
      <c r="D264" s="197"/>
      <c r="E264" s="533"/>
      <c r="F264" s="520"/>
      <c r="G264" s="532"/>
      <c r="H264" s="520"/>
      <c r="I264" s="521"/>
      <c r="J264" s="188"/>
    </row>
    <row r="265" spans="1:10" s="182" customFormat="1">
      <c r="A265" s="165"/>
      <c r="B265" s="247"/>
      <c r="C265" s="248" t="s">
        <v>1282</v>
      </c>
      <c r="D265" s="197" t="s">
        <v>321</v>
      </c>
      <c r="E265" s="533">
        <f>1.54+0.56+0.15+0.18+0.25+0.17+0.58+0.42+0.13+0.25</f>
        <v>4.2300000000000004</v>
      </c>
      <c r="F265" s="520">
        <v>5.42</v>
      </c>
      <c r="G265" s="187">
        <f>2.86+1.68+0.17+1.45+1.24+0.42+0.2+0.25</f>
        <v>8.27</v>
      </c>
      <c r="H265" s="520">
        <f>2.42+1.4+0.17+1.16+0.93+0.42+0.2+0.25</f>
        <v>6.9499999999999993</v>
      </c>
      <c r="I265" s="521"/>
      <c r="J265" s="169">
        <f t="shared" ref="J265:J278" si="6">(E265+F265+G265+H265)*I265</f>
        <v>0</v>
      </c>
    </row>
    <row r="266" spans="1:10" s="182" customFormat="1">
      <c r="A266" s="165"/>
      <c r="B266" s="247"/>
      <c r="C266" s="248" t="s">
        <v>1283</v>
      </c>
      <c r="D266" s="197" t="s">
        <v>321</v>
      </c>
      <c r="E266" s="533">
        <f>1.72</f>
        <v>1.72</v>
      </c>
      <c r="F266" s="520">
        <v>2.16</v>
      </c>
      <c r="G266" s="187">
        <v>3.01</v>
      </c>
      <c r="H266" s="520">
        <v>2.58</v>
      </c>
      <c r="I266" s="521"/>
      <c r="J266" s="169">
        <f t="shared" si="6"/>
        <v>0</v>
      </c>
    </row>
    <row r="267" spans="1:10" s="182" customFormat="1">
      <c r="A267" s="165"/>
      <c r="B267" s="247"/>
      <c r="C267" s="239"/>
      <c r="D267" s="197"/>
      <c r="E267" s="533"/>
      <c r="F267" s="520"/>
      <c r="G267" s="532"/>
      <c r="H267" s="520"/>
      <c r="I267" s="521"/>
      <c r="J267" s="169"/>
    </row>
    <row r="268" spans="1:10" s="182" customFormat="1" ht="89.25">
      <c r="A268" s="165"/>
      <c r="B268" s="247" t="s">
        <v>18</v>
      </c>
      <c r="C268" s="248" t="s">
        <v>1284</v>
      </c>
      <c r="D268" s="197"/>
      <c r="E268" s="533"/>
      <c r="F268" s="520"/>
      <c r="G268" s="532"/>
      <c r="H268" s="520"/>
      <c r="I268" s="521"/>
      <c r="J268" s="169"/>
    </row>
    <row r="269" spans="1:10" s="182" customFormat="1">
      <c r="A269" s="165"/>
      <c r="B269" s="168"/>
      <c r="C269" s="239"/>
      <c r="D269" s="197" t="s">
        <v>321</v>
      </c>
      <c r="E269" s="533">
        <f>0.28+0.1+0.2+0.03+0.03+0.06+0.03+0.14+0.18+0.04+0.06</f>
        <v>1.1500000000000004</v>
      </c>
      <c r="F269" s="520">
        <v>1.42</v>
      </c>
      <c r="G269" s="187">
        <f>0.52+0.3+0.35+0.03+0.35+0.28+0.18+0.03+0.06</f>
        <v>2.0999999999999996</v>
      </c>
      <c r="H269" s="520">
        <f>0.44+0.25+0.3+0.03+0.28+0.21+0.18+0.03+0.06</f>
        <v>1.78</v>
      </c>
      <c r="I269" s="521"/>
      <c r="J269" s="169">
        <f t="shared" si="6"/>
        <v>0</v>
      </c>
    </row>
    <row r="270" spans="1:10" s="182" customFormat="1" ht="102">
      <c r="A270" s="165"/>
      <c r="B270" s="247" t="s">
        <v>19</v>
      </c>
      <c r="C270" s="248" t="s">
        <v>1285</v>
      </c>
      <c r="D270" s="197"/>
      <c r="E270" s="533"/>
      <c r="F270" s="520"/>
      <c r="G270" s="532"/>
      <c r="H270" s="520"/>
      <c r="I270" s="521"/>
      <c r="J270" s="169"/>
    </row>
    <row r="271" spans="1:10" s="182" customFormat="1">
      <c r="A271" s="165"/>
      <c r="B271" s="168"/>
      <c r="C271" s="239" t="s">
        <v>1286</v>
      </c>
      <c r="D271" s="197" t="s">
        <v>321</v>
      </c>
      <c r="E271" s="533">
        <v>0.22</v>
      </c>
      <c r="F271" s="520"/>
      <c r="G271" s="532"/>
      <c r="H271" s="520"/>
      <c r="I271" s="521"/>
      <c r="J271" s="169">
        <f t="shared" si="6"/>
        <v>0</v>
      </c>
    </row>
    <row r="272" spans="1:10" s="182" customFormat="1">
      <c r="A272" s="165"/>
      <c r="B272" s="168"/>
      <c r="C272" s="239" t="s">
        <v>1287</v>
      </c>
      <c r="D272" s="197" t="s">
        <v>321</v>
      </c>
      <c r="E272" s="533">
        <v>1.56</v>
      </c>
      <c r="F272" s="520">
        <v>2.34</v>
      </c>
      <c r="G272" s="187">
        <v>3.38</v>
      </c>
      <c r="H272" s="520">
        <v>2.86</v>
      </c>
      <c r="I272" s="521"/>
      <c r="J272" s="169">
        <f t="shared" si="6"/>
        <v>0</v>
      </c>
    </row>
    <row r="273" spans="1:10" s="182" customFormat="1">
      <c r="A273" s="165"/>
      <c r="B273" s="168"/>
      <c r="C273" s="239"/>
      <c r="D273" s="197"/>
      <c r="E273" s="533"/>
      <c r="F273" s="520"/>
      <c r="G273" s="532"/>
      <c r="H273" s="520"/>
      <c r="I273" s="521"/>
      <c r="J273" s="169"/>
    </row>
    <row r="274" spans="1:10" customFormat="1" ht="15">
      <c r="A274" s="243">
        <v>2.8</v>
      </c>
      <c r="B274" s="222"/>
      <c r="C274" s="223" t="s">
        <v>1288</v>
      </c>
      <c r="D274" s="225"/>
      <c r="E274" s="530"/>
      <c r="F274" s="530"/>
      <c r="G274" s="530"/>
      <c r="H274" s="530"/>
      <c r="I274" s="531"/>
      <c r="J274" s="227"/>
    </row>
    <row r="275" spans="1:10" customFormat="1">
      <c r="A275" s="212"/>
      <c r="B275" s="233"/>
      <c r="C275" s="239"/>
      <c r="D275" s="197"/>
      <c r="E275" s="533"/>
      <c r="F275" s="533"/>
      <c r="G275" s="533"/>
      <c r="H275" s="513"/>
      <c r="I275" s="514"/>
      <c r="J275" s="169"/>
    </row>
    <row r="276" spans="1:10" customFormat="1" ht="38.25">
      <c r="A276" s="212"/>
      <c r="B276" s="246" t="s">
        <v>9</v>
      </c>
      <c r="C276" s="232" t="s">
        <v>1289</v>
      </c>
      <c r="D276" s="168"/>
      <c r="E276" s="513"/>
      <c r="F276" s="513"/>
      <c r="G276" s="513"/>
      <c r="H276" s="513"/>
      <c r="I276" s="514"/>
      <c r="J276" s="169"/>
    </row>
    <row r="277" spans="1:10" customFormat="1">
      <c r="A277" s="212"/>
      <c r="B277" s="168" t="s">
        <v>181</v>
      </c>
      <c r="C277" s="234" t="s">
        <v>1290</v>
      </c>
      <c r="D277" s="197" t="s">
        <v>321</v>
      </c>
      <c r="E277" s="533">
        <v>8.5</v>
      </c>
      <c r="F277" s="533">
        <v>8.5</v>
      </c>
      <c r="G277" s="533">
        <v>9.51</v>
      </c>
      <c r="H277" s="513">
        <v>9.51</v>
      </c>
      <c r="I277" s="514"/>
      <c r="J277" s="169">
        <f t="shared" si="6"/>
        <v>0</v>
      </c>
    </row>
    <row r="278" spans="1:10" customFormat="1">
      <c r="A278" s="212"/>
      <c r="B278" s="168" t="s">
        <v>182</v>
      </c>
      <c r="C278" s="234" t="s">
        <v>1291</v>
      </c>
      <c r="D278" s="197" t="s">
        <v>321</v>
      </c>
      <c r="E278" s="533">
        <v>3.14</v>
      </c>
      <c r="F278" s="533">
        <v>3.14</v>
      </c>
      <c r="G278" s="533">
        <v>3.14</v>
      </c>
      <c r="H278" s="513">
        <v>3.14</v>
      </c>
      <c r="I278" s="514"/>
      <c r="J278" s="169">
        <f t="shared" si="6"/>
        <v>0</v>
      </c>
    </row>
    <row r="279" spans="1:10" customFormat="1">
      <c r="A279" s="212"/>
      <c r="B279" s="233"/>
      <c r="C279" s="239"/>
      <c r="D279" s="197"/>
      <c r="E279" s="533"/>
      <c r="F279" s="533"/>
      <c r="G279" s="533"/>
      <c r="H279" s="513"/>
      <c r="I279" s="514"/>
      <c r="J279" s="169"/>
    </row>
    <row r="280" spans="1:10" customFormat="1" ht="17.25" customHeight="1">
      <c r="A280" s="243">
        <v>2.9</v>
      </c>
      <c r="B280" s="222"/>
      <c r="C280" s="664" t="s">
        <v>1292</v>
      </c>
      <c r="D280" s="664"/>
      <c r="E280" s="530"/>
      <c r="F280" s="530"/>
      <c r="G280" s="530"/>
      <c r="H280" s="530"/>
      <c r="I280" s="531"/>
      <c r="J280" s="226"/>
    </row>
    <row r="281" spans="1:10" customFormat="1" ht="15">
      <c r="A281" s="249"/>
      <c r="B281" s="250"/>
      <c r="C281" s="251"/>
      <c r="D281" s="252"/>
      <c r="E281" s="538"/>
      <c r="F281" s="538"/>
      <c r="G281" s="538"/>
      <c r="H281" s="538"/>
      <c r="I281" s="539"/>
      <c r="J281" s="253"/>
    </row>
    <row r="282" spans="1:10" customFormat="1" ht="140.25">
      <c r="A282" s="249"/>
      <c r="B282" s="231" t="s">
        <v>9</v>
      </c>
      <c r="C282" s="232" t="s">
        <v>1293</v>
      </c>
      <c r="D282" s="168"/>
      <c r="E282" s="513"/>
      <c r="F282" s="513"/>
      <c r="G282" s="513"/>
      <c r="H282" s="520"/>
      <c r="I282" s="521"/>
      <c r="J282" s="188"/>
    </row>
    <row r="283" spans="1:10" customFormat="1" ht="15">
      <c r="A283" s="249"/>
      <c r="B283" s="233"/>
      <c r="C283" s="234" t="s">
        <v>1294</v>
      </c>
      <c r="D283" s="197" t="s">
        <v>1120</v>
      </c>
      <c r="E283" s="533"/>
      <c r="F283" s="533"/>
      <c r="G283" s="533">
        <v>132</v>
      </c>
      <c r="H283" s="242"/>
      <c r="I283" s="516"/>
      <c r="J283" s="173">
        <f>(E283+F283+G283+H283)*I283</f>
        <v>0</v>
      </c>
    </row>
    <row r="284" spans="1:10" customFormat="1" ht="25.5">
      <c r="A284" s="249"/>
      <c r="B284" s="250"/>
      <c r="C284" s="234" t="s">
        <v>1295</v>
      </c>
      <c r="D284" s="197" t="s">
        <v>1120</v>
      </c>
      <c r="E284" s="533"/>
      <c r="F284" s="533"/>
      <c r="G284" s="533">
        <v>24.77</v>
      </c>
      <c r="H284" s="242"/>
      <c r="I284" s="516"/>
      <c r="J284" s="173">
        <f t="shared" ref="J284:J285" si="7">(E284+F284+G284+H284)*I284</f>
        <v>0</v>
      </c>
    </row>
    <row r="285" spans="1:10" customFormat="1" ht="25.5">
      <c r="A285" s="249"/>
      <c r="B285" s="250"/>
      <c r="C285" s="234" t="s">
        <v>1296</v>
      </c>
      <c r="D285" s="197" t="s">
        <v>1120</v>
      </c>
      <c r="E285" s="533"/>
      <c r="F285" s="533"/>
      <c r="G285" s="533">
        <v>23.87</v>
      </c>
      <c r="H285" s="242"/>
      <c r="I285" s="516"/>
      <c r="J285" s="173">
        <f t="shared" si="7"/>
        <v>0</v>
      </c>
    </row>
    <row r="286" spans="1:10" customFormat="1" ht="15">
      <c r="A286" s="249"/>
      <c r="B286" s="250"/>
      <c r="C286" s="251"/>
      <c r="D286" s="252"/>
      <c r="E286" s="538"/>
      <c r="F286" s="538"/>
      <c r="G286" s="538"/>
      <c r="H286" s="538"/>
      <c r="I286" s="539"/>
      <c r="J286" s="253"/>
    </row>
    <row r="287" spans="1:10" customFormat="1" ht="38.25">
      <c r="A287" s="176"/>
      <c r="B287" s="231" t="s">
        <v>18</v>
      </c>
      <c r="C287" s="232" t="s">
        <v>1297</v>
      </c>
      <c r="D287" s="168"/>
      <c r="E287" s="513"/>
      <c r="F287" s="513"/>
      <c r="G287" s="513"/>
      <c r="H287" s="520"/>
      <c r="I287" s="521"/>
      <c r="J287" s="173"/>
    </row>
    <row r="288" spans="1:10" customFormat="1" ht="25.5">
      <c r="A288" s="176"/>
      <c r="B288" s="231"/>
      <c r="C288" s="254" t="s">
        <v>1298</v>
      </c>
      <c r="D288" s="197" t="s">
        <v>321</v>
      </c>
      <c r="E288" s="533"/>
      <c r="F288" s="533"/>
      <c r="G288" s="533">
        <v>10.58</v>
      </c>
      <c r="H288" s="520"/>
      <c r="I288" s="521"/>
      <c r="J288" s="173">
        <f t="shared" ref="J288:J289" si="8">(E288+F288+G288+H288)*I288</f>
        <v>0</v>
      </c>
    </row>
    <row r="289" spans="1:10" customFormat="1" ht="25.5">
      <c r="A289" s="176"/>
      <c r="B289" s="233"/>
      <c r="C289" s="254" t="s">
        <v>1299</v>
      </c>
      <c r="D289" s="197" t="s">
        <v>321</v>
      </c>
      <c r="E289" s="533"/>
      <c r="F289" s="533"/>
      <c r="G289" s="533">
        <v>10.85</v>
      </c>
      <c r="H289" s="520"/>
      <c r="I289" s="521"/>
      <c r="J289" s="173">
        <f t="shared" si="8"/>
        <v>0</v>
      </c>
    </row>
    <row r="290" spans="1:10" customFormat="1" ht="21">
      <c r="A290" s="176"/>
      <c r="B290" s="233"/>
      <c r="C290" s="239"/>
      <c r="D290" s="197"/>
      <c r="E290" s="533"/>
      <c r="F290" s="533"/>
      <c r="G290" s="533"/>
      <c r="H290" s="242"/>
      <c r="I290" s="516"/>
      <c r="J290" s="173"/>
    </row>
    <row r="291" spans="1:10" customFormat="1" ht="38.25">
      <c r="A291" s="176"/>
      <c r="B291" s="231" t="s">
        <v>19</v>
      </c>
      <c r="C291" s="232" t="s">
        <v>1300</v>
      </c>
      <c r="D291" s="168"/>
      <c r="E291" s="513"/>
      <c r="F291" s="513"/>
      <c r="G291" s="513"/>
      <c r="H291" s="242"/>
      <c r="I291" s="516"/>
      <c r="J291" s="173"/>
    </row>
    <row r="292" spans="1:10" customFormat="1" ht="26.25" customHeight="1">
      <c r="B292" s="238"/>
      <c r="C292" s="239" t="s">
        <v>1301</v>
      </c>
      <c r="D292" s="197" t="s">
        <v>321</v>
      </c>
      <c r="E292" s="533"/>
      <c r="F292" s="533"/>
      <c r="G292" s="533">
        <v>27.94</v>
      </c>
      <c r="H292" s="242"/>
      <c r="I292" s="516"/>
      <c r="J292" s="173">
        <f t="shared" ref="J292" si="9">(E292+F292+G292+H292)*I292</f>
        <v>0</v>
      </c>
    </row>
    <row r="293" spans="1:10" customFormat="1" ht="26.25" customHeight="1">
      <c r="B293" s="238"/>
      <c r="C293" s="239"/>
      <c r="D293" s="197"/>
      <c r="E293" s="533"/>
      <c r="F293" s="533"/>
      <c r="G293" s="533"/>
      <c r="H293" s="242"/>
      <c r="I293" s="516"/>
      <c r="J293" s="173"/>
    </row>
    <row r="294" spans="1:10" customFormat="1" ht="89.25">
      <c r="B294" s="231" t="s">
        <v>20</v>
      </c>
      <c r="C294" s="232" t="s">
        <v>1302</v>
      </c>
      <c r="D294" s="168"/>
      <c r="E294" s="513"/>
      <c r="F294" s="513"/>
      <c r="G294" s="513"/>
      <c r="H294" s="242"/>
      <c r="I294" s="516"/>
      <c r="J294" s="173"/>
    </row>
    <row r="295" spans="1:10" customFormat="1" ht="17.25" customHeight="1">
      <c r="B295" s="238"/>
      <c r="C295" s="239" t="s">
        <v>1303</v>
      </c>
      <c r="D295" s="197" t="s">
        <v>321</v>
      </c>
      <c r="E295" s="533"/>
      <c r="F295" s="533"/>
      <c r="G295" s="533">
        <v>26.4</v>
      </c>
      <c r="H295" s="520"/>
      <c r="I295" s="521"/>
      <c r="J295" s="173">
        <f t="shared" ref="J295" si="10">(E295+F295+G295+H295)*I295</f>
        <v>0</v>
      </c>
    </row>
    <row r="296" spans="1:10" customFormat="1" ht="17.25" customHeight="1">
      <c r="B296" s="238"/>
      <c r="C296" s="239"/>
      <c r="D296" s="197"/>
      <c r="E296" s="533"/>
      <c r="F296" s="533"/>
      <c r="G296" s="533"/>
      <c r="H296" s="520"/>
      <c r="I296" s="521"/>
      <c r="J296" s="173"/>
    </row>
    <row r="297" spans="1:10" s="182" customFormat="1" ht="15">
      <c r="A297" s="255">
        <v>2.1</v>
      </c>
      <c r="B297" s="222"/>
      <c r="C297" s="223" t="s">
        <v>1304</v>
      </c>
      <c r="D297" s="225"/>
      <c r="E297" s="530"/>
      <c r="F297" s="530"/>
      <c r="G297" s="530"/>
      <c r="H297" s="530"/>
      <c r="I297" s="531"/>
      <c r="J297" s="226"/>
    </row>
    <row r="298" spans="1:10" s="182" customFormat="1" ht="15">
      <c r="A298" s="256"/>
      <c r="B298" s="250"/>
      <c r="C298" s="251"/>
      <c r="D298" s="252"/>
      <c r="E298" s="538"/>
      <c r="F298" s="538"/>
      <c r="G298" s="538"/>
      <c r="H298" s="538"/>
      <c r="I298" s="539"/>
      <c r="J298" s="253"/>
    </row>
    <row r="299" spans="1:10" s="182" customFormat="1" ht="140.25">
      <c r="A299" s="256"/>
      <c r="B299" s="231" t="s">
        <v>9</v>
      </c>
      <c r="C299" s="232" t="s">
        <v>1305</v>
      </c>
      <c r="D299" s="168"/>
      <c r="E299" s="513"/>
      <c r="F299" s="513"/>
      <c r="G299" s="513"/>
      <c r="H299" s="520"/>
      <c r="I299" s="521"/>
      <c r="J299" s="188"/>
    </row>
    <row r="300" spans="1:10" s="182" customFormat="1" ht="15">
      <c r="A300" s="256"/>
      <c r="B300" s="233"/>
      <c r="C300" s="234" t="s">
        <v>1306</v>
      </c>
      <c r="D300" s="197" t="s">
        <v>1120</v>
      </c>
      <c r="E300" s="533">
        <v>56</v>
      </c>
      <c r="F300" s="533">
        <v>38</v>
      </c>
      <c r="G300" s="533">
        <v>54</v>
      </c>
      <c r="H300" s="242">
        <v>55</v>
      </c>
      <c r="I300" s="516"/>
      <c r="J300" s="173">
        <f>(E300+F300+G300+H300)*I300</f>
        <v>0</v>
      </c>
    </row>
    <row r="301" spans="1:10" s="182" customFormat="1" ht="15">
      <c r="C301" s="234" t="s">
        <v>1307</v>
      </c>
      <c r="D301" s="197" t="s">
        <v>1120</v>
      </c>
      <c r="E301" s="533"/>
      <c r="F301" s="533"/>
      <c r="G301" s="533">
        <v>12.86</v>
      </c>
      <c r="H301" s="242"/>
      <c r="I301" s="516"/>
      <c r="J301" s="173">
        <f>(E301+F301+G301+H301)*I301</f>
        <v>0</v>
      </c>
    </row>
    <row r="302" spans="1:10" s="182" customFormat="1">
      <c r="D302" s="257"/>
      <c r="E302" s="540"/>
      <c r="F302" s="540"/>
      <c r="G302" s="540"/>
      <c r="H302" s="540"/>
      <c r="I302" s="541"/>
      <c r="J302" s="559"/>
    </row>
    <row r="303" spans="1:10" s="182" customFormat="1" ht="102">
      <c r="B303" s="218" t="s">
        <v>18</v>
      </c>
      <c r="C303" s="248" t="s">
        <v>1308</v>
      </c>
      <c r="D303" s="257"/>
      <c r="E303" s="540"/>
      <c r="F303" s="540"/>
      <c r="G303" s="540"/>
      <c r="H303" s="540"/>
      <c r="I303" s="541"/>
      <c r="J303" s="559"/>
    </row>
    <row r="304" spans="1:10" s="182" customFormat="1" ht="15">
      <c r="C304" s="258" t="s">
        <v>1309</v>
      </c>
      <c r="D304" s="197" t="s">
        <v>321</v>
      </c>
      <c r="E304" s="540">
        <v>10.08</v>
      </c>
      <c r="F304" s="540">
        <v>6.84</v>
      </c>
      <c r="G304" s="540">
        <v>9.7200000000000006</v>
      </c>
      <c r="H304" s="540">
        <v>9.76</v>
      </c>
      <c r="I304" s="541"/>
      <c r="J304" s="173">
        <f t="shared" ref="J304:J315" si="11">(E304+F304+G304+H304)*I304</f>
        <v>0</v>
      </c>
    </row>
    <row r="305" spans="1:10" s="182" customFormat="1" ht="25.5">
      <c r="C305" s="258" t="s">
        <v>1310</v>
      </c>
      <c r="D305" s="197" t="s">
        <v>321</v>
      </c>
      <c r="E305" s="540"/>
      <c r="F305" s="540"/>
      <c r="G305" s="540">
        <v>2.4900000000000002</v>
      </c>
      <c r="H305" s="540"/>
      <c r="I305" s="541"/>
      <c r="J305" s="173">
        <f t="shared" si="11"/>
        <v>0</v>
      </c>
    </row>
    <row r="306" spans="1:10" s="182" customFormat="1" ht="15">
      <c r="C306" s="258"/>
      <c r="D306" s="197"/>
      <c r="E306" s="540"/>
      <c r="F306" s="540"/>
      <c r="G306" s="540"/>
      <c r="H306" s="540"/>
      <c r="I306" s="541"/>
      <c r="J306" s="173"/>
    </row>
    <row r="307" spans="1:10" s="182" customFormat="1" ht="102">
      <c r="B307" s="218" t="s">
        <v>19</v>
      </c>
      <c r="C307" s="248" t="s">
        <v>1311</v>
      </c>
      <c r="D307" s="257"/>
      <c r="E307" s="540"/>
      <c r="F307" s="540"/>
      <c r="G307" s="540"/>
      <c r="H307" s="540"/>
      <c r="I307" s="541"/>
      <c r="J307" s="173"/>
    </row>
    <row r="308" spans="1:10" s="182" customFormat="1" ht="15">
      <c r="C308" s="258" t="s">
        <v>1312</v>
      </c>
      <c r="D308" s="197" t="s">
        <v>321</v>
      </c>
      <c r="E308" s="540">
        <v>8.9600000000000009</v>
      </c>
      <c r="F308" s="540">
        <v>6.08</v>
      </c>
      <c r="G308" s="540">
        <v>8.64</v>
      </c>
      <c r="H308" s="540">
        <v>8.68</v>
      </c>
      <c r="I308" s="541"/>
      <c r="J308" s="173">
        <f t="shared" si="11"/>
        <v>0</v>
      </c>
    </row>
    <row r="309" spans="1:10" s="182" customFormat="1" ht="25.5">
      <c r="A309" s="176"/>
      <c r="B309" s="238"/>
      <c r="C309" s="258" t="s">
        <v>1313</v>
      </c>
      <c r="D309" s="197" t="s">
        <v>321</v>
      </c>
      <c r="E309" s="533"/>
      <c r="F309" s="533"/>
      <c r="G309" s="533">
        <v>2.0499999999999998</v>
      </c>
      <c r="H309" s="520"/>
      <c r="I309" s="521"/>
      <c r="J309" s="173">
        <f t="shared" si="11"/>
        <v>0</v>
      </c>
    </row>
    <row r="310" spans="1:10" s="182" customFormat="1" ht="25.5">
      <c r="A310" s="176"/>
      <c r="B310" s="238"/>
      <c r="C310" s="258" t="s">
        <v>1314</v>
      </c>
      <c r="D310" s="197" t="s">
        <v>321</v>
      </c>
      <c r="E310" s="533"/>
      <c r="F310" s="533"/>
      <c r="G310" s="533">
        <v>0.98</v>
      </c>
      <c r="H310" s="520"/>
      <c r="I310" s="521"/>
      <c r="J310" s="173">
        <f t="shared" si="11"/>
        <v>0</v>
      </c>
    </row>
    <row r="311" spans="1:10" customFormat="1" ht="21">
      <c r="A311" s="230"/>
      <c r="B311" s="246"/>
      <c r="C311" s="232"/>
      <c r="D311" s="168"/>
      <c r="E311" s="513"/>
      <c r="F311" s="513"/>
      <c r="G311" s="513"/>
      <c r="H311" s="242"/>
      <c r="I311" s="516"/>
      <c r="J311" s="173"/>
    </row>
    <row r="312" spans="1:10" customFormat="1" ht="20.25" customHeight="1">
      <c r="A312" s="259">
        <v>2.11</v>
      </c>
      <c r="B312" s="222"/>
      <c r="C312" s="223" t="s">
        <v>1315</v>
      </c>
      <c r="D312" s="224"/>
      <c r="E312" s="529"/>
      <c r="F312" s="529"/>
      <c r="G312" s="529"/>
      <c r="H312" s="530"/>
      <c r="I312" s="531"/>
      <c r="J312" s="227"/>
    </row>
    <row r="313" spans="1:10" customFormat="1" ht="21">
      <c r="A313" s="170"/>
      <c r="B313" s="228"/>
      <c r="C313" s="220"/>
      <c r="D313" s="229"/>
      <c r="E313" s="520"/>
      <c r="F313" s="520"/>
      <c r="G313" s="532"/>
      <c r="H313" s="242"/>
      <c r="I313" s="516"/>
      <c r="J313" s="173"/>
    </row>
    <row r="314" spans="1:10" customFormat="1" ht="51">
      <c r="A314" s="230"/>
      <c r="B314" s="231"/>
      <c r="C314" s="190" t="s">
        <v>1316</v>
      </c>
      <c r="D314" s="168"/>
      <c r="E314" s="513"/>
      <c r="F314" s="513"/>
      <c r="G314" s="513"/>
      <c r="H314" s="242"/>
      <c r="I314" s="516"/>
      <c r="J314" s="173"/>
    </row>
    <row r="315" spans="1:10" s="182" customFormat="1" ht="21">
      <c r="A315" s="176"/>
      <c r="B315" s="177"/>
      <c r="C315" s="237"/>
      <c r="D315" s="197" t="s">
        <v>114</v>
      </c>
      <c r="E315" s="542">
        <v>137384</v>
      </c>
      <c r="F315" s="542">
        <v>158480</v>
      </c>
      <c r="G315" s="542">
        <v>310580</v>
      </c>
      <c r="H315" s="543">
        <v>246250</v>
      </c>
      <c r="I315" s="521"/>
      <c r="J315" s="173">
        <f t="shared" si="11"/>
        <v>0</v>
      </c>
    </row>
    <row r="316" spans="1:10">
      <c r="C316"/>
    </row>
    <row r="317" spans="1:10" ht="13.5" thickBot="1">
      <c r="C317"/>
    </row>
    <row r="318" spans="1:10" customFormat="1" ht="21.75" thickBot="1">
      <c r="A318" s="49">
        <v>2</v>
      </c>
      <c r="B318" s="51"/>
      <c r="C318" s="52" t="s">
        <v>1317</v>
      </c>
      <c r="D318" s="17"/>
      <c r="E318" s="17"/>
      <c r="F318" s="17"/>
      <c r="G318" s="104"/>
      <c r="H318" s="348"/>
      <c r="I318" s="348"/>
      <c r="J318" s="260">
        <f>SUM(J121:J316)</f>
        <v>0</v>
      </c>
    </row>
    <row r="319" spans="1:10">
      <c r="C319"/>
    </row>
    <row r="320" spans="1:10">
      <c r="C320"/>
    </row>
    <row r="321" spans="1:10">
      <c r="C321"/>
    </row>
    <row r="322" spans="1:10">
      <c r="C322"/>
    </row>
    <row r="323" spans="1:10">
      <c r="C323"/>
    </row>
    <row r="324" spans="1:10">
      <c r="C324"/>
    </row>
    <row r="325" spans="1:10">
      <c r="C325"/>
    </row>
    <row r="326" spans="1:10">
      <c r="C326"/>
    </row>
    <row r="327" spans="1:10">
      <c r="C327"/>
    </row>
    <row r="328" spans="1:10">
      <c r="C328"/>
    </row>
    <row r="329" spans="1:10">
      <c r="C329"/>
    </row>
    <row r="330" spans="1:10">
      <c r="C330"/>
    </row>
    <row r="331" spans="1:10">
      <c r="C331"/>
    </row>
    <row r="332" spans="1:10">
      <c r="C332"/>
    </row>
    <row r="333" spans="1:10">
      <c r="C333"/>
    </row>
    <row r="334" spans="1:10" ht="23.25">
      <c r="A334" s="610"/>
      <c r="B334" s="63"/>
      <c r="C334" s="64" t="s">
        <v>1318</v>
      </c>
      <c r="D334" s="65"/>
      <c r="E334" s="66"/>
      <c r="F334" s="330"/>
      <c r="G334" s="330"/>
      <c r="H334" s="330"/>
      <c r="I334" s="330"/>
      <c r="J334" s="305"/>
    </row>
    <row r="335" spans="1:10" ht="13.5" thickBot="1">
      <c r="C335" s="21"/>
    </row>
    <row r="336" spans="1:10" ht="19.5" thickBot="1">
      <c r="A336" s="68" t="s">
        <v>9</v>
      </c>
      <c r="B336" s="69"/>
      <c r="C336" s="70" t="s">
        <v>1152</v>
      </c>
      <c r="D336" s="71"/>
      <c r="E336" s="72"/>
      <c r="F336" s="331"/>
      <c r="G336" s="331"/>
      <c r="H336" s="331"/>
      <c r="I336" s="331">
        <f>J119</f>
        <v>0</v>
      </c>
      <c r="J336" s="261"/>
    </row>
    <row r="337" spans="1:10" ht="19.5" thickBot="1">
      <c r="A337" s="68" t="s">
        <v>18</v>
      </c>
      <c r="B337" s="69"/>
      <c r="C337" s="74" t="s">
        <v>1319</v>
      </c>
      <c r="D337" s="71"/>
      <c r="E337" s="72"/>
      <c r="F337" s="331"/>
      <c r="G337" s="331"/>
      <c r="H337" s="331"/>
      <c r="I337" s="331">
        <f>J318</f>
        <v>0</v>
      </c>
      <c r="J337" s="261"/>
    </row>
    <row r="339" spans="1:10" ht="23.25">
      <c r="A339" s="610"/>
      <c r="B339" s="63"/>
      <c r="C339" s="64" t="s">
        <v>1320</v>
      </c>
      <c r="D339" s="65"/>
      <c r="E339" s="66"/>
      <c r="F339" s="330"/>
      <c r="G339" s="330"/>
      <c r="H339" s="330"/>
      <c r="I339" s="330">
        <f>SUM(I336:I337)</f>
        <v>0</v>
      </c>
      <c r="J339" s="305"/>
    </row>
  </sheetData>
  <mergeCells count="7">
    <mergeCell ref="C280:D280"/>
    <mergeCell ref="B73:B74"/>
    <mergeCell ref="B81:B82"/>
    <mergeCell ref="B85:B86"/>
    <mergeCell ref="B107:B109"/>
    <mergeCell ref="C233:D233"/>
    <mergeCell ref="C262:D262"/>
  </mergeCells>
  <conditionalFormatting sqref="F69">
    <cfRule type="cellIs" dxfId="1" priority="2" stopIfTrue="1" operator="greaterThan">
      <formula>0</formula>
    </cfRule>
  </conditionalFormatting>
  <conditionalFormatting sqref="F77">
    <cfRule type="cellIs" dxfId="0" priority="1" stopIfTrue="1" operator="greaterThan">
      <formula>0</formula>
    </cfRule>
  </conditionalFormatting>
  <pageMargins left="0.70866141732283472" right="0.31496062992125984" top="0.74803149606299213" bottom="0.74803149606299213" header="0.31496062992125984" footer="0.31496062992125984"/>
  <pageSetup paperSize="9" scale="89" orientation="portrait" r:id="rId1"/>
  <headerFooter differentFirst="1">
    <oddHeader>&amp;L&amp;K01+043Troškovnik&amp;C&amp;"-,Podebljano"&amp;K01+043PROJEKT KONSTRUKCIJE
Zgrada&amp;R&amp;K01+043STAMBENO - POSLOVNA GRAĐEVINA, BLATO</oddHeader>
    <oddFooter>&amp;C&amp;K00-049V V - PROJEKT d.o.o. Put Supavla 1, 21000 Split, tel/fax: 021/322-249</oddFooter>
  </headerFooter>
  <rowBreaks count="5" manualBreakCount="5">
    <brk id="46" max="16383" man="1"/>
    <brk id="76" max="16383" man="1"/>
    <brk id="119" max="16383" man="1"/>
    <brk id="149" max="16383" man="1"/>
    <brk id="261"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132"/>
  <sheetViews>
    <sheetView view="pageBreakPreview" topLeftCell="A109" zoomScale="120" zoomScaleNormal="100" zoomScaleSheetLayoutView="120" workbookViewId="0">
      <selection activeCell="C10" sqref="C10"/>
    </sheetView>
  </sheetViews>
  <sheetFormatPr defaultColWidth="8" defaultRowHeight="12.75"/>
  <cols>
    <col min="1" max="1" width="6" style="40" customWidth="1"/>
    <col min="2" max="2" width="5.5703125" style="41" customWidth="1"/>
    <col min="3" max="3" width="61.85546875" style="56" customWidth="1"/>
    <col min="4" max="4" width="5.5703125" style="1" customWidth="1"/>
    <col min="5" max="5" width="8.7109375" style="42" customWidth="1"/>
    <col min="6" max="6" width="11.28515625" style="15" customWidth="1"/>
    <col min="7" max="7" width="12.7109375" style="306" customWidth="1"/>
    <col min="8" max="16384" width="8" style="21"/>
  </cols>
  <sheetData>
    <row r="4" spans="1:7" ht="46.5">
      <c r="A4" s="90"/>
      <c r="B4" s="21"/>
      <c r="C4" s="20" t="s">
        <v>0</v>
      </c>
      <c r="D4" s="21"/>
      <c r="E4" s="92"/>
      <c r="F4" s="92"/>
      <c r="G4" s="432"/>
    </row>
    <row r="5" spans="1:7">
      <c r="A5" s="90"/>
      <c r="B5" s="21"/>
      <c r="C5" s="22"/>
      <c r="D5" s="21"/>
      <c r="E5" s="92"/>
      <c r="F5" s="92"/>
      <c r="G5" s="432"/>
    </row>
    <row r="6" spans="1:7" ht="21">
      <c r="A6" s="90"/>
      <c r="B6" s="21"/>
      <c r="C6" s="23" t="s">
        <v>428</v>
      </c>
      <c r="D6" s="21"/>
      <c r="E6" s="92"/>
      <c r="F6" s="92"/>
      <c r="G6" s="432"/>
    </row>
    <row r="7" spans="1:7" ht="21">
      <c r="A7" s="90"/>
      <c r="B7" s="21"/>
      <c r="C7" s="24"/>
      <c r="D7" s="21"/>
      <c r="E7" s="92"/>
      <c r="F7" s="92"/>
      <c r="G7" s="432"/>
    </row>
    <row r="8" spans="1:7" ht="23.25">
      <c r="A8" s="90"/>
      <c r="B8" s="21"/>
      <c r="C8" s="25" t="s">
        <v>1321</v>
      </c>
      <c r="D8" s="21"/>
      <c r="E8" s="92"/>
      <c r="F8" s="92"/>
      <c r="G8" s="432"/>
    </row>
    <row r="9" spans="1:7" ht="15.75">
      <c r="A9" s="90"/>
      <c r="B9" s="21"/>
      <c r="C9" s="26" t="s">
        <v>1089</v>
      </c>
      <c r="D9" s="21"/>
      <c r="E9" s="92"/>
      <c r="F9" s="92"/>
      <c r="G9" s="432"/>
    </row>
    <row r="10" spans="1:7" ht="15.75">
      <c r="A10" s="90"/>
      <c r="B10" s="21"/>
      <c r="C10" s="612" t="s">
        <v>1322</v>
      </c>
      <c r="D10" s="21"/>
      <c r="E10" s="92"/>
      <c r="F10" s="92"/>
      <c r="G10" s="432"/>
    </row>
    <row r="11" spans="1:7">
      <c r="A11" s="90"/>
      <c r="B11" s="21"/>
      <c r="C11" s="22"/>
      <c r="D11" s="21"/>
      <c r="E11" s="92"/>
      <c r="F11" s="92"/>
      <c r="G11" s="432"/>
    </row>
    <row r="12" spans="1:7">
      <c r="A12" s="90"/>
      <c r="B12" s="21"/>
      <c r="C12" s="28" t="s">
        <v>1091</v>
      </c>
      <c r="D12" s="21"/>
      <c r="E12" s="92"/>
      <c r="F12" s="92"/>
      <c r="G12" s="432"/>
    </row>
    <row r="47" spans="1:7" ht="25.5">
      <c r="A47" s="29" t="s">
        <v>4</v>
      </c>
      <c r="B47" s="30"/>
      <c r="C47" s="31" t="s">
        <v>5</v>
      </c>
      <c r="D47" s="32" t="s">
        <v>109</v>
      </c>
      <c r="E47" s="33" t="s">
        <v>6</v>
      </c>
      <c r="F47" s="99" t="s">
        <v>113</v>
      </c>
      <c r="G47" s="442" t="s">
        <v>8</v>
      </c>
    </row>
    <row r="49" spans="1:7" ht="21">
      <c r="A49" s="34" t="s">
        <v>9</v>
      </c>
      <c r="B49" s="35"/>
      <c r="C49" s="39" t="s">
        <v>1323</v>
      </c>
      <c r="D49" s="37"/>
      <c r="E49" s="38"/>
      <c r="F49" s="438"/>
      <c r="G49" s="443"/>
    </row>
    <row r="51" spans="1:7" ht="114.75">
      <c r="C51" t="s">
        <v>1324</v>
      </c>
    </row>
    <row r="52" spans="1:7" ht="38.25">
      <c r="C52" t="s">
        <v>1325</v>
      </c>
    </row>
    <row r="53" spans="1:7" ht="38.25">
      <c r="C53" t="s">
        <v>1156</v>
      </c>
    </row>
    <row r="54" spans="1:7" ht="25.5">
      <c r="C54" t="s">
        <v>1157</v>
      </c>
    </row>
    <row r="55" spans="1:7">
      <c r="C55" t="s">
        <v>1158</v>
      </c>
    </row>
    <row r="56" spans="1:7">
      <c r="C56" t="s">
        <v>1159</v>
      </c>
    </row>
    <row r="57" spans="1:7">
      <c r="C57" t="s">
        <v>1160</v>
      </c>
    </row>
    <row r="58" spans="1:7">
      <c r="C58" t="s">
        <v>1161</v>
      </c>
    </row>
    <row r="59" spans="1:7" ht="25.5">
      <c r="C59" t="s">
        <v>1162</v>
      </c>
    </row>
    <row r="60" spans="1:7" ht="140.25">
      <c r="C60" t="s">
        <v>1326</v>
      </c>
    </row>
    <row r="61" spans="1:7" ht="242.25">
      <c r="C61" t="s">
        <v>1327</v>
      </c>
    </row>
    <row r="62" spans="1:7" ht="216.75">
      <c r="C62" t="s">
        <v>1166</v>
      </c>
    </row>
    <row r="63" spans="1:7" ht="204">
      <c r="C63" t="s">
        <v>1167</v>
      </c>
    </row>
    <row r="64" spans="1:7">
      <c r="C64"/>
    </row>
    <row r="65" spans="1:7" ht="15.75" thickBot="1">
      <c r="C65" s="54" t="s">
        <v>1168</v>
      </c>
    </row>
    <row r="66" spans="1:7" ht="51">
      <c r="C66" t="s">
        <v>1169</v>
      </c>
    </row>
    <row r="67" spans="1:7" ht="140.25">
      <c r="C67" t="s">
        <v>1170</v>
      </c>
    </row>
    <row r="68" spans="1:7" ht="242.25">
      <c r="C68" t="s">
        <v>1328</v>
      </c>
    </row>
    <row r="69" spans="1:7">
      <c r="C69"/>
    </row>
    <row r="70" spans="1:7" ht="15.75" thickBot="1">
      <c r="C70" s="54" t="s">
        <v>1172</v>
      </c>
    </row>
    <row r="71" spans="1:7" ht="114.75">
      <c r="C71" t="s">
        <v>1329</v>
      </c>
    </row>
    <row r="72" spans="1:7" ht="153">
      <c r="C72" t="s">
        <v>1330</v>
      </c>
    </row>
    <row r="73" spans="1:7">
      <c r="C73"/>
    </row>
    <row r="74" spans="1:7" ht="191.25">
      <c r="C74" t="s">
        <v>1331</v>
      </c>
    </row>
    <row r="75" spans="1:7" ht="114.75">
      <c r="C75" t="s">
        <v>1332</v>
      </c>
    </row>
    <row r="76" spans="1:7" ht="102">
      <c r="C76" s="77" t="s">
        <v>1178</v>
      </c>
    </row>
    <row r="78" spans="1:7" ht="15">
      <c r="A78" s="89" t="s">
        <v>1333</v>
      </c>
      <c r="B78" s="76"/>
      <c r="C78" s="76" t="s">
        <v>1179</v>
      </c>
      <c r="D78" s="76"/>
      <c r="E78" s="13"/>
      <c r="F78" s="13"/>
      <c r="G78" s="304"/>
    </row>
    <row r="79" spans="1:7">
      <c r="C79"/>
    </row>
    <row r="80" spans="1:7" ht="114.75">
      <c r="B80" s="41" t="s">
        <v>9</v>
      </c>
      <c r="C80" t="s">
        <v>1180</v>
      </c>
    </row>
    <row r="81" spans="1:7" ht="25.5">
      <c r="C81" s="262" t="s">
        <v>1334</v>
      </c>
      <c r="D81" s="1" t="s">
        <v>1335</v>
      </c>
      <c r="E81" s="42">
        <v>483.23</v>
      </c>
      <c r="G81" s="193">
        <f>E81*F81</f>
        <v>0</v>
      </c>
    </row>
    <row r="83" spans="1:7" ht="15">
      <c r="A83" s="76" t="s">
        <v>1336</v>
      </c>
      <c r="B83" s="76"/>
      <c r="C83" s="76" t="s">
        <v>1187</v>
      </c>
      <c r="D83" s="76"/>
      <c r="E83" s="13"/>
      <c r="F83" s="13"/>
      <c r="G83" s="304"/>
    </row>
    <row r="85" spans="1:7" ht="38.25">
      <c r="B85" s="41" t="s">
        <v>9</v>
      </c>
      <c r="C85" t="s">
        <v>1188</v>
      </c>
    </row>
    <row r="86" spans="1:7">
      <c r="C86" s="262" t="s">
        <v>1190</v>
      </c>
      <c r="D86" s="1" t="s">
        <v>321</v>
      </c>
      <c r="E86" s="42">
        <v>284.95</v>
      </c>
      <c r="G86" s="193">
        <f>E86*F86</f>
        <v>0</v>
      </c>
    </row>
    <row r="88" spans="1:7" ht="15">
      <c r="A88" s="76" t="s">
        <v>1337</v>
      </c>
      <c r="B88" s="76"/>
      <c r="C88" s="76" t="s">
        <v>1194</v>
      </c>
      <c r="D88" s="76"/>
      <c r="E88" s="13"/>
      <c r="F88" s="13"/>
      <c r="G88" s="304"/>
    </row>
    <row r="90" spans="1:7" ht="25.5">
      <c r="B90" s="41" t="s">
        <v>9</v>
      </c>
      <c r="C90" t="s">
        <v>1195</v>
      </c>
    </row>
    <row r="91" spans="1:7">
      <c r="B91" s="41" t="s">
        <v>181</v>
      </c>
      <c r="C91" t="s">
        <v>1338</v>
      </c>
      <c r="D91" s="1" t="s">
        <v>321</v>
      </c>
      <c r="E91" s="42">
        <v>27.06</v>
      </c>
      <c r="G91" s="193">
        <f t="shared" ref="G91:G93" si="0">E91*F91</f>
        <v>0</v>
      </c>
    </row>
    <row r="92" spans="1:7">
      <c r="B92" s="41" t="s">
        <v>182</v>
      </c>
      <c r="C92" t="s">
        <v>1339</v>
      </c>
      <c r="D92" s="1" t="s">
        <v>321</v>
      </c>
      <c r="E92" s="42">
        <v>0.49</v>
      </c>
      <c r="G92" s="193">
        <f t="shared" si="0"/>
        <v>0</v>
      </c>
    </row>
    <row r="93" spans="1:7">
      <c r="B93" s="41" t="s">
        <v>324</v>
      </c>
      <c r="C93" t="s">
        <v>1340</v>
      </c>
      <c r="D93" s="1" t="s">
        <v>321</v>
      </c>
      <c r="E93" s="42">
        <v>117.62</v>
      </c>
      <c r="G93" s="193">
        <f t="shared" si="0"/>
        <v>0</v>
      </c>
    </row>
    <row r="94" spans="1:7">
      <c r="C94"/>
    </row>
    <row r="95" spans="1:7" ht="15">
      <c r="A95" s="76" t="s">
        <v>1341</v>
      </c>
      <c r="B95" s="76"/>
      <c r="C95" s="76" t="s">
        <v>1204</v>
      </c>
      <c r="D95" s="76"/>
      <c r="E95" s="13"/>
      <c r="F95" s="13"/>
      <c r="G95" s="304"/>
    </row>
    <row r="96" spans="1:7">
      <c r="C96"/>
    </row>
    <row r="97" spans="1:7" ht="38.25">
      <c r="B97" s="41" t="s">
        <v>9</v>
      </c>
      <c r="C97" t="s">
        <v>1205</v>
      </c>
    </row>
    <row r="98" spans="1:7" ht="25.5">
      <c r="C98" t="s">
        <v>1342</v>
      </c>
      <c r="D98" s="1" t="s">
        <v>321</v>
      </c>
      <c r="E98" s="42">
        <v>7.0000000000000007E-2</v>
      </c>
      <c r="G98" s="193">
        <f t="shared" ref="G98:G104" si="1">E98*F98</f>
        <v>0</v>
      </c>
    </row>
    <row r="99" spans="1:7" ht="25.5">
      <c r="C99" t="s">
        <v>1343</v>
      </c>
      <c r="D99" s="1" t="s">
        <v>321</v>
      </c>
      <c r="E99" s="42">
        <v>0.16</v>
      </c>
      <c r="G99" s="193">
        <f t="shared" si="1"/>
        <v>0</v>
      </c>
    </row>
    <row r="100" spans="1:7" ht="25.5">
      <c r="C100" t="s">
        <v>1344</v>
      </c>
      <c r="D100" s="1" t="s">
        <v>321</v>
      </c>
      <c r="E100" s="42">
        <v>0.28000000000000003</v>
      </c>
      <c r="G100" s="193">
        <f t="shared" si="1"/>
        <v>0</v>
      </c>
    </row>
    <row r="101" spans="1:7" ht="25.5">
      <c r="C101" t="s">
        <v>1345</v>
      </c>
      <c r="D101" s="1" t="s">
        <v>321</v>
      </c>
      <c r="E101" s="42">
        <v>0.32</v>
      </c>
      <c r="G101" s="193">
        <f t="shared" si="1"/>
        <v>0</v>
      </c>
    </row>
    <row r="102" spans="1:7" ht="25.5">
      <c r="C102" t="s">
        <v>1346</v>
      </c>
      <c r="D102" s="1" t="s">
        <v>321</v>
      </c>
      <c r="E102" s="42">
        <v>0.41</v>
      </c>
      <c r="G102" s="193">
        <f t="shared" si="1"/>
        <v>0</v>
      </c>
    </row>
    <row r="103" spans="1:7" ht="25.5">
      <c r="C103" t="s">
        <v>1347</v>
      </c>
      <c r="D103" s="1" t="s">
        <v>321</v>
      </c>
      <c r="E103" s="42">
        <v>5.58</v>
      </c>
      <c r="G103" s="193">
        <f t="shared" si="1"/>
        <v>0</v>
      </c>
    </row>
    <row r="104" spans="1:7" ht="25.5">
      <c r="C104" t="s">
        <v>1348</v>
      </c>
      <c r="D104" s="1" t="s">
        <v>321</v>
      </c>
      <c r="E104" s="42">
        <v>0.28999999999999998</v>
      </c>
      <c r="G104" s="193">
        <f t="shared" si="1"/>
        <v>0</v>
      </c>
    </row>
    <row r="105" spans="1:7">
      <c r="C105"/>
    </row>
    <row r="106" spans="1:7" ht="15">
      <c r="A106" s="76" t="s">
        <v>1349</v>
      </c>
      <c r="B106" s="76"/>
      <c r="C106" s="76" t="s">
        <v>1350</v>
      </c>
      <c r="D106" s="76"/>
      <c r="E106" s="13"/>
      <c r="F106" s="13"/>
      <c r="G106" s="304"/>
    </row>
    <row r="107" spans="1:7">
      <c r="C107"/>
    </row>
    <row r="108" spans="1:7" ht="76.5">
      <c r="C108" t="s">
        <v>1351</v>
      </c>
    </row>
    <row r="109" spans="1:7" ht="25.5">
      <c r="C109" t="s">
        <v>1352</v>
      </c>
      <c r="D109" s="1" t="s">
        <v>321</v>
      </c>
      <c r="E109" s="42">
        <v>20.059999999999999</v>
      </c>
      <c r="G109" s="193">
        <f t="shared" ref="G109:G111" si="2">E109*F109</f>
        <v>0</v>
      </c>
    </row>
    <row r="110" spans="1:7" ht="25.5">
      <c r="C110" t="s">
        <v>1353</v>
      </c>
      <c r="D110" s="1" t="s">
        <v>321</v>
      </c>
      <c r="E110" s="42">
        <v>36.19</v>
      </c>
      <c r="G110" s="193">
        <f t="shared" si="2"/>
        <v>0</v>
      </c>
    </row>
    <row r="111" spans="1:7" ht="25.5">
      <c r="C111" t="s">
        <v>1354</v>
      </c>
      <c r="D111" s="1" t="s">
        <v>321</v>
      </c>
      <c r="E111" s="42">
        <v>110.8</v>
      </c>
      <c r="G111" s="193">
        <f t="shared" si="2"/>
        <v>0</v>
      </c>
    </row>
    <row r="112" spans="1:7">
      <c r="C112"/>
    </row>
    <row r="113" spans="1:7" ht="15">
      <c r="A113" s="76" t="s">
        <v>1355</v>
      </c>
      <c r="B113" s="76"/>
      <c r="C113" s="76" t="s">
        <v>1315</v>
      </c>
      <c r="D113" s="76"/>
      <c r="E113" s="13"/>
      <c r="F113" s="13"/>
      <c r="G113" s="304"/>
    </row>
    <row r="114" spans="1:7">
      <c r="C114"/>
    </row>
    <row r="115" spans="1:7" ht="38.25">
      <c r="C115" t="s">
        <v>1356</v>
      </c>
    </row>
    <row r="116" spans="1:7">
      <c r="C116"/>
      <c r="D116" s="1" t="s">
        <v>114</v>
      </c>
      <c r="E116" s="42">
        <v>75230</v>
      </c>
      <c r="G116" s="193">
        <f t="shared" ref="G116" si="3">E116*F116</f>
        <v>0</v>
      </c>
    </row>
    <row r="117" spans="1:7">
      <c r="C117"/>
    </row>
    <row r="118" spans="1:7" ht="13.5" thickBot="1">
      <c r="C118"/>
    </row>
    <row r="119" spans="1:7" ht="21.75" thickBot="1">
      <c r="A119" s="49" t="s">
        <v>9</v>
      </c>
      <c r="B119" s="50"/>
      <c r="C119" s="51" t="s">
        <v>1319</v>
      </c>
      <c r="D119" s="52"/>
      <c r="E119" s="53"/>
      <c r="F119" s="348"/>
      <c r="G119" s="307">
        <f>SUM(G81:G117)</f>
        <v>0</v>
      </c>
    </row>
    <row r="120" spans="1:7">
      <c r="C120"/>
    </row>
    <row r="121" spans="1:7">
      <c r="C121"/>
    </row>
    <row r="122" spans="1:7">
      <c r="C122"/>
    </row>
    <row r="123" spans="1:7">
      <c r="C123"/>
    </row>
    <row r="124" spans="1:7">
      <c r="C124"/>
    </row>
    <row r="125" spans="1:7">
      <c r="C125"/>
    </row>
    <row r="126" spans="1:7">
      <c r="C126"/>
    </row>
    <row r="127" spans="1:7">
      <c r="C127"/>
    </row>
    <row r="128" spans="1:7">
      <c r="C128"/>
    </row>
    <row r="129" spans="1:7" ht="10.5" customHeight="1">
      <c r="C129"/>
    </row>
    <row r="130" spans="1:7" hidden="1">
      <c r="C130"/>
    </row>
    <row r="132" spans="1:7" ht="23.25">
      <c r="A132" s="610"/>
      <c r="B132" s="63"/>
      <c r="C132" s="64" t="s">
        <v>1357</v>
      </c>
      <c r="D132" s="65"/>
      <c r="E132" s="66"/>
      <c r="F132" s="330"/>
      <c r="G132" s="305">
        <f>G119</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&amp;L&amp;K01+043Troškovnik&amp;C&amp;"-,Podebljano"&amp;K01+043PROJEKT KONSTRUKCIJE
Sklonište&amp;R&amp;K01+043STAMBENO - POSLOVNA GRAĐEVINA, BLATO</oddHeader>
    <oddFooter>&amp;C&amp;K00-049V V - PROJEKT d.o.o. Put Supavla 1, 21000 Split, tel/fax: 021/322-249</oddFooter>
  </headerFooter>
  <rowBreaks count="1" manualBreakCount="1">
    <brk id="46"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861"/>
  <sheetViews>
    <sheetView view="pageBreakPreview" topLeftCell="A844" zoomScale="120" zoomScaleNormal="100" zoomScaleSheetLayoutView="120" workbookViewId="0">
      <selection activeCell="A859" sqref="A859"/>
    </sheetView>
  </sheetViews>
  <sheetFormatPr defaultColWidth="8" defaultRowHeight="12.75"/>
  <cols>
    <col min="1" max="1" width="6" style="40" customWidth="1"/>
    <col min="2" max="2" width="5.5703125" style="41" customWidth="1"/>
    <col min="3" max="3" width="61.85546875" style="56" customWidth="1"/>
    <col min="4" max="4" width="5.5703125" style="1" customWidth="1"/>
    <col min="5" max="5" width="8.7109375" style="42" customWidth="1"/>
    <col min="6" max="6" width="11.28515625" style="15" customWidth="1"/>
    <col min="7" max="7" width="12.140625" style="306" customWidth="1"/>
    <col min="8" max="16384" width="8" style="21"/>
  </cols>
  <sheetData>
    <row r="4" spans="1:7" ht="46.5">
      <c r="A4" s="90"/>
      <c r="B4" s="21"/>
      <c r="C4" s="20" t="s">
        <v>0</v>
      </c>
      <c r="D4" s="21"/>
      <c r="E4" s="92"/>
      <c r="F4" s="92"/>
      <c r="G4" s="432"/>
    </row>
    <row r="5" spans="1:7">
      <c r="A5" s="90"/>
      <c r="B5" s="21"/>
      <c r="C5" s="22"/>
      <c r="D5" s="21"/>
      <c r="E5" s="92"/>
      <c r="F5" s="92"/>
      <c r="G5" s="432"/>
    </row>
    <row r="6" spans="1:7" ht="21">
      <c r="A6" s="90"/>
      <c r="B6" s="21"/>
      <c r="C6" s="23" t="s">
        <v>428</v>
      </c>
      <c r="D6" s="21"/>
      <c r="E6" s="92"/>
      <c r="F6" s="92"/>
      <c r="G6" s="432"/>
    </row>
    <row r="7" spans="1:7" ht="21">
      <c r="A7" s="90"/>
      <c r="B7" s="21"/>
      <c r="C7" s="24"/>
      <c r="D7" s="21"/>
      <c r="E7" s="92"/>
      <c r="F7" s="92"/>
      <c r="G7" s="432"/>
    </row>
    <row r="8" spans="1:7" ht="23.25">
      <c r="A8" s="90"/>
      <c r="B8" s="21"/>
      <c r="C8" s="25" t="s">
        <v>1358</v>
      </c>
      <c r="D8" s="21"/>
      <c r="E8" s="92"/>
      <c r="F8" s="92"/>
      <c r="G8" s="432"/>
    </row>
    <row r="9" spans="1:7" ht="15.75">
      <c r="A9" s="90"/>
      <c r="B9" s="21"/>
      <c r="C9" s="26" t="s">
        <v>1359</v>
      </c>
      <c r="D9" s="21"/>
      <c r="E9" s="92"/>
      <c r="F9" s="92"/>
      <c r="G9" s="432"/>
    </row>
    <row r="10" spans="1:7" ht="15.75">
      <c r="A10" s="90"/>
      <c r="B10" s="21"/>
      <c r="C10" s="612" t="s">
        <v>1360</v>
      </c>
      <c r="D10" s="21"/>
      <c r="E10" s="92"/>
      <c r="F10" s="92"/>
      <c r="G10" s="432"/>
    </row>
    <row r="11" spans="1:7">
      <c r="A11" s="90"/>
      <c r="B11" s="21"/>
      <c r="C11" s="22"/>
      <c r="D11" s="21"/>
      <c r="E11" s="92"/>
      <c r="F11" s="92"/>
      <c r="G11" s="432"/>
    </row>
    <row r="12" spans="1:7">
      <c r="A12" s="90"/>
      <c r="B12" s="21"/>
      <c r="C12" s="28" t="s">
        <v>1361</v>
      </c>
      <c r="D12" s="21"/>
      <c r="E12" s="92"/>
      <c r="F12" s="92"/>
      <c r="G12" s="432"/>
    </row>
    <row r="47" spans="1:7" ht="25.5">
      <c r="A47" s="29" t="s">
        <v>4</v>
      </c>
      <c r="B47" s="30"/>
      <c r="C47" s="31" t="s">
        <v>5</v>
      </c>
      <c r="D47" s="32" t="s">
        <v>109</v>
      </c>
      <c r="E47" s="33" t="s">
        <v>6</v>
      </c>
      <c r="F47" s="99" t="s">
        <v>113</v>
      </c>
      <c r="G47" s="442" t="s">
        <v>8</v>
      </c>
    </row>
    <row r="49" spans="1:7" ht="21">
      <c r="A49" s="34" t="s">
        <v>9</v>
      </c>
      <c r="B49" s="35"/>
      <c r="C49" s="39" t="s">
        <v>1362</v>
      </c>
      <c r="D49" s="37"/>
      <c r="E49" s="38"/>
      <c r="F49" s="438"/>
      <c r="G49" s="443"/>
    </row>
    <row r="51" spans="1:7" ht="15">
      <c r="A51" s="89" t="s">
        <v>1333</v>
      </c>
      <c r="B51" s="76"/>
      <c r="C51" s="76" t="s">
        <v>1363</v>
      </c>
      <c r="D51" s="76"/>
      <c r="E51" s="13"/>
      <c r="F51" s="13"/>
      <c r="G51" s="304"/>
    </row>
    <row r="52" spans="1:7">
      <c r="C52"/>
    </row>
    <row r="53" spans="1:7">
      <c r="B53" s="41" t="s">
        <v>9</v>
      </c>
      <c r="C53" t="s">
        <v>1364</v>
      </c>
      <c r="D53" s="1" t="s">
        <v>112</v>
      </c>
      <c r="E53" s="42">
        <v>240</v>
      </c>
      <c r="G53" s="306">
        <f>E53*F53</f>
        <v>0</v>
      </c>
    </row>
    <row r="54" spans="1:7">
      <c r="B54" s="40"/>
      <c r="C54"/>
    </row>
    <row r="55" spans="1:7">
      <c r="B55" s="41" t="s">
        <v>18</v>
      </c>
      <c r="C55" t="s">
        <v>1365</v>
      </c>
      <c r="D55" s="1" t="s">
        <v>112</v>
      </c>
      <c r="E55" s="42">
        <v>230</v>
      </c>
      <c r="G55" s="306">
        <f>E55*F55</f>
        <v>0</v>
      </c>
    </row>
    <row r="56" spans="1:7">
      <c r="B56" s="40"/>
      <c r="C56"/>
    </row>
    <row r="57" spans="1:7">
      <c r="B57" s="40" t="s">
        <v>19</v>
      </c>
      <c r="C57" t="s">
        <v>1366</v>
      </c>
      <c r="D57" s="1" t="s">
        <v>110</v>
      </c>
      <c r="E57" s="42">
        <v>1</v>
      </c>
      <c r="G57" s="306">
        <f>E57*F57</f>
        <v>0</v>
      </c>
    </row>
    <row r="58" spans="1:7">
      <c r="C58"/>
    </row>
    <row r="59" spans="1:7">
      <c r="B59" s="40" t="s">
        <v>20</v>
      </c>
      <c r="C59" t="s">
        <v>1367</v>
      </c>
      <c r="D59" s="1" t="s">
        <v>110</v>
      </c>
      <c r="E59" s="42">
        <v>1</v>
      </c>
      <c r="G59" s="306">
        <f>E59*F59</f>
        <v>0</v>
      </c>
    </row>
    <row r="60" spans="1:7">
      <c r="B60" s="40"/>
      <c r="C60"/>
    </row>
    <row r="61" spans="1:7">
      <c r="B61" s="41" t="s">
        <v>21</v>
      </c>
      <c r="C61" t="s">
        <v>1368</v>
      </c>
      <c r="D61" s="1" t="s">
        <v>110</v>
      </c>
      <c r="E61" s="42">
        <v>1</v>
      </c>
      <c r="G61" s="306">
        <f>E61*F61</f>
        <v>0</v>
      </c>
    </row>
    <row r="62" spans="1:7">
      <c r="B62" s="40"/>
      <c r="C62"/>
    </row>
    <row r="63" spans="1:7" ht="15">
      <c r="A63" s="89" t="s">
        <v>1336</v>
      </c>
      <c r="B63" s="76"/>
      <c r="C63" s="76" t="s">
        <v>1363</v>
      </c>
      <c r="D63" s="76"/>
      <c r="E63" s="13"/>
      <c r="F63" s="13"/>
      <c r="G63" s="304"/>
    </row>
    <row r="64" spans="1:7">
      <c r="C64"/>
    </row>
    <row r="65" spans="2:7">
      <c r="B65" s="41" t="s">
        <v>9</v>
      </c>
      <c r="C65" t="s">
        <v>1369</v>
      </c>
      <c r="D65" s="1" t="s">
        <v>110</v>
      </c>
      <c r="E65" s="42">
        <v>5</v>
      </c>
      <c r="G65" s="306">
        <f>E65*F65</f>
        <v>0</v>
      </c>
    </row>
    <row r="66" spans="2:7">
      <c r="B66" s="40"/>
      <c r="C66"/>
    </row>
    <row r="67" spans="2:7">
      <c r="B67" s="41" t="s">
        <v>18</v>
      </c>
      <c r="C67" t="s">
        <v>1370</v>
      </c>
      <c r="D67" s="1" t="s">
        <v>112</v>
      </c>
      <c r="E67" s="42">
        <v>530</v>
      </c>
      <c r="G67" s="306">
        <f>E67*F67</f>
        <v>0</v>
      </c>
    </row>
    <row r="68" spans="2:7">
      <c r="B68" s="40"/>
      <c r="C68"/>
    </row>
    <row r="69" spans="2:7">
      <c r="B69" s="40" t="s">
        <v>19</v>
      </c>
      <c r="C69" t="s">
        <v>1371</v>
      </c>
      <c r="D69" s="1" t="s">
        <v>110</v>
      </c>
      <c r="E69" s="42">
        <v>200</v>
      </c>
      <c r="G69" s="306">
        <f>E69*F69</f>
        <v>0</v>
      </c>
    </row>
    <row r="70" spans="2:7">
      <c r="C70"/>
    </row>
    <row r="71" spans="2:7">
      <c r="B71" s="40" t="s">
        <v>20</v>
      </c>
      <c r="C71" t="s">
        <v>1372</v>
      </c>
      <c r="D71" s="1" t="s">
        <v>110</v>
      </c>
      <c r="E71" s="42">
        <v>31</v>
      </c>
      <c r="G71" s="306">
        <f>E71*F71</f>
        <v>0</v>
      </c>
    </row>
    <row r="72" spans="2:7">
      <c r="B72" s="40"/>
      <c r="C72"/>
    </row>
    <row r="73" spans="2:7" ht="14.25">
      <c r="B73" s="41" t="s">
        <v>21</v>
      </c>
      <c r="C73" t="s">
        <v>1373</v>
      </c>
      <c r="D73" s="1" t="s">
        <v>1374</v>
      </c>
      <c r="E73" s="42">
        <v>11</v>
      </c>
      <c r="G73" s="306">
        <f>E73*F73</f>
        <v>0</v>
      </c>
    </row>
    <row r="74" spans="2:7">
      <c r="B74" s="40"/>
      <c r="C74"/>
    </row>
    <row r="75" spans="2:7" ht="25.5">
      <c r="B75" s="40" t="s">
        <v>60</v>
      </c>
      <c r="C75" t="s">
        <v>1375</v>
      </c>
      <c r="D75" s="1" t="s">
        <v>1374</v>
      </c>
      <c r="E75" s="42">
        <v>116</v>
      </c>
      <c r="G75" s="306">
        <f>E75*F75</f>
        <v>0</v>
      </c>
    </row>
    <row r="76" spans="2:7">
      <c r="C76"/>
    </row>
    <row r="77" spans="2:7" ht="14.25">
      <c r="B77" s="40" t="s">
        <v>78</v>
      </c>
      <c r="C77" t="s">
        <v>1376</v>
      </c>
      <c r="D77" s="1" t="s">
        <v>1374</v>
      </c>
      <c r="E77" s="42">
        <v>10</v>
      </c>
      <c r="G77" s="306">
        <f>E77*F77</f>
        <v>0</v>
      </c>
    </row>
    <row r="78" spans="2:7">
      <c r="B78" s="40"/>
      <c r="C78"/>
    </row>
    <row r="79" spans="2:7" ht="38.25">
      <c r="B79" s="41" t="s">
        <v>165</v>
      </c>
      <c r="C79" t="s">
        <v>1377</v>
      </c>
      <c r="D79" s="1" t="s">
        <v>110</v>
      </c>
      <c r="E79" s="42">
        <v>1</v>
      </c>
      <c r="G79" s="306">
        <f>E79*F79</f>
        <v>0</v>
      </c>
    </row>
    <row r="80" spans="2:7">
      <c r="B80" s="40"/>
      <c r="C80"/>
    </row>
    <row r="81" spans="1:7">
      <c r="B81" s="40" t="s">
        <v>205</v>
      </c>
      <c r="C81" t="s">
        <v>1378</v>
      </c>
      <c r="D81" s="1" t="s">
        <v>110</v>
      </c>
      <c r="E81" s="42">
        <v>1</v>
      </c>
      <c r="G81" s="306">
        <f>E81*F81</f>
        <v>0</v>
      </c>
    </row>
    <row r="82" spans="1:7">
      <c r="C82"/>
    </row>
    <row r="83" spans="1:7" ht="15">
      <c r="A83" s="89" t="s">
        <v>1337</v>
      </c>
      <c r="B83" s="76"/>
      <c r="C83" s="76" t="s">
        <v>1379</v>
      </c>
      <c r="D83" s="76"/>
      <c r="E83" s="13"/>
      <c r="F83" s="13"/>
      <c r="G83" s="304"/>
    </row>
    <row r="84" spans="1:7">
      <c r="C84"/>
    </row>
    <row r="85" spans="1:7">
      <c r="B85" s="41" t="s">
        <v>9</v>
      </c>
      <c r="C85" s="77" t="s">
        <v>1380</v>
      </c>
      <c r="E85" s="544"/>
    </row>
    <row r="86" spans="1:7">
      <c r="B86" s="40"/>
      <c r="C86" t="s">
        <v>1381</v>
      </c>
      <c r="D86" s="1" t="s">
        <v>110</v>
      </c>
      <c r="E86" s="42">
        <v>1</v>
      </c>
    </row>
    <row r="87" spans="1:7">
      <c r="C87" t="s">
        <v>1382</v>
      </c>
      <c r="D87" s="1" t="s">
        <v>110</v>
      </c>
      <c r="E87" s="42">
        <v>4</v>
      </c>
    </row>
    <row r="88" spans="1:7">
      <c r="B88" s="40"/>
      <c r="C88" t="s">
        <v>1383</v>
      </c>
      <c r="D88" s="1" t="s">
        <v>110</v>
      </c>
      <c r="E88" s="42">
        <v>6</v>
      </c>
    </row>
    <row r="89" spans="1:7">
      <c r="B89" s="40"/>
      <c r="C89" t="s">
        <v>1384</v>
      </c>
      <c r="D89" s="1" t="s">
        <v>110</v>
      </c>
      <c r="E89" s="42">
        <v>1</v>
      </c>
    </row>
    <row r="90" spans="1:7">
      <c r="C90" t="s">
        <v>1385</v>
      </c>
      <c r="D90" s="1" t="s">
        <v>110</v>
      </c>
      <c r="E90" s="42">
        <v>1</v>
      </c>
    </row>
    <row r="91" spans="1:7" ht="25.5">
      <c r="B91" s="40"/>
      <c r="C91" t="s">
        <v>1386</v>
      </c>
      <c r="D91" s="1" t="s">
        <v>110</v>
      </c>
      <c r="E91" s="42">
        <v>1</v>
      </c>
    </row>
    <row r="92" spans="1:7" ht="25.5">
      <c r="B92" s="40"/>
      <c r="C92" t="s">
        <v>1387</v>
      </c>
      <c r="D92" s="1" t="s">
        <v>110</v>
      </c>
      <c r="E92" s="42">
        <v>27</v>
      </c>
    </row>
    <row r="93" spans="1:7">
      <c r="C93" t="s">
        <v>1388</v>
      </c>
      <c r="D93" s="1" t="s">
        <v>110</v>
      </c>
      <c r="E93" s="42">
        <v>31</v>
      </c>
    </row>
    <row r="94" spans="1:7">
      <c r="B94" s="40"/>
      <c r="C94" t="s">
        <v>1389</v>
      </c>
      <c r="D94" s="1" t="s">
        <v>110</v>
      </c>
      <c r="E94" s="42">
        <v>1</v>
      </c>
    </row>
    <row r="95" spans="1:7">
      <c r="B95" s="40"/>
      <c r="C95" t="s">
        <v>1390</v>
      </c>
      <c r="D95" s="1" t="s">
        <v>115</v>
      </c>
      <c r="E95" s="42">
        <v>1</v>
      </c>
    </row>
    <row r="96" spans="1:7">
      <c r="C96" t="s">
        <v>1391</v>
      </c>
      <c r="D96" s="1" t="s">
        <v>110</v>
      </c>
      <c r="E96" s="42">
        <v>1</v>
      </c>
    </row>
    <row r="97" spans="2:7">
      <c r="B97" s="40"/>
      <c r="C97"/>
      <c r="D97" s="1" t="s">
        <v>115</v>
      </c>
      <c r="E97" s="42">
        <v>1</v>
      </c>
      <c r="G97" s="306">
        <f>E97*F97</f>
        <v>0</v>
      </c>
    </row>
    <row r="98" spans="2:7">
      <c r="B98" s="40"/>
      <c r="C98"/>
    </row>
    <row r="99" spans="2:7">
      <c r="C99"/>
    </row>
    <row r="100" spans="2:7">
      <c r="C100"/>
    </row>
    <row r="101" spans="2:7">
      <c r="B101" s="41" t="s">
        <v>18</v>
      </c>
      <c r="C101" s="77" t="s">
        <v>1392</v>
      </c>
    </row>
    <row r="102" spans="2:7">
      <c r="C102" t="s">
        <v>1381</v>
      </c>
      <c r="D102" s="1" t="s">
        <v>110</v>
      </c>
      <c r="E102" s="42">
        <v>1</v>
      </c>
    </row>
    <row r="103" spans="2:7">
      <c r="C103" t="s">
        <v>1382</v>
      </c>
      <c r="D103" s="1" t="s">
        <v>110</v>
      </c>
      <c r="E103" s="42">
        <v>4</v>
      </c>
    </row>
    <row r="104" spans="2:7">
      <c r="C104" t="s">
        <v>1383</v>
      </c>
      <c r="D104" s="1" t="s">
        <v>110</v>
      </c>
      <c r="E104" s="42">
        <v>6</v>
      </c>
    </row>
    <row r="105" spans="2:7">
      <c r="C105" t="s">
        <v>1384</v>
      </c>
      <c r="D105" s="1" t="s">
        <v>110</v>
      </c>
      <c r="E105" s="42">
        <v>1</v>
      </c>
    </row>
    <row r="106" spans="2:7">
      <c r="C106" t="s">
        <v>1385</v>
      </c>
      <c r="D106" s="1" t="s">
        <v>110</v>
      </c>
      <c r="E106" s="42">
        <v>1</v>
      </c>
    </row>
    <row r="107" spans="2:7" ht="25.5">
      <c r="C107" t="s">
        <v>1386</v>
      </c>
      <c r="D107" s="1" t="s">
        <v>110</v>
      </c>
      <c r="E107" s="42">
        <v>1</v>
      </c>
    </row>
    <row r="108" spans="2:7" ht="25.5">
      <c r="C108" t="s">
        <v>1387</v>
      </c>
      <c r="D108" s="1" t="s">
        <v>110</v>
      </c>
      <c r="E108" s="42">
        <v>29</v>
      </c>
    </row>
    <row r="109" spans="2:7">
      <c r="C109" t="s">
        <v>1388</v>
      </c>
      <c r="D109" s="1" t="s">
        <v>110</v>
      </c>
      <c r="E109" s="42">
        <v>33</v>
      </c>
    </row>
    <row r="110" spans="2:7">
      <c r="C110" t="s">
        <v>1389</v>
      </c>
      <c r="D110" s="1" t="s">
        <v>110</v>
      </c>
      <c r="E110" s="42">
        <v>1</v>
      </c>
    </row>
    <row r="111" spans="2:7">
      <c r="C111" t="s">
        <v>1390</v>
      </c>
      <c r="D111" s="1" t="s">
        <v>115</v>
      </c>
      <c r="E111" s="42">
        <v>1</v>
      </c>
    </row>
    <row r="112" spans="2:7">
      <c r="C112" t="s">
        <v>1391</v>
      </c>
      <c r="D112" s="1" t="s">
        <v>110</v>
      </c>
      <c r="E112" s="42">
        <v>1</v>
      </c>
    </row>
    <row r="113" spans="2:7">
      <c r="C113" t="s">
        <v>117</v>
      </c>
      <c r="D113" s="1" t="s">
        <v>115</v>
      </c>
      <c r="E113" s="42">
        <v>1</v>
      </c>
      <c r="G113" s="306">
        <f>E113*F113</f>
        <v>0</v>
      </c>
    </row>
    <row r="114" spans="2:7">
      <c r="C114"/>
    </row>
    <row r="115" spans="2:7">
      <c r="B115" s="41" t="s">
        <v>19</v>
      </c>
      <c r="C115" s="77" t="s">
        <v>1393</v>
      </c>
    </row>
    <row r="116" spans="2:7">
      <c r="C116" t="s">
        <v>1381</v>
      </c>
      <c r="D116" s="1" t="s">
        <v>110</v>
      </c>
      <c r="E116" s="42">
        <v>1</v>
      </c>
    </row>
    <row r="117" spans="2:7">
      <c r="C117" t="s">
        <v>1382</v>
      </c>
      <c r="D117" s="1" t="s">
        <v>110</v>
      </c>
      <c r="E117" s="42">
        <v>6</v>
      </c>
    </row>
    <row r="118" spans="2:7">
      <c r="C118" t="s">
        <v>1383</v>
      </c>
      <c r="D118" s="1" t="s">
        <v>110</v>
      </c>
      <c r="E118" s="42">
        <v>6</v>
      </c>
    </row>
    <row r="119" spans="2:7">
      <c r="C119" t="s">
        <v>1384</v>
      </c>
      <c r="D119" s="1" t="s">
        <v>110</v>
      </c>
      <c r="E119" s="42">
        <v>1</v>
      </c>
    </row>
    <row r="120" spans="2:7">
      <c r="C120" t="s">
        <v>1385</v>
      </c>
      <c r="D120" s="1" t="s">
        <v>110</v>
      </c>
      <c r="E120" s="42">
        <v>1</v>
      </c>
    </row>
    <row r="121" spans="2:7" ht="25.5">
      <c r="C121" t="s">
        <v>1386</v>
      </c>
      <c r="D121" s="1" t="s">
        <v>110</v>
      </c>
      <c r="E121" s="42">
        <v>1</v>
      </c>
    </row>
    <row r="122" spans="2:7" ht="25.5">
      <c r="C122" t="s">
        <v>1387</v>
      </c>
      <c r="D122" s="1" t="s">
        <v>110</v>
      </c>
      <c r="E122" s="42">
        <v>50</v>
      </c>
    </row>
    <row r="123" spans="2:7">
      <c r="B123" s="40"/>
      <c r="C123" t="s">
        <v>1388</v>
      </c>
      <c r="D123" s="1" t="s">
        <v>110</v>
      </c>
      <c r="E123" s="42">
        <v>54</v>
      </c>
    </row>
    <row r="124" spans="2:7">
      <c r="C124" t="s">
        <v>1389</v>
      </c>
      <c r="D124" s="1" t="s">
        <v>110</v>
      </c>
      <c r="E124" s="42">
        <v>1</v>
      </c>
    </row>
    <row r="125" spans="2:7">
      <c r="B125" s="40"/>
      <c r="C125" t="s">
        <v>1390</v>
      </c>
      <c r="D125" s="1" t="s">
        <v>115</v>
      </c>
      <c r="E125" s="42">
        <v>1</v>
      </c>
    </row>
    <row r="126" spans="2:7">
      <c r="B126" s="40"/>
      <c r="C126" t="s">
        <v>1391</v>
      </c>
      <c r="D126" s="1" t="s">
        <v>110</v>
      </c>
      <c r="E126" s="42">
        <v>1</v>
      </c>
    </row>
    <row r="127" spans="2:7">
      <c r="C127" t="s">
        <v>117</v>
      </c>
      <c r="D127" s="1" t="s">
        <v>115</v>
      </c>
      <c r="E127" s="42">
        <v>1</v>
      </c>
      <c r="G127" s="306">
        <f>E127*F127</f>
        <v>0</v>
      </c>
    </row>
    <row r="128" spans="2:7">
      <c r="C128"/>
    </row>
    <row r="129" spans="2:7">
      <c r="B129" s="40" t="s">
        <v>20</v>
      </c>
      <c r="C129" s="77" t="s">
        <v>1394</v>
      </c>
    </row>
    <row r="130" spans="2:7">
      <c r="C130" t="s">
        <v>1381</v>
      </c>
      <c r="D130" s="1" t="s">
        <v>110</v>
      </c>
      <c r="E130" s="42">
        <v>1</v>
      </c>
    </row>
    <row r="131" spans="2:7">
      <c r="B131" s="40"/>
      <c r="C131" t="s">
        <v>1382</v>
      </c>
      <c r="D131" s="1" t="s">
        <v>110</v>
      </c>
      <c r="E131" s="42">
        <v>6</v>
      </c>
    </row>
    <row r="132" spans="2:7">
      <c r="B132" s="40"/>
      <c r="C132" t="s">
        <v>1383</v>
      </c>
      <c r="D132" s="1" t="s">
        <v>110</v>
      </c>
      <c r="E132" s="42">
        <v>6</v>
      </c>
    </row>
    <row r="133" spans="2:7">
      <c r="C133" t="s">
        <v>1384</v>
      </c>
      <c r="D133" s="1" t="s">
        <v>110</v>
      </c>
      <c r="E133" s="42">
        <v>1</v>
      </c>
    </row>
    <row r="134" spans="2:7">
      <c r="B134" s="40"/>
      <c r="C134" t="s">
        <v>1385</v>
      </c>
      <c r="D134" s="1" t="s">
        <v>110</v>
      </c>
      <c r="E134" s="42">
        <v>1</v>
      </c>
    </row>
    <row r="135" spans="2:7" ht="25.5">
      <c r="B135" s="40"/>
      <c r="C135" t="s">
        <v>1386</v>
      </c>
      <c r="D135" s="1" t="s">
        <v>110</v>
      </c>
      <c r="E135" s="42">
        <v>1</v>
      </c>
    </row>
    <row r="136" spans="2:7" ht="25.5">
      <c r="C136" t="s">
        <v>1387</v>
      </c>
      <c r="D136" s="1" t="s">
        <v>110</v>
      </c>
      <c r="E136" s="42">
        <v>43</v>
      </c>
    </row>
    <row r="137" spans="2:7">
      <c r="B137" s="40"/>
      <c r="C137" t="s">
        <v>1388</v>
      </c>
      <c r="D137" s="1" t="s">
        <v>110</v>
      </c>
      <c r="E137" s="42">
        <v>48</v>
      </c>
    </row>
    <row r="138" spans="2:7">
      <c r="B138" s="40"/>
      <c r="C138" t="s">
        <v>1389</v>
      </c>
      <c r="D138" s="1" t="s">
        <v>110</v>
      </c>
      <c r="E138" s="42">
        <v>1</v>
      </c>
    </row>
    <row r="139" spans="2:7">
      <c r="C139" t="s">
        <v>1390</v>
      </c>
      <c r="D139" s="1" t="s">
        <v>115</v>
      </c>
      <c r="E139" s="42">
        <v>1</v>
      </c>
    </row>
    <row r="140" spans="2:7">
      <c r="C140" t="s">
        <v>1391</v>
      </c>
      <c r="D140" s="1" t="s">
        <v>110</v>
      </c>
      <c r="E140" s="42">
        <v>1</v>
      </c>
    </row>
    <row r="141" spans="2:7">
      <c r="C141" t="s">
        <v>117</v>
      </c>
      <c r="D141" s="1" t="s">
        <v>115</v>
      </c>
      <c r="E141" s="42">
        <v>1</v>
      </c>
      <c r="G141" s="306">
        <f>E141*F141</f>
        <v>0</v>
      </c>
    </row>
    <row r="142" spans="2:7">
      <c r="C142"/>
    </row>
    <row r="143" spans="2:7" ht="25.5">
      <c r="B143" s="41" t="s">
        <v>21</v>
      </c>
      <c r="C143" t="s">
        <v>1395</v>
      </c>
    </row>
    <row r="144" spans="2:7">
      <c r="C144" t="s">
        <v>1396</v>
      </c>
      <c r="D144" s="1" t="s">
        <v>110</v>
      </c>
      <c r="E144" s="42">
        <v>2</v>
      </c>
    </row>
    <row r="145" spans="2:7">
      <c r="C145" t="s">
        <v>1397</v>
      </c>
      <c r="D145" s="1" t="s">
        <v>110</v>
      </c>
      <c r="E145" s="42">
        <v>1</v>
      </c>
    </row>
    <row r="146" spans="2:7">
      <c r="C146" t="s">
        <v>1398</v>
      </c>
      <c r="D146" s="1" t="s">
        <v>115</v>
      </c>
      <c r="E146" s="42">
        <v>1</v>
      </c>
    </row>
    <row r="147" spans="2:7">
      <c r="C147" t="s">
        <v>1399</v>
      </c>
      <c r="D147" s="1" t="s">
        <v>110</v>
      </c>
      <c r="E147" s="42">
        <v>1</v>
      </c>
    </row>
    <row r="148" spans="2:7">
      <c r="C148" t="s">
        <v>1400</v>
      </c>
      <c r="D148" s="1" t="s">
        <v>110</v>
      </c>
      <c r="E148" s="42">
        <v>1</v>
      </c>
    </row>
    <row r="149" spans="2:7">
      <c r="C149" t="s">
        <v>1401</v>
      </c>
      <c r="D149" s="1" t="s">
        <v>110</v>
      </c>
      <c r="E149" s="42">
        <v>1</v>
      </c>
    </row>
    <row r="150" spans="2:7">
      <c r="C150" t="s">
        <v>1402</v>
      </c>
      <c r="D150" s="1" t="s">
        <v>110</v>
      </c>
      <c r="E150" s="42">
        <v>153</v>
      </c>
      <c r="G150" s="306">
        <f>E150*F150</f>
        <v>0</v>
      </c>
    </row>
    <row r="151" spans="2:7">
      <c r="C151"/>
    </row>
    <row r="152" spans="2:7" ht="25.5">
      <c r="B152" s="41" t="s">
        <v>60</v>
      </c>
      <c r="C152" t="s">
        <v>1403</v>
      </c>
      <c r="D152" s="1" t="s">
        <v>112</v>
      </c>
      <c r="E152" s="42">
        <v>6465</v>
      </c>
      <c r="G152" s="306">
        <f>E152*F152</f>
        <v>0</v>
      </c>
    </row>
    <row r="153" spans="2:7">
      <c r="C153"/>
    </row>
    <row r="154" spans="2:7" ht="25.5">
      <c r="B154" s="41" t="s">
        <v>78</v>
      </c>
      <c r="C154" t="s">
        <v>1404</v>
      </c>
      <c r="D154" s="1" t="s">
        <v>112</v>
      </c>
      <c r="E154" s="42">
        <v>6206</v>
      </c>
      <c r="G154" s="306">
        <f>E154*F154</f>
        <v>0</v>
      </c>
    </row>
    <row r="155" spans="2:7">
      <c r="C155"/>
    </row>
    <row r="156" spans="2:7" ht="25.5">
      <c r="B156" s="41" t="s">
        <v>165</v>
      </c>
      <c r="C156" t="s">
        <v>1405</v>
      </c>
      <c r="D156" s="1" t="s">
        <v>110</v>
      </c>
      <c r="E156" s="42">
        <v>170</v>
      </c>
      <c r="G156" s="306">
        <f>E156*F156</f>
        <v>0</v>
      </c>
    </row>
    <row r="157" spans="2:7">
      <c r="C157"/>
    </row>
    <row r="158" spans="2:7" ht="25.5">
      <c r="B158" s="41" t="s">
        <v>205</v>
      </c>
      <c r="C158" t="s">
        <v>1406</v>
      </c>
      <c r="D158" s="1" t="s">
        <v>110</v>
      </c>
      <c r="E158" s="42">
        <v>319</v>
      </c>
      <c r="G158" s="306">
        <f>E158*F158</f>
        <v>0</v>
      </c>
    </row>
    <row r="159" spans="2:7">
      <c r="C159"/>
    </row>
    <row r="160" spans="2:7" ht="25.5">
      <c r="B160" s="41" t="s">
        <v>206</v>
      </c>
      <c r="C160" t="s">
        <v>1407</v>
      </c>
      <c r="D160" s="1" t="s">
        <v>1408</v>
      </c>
      <c r="E160" s="42">
        <v>596</v>
      </c>
      <c r="G160" s="306">
        <f>E160*F160</f>
        <v>0</v>
      </c>
    </row>
    <row r="161" spans="1:7">
      <c r="C161"/>
    </row>
    <row r="162" spans="1:7">
      <c r="B162" s="41" t="s">
        <v>233</v>
      </c>
      <c r="C162" t="s">
        <v>1409</v>
      </c>
      <c r="D162" s="1" t="s">
        <v>112</v>
      </c>
      <c r="E162" s="42">
        <v>1533</v>
      </c>
      <c r="G162" s="306">
        <f>E162*F162</f>
        <v>0</v>
      </c>
    </row>
    <row r="163" spans="1:7">
      <c r="C163"/>
    </row>
    <row r="164" spans="1:7" ht="25.5">
      <c r="B164" s="41" t="s">
        <v>245</v>
      </c>
      <c r="C164" t="s">
        <v>1410</v>
      </c>
      <c r="D164" s="1" t="s">
        <v>110</v>
      </c>
      <c r="E164" s="42">
        <v>1</v>
      </c>
      <c r="G164" s="306">
        <f>E164*F164</f>
        <v>0</v>
      </c>
    </row>
    <row r="165" spans="1:7">
      <c r="C165"/>
    </row>
    <row r="166" spans="1:7">
      <c r="B166" s="41" t="s">
        <v>250</v>
      </c>
      <c r="C166" t="s">
        <v>1411</v>
      </c>
      <c r="D166" s="1" t="s">
        <v>110</v>
      </c>
      <c r="E166" s="42">
        <v>1</v>
      </c>
      <c r="G166" s="306">
        <f>E166*F166</f>
        <v>0</v>
      </c>
    </row>
    <row r="167" spans="1:7">
      <c r="C167"/>
    </row>
    <row r="168" spans="1:7" ht="15">
      <c r="A168" s="89" t="s">
        <v>1341</v>
      </c>
      <c r="B168" s="76"/>
      <c r="C168" s="76" t="s">
        <v>1412</v>
      </c>
      <c r="D168" s="76"/>
      <c r="E168" s="13"/>
      <c r="F168" s="13"/>
      <c r="G168" s="304"/>
    </row>
    <row r="169" spans="1:7">
      <c r="C169"/>
    </row>
    <row r="170" spans="1:7">
      <c r="B170" s="41" t="s">
        <v>9</v>
      </c>
      <c r="C170" s="77" t="s">
        <v>1413</v>
      </c>
    </row>
    <row r="171" spans="1:7">
      <c r="C171" t="s">
        <v>1414</v>
      </c>
    </row>
    <row r="172" spans="1:7">
      <c r="C172" t="s">
        <v>1415</v>
      </c>
      <c r="D172" s="1" t="s">
        <v>115</v>
      </c>
      <c r="E172" s="42">
        <v>1</v>
      </c>
    </row>
    <row r="173" spans="1:7">
      <c r="C173" t="s">
        <v>1416</v>
      </c>
      <c r="D173" s="1" t="s">
        <v>110</v>
      </c>
      <c r="E173" s="42">
        <v>1</v>
      </c>
    </row>
    <row r="174" spans="1:7">
      <c r="C174" t="s">
        <v>1417</v>
      </c>
      <c r="D174" s="1" t="s">
        <v>110</v>
      </c>
      <c r="E174" s="42">
        <v>1</v>
      </c>
    </row>
    <row r="175" spans="1:7">
      <c r="C175" t="s">
        <v>1418</v>
      </c>
      <c r="D175" s="1" t="s">
        <v>110</v>
      </c>
      <c r="E175" s="42">
        <v>2</v>
      </c>
    </row>
    <row r="176" spans="1:7">
      <c r="C176" t="s">
        <v>1419</v>
      </c>
      <c r="D176" s="1" t="s">
        <v>110</v>
      </c>
      <c r="E176" s="42">
        <v>2</v>
      </c>
    </row>
    <row r="177" spans="2:7">
      <c r="C177" t="s">
        <v>1420</v>
      </c>
      <c r="D177" s="1" t="s">
        <v>110</v>
      </c>
      <c r="E177" s="42">
        <v>1</v>
      </c>
    </row>
    <row r="178" spans="2:7">
      <c r="C178" t="s">
        <v>1421</v>
      </c>
      <c r="D178" s="1" t="s">
        <v>110</v>
      </c>
      <c r="E178" s="42">
        <v>1</v>
      </c>
    </row>
    <row r="179" spans="2:7" ht="25.5">
      <c r="C179" t="s">
        <v>1422</v>
      </c>
      <c r="D179" s="1" t="s">
        <v>115</v>
      </c>
      <c r="E179" s="42">
        <v>1</v>
      </c>
    </row>
    <row r="180" spans="2:7">
      <c r="C180" t="s">
        <v>1423</v>
      </c>
      <c r="D180" s="1" t="s">
        <v>115</v>
      </c>
      <c r="E180" s="42">
        <v>1</v>
      </c>
    </row>
    <row r="181" spans="2:7">
      <c r="C181" t="s">
        <v>1424</v>
      </c>
      <c r="D181" s="1" t="s">
        <v>115</v>
      </c>
      <c r="E181" s="42">
        <v>1</v>
      </c>
    </row>
    <row r="182" spans="2:7">
      <c r="C182" t="s">
        <v>1425</v>
      </c>
      <c r="D182" s="1" t="s">
        <v>115</v>
      </c>
      <c r="E182" s="42">
        <v>1</v>
      </c>
    </row>
    <row r="183" spans="2:7">
      <c r="C183" t="s">
        <v>117</v>
      </c>
      <c r="D183" s="1" t="s">
        <v>115</v>
      </c>
      <c r="E183" s="42">
        <v>4</v>
      </c>
      <c r="G183" s="306">
        <f>E183*F183</f>
        <v>0</v>
      </c>
    </row>
    <row r="184" spans="2:7">
      <c r="C184"/>
    </row>
    <row r="185" spans="2:7" ht="38.25">
      <c r="B185" s="41" t="s">
        <v>18</v>
      </c>
      <c r="C185" t="s">
        <v>1426</v>
      </c>
      <c r="D185" s="1" t="s">
        <v>110</v>
      </c>
      <c r="E185" s="42">
        <v>4</v>
      </c>
      <c r="G185" s="306">
        <f t="shared" ref="G185:G195" si="0">E185*F185</f>
        <v>0</v>
      </c>
    </row>
    <row r="186" spans="2:7">
      <c r="C186"/>
    </row>
    <row r="187" spans="2:7" ht="38.25">
      <c r="B187" s="41" t="s">
        <v>19</v>
      </c>
      <c r="C187" t="s">
        <v>1427</v>
      </c>
      <c r="D187" s="1" t="s">
        <v>110</v>
      </c>
      <c r="E187" s="42">
        <v>4</v>
      </c>
      <c r="G187" s="306">
        <f t="shared" si="0"/>
        <v>0</v>
      </c>
    </row>
    <row r="188" spans="2:7">
      <c r="C188"/>
    </row>
    <row r="189" spans="2:7" ht="25.5">
      <c r="B189" s="41" t="s">
        <v>20</v>
      </c>
      <c r="C189" t="s">
        <v>1428</v>
      </c>
      <c r="D189" s="1" t="s">
        <v>115</v>
      </c>
      <c r="E189" s="42">
        <v>154</v>
      </c>
      <c r="G189" s="306">
        <f t="shared" si="0"/>
        <v>0</v>
      </c>
    </row>
    <row r="190" spans="2:7">
      <c r="C190"/>
    </row>
    <row r="191" spans="2:7">
      <c r="B191" s="41" t="s">
        <v>21</v>
      </c>
      <c r="C191" t="s">
        <v>1429</v>
      </c>
      <c r="D191" s="1" t="s">
        <v>115</v>
      </c>
      <c r="E191" s="42">
        <v>4</v>
      </c>
      <c r="G191" s="306">
        <f t="shared" si="0"/>
        <v>0</v>
      </c>
    </row>
    <row r="192" spans="2:7">
      <c r="C192"/>
    </row>
    <row r="193" spans="2:7" ht="25.5">
      <c r="B193" s="41" t="s">
        <v>60</v>
      </c>
      <c r="C193" t="s">
        <v>1430</v>
      </c>
      <c r="D193" s="1" t="s">
        <v>112</v>
      </c>
      <c r="E193" s="42">
        <v>3150</v>
      </c>
      <c r="G193" s="306">
        <f t="shared" si="0"/>
        <v>0</v>
      </c>
    </row>
    <row r="194" spans="2:7">
      <c r="C194"/>
    </row>
    <row r="195" spans="2:7">
      <c r="B195" s="41" t="s">
        <v>78</v>
      </c>
      <c r="C195" t="s">
        <v>1431</v>
      </c>
      <c r="D195" s="1" t="s">
        <v>112</v>
      </c>
      <c r="E195" s="42">
        <v>4045</v>
      </c>
      <c r="G195" s="306">
        <f t="shared" si="0"/>
        <v>0</v>
      </c>
    </row>
    <row r="196" spans="2:7">
      <c r="B196" s="41" t="s">
        <v>165</v>
      </c>
      <c r="C196" t="s">
        <v>1432</v>
      </c>
    </row>
    <row r="197" spans="2:7">
      <c r="C197" t="s">
        <v>1433</v>
      </c>
    </row>
    <row r="198" spans="2:7">
      <c r="C198" t="s">
        <v>1434</v>
      </c>
    </row>
    <row r="199" spans="2:7">
      <c r="C199" t="s">
        <v>1435</v>
      </c>
    </row>
    <row r="200" spans="2:7">
      <c r="C200" t="s">
        <v>1436</v>
      </c>
    </row>
    <row r="201" spans="2:7">
      <c r="C201" t="s">
        <v>1437</v>
      </c>
    </row>
    <row r="202" spans="2:7">
      <c r="C202" t="s">
        <v>1438</v>
      </c>
    </row>
    <row r="203" spans="2:7">
      <c r="C203" t="s">
        <v>1439</v>
      </c>
    </row>
    <row r="204" spans="2:7">
      <c r="C204" t="s">
        <v>1440</v>
      </c>
    </row>
    <row r="205" spans="2:7">
      <c r="C205" t="s">
        <v>1441</v>
      </c>
    </row>
    <row r="206" spans="2:7">
      <c r="C206" t="s">
        <v>1442</v>
      </c>
    </row>
    <row r="207" spans="2:7">
      <c r="C207" t="s">
        <v>1442</v>
      </c>
    </row>
    <row r="208" spans="2:7">
      <c r="C208" t="s">
        <v>1443</v>
      </c>
    </row>
    <row r="209" spans="1:7">
      <c r="C209" t="s">
        <v>1402</v>
      </c>
      <c r="D209" s="1" t="s">
        <v>115</v>
      </c>
      <c r="E209" s="42">
        <v>1</v>
      </c>
      <c r="G209" s="306">
        <f t="shared" ref="G209" si="1">E209*F209</f>
        <v>0</v>
      </c>
    </row>
    <row r="210" spans="1:7">
      <c r="C210"/>
    </row>
    <row r="211" spans="1:7" ht="38.25">
      <c r="B211" s="41" t="s">
        <v>205</v>
      </c>
      <c r="C211" t="s">
        <v>1444</v>
      </c>
      <c r="D211" s="1" t="s">
        <v>110</v>
      </c>
      <c r="E211" s="42">
        <v>24</v>
      </c>
      <c r="G211" s="306">
        <f t="shared" ref="G211" si="2">E211*F211</f>
        <v>0</v>
      </c>
    </row>
    <row r="212" spans="1:7">
      <c r="C212"/>
    </row>
    <row r="213" spans="1:7">
      <c r="B213" s="41" t="s">
        <v>206</v>
      </c>
      <c r="C213" t="s">
        <v>1445</v>
      </c>
      <c r="D213" s="1" t="s">
        <v>112</v>
      </c>
      <c r="E213" s="42">
        <v>180</v>
      </c>
      <c r="G213" s="306">
        <f t="shared" ref="G213" si="3">E213*F213</f>
        <v>0</v>
      </c>
    </row>
    <row r="214" spans="1:7">
      <c r="C214"/>
    </row>
    <row r="215" spans="1:7">
      <c r="B215" s="41" t="s">
        <v>233</v>
      </c>
      <c r="C215" t="s">
        <v>1446</v>
      </c>
      <c r="D215" s="1" t="s">
        <v>115</v>
      </c>
      <c r="E215" s="42">
        <v>1</v>
      </c>
      <c r="G215" s="306">
        <f t="shared" ref="G215" si="4">E215*F215</f>
        <v>0</v>
      </c>
    </row>
    <row r="216" spans="1:7">
      <c r="C216"/>
    </row>
    <row r="217" spans="1:7" ht="15">
      <c r="A217" s="89" t="s">
        <v>1349</v>
      </c>
      <c r="B217" s="76"/>
      <c r="C217" s="76" t="s">
        <v>1447</v>
      </c>
      <c r="D217" s="76"/>
      <c r="E217" s="13"/>
      <c r="F217" s="13"/>
      <c r="G217" s="304"/>
    </row>
    <row r="218" spans="1:7">
      <c r="C218"/>
    </row>
    <row r="219" spans="1:7">
      <c r="B219" s="41" t="s">
        <v>9</v>
      </c>
      <c r="C219" t="s">
        <v>1448</v>
      </c>
    </row>
    <row r="220" spans="1:7">
      <c r="C220" t="s">
        <v>1449</v>
      </c>
    </row>
    <row r="221" spans="1:7">
      <c r="C221" t="s">
        <v>1450</v>
      </c>
    </row>
    <row r="222" spans="1:7">
      <c r="C222" t="s">
        <v>1451</v>
      </c>
    </row>
    <row r="223" spans="1:7" ht="25.5">
      <c r="C223" t="s">
        <v>1452</v>
      </c>
    </row>
    <row r="224" spans="1:7" ht="25.5">
      <c r="C224" t="s">
        <v>1453</v>
      </c>
    </row>
    <row r="225" spans="2:7">
      <c r="C225" t="s">
        <v>1454</v>
      </c>
    </row>
    <row r="226" spans="2:7">
      <c r="C226" t="s">
        <v>1455</v>
      </c>
    </row>
    <row r="227" spans="2:7">
      <c r="C227" t="s">
        <v>1456</v>
      </c>
    </row>
    <row r="228" spans="2:7">
      <c r="C228" t="s">
        <v>1457</v>
      </c>
    </row>
    <row r="229" spans="2:7">
      <c r="C229" t="s">
        <v>1458</v>
      </c>
    </row>
    <row r="230" spans="2:7">
      <c r="C230" t="s">
        <v>1459</v>
      </c>
    </row>
    <row r="231" spans="2:7">
      <c r="C231" t="s">
        <v>1460</v>
      </c>
    </row>
    <row r="232" spans="2:7">
      <c r="C232" t="s">
        <v>1461</v>
      </c>
    </row>
    <row r="233" spans="2:7">
      <c r="C233" t="s">
        <v>1462</v>
      </c>
    </row>
    <row r="234" spans="2:7">
      <c r="C234" t="s">
        <v>1463</v>
      </c>
    </row>
    <row r="235" spans="2:7" ht="25.5">
      <c r="C235" t="s">
        <v>1464</v>
      </c>
    </row>
    <row r="236" spans="2:7">
      <c r="C236" t="s">
        <v>679</v>
      </c>
      <c r="D236" s="1" t="s">
        <v>110</v>
      </c>
      <c r="E236" s="42">
        <v>1</v>
      </c>
      <c r="G236" s="306">
        <f t="shared" ref="G236" si="5">E236*F236</f>
        <v>0</v>
      </c>
    </row>
    <row r="237" spans="2:7">
      <c r="C237"/>
    </row>
    <row r="238" spans="2:7" ht="25.5">
      <c r="B238" s="41" t="s">
        <v>18</v>
      </c>
      <c r="C238" t="s">
        <v>1465</v>
      </c>
    </row>
    <row r="239" spans="2:7">
      <c r="C239" t="s">
        <v>1466</v>
      </c>
    </row>
    <row r="240" spans="2:7">
      <c r="C240" t="s">
        <v>1467</v>
      </c>
    </row>
    <row r="241" spans="2:7">
      <c r="C241" t="s">
        <v>1468</v>
      </c>
    </row>
    <row r="242" spans="2:7">
      <c r="C242" t="s">
        <v>1469</v>
      </c>
    </row>
    <row r="243" spans="2:7">
      <c r="C243" t="s">
        <v>1470</v>
      </c>
    </row>
    <row r="244" spans="2:7">
      <c r="C244" t="s">
        <v>1471</v>
      </c>
    </row>
    <row r="245" spans="2:7">
      <c r="C245" t="s">
        <v>1472</v>
      </c>
    </row>
    <row r="246" spans="2:7">
      <c r="C246" t="s">
        <v>1473</v>
      </c>
      <c r="D246" s="1" t="s">
        <v>110</v>
      </c>
      <c r="E246" s="42">
        <v>15</v>
      </c>
      <c r="G246" s="306">
        <f t="shared" ref="G246" si="6">E246*F246</f>
        <v>0</v>
      </c>
    </row>
    <row r="247" spans="2:7">
      <c r="C247"/>
    </row>
    <row r="248" spans="2:7" ht="25.5">
      <c r="B248" s="41" t="s">
        <v>19</v>
      </c>
      <c r="C248" t="s">
        <v>1474</v>
      </c>
      <c r="D248" s="1" t="s">
        <v>110</v>
      </c>
      <c r="E248" s="42">
        <v>1</v>
      </c>
      <c r="G248" s="306">
        <f t="shared" ref="G248" si="7">E248*F248</f>
        <v>0</v>
      </c>
    </row>
    <row r="249" spans="2:7">
      <c r="C249"/>
    </row>
    <row r="250" spans="2:7" ht="25.5">
      <c r="B250" s="41" t="s">
        <v>20</v>
      </c>
      <c r="C250" t="s">
        <v>1475</v>
      </c>
      <c r="D250" s="1" t="s">
        <v>110</v>
      </c>
      <c r="E250" s="42">
        <v>1</v>
      </c>
      <c r="G250" s="306">
        <f t="shared" ref="G250" si="8">E250*F250</f>
        <v>0</v>
      </c>
    </row>
    <row r="251" spans="2:7">
      <c r="C251"/>
    </row>
    <row r="252" spans="2:7">
      <c r="B252" s="41" t="s">
        <v>21</v>
      </c>
      <c r="C252" t="s">
        <v>1476</v>
      </c>
      <c r="D252" s="1" t="s">
        <v>112</v>
      </c>
      <c r="E252" s="42">
        <v>390</v>
      </c>
      <c r="G252" s="306">
        <f t="shared" ref="G252" si="9">E252*F252</f>
        <v>0</v>
      </c>
    </row>
    <row r="253" spans="2:7">
      <c r="C253"/>
    </row>
    <row r="254" spans="2:7">
      <c r="B254" s="41" t="s">
        <v>60</v>
      </c>
      <c r="C254" t="s">
        <v>1477</v>
      </c>
      <c r="D254" s="1" t="s">
        <v>112</v>
      </c>
      <c r="E254" s="42">
        <v>385</v>
      </c>
      <c r="G254" s="306">
        <f t="shared" ref="G254" si="10">E254*F254</f>
        <v>0</v>
      </c>
    </row>
    <row r="255" spans="2:7">
      <c r="C255"/>
    </row>
    <row r="256" spans="2:7" ht="25.5">
      <c r="B256" s="41" t="s">
        <v>78</v>
      </c>
      <c r="C256" t="s">
        <v>1478</v>
      </c>
      <c r="D256" s="1" t="s">
        <v>110</v>
      </c>
      <c r="E256" s="42">
        <v>8</v>
      </c>
      <c r="G256" s="306">
        <f t="shared" ref="G256" si="11">E256*F256</f>
        <v>0</v>
      </c>
    </row>
    <row r="257" spans="1:7">
      <c r="C257"/>
    </row>
    <row r="258" spans="1:7">
      <c r="B258" s="41" t="s">
        <v>165</v>
      </c>
      <c r="C258" t="s">
        <v>1479</v>
      </c>
      <c r="D258" s="1" t="s">
        <v>112</v>
      </c>
      <c r="E258" s="42">
        <v>195</v>
      </c>
      <c r="G258" s="306">
        <f t="shared" ref="G258" si="12">E258*F258</f>
        <v>0</v>
      </c>
    </row>
    <row r="259" spans="1:7">
      <c r="C259"/>
    </row>
    <row r="260" spans="1:7">
      <c r="B260" s="41" t="s">
        <v>205</v>
      </c>
      <c r="C260" t="s">
        <v>1480</v>
      </c>
      <c r="D260" s="1" t="s">
        <v>110</v>
      </c>
      <c r="E260" s="42">
        <v>1</v>
      </c>
      <c r="G260" s="306">
        <f t="shared" ref="G260" si="13">E260*F260</f>
        <v>0</v>
      </c>
    </row>
    <row r="261" spans="1:7">
      <c r="C261"/>
    </row>
    <row r="262" spans="1:7" ht="15">
      <c r="A262" s="89" t="s">
        <v>1355</v>
      </c>
      <c r="B262" s="76"/>
      <c r="C262" s="76" t="s">
        <v>1481</v>
      </c>
      <c r="D262" s="76"/>
      <c r="E262" s="13"/>
      <c r="F262" s="13"/>
      <c r="G262" s="304"/>
    </row>
    <row r="263" spans="1:7">
      <c r="C263"/>
    </row>
    <row r="264" spans="1:7" ht="38.25">
      <c r="B264" s="41" t="s">
        <v>9</v>
      </c>
      <c r="C264" t="s">
        <v>1482</v>
      </c>
    </row>
    <row r="265" spans="1:7">
      <c r="C265" t="s">
        <v>1483</v>
      </c>
    </row>
    <row r="266" spans="1:7">
      <c r="C266" t="s">
        <v>1484</v>
      </c>
    </row>
    <row r="267" spans="1:7">
      <c r="C267" t="s">
        <v>1485</v>
      </c>
    </row>
    <row r="268" spans="1:7">
      <c r="C268" t="s">
        <v>1486</v>
      </c>
    </row>
    <row r="269" spans="1:7">
      <c r="C269" t="s">
        <v>117</v>
      </c>
      <c r="D269" s="1" t="s">
        <v>115</v>
      </c>
      <c r="E269" s="42">
        <v>1</v>
      </c>
      <c r="G269" s="306">
        <f>E269*F269</f>
        <v>0</v>
      </c>
    </row>
    <row r="270" spans="1:7">
      <c r="C270"/>
    </row>
    <row r="271" spans="1:7">
      <c r="B271" s="41" t="s">
        <v>18</v>
      </c>
      <c r="C271" t="s">
        <v>1487</v>
      </c>
    </row>
    <row r="272" spans="1:7">
      <c r="C272" t="s">
        <v>117</v>
      </c>
      <c r="D272" s="1" t="s">
        <v>115</v>
      </c>
      <c r="E272" s="42">
        <v>4</v>
      </c>
      <c r="G272" s="306">
        <f>E272*F272</f>
        <v>0</v>
      </c>
    </row>
    <row r="273" spans="2:7">
      <c r="C273"/>
    </row>
    <row r="274" spans="2:7" ht="25.5">
      <c r="B274" s="41" t="s">
        <v>19</v>
      </c>
      <c r="C274" t="s">
        <v>1488</v>
      </c>
    </row>
    <row r="275" spans="2:7">
      <c r="C275" t="s">
        <v>117</v>
      </c>
      <c r="D275" s="1" t="s">
        <v>115</v>
      </c>
      <c r="E275" s="42">
        <v>152</v>
      </c>
      <c r="G275" s="306">
        <f>E275*F275</f>
        <v>0</v>
      </c>
    </row>
    <row r="276" spans="2:7">
      <c r="C276"/>
    </row>
    <row r="277" spans="2:7">
      <c r="B277" s="41" t="s">
        <v>20</v>
      </c>
      <c r="C277" t="s">
        <v>1489</v>
      </c>
    </row>
    <row r="278" spans="2:7">
      <c r="C278" t="s">
        <v>117</v>
      </c>
      <c r="D278" s="1" t="s">
        <v>115</v>
      </c>
      <c r="E278" s="42">
        <v>34</v>
      </c>
      <c r="G278" s="306">
        <f>E278*F278</f>
        <v>0</v>
      </c>
    </row>
    <row r="279" spans="2:7">
      <c r="C279"/>
    </row>
    <row r="280" spans="2:7" ht="25.5">
      <c r="B280" s="41" t="s">
        <v>21</v>
      </c>
      <c r="C280" t="s">
        <v>1490</v>
      </c>
    </row>
    <row r="281" spans="2:7">
      <c r="C281" t="s">
        <v>117</v>
      </c>
      <c r="D281" s="1" t="s">
        <v>115</v>
      </c>
      <c r="E281" s="42">
        <v>4</v>
      </c>
      <c r="G281" s="306">
        <f>E281*F281</f>
        <v>0</v>
      </c>
    </row>
    <row r="282" spans="2:7">
      <c r="C282"/>
    </row>
    <row r="283" spans="2:7" ht="25.5">
      <c r="B283" s="41" t="s">
        <v>60</v>
      </c>
      <c r="C283" t="s">
        <v>1491</v>
      </c>
    </row>
    <row r="284" spans="2:7">
      <c r="C284" t="s">
        <v>117</v>
      </c>
      <c r="D284" s="1" t="s">
        <v>115</v>
      </c>
      <c r="E284" s="42">
        <v>152</v>
      </c>
      <c r="G284" s="306">
        <f>E284*F284</f>
        <v>0</v>
      </c>
    </row>
    <row r="285" spans="2:7">
      <c r="C285"/>
    </row>
    <row r="286" spans="2:7">
      <c r="B286" s="41" t="s">
        <v>78</v>
      </c>
      <c r="C286" t="s">
        <v>1492</v>
      </c>
    </row>
    <row r="287" spans="2:7">
      <c r="C287" t="s">
        <v>1493</v>
      </c>
      <c r="E287" s="42">
        <v>500</v>
      </c>
    </row>
    <row r="288" spans="2:7">
      <c r="C288" t="s">
        <v>1494</v>
      </c>
      <c r="E288" s="42">
        <v>2190</v>
      </c>
    </row>
    <row r="289" spans="1:7">
      <c r="C289" t="s">
        <v>1495</v>
      </c>
      <c r="E289" s="42">
        <v>41</v>
      </c>
    </row>
    <row r="290" spans="1:7">
      <c r="B290" s="40"/>
      <c r="C290" t="s">
        <v>1496</v>
      </c>
      <c r="E290" s="42">
        <v>400</v>
      </c>
    </row>
    <row r="291" spans="1:7">
      <c r="B291" s="40"/>
      <c r="C291" t="s">
        <v>1497</v>
      </c>
      <c r="E291" s="42">
        <v>560</v>
      </c>
    </row>
    <row r="292" spans="1:7">
      <c r="C292" t="s">
        <v>117</v>
      </c>
      <c r="D292" s="1" t="s">
        <v>115</v>
      </c>
      <c r="E292" s="42">
        <v>1</v>
      </c>
      <c r="G292" s="306">
        <f>E292*F292</f>
        <v>0</v>
      </c>
    </row>
    <row r="293" spans="1:7">
      <c r="B293" s="40"/>
      <c r="C293"/>
    </row>
    <row r="294" spans="1:7">
      <c r="B294" s="40"/>
      <c r="C294"/>
    </row>
    <row r="295" spans="1:7" ht="15">
      <c r="A295" s="89" t="s">
        <v>1498</v>
      </c>
      <c r="B295" s="76"/>
      <c r="C295" s="76" t="s">
        <v>1499</v>
      </c>
      <c r="D295" s="76"/>
      <c r="E295" s="13"/>
      <c r="F295" s="13"/>
      <c r="G295" s="304"/>
    </row>
    <row r="296" spans="1:7">
      <c r="C296"/>
    </row>
    <row r="297" spans="1:7" ht="38.25">
      <c r="B297" s="40" t="s">
        <v>9</v>
      </c>
      <c r="C297" t="s">
        <v>1500</v>
      </c>
    </row>
    <row r="298" spans="1:7">
      <c r="C298" t="s">
        <v>117</v>
      </c>
      <c r="D298" s="1" t="s">
        <v>115</v>
      </c>
      <c r="E298" s="42">
        <v>4</v>
      </c>
      <c r="G298" s="306">
        <f>E298*F298</f>
        <v>0</v>
      </c>
    </row>
    <row r="299" spans="1:7">
      <c r="B299" s="40"/>
      <c r="C299"/>
    </row>
    <row r="300" spans="1:7">
      <c r="B300" s="41" t="s">
        <v>18</v>
      </c>
      <c r="C300" t="s">
        <v>1501</v>
      </c>
    </row>
    <row r="301" spans="1:7">
      <c r="C301" t="s">
        <v>117</v>
      </c>
      <c r="D301" s="1" t="s">
        <v>115</v>
      </c>
      <c r="E301" s="42">
        <v>520</v>
      </c>
      <c r="G301" s="306">
        <f>E301*F301</f>
        <v>0</v>
      </c>
    </row>
    <row r="302" spans="1:7">
      <c r="B302" s="40"/>
      <c r="C302"/>
    </row>
    <row r="303" spans="1:7" ht="25.5">
      <c r="B303" s="40" t="s">
        <v>19</v>
      </c>
      <c r="C303" t="s">
        <v>1502</v>
      </c>
    </row>
    <row r="304" spans="1:7">
      <c r="C304" t="s">
        <v>1503</v>
      </c>
    </row>
    <row r="305" spans="1:7">
      <c r="C305" t="s">
        <v>1504</v>
      </c>
    </row>
    <row r="306" spans="1:7">
      <c r="C306" t="s">
        <v>1505</v>
      </c>
    </row>
    <row r="307" spans="1:7">
      <c r="C307" t="s">
        <v>117</v>
      </c>
      <c r="D307" s="1" t="s">
        <v>115</v>
      </c>
      <c r="E307" s="42">
        <v>1</v>
      </c>
      <c r="G307" s="306">
        <f>E307*F307</f>
        <v>0</v>
      </c>
    </row>
    <row r="308" spans="1:7">
      <c r="C308"/>
    </row>
    <row r="309" spans="1:7">
      <c r="B309" s="41" t="s">
        <v>20</v>
      </c>
      <c r="C309" t="s">
        <v>1366</v>
      </c>
      <c r="D309" s="1" t="s">
        <v>115</v>
      </c>
      <c r="E309" s="42">
        <v>4</v>
      </c>
      <c r="G309" s="306">
        <f>E309*F309</f>
        <v>0</v>
      </c>
    </row>
    <row r="310" spans="1:7">
      <c r="C310"/>
    </row>
    <row r="311" spans="1:7">
      <c r="B311" s="41" t="s">
        <v>21</v>
      </c>
      <c r="C311" t="s">
        <v>1367</v>
      </c>
      <c r="D311" s="1" t="s">
        <v>115</v>
      </c>
      <c r="E311" s="42">
        <v>1</v>
      </c>
      <c r="G311" s="306">
        <f>E311*F311</f>
        <v>0</v>
      </c>
    </row>
    <row r="312" spans="1:7">
      <c r="C312"/>
    </row>
    <row r="313" spans="1:7">
      <c r="B313" s="41" t="s">
        <v>60</v>
      </c>
      <c r="C313" t="s">
        <v>1368</v>
      </c>
      <c r="D313" s="1" t="s">
        <v>115</v>
      </c>
      <c r="E313" s="42">
        <v>1</v>
      </c>
      <c r="G313" s="306">
        <f>E313*F313</f>
        <v>0</v>
      </c>
    </row>
    <row r="314" spans="1:7">
      <c r="C314"/>
    </row>
    <row r="315" spans="1:7">
      <c r="B315" s="41" t="s">
        <v>78</v>
      </c>
      <c r="C315" t="s">
        <v>1480</v>
      </c>
      <c r="D315" s="1" t="s">
        <v>115</v>
      </c>
      <c r="E315" s="42">
        <v>1</v>
      </c>
      <c r="G315" s="306">
        <f>E315*F315</f>
        <v>0</v>
      </c>
    </row>
    <row r="316" spans="1:7">
      <c r="C316"/>
    </row>
    <row r="317" spans="1:7" ht="15">
      <c r="A317" s="89" t="s">
        <v>1506</v>
      </c>
      <c r="B317" s="76"/>
      <c r="C317" s="76" t="s">
        <v>1507</v>
      </c>
      <c r="D317" s="76"/>
      <c r="E317" s="13"/>
      <c r="F317" s="13"/>
      <c r="G317" s="304"/>
    </row>
    <row r="318" spans="1:7">
      <c r="C318"/>
    </row>
    <row r="319" spans="1:7" ht="38.25">
      <c r="B319" s="41" t="s">
        <v>9</v>
      </c>
      <c r="C319" t="s">
        <v>1508</v>
      </c>
    </row>
    <row r="320" spans="1:7">
      <c r="C320" t="s">
        <v>117</v>
      </c>
      <c r="D320" s="1" t="s">
        <v>115</v>
      </c>
      <c r="E320" s="42">
        <v>4</v>
      </c>
      <c r="G320" s="306">
        <f>E320*F320</f>
        <v>0</v>
      </c>
    </row>
    <row r="321" spans="2:7">
      <c r="C321"/>
    </row>
    <row r="322" spans="2:7" ht="25.5">
      <c r="B322" s="41" t="s">
        <v>18</v>
      </c>
      <c r="C322" t="s">
        <v>1509</v>
      </c>
    </row>
    <row r="323" spans="2:7">
      <c r="C323" t="s">
        <v>128</v>
      </c>
      <c r="D323" s="1" t="s">
        <v>129</v>
      </c>
      <c r="E323" s="42">
        <v>1920</v>
      </c>
      <c r="G323" s="306">
        <f>E323*F323</f>
        <v>0</v>
      </c>
    </row>
    <row r="324" spans="2:7">
      <c r="C324"/>
    </row>
    <row r="325" spans="2:7" ht="25.5">
      <c r="B325" s="41" t="s">
        <v>19</v>
      </c>
      <c r="C325" t="s">
        <v>1510</v>
      </c>
    </row>
    <row r="326" spans="2:7">
      <c r="C326" t="s">
        <v>1511</v>
      </c>
    </row>
    <row r="327" spans="2:7">
      <c r="C327" t="s">
        <v>1512</v>
      </c>
    </row>
    <row r="328" spans="2:7">
      <c r="C328" t="s">
        <v>1513</v>
      </c>
    </row>
    <row r="329" spans="2:7">
      <c r="C329" t="s">
        <v>1402</v>
      </c>
      <c r="D329" s="1" t="s">
        <v>115</v>
      </c>
      <c r="E329" s="42">
        <v>1</v>
      </c>
      <c r="G329" s="306">
        <f>E329*F329</f>
        <v>0</v>
      </c>
    </row>
    <row r="330" spans="2:7">
      <c r="C330"/>
    </row>
    <row r="331" spans="2:7">
      <c r="B331" s="41" t="s">
        <v>20</v>
      </c>
      <c r="C331" t="s">
        <v>1366</v>
      </c>
      <c r="D331" s="1" t="s">
        <v>115</v>
      </c>
      <c r="E331" s="42">
        <v>4</v>
      </c>
      <c r="G331" s="306">
        <f>E331*F331</f>
        <v>0</v>
      </c>
    </row>
    <row r="332" spans="2:7">
      <c r="C332"/>
    </row>
    <row r="333" spans="2:7">
      <c r="B333" s="41" t="s">
        <v>21</v>
      </c>
      <c r="C333" t="s">
        <v>1367</v>
      </c>
      <c r="D333" s="1" t="s">
        <v>115</v>
      </c>
      <c r="E333" s="42">
        <v>1</v>
      </c>
      <c r="G333" s="306">
        <f>E333*F333</f>
        <v>0</v>
      </c>
    </row>
    <row r="334" spans="2:7">
      <c r="C334"/>
    </row>
    <row r="335" spans="2:7">
      <c r="B335" s="41" t="s">
        <v>60</v>
      </c>
      <c r="C335" t="s">
        <v>1368</v>
      </c>
      <c r="D335" s="1" t="s">
        <v>115</v>
      </c>
      <c r="E335" s="42">
        <v>1</v>
      </c>
      <c r="G335" s="306">
        <f>E335*F335</f>
        <v>0</v>
      </c>
    </row>
    <row r="336" spans="2:7">
      <c r="C336"/>
    </row>
    <row r="337" spans="1:7">
      <c r="B337" s="41" t="s">
        <v>78</v>
      </c>
      <c r="C337" t="s">
        <v>1480</v>
      </c>
      <c r="D337" s="1" t="s">
        <v>115</v>
      </c>
      <c r="E337" s="42">
        <v>1</v>
      </c>
      <c r="G337" s="306">
        <f>E337*F337</f>
        <v>0</v>
      </c>
    </row>
    <row r="338" spans="1:7">
      <c r="C338"/>
    </row>
    <row r="339" spans="1:7" ht="13.5" thickBot="1">
      <c r="C339"/>
    </row>
    <row r="340" spans="1:7" ht="21.75" thickBot="1">
      <c r="A340" s="49" t="s">
        <v>9</v>
      </c>
      <c r="B340" s="50"/>
      <c r="C340" s="51" t="s">
        <v>1514</v>
      </c>
      <c r="D340" s="52"/>
      <c r="E340" s="53"/>
      <c r="F340" s="348"/>
      <c r="G340" s="307">
        <f>SUM(G52:G339)</f>
        <v>0</v>
      </c>
    </row>
    <row r="341" spans="1:7">
      <c r="C341"/>
    </row>
    <row r="342" spans="1:7" ht="21">
      <c r="A342" s="34" t="s">
        <v>18</v>
      </c>
      <c r="B342" s="35"/>
      <c r="C342" s="39" t="s">
        <v>1515</v>
      </c>
      <c r="D342" s="37"/>
      <c r="E342" s="38"/>
      <c r="F342" s="438"/>
      <c r="G342" s="443"/>
    </row>
    <row r="343" spans="1:7">
      <c r="C343" s="85"/>
    </row>
    <row r="344" spans="1:7">
      <c r="C344"/>
    </row>
    <row r="345" spans="1:7" ht="15">
      <c r="A345" s="89" t="s">
        <v>1516</v>
      </c>
      <c r="B345" s="76"/>
      <c r="C345" s="76" t="s">
        <v>1517</v>
      </c>
      <c r="D345" s="76"/>
      <c r="E345" s="13"/>
      <c r="F345" s="13"/>
      <c r="G345" s="304"/>
    </row>
    <row r="346" spans="1:7">
      <c r="B346" s="40"/>
      <c r="C346"/>
    </row>
    <row r="347" spans="1:7">
      <c r="B347" s="40" t="s">
        <v>9</v>
      </c>
      <c r="C347" t="s">
        <v>1518</v>
      </c>
    </row>
    <row r="348" spans="1:7">
      <c r="B348" s="40"/>
      <c r="C348" t="s">
        <v>1519</v>
      </c>
    </row>
    <row r="349" spans="1:7" ht="25.5">
      <c r="B349" s="40"/>
      <c r="C349" t="s">
        <v>1520</v>
      </c>
    </row>
    <row r="350" spans="1:7">
      <c r="B350" s="40"/>
      <c r="C350" t="s">
        <v>128</v>
      </c>
      <c r="D350" s="1" t="s">
        <v>129</v>
      </c>
      <c r="E350" s="42">
        <v>276</v>
      </c>
      <c r="G350" s="306">
        <f>E350*F350</f>
        <v>0</v>
      </c>
    </row>
    <row r="351" spans="1:7">
      <c r="B351" s="40"/>
      <c r="C351"/>
    </row>
    <row r="352" spans="1:7">
      <c r="B352" s="40" t="s">
        <v>18</v>
      </c>
      <c r="C352" t="s">
        <v>1518</v>
      </c>
    </row>
    <row r="353" spans="2:7">
      <c r="B353" s="40"/>
      <c r="C353" t="s">
        <v>1521</v>
      </c>
    </row>
    <row r="354" spans="2:7" ht="25.5">
      <c r="B354" s="40"/>
      <c r="C354" t="s">
        <v>1520</v>
      </c>
    </row>
    <row r="355" spans="2:7">
      <c r="B355" s="40"/>
      <c r="C355" t="s">
        <v>128</v>
      </c>
      <c r="D355" s="1" t="s">
        <v>129</v>
      </c>
      <c r="E355" s="42">
        <v>398</v>
      </c>
      <c r="G355" s="306">
        <f>E355*F355</f>
        <v>0</v>
      </c>
    </row>
    <row r="356" spans="2:7">
      <c r="B356" s="40"/>
      <c r="C356"/>
    </row>
    <row r="357" spans="2:7">
      <c r="B357" s="40" t="s">
        <v>19</v>
      </c>
      <c r="C357" t="s">
        <v>1522</v>
      </c>
    </row>
    <row r="358" spans="2:7" ht="25.5">
      <c r="B358" s="40"/>
      <c r="C358" t="s">
        <v>1520</v>
      </c>
    </row>
    <row r="359" spans="2:7">
      <c r="B359" s="40"/>
      <c r="C359" t="s">
        <v>128</v>
      </c>
      <c r="D359" s="1" t="s">
        <v>129</v>
      </c>
      <c r="E359" s="42">
        <v>920</v>
      </c>
      <c r="G359" s="306">
        <f>E359*F359</f>
        <v>0</v>
      </c>
    </row>
    <row r="360" spans="2:7">
      <c r="B360" s="40"/>
      <c r="C360"/>
    </row>
    <row r="361" spans="2:7">
      <c r="B361" s="40" t="s">
        <v>20</v>
      </c>
      <c r="C361" t="s">
        <v>1518</v>
      </c>
    </row>
    <row r="362" spans="2:7">
      <c r="B362" s="40"/>
      <c r="C362" t="s">
        <v>1523</v>
      </c>
    </row>
    <row r="363" spans="2:7" ht="25.5">
      <c r="B363" s="40"/>
      <c r="C363" t="s">
        <v>1520</v>
      </c>
    </row>
    <row r="364" spans="2:7">
      <c r="B364" s="40"/>
      <c r="C364" t="s">
        <v>128</v>
      </c>
      <c r="D364" s="1" t="s">
        <v>129</v>
      </c>
      <c r="E364" s="42">
        <v>1383</v>
      </c>
      <c r="G364" s="306">
        <f>E364*F364</f>
        <v>0</v>
      </c>
    </row>
    <row r="365" spans="2:7">
      <c r="B365" s="40"/>
      <c r="C365"/>
    </row>
    <row r="366" spans="2:7">
      <c r="B366" s="40" t="s">
        <v>21</v>
      </c>
      <c r="C366" t="s">
        <v>1518</v>
      </c>
    </row>
    <row r="367" spans="2:7">
      <c r="B367" s="40"/>
      <c r="C367" t="s">
        <v>1524</v>
      </c>
    </row>
    <row r="368" spans="2:7" ht="25.5">
      <c r="B368" s="40"/>
      <c r="C368" t="s">
        <v>1520</v>
      </c>
    </row>
    <row r="369" spans="2:7">
      <c r="B369" s="40"/>
      <c r="C369" t="s">
        <v>128</v>
      </c>
      <c r="D369" s="1" t="s">
        <v>129</v>
      </c>
      <c r="E369" s="42">
        <v>163</v>
      </c>
      <c r="G369" s="306">
        <f>E369*F369</f>
        <v>0</v>
      </c>
    </row>
    <row r="370" spans="2:7">
      <c r="B370" s="40"/>
      <c r="C370"/>
    </row>
    <row r="371" spans="2:7">
      <c r="B371" s="40" t="s">
        <v>60</v>
      </c>
      <c r="C371" t="s">
        <v>1518</v>
      </c>
    </row>
    <row r="372" spans="2:7">
      <c r="B372" s="40"/>
      <c r="C372" t="s">
        <v>1525</v>
      </c>
    </row>
    <row r="373" spans="2:7" ht="25.5">
      <c r="B373" s="40"/>
      <c r="C373" t="s">
        <v>1520</v>
      </c>
    </row>
    <row r="374" spans="2:7">
      <c r="B374" s="40"/>
      <c r="C374" t="s">
        <v>128</v>
      </c>
      <c r="D374" s="1" t="s">
        <v>129</v>
      </c>
      <c r="E374" s="42">
        <v>159</v>
      </c>
      <c r="G374" s="306">
        <f>E374*F374</f>
        <v>0</v>
      </c>
    </row>
    <row r="375" spans="2:7">
      <c r="B375" s="40"/>
      <c r="C375"/>
    </row>
    <row r="376" spans="2:7">
      <c r="B376" s="40" t="s">
        <v>78</v>
      </c>
      <c r="C376" t="s">
        <v>1518</v>
      </c>
    </row>
    <row r="377" spans="2:7">
      <c r="B377" s="40"/>
      <c r="C377" t="s">
        <v>1526</v>
      </c>
    </row>
    <row r="378" spans="2:7" ht="25.5">
      <c r="B378" s="40"/>
      <c r="C378" t="s">
        <v>1520</v>
      </c>
    </row>
    <row r="379" spans="2:7">
      <c r="B379" s="40"/>
      <c r="C379" t="s">
        <v>128</v>
      </c>
      <c r="D379" s="1" t="s">
        <v>129</v>
      </c>
      <c r="E379" s="42">
        <v>26</v>
      </c>
      <c r="G379" s="306">
        <f>E379*F379</f>
        <v>0</v>
      </c>
    </row>
    <row r="380" spans="2:7">
      <c r="B380" s="40"/>
      <c r="C380"/>
    </row>
    <row r="381" spans="2:7">
      <c r="B381" s="40" t="s">
        <v>165</v>
      </c>
      <c r="C381" t="s">
        <v>1518</v>
      </c>
    </row>
    <row r="382" spans="2:7">
      <c r="B382" s="40"/>
      <c r="C382" t="s">
        <v>1527</v>
      </c>
    </row>
    <row r="383" spans="2:7" ht="25.5">
      <c r="B383" s="40"/>
      <c r="C383" t="s">
        <v>1520</v>
      </c>
    </row>
    <row r="384" spans="2:7">
      <c r="B384" s="40"/>
      <c r="C384" t="s">
        <v>128</v>
      </c>
      <c r="D384" s="1" t="s">
        <v>129</v>
      </c>
      <c r="E384" s="42">
        <v>11250</v>
      </c>
      <c r="G384" s="306">
        <f>E384*F384</f>
        <v>0</v>
      </c>
    </row>
    <row r="385" spans="2:7">
      <c r="B385" s="40"/>
      <c r="C385"/>
    </row>
    <row r="386" spans="2:7">
      <c r="B386" s="40" t="s">
        <v>205</v>
      </c>
      <c r="C386" t="s">
        <v>1518</v>
      </c>
    </row>
    <row r="387" spans="2:7">
      <c r="B387" s="40"/>
      <c r="C387" t="s">
        <v>1528</v>
      </c>
    </row>
    <row r="388" spans="2:7" ht="25.5">
      <c r="B388" s="40"/>
      <c r="C388" t="s">
        <v>1520</v>
      </c>
    </row>
    <row r="389" spans="2:7">
      <c r="B389" s="40"/>
      <c r="C389" t="s">
        <v>128</v>
      </c>
      <c r="D389" s="1" t="s">
        <v>129</v>
      </c>
      <c r="E389" s="42">
        <v>14320</v>
      </c>
      <c r="G389" s="306">
        <f>E389*F389</f>
        <v>0</v>
      </c>
    </row>
    <row r="390" spans="2:7">
      <c r="B390" s="40"/>
      <c r="C390"/>
    </row>
    <row r="391" spans="2:7">
      <c r="B391" s="40" t="s">
        <v>206</v>
      </c>
      <c r="C391" t="s">
        <v>1518</v>
      </c>
    </row>
    <row r="392" spans="2:7">
      <c r="B392" s="40"/>
      <c r="C392" t="s">
        <v>1529</v>
      </c>
    </row>
    <row r="393" spans="2:7" ht="25.5">
      <c r="B393" s="40"/>
      <c r="C393" t="s">
        <v>1530</v>
      </c>
    </row>
    <row r="394" spans="2:7">
      <c r="B394" s="40"/>
      <c r="C394" t="s">
        <v>128</v>
      </c>
      <c r="D394" s="1" t="s">
        <v>129</v>
      </c>
      <c r="E394" s="42">
        <v>412</v>
      </c>
      <c r="G394" s="306">
        <f>E394*F394</f>
        <v>0</v>
      </c>
    </row>
    <row r="395" spans="2:7">
      <c r="B395" s="40"/>
      <c r="C395"/>
    </row>
    <row r="396" spans="2:7">
      <c r="B396" s="40" t="s">
        <v>233</v>
      </c>
      <c r="C396" t="s">
        <v>1518</v>
      </c>
    </row>
    <row r="397" spans="2:7">
      <c r="B397" s="40"/>
      <c r="C397" t="s">
        <v>1531</v>
      </c>
    </row>
    <row r="398" spans="2:7" ht="25.5">
      <c r="B398" s="40"/>
      <c r="C398" t="s">
        <v>1530</v>
      </c>
    </row>
    <row r="399" spans="2:7">
      <c r="B399" s="40"/>
      <c r="C399" t="s">
        <v>128</v>
      </c>
      <c r="D399" s="1" t="s">
        <v>129</v>
      </c>
      <c r="E399" s="42">
        <v>210</v>
      </c>
      <c r="G399" s="306">
        <f>E399*F399</f>
        <v>0</v>
      </c>
    </row>
    <row r="400" spans="2:7">
      <c r="B400" s="40"/>
      <c r="C400"/>
    </row>
    <row r="401" spans="1:7" ht="25.5">
      <c r="B401" s="40" t="s">
        <v>245</v>
      </c>
      <c r="C401" t="s">
        <v>1532</v>
      </c>
      <c r="D401" s="1" t="s">
        <v>110</v>
      </c>
      <c r="E401" s="42">
        <v>1</v>
      </c>
      <c r="G401" s="306">
        <f>E401*F401</f>
        <v>0</v>
      </c>
    </row>
    <row r="402" spans="1:7">
      <c r="B402" s="40"/>
      <c r="C402"/>
    </row>
    <row r="403" spans="1:7" ht="15">
      <c r="A403" s="89" t="s">
        <v>1533</v>
      </c>
      <c r="B403" s="76"/>
      <c r="C403" s="76" t="s">
        <v>1534</v>
      </c>
      <c r="D403" s="76"/>
      <c r="E403" s="13"/>
      <c r="F403" s="13"/>
      <c r="G403" s="304"/>
    </row>
    <row r="404" spans="1:7">
      <c r="B404" s="40"/>
      <c r="C404"/>
    </row>
    <row r="405" spans="1:7">
      <c r="B405" s="40" t="s">
        <v>9</v>
      </c>
      <c r="C405" t="s">
        <v>1535</v>
      </c>
    </row>
    <row r="406" spans="1:7">
      <c r="C406" t="s">
        <v>117</v>
      </c>
      <c r="D406" s="1" t="s">
        <v>115</v>
      </c>
      <c r="E406" s="42">
        <v>917</v>
      </c>
      <c r="G406" s="306">
        <f>E406*F406</f>
        <v>0</v>
      </c>
    </row>
    <row r="407" spans="1:7">
      <c r="B407" s="40"/>
      <c r="C407"/>
    </row>
    <row r="408" spans="1:7">
      <c r="B408" s="40" t="s">
        <v>18</v>
      </c>
      <c r="C408" t="s">
        <v>1536</v>
      </c>
    </row>
    <row r="409" spans="1:7">
      <c r="C409" t="s">
        <v>117</v>
      </c>
      <c r="D409" s="1" t="s">
        <v>115</v>
      </c>
      <c r="E409" s="42">
        <v>592</v>
      </c>
      <c r="G409" s="306">
        <f>E409*F409</f>
        <v>0</v>
      </c>
    </row>
    <row r="410" spans="1:7">
      <c r="B410" s="40"/>
      <c r="C410"/>
    </row>
    <row r="411" spans="1:7">
      <c r="B411" s="40" t="s">
        <v>19</v>
      </c>
      <c r="C411" t="s">
        <v>1537</v>
      </c>
    </row>
    <row r="412" spans="1:7">
      <c r="C412" t="s">
        <v>117</v>
      </c>
      <c r="D412" s="1" t="s">
        <v>115</v>
      </c>
      <c r="E412" s="42">
        <v>133</v>
      </c>
      <c r="G412" s="306">
        <f>E412*F412</f>
        <v>0</v>
      </c>
    </row>
    <row r="413" spans="1:7">
      <c r="B413" s="40"/>
      <c r="C413"/>
    </row>
    <row r="414" spans="1:7">
      <c r="B414" s="40" t="s">
        <v>20</v>
      </c>
      <c r="C414" t="s">
        <v>1538</v>
      </c>
    </row>
    <row r="415" spans="1:7">
      <c r="C415" t="s">
        <v>117</v>
      </c>
      <c r="D415" s="1" t="s">
        <v>115</v>
      </c>
      <c r="E415" s="42">
        <v>153</v>
      </c>
      <c r="G415" s="306">
        <f>E415*F415</f>
        <v>0</v>
      </c>
    </row>
    <row r="416" spans="1:7">
      <c r="B416" s="40"/>
      <c r="C416"/>
    </row>
    <row r="417" spans="2:7">
      <c r="B417" s="40" t="s">
        <v>21</v>
      </c>
      <c r="C417" t="s">
        <v>1539</v>
      </c>
    </row>
    <row r="418" spans="2:7">
      <c r="C418" t="s">
        <v>117</v>
      </c>
      <c r="D418" s="1" t="s">
        <v>115</v>
      </c>
      <c r="E418" s="42">
        <v>153</v>
      </c>
      <c r="G418" s="306">
        <f>E418*F418</f>
        <v>0</v>
      </c>
    </row>
    <row r="419" spans="2:7">
      <c r="B419" s="40"/>
      <c r="C419"/>
    </row>
    <row r="420" spans="2:7">
      <c r="B420" s="40" t="s">
        <v>60</v>
      </c>
      <c r="C420" t="s">
        <v>1540</v>
      </c>
    </row>
    <row r="421" spans="2:7">
      <c r="C421" t="s">
        <v>117</v>
      </c>
      <c r="D421" s="1" t="s">
        <v>115</v>
      </c>
      <c r="E421" s="42">
        <v>99</v>
      </c>
      <c r="G421" s="306">
        <f>E421*F421</f>
        <v>0</v>
      </c>
    </row>
    <row r="422" spans="2:7">
      <c r="B422" s="40"/>
      <c r="C422"/>
    </row>
    <row r="423" spans="2:7">
      <c r="B423" s="40" t="s">
        <v>78</v>
      </c>
      <c r="C423" t="s">
        <v>1541</v>
      </c>
    </row>
    <row r="424" spans="2:7">
      <c r="C424" t="s">
        <v>117</v>
      </c>
      <c r="D424" s="1" t="s">
        <v>115</v>
      </c>
      <c r="E424" s="42">
        <v>10</v>
      </c>
      <c r="G424" s="306">
        <f>E424*F424</f>
        <v>0</v>
      </c>
    </row>
    <row r="425" spans="2:7">
      <c r="B425" s="40"/>
      <c r="C425"/>
    </row>
    <row r="426" spans="2:7">
      <c r="B426" s="40" t="s">
        <v>165</v>
      </c>
      <c r="C426" t="s">
        <v>1542</v>
      </c>
    </row>
    <row r="427" spans="2:7">
      <c r="C427" t="s">
        <v>117</v>
      </c>
      <c r="D427" s="1" t="s">
        <v>115</v>
      </c>
      <c r="E427" s="42">
        <v>2007</v>
      </c>
      <c r="G427" s="306">
        <f>E427*F427</f>
        <v>0</v>
      </c>
    </row>
    <row r="428" spans="2:7">
      <c r="B428" s="40"/>
      <c r="C428"/>
    </row>
    <row r="429" spans="2:7">
      <c r="B429" s="40" t="s">
        <v>205</v>
      </c>
      <c r="C429" t="s">
        <v>1543</v>
      </c>
    </row>
    <row r="430" spans="2:7">
      <c r="C430" t="s">
        <v>117</v>
      </c>
      <c r="D430" s="1" t="s">
        <v>115</v>
      </c>
      <c r="E430" s="42">
        <v>304</v>
      </c>
      <c r="G430" s="306">
        <f>E430*F430</f>
        <v>0</v>
      </c>
    </row>
    <row r="431" spans="2:7">
      <c r="B431" s="40"/>
      <c r="C431"/>
    </row>
    <row r="432" spans="2:7">
      <c r="B432" s="40" t="s">
        <v>206</v>
      </c>
      <c r="C432" t="s">
        <v>1544</v>
      </c>
    </row>
    <row r="433" spans="1:7">
      <c r="C433" t="s">
        <v>117</v>
      </c>
      <c r="D433" s="1" t="s">
        <v>115</v>
      </c>
      <c r="E433" s="42">
        <v>153</v>
      </c>
      <c r="G433" s="306">
        <f>E433*F433</f>
        <v>0</v>
      </c>
    </row>
    <row r="434" spans="1:7">
      <c r="B434" s="40"/>
      <c r="C434"/>
    </row>
    <row r="435" spans="1:7" ht="51">
      <c r="B435" s="40" t="s">
        <v>233</v>
      </c>
      <c r="C435" t="s">
        <v>1545</v>
      </c>
    </row>
    <row r="436" spans="1:7">
      <c r="B436" s="40"/>
      <c r="C436" t="s">
        <v>117</v>
      </c>
      <c r="D436" s="1" t="s">
        <v>115</v>
      </c>
      <c r="E436" s="42">
        <v>683</v>
      </c>
      <c r="G436" s="306">
        <f>E436*F436</f>
        <v>0</v>
      </c>
    </row>
    <row r="437" spans="1:7">
      <c r="B437" s="40"/>
      <c r="C437"/>
    </row>
    <row r="438" spans="1:7">
      <c r="B438" s="40"/>
      <c r="C438"/>
    </row>
    <row r="439" spans="1:7" ht="15">
      <c r="A439" s="89" t="s">
        <v>1546</v>
      </c>
      <c r="B439" s="76"/>
      <c r="C439" s="76" t="s">
        <v>1547</v>
      </c>
      <c r="D439" s="76"/>
      <c r="E439" s="13"/>
      <c r="F439" s="13"/>
      <c r="G439" s="304"/>
    </row>
    <row r="440" spans="1:7">
      <c r="B440" s="40"/>
      <c r="C440"/>
    </row>
    <row r="441" spans="1:7" ht="38.25">
      <c r="B441" s="40" t="s">
        <v>9</v>
      </c>
      <c r="C441" t="s">
        <v>1548</v>
      </c>
    </row>
    <row r="442" spans="1:7">
      <c r="B442" s="40"/>
      <c r="C442" t="s">
        <v>1549</v>
      </c>
    </row>
    <row r="443" spans="1:7">
      <c r="B443" s="40"/>
      <c r="C443" t="s">
        <v>1550</v>
      </c>
    </row>
    <row r="444" spans="1:7">
      <c r="B444" s="40"/>
      <c r="C444" t="s">
        <v>1551</v>
      </c>
    </row>
    <row r="445" spans="1:7" ht="25.5">
      <c r="B445" s="40"/>
      <c r="C445" t="s">
        <v>1552</v>
      </c>
    </row>
    <row r="446" spans="1:7">
      <c r="B446" s="40"/>
      <c r="C446" t="s">
        <v>1553</v>
      </c>
    </row>
    <row r="447" spans="1:7">
      <c r="B447" s="40"/>
      <c r="C447" t="s">
        <v>1554</v>
      </c>
      <c r="D447" s="1" t="s">
        <v>115</v>
      </c>
      <c r="E447" s="42">
        <v>4</v>
      </c>
      <c r="G447" s="306">
        <f>E447*F447</f>
        <v>0</v>
      </c>
    </row>
    <row r="448" spans="1:7">
      <c r="B448" s="40"/>
      <c r="C448"/>
    </row>
    <row r="449" spans="2:7" ht="38.25">
      <c r="B449" s="40" t="s">
        <v>18</v>
      </c>
      <c r="C449" s="77" t="s">
        <v>1555</v>
      </c>
    </row>
    <row r="450" spans="2:7">
      <c r="B450" s="40"/>
      <c r="C450" t="s">
        <v>1549</v>
      </c>
    </row>
    <row r="451" spans="2:7">
      <c r="B451" s="40"/>
      <c r="C451" t="s">
        <v>1556</v>
      </c>
    </row>
    <row r="452" spans="2:7">
      <c r="B452" s="40"/>
      <c r="C452" t="s">
        <v>1553</v>
      </c>
    </row>
    <row r="453" spans="2:7" ht="25.5">
      <c r="B453" s="40"/>
      <c r="C453" t="s">
        <v>1557</v>
      </c>
    </row>
    <row r="454" spans="2:7">
      <c r="B454" s="40"/>
      <c r="C454" t="s">
        <v>1554</v>
      </c>
      <c r="D454" s="1" t="s">
        <v>115</v>
      </c>
      <c r="E454" s="42">
        <v>1</v>
      </c>
      <c r="G454" s="306">
        <f>E454*F454</f>
        <v>0</v>
      </c>
    </row>
    <row r="455" spans="2:7">
      <c r="B455" s="40"/>
      <c r="C455"/>
    </row>
    <row r="456" spans="2:7" ht="38.25">
      <c r="B456" s="40" t="s">
        <v>19</v>
      </c>
      <c r="C456" t="s">
        <v>1558</v>
      </c>
    </row>
    <row r="457" spans="2:7">
      <c r="B457" s="40"/>
      <c r="C457" t="s">
        <v>1549</v>
      </c>
    </row>
    <row r="458" spans="2:7">
      <c r="B458" s="40"/>
      <c r="C458" t="s">
        <v>1556</v>
      </c>
    </row>
    <row r="459" spans="2:7">
      <c r="B459" s="40"/>
      <c r="C459" t="s">
        <v>1559</v>
      </c>
    </row>
    <row r="460" spans="2:7" ht="25.5">
      <c r="B460" s="40"/>
      <c r="C460" t="s">
        <v>1557</v>
      </c>
    </row>
    <row r="461" spans="2:7">
      <c r="B461" s="40"/>
      <c r="C461" t="s">
        <v>1560</v>
      </c>
    </row>
    <row r="462" spans="2:7">
      <c r="B462" s="40"/>
      <c r="C462" t="s">
        <v>1554</v>
      </c>
      <c r="D462" s="1" t="s">
        <v>115</v>
      </c>
      <c r="E462" s="42">
        <v>1</v>
      </c>
      <c r="G462" s="306">
        <f>E462*F462</f>
        <v>0</v>
      </c>
    </row>
    <row r="463" spans="2:7">
      <c r="B463" s="40"/>
      <c r="C463"/>
    </row>
    <row r="464" spans="2:7">
      <c r="B464" s="40" t="s">
        <v>20</v>
      </c>
      <c r="C464" t="s">
        <v>1561</v>
      </c>
    </row>
    <row r="465" spans="1:7">
      <c r="B465" s="40"/>
      <c r="C465" t="s">
        <v>1562</v>
      </c>
    </row>
    <row r="466" spans="1:7">
      <c r="B466" s="40"/>
      <c r="C466" t="s">
        <v>1563</v>
      </c>
    </row>
    <row r="467" spans="1:7">
      <c r="B467" s="40"/>
      <c r="C467" t="s">
        <v>1564</v>
      </c>
    </row>
    <row r="468" spans="1:7">
      <c r="B468" s="40"/>
      <c r="C468" t="s">
        <v>1565</v>
      </c>
    </row>
    <row r="469" spans="1:7">
      <c r="B469" s="40"/>
      <c r="C469" t="s">
        <v>1566</v>
      </c>
    </row>
    <row r="470" spans="1:7">
      <c r="B470" s="40"/>
      <c r="C470" t="s">
        <v>1567</v>
      </c>
      <c r="D470" s="1" t="s">
        <v>115</v>
      </c>
      <c r="E470" s="42">
        <v>1</v>
      </c>
      <c r="G470" s="306">
        <f>E470*F470</f>
        <v>0</v>
      </c>
    </row>
    <row r="471" spans="1:7">
      <c r="B471" s="40"/>
      <c r="C471"/>
    </row>
    <row r="472" spans="1:7" ht="15">
      <c r="A472" s="89" t="s">
        <v>1568</v>
      </c>
      <c r="B472" s="76"/>
      <c r="C472" s="76" t="s">
        <v>1569</v>
      </c>
      <c r="D472" s="76"/>
      <c r="E472" s="13"/>
      <c r="F472" s="13"/>
      <c r="G472" s="304"/>
    </row>
    <row r="473" spans="1:7">
      <c r="B473" s="40"/>
      <c r="C473"/>
    </row>
    <row r="474" spans="1:7" ht="140.25">
      <c r="B474" s="41" t="s">
        <v>9</v>
      </c>
      <c r="C474" t="s">
        <v>1570</v>
      </c>
    </row>
    <row r="475" spans="1:7">
      <c r="C475" t="s">
        <v>1571</v>
      </c>
      <c r="D475" s="1" t="s">
        <v>110</v>
      </c>
      <c r="E475" s="42">
        <v>84</v>
      </c>
      <c r="G475" s="306">
        <f>E475*F475</f>
        <v>0</v>
      </c>
    </row>
    <row r="476" spans="1:7">
      <c r="C476"/>
    </row>
    <row r="477" spans="1:7" ht="140.25">
      <c r="B477" s="41" t="s">
        <v>18</v>
      </c>
      <c r="C477" t="s">
        <v>1572</v>
      </c>
    </row>
    <row r="478" spans="1:7">
      <c r="C478" t="s">
        <v>1571</v>
      </c>
      <c r="D478" s="1" t="s">
        <v>110</v>
      </c>
      <c r="E478" s="42">
        <v>7</v>
      </c>
      <c r="G478" s="306">
        <f>E478*F478</f>
        <v>0</v>
      </c>
    </row>
    <row r="479" spans="1:7">
      <c r="B479" s="40"/>
      <c r="C479"/>
    </row>
    <row r="480" spans="1:7" ht="127.5">
      <c r="B480" s="41" t="s">
        <v>19</v>
      </c>
      <c r="C480" t="s">
        <v>1573</v>
      </c>
    </row>
    <row r="481" spans="2:7">
      <c r="C481" t="s">
        <v>1571</v>
      </c>
      <c r="D481" s="1" t="s">
        <v>110</v>
      </c>
      <c r="E481" s="42">
        <v>11</v>
      </c>
      <c r="G481" s="306">
        <f>E481*F481</f>
        <v>0</v>
      </c>
    </row>
    <row r="482" spans="2:7">
      <c r="B482" s="40"/>
      <c r="C482"/>
    </row>
    <row r="483" spans="2:7" ht="191.25">
      <c r="B483" s="41" t="s">
        <v>20</v>
      </c>
      <c r="C483" t="s">
        <v>1574</v>
      </c>
    </row>
    <row r="484" spans="2:7">
      <c r="C484" t="s">
        <v>1571</v>
      </c>
      <c r="D484" s="1" t="s">
        <v>110</v>
      </c>
      <c r="E484" s="42">
        <v>17</v>
      </c>
      <c r="G484" s="306">
        <f>E484*F484</f>
        <v>0</v>
      </c>
    </row>
    <row r="485" spans="2:7">
      <c r="B485" s="40"/>
      <c r="C485"/>
    </row>
    <row r="486" spans="2:7" ht="89.25">
      <c r="B486" s="41" t="s">
        <v>21</v>
      </c>
      <c r="C486" t="s">
        <v>1575</v>
      </c>
    </row>
    <row r="487" spans="2:7">
      <c r="C487" t="s">
        <v>1571</v>
      </c>
      <c r="D487" s="1" t="s">
        <v>110</v>
      </c>
      <c r="E487" s="42">
        <v>17</v>
      </c>
      <c r="G487" s="306">
        <f>E487*F487</f>
        <v>0</v>
      </c>
    </row>
    <row r="488" spans="2:7">
      <c r="B488" s="40"/>
      <c r="C488"/>
    </row>
    <row r="489" spans="2:7" ht="76.5">
      <c r="B489" s="41" t="s">
        <v>60</v>
      </c>
      <c r="C489" t="s">
        <v>1576</v>
      </c>
    </row>
    <row r="490" spans="2:7">
      <c r="C490" t="s">
        <v>1571</v>
      </c>
      <c r="D490" s="1" t="s">
        <v>110</v>
      </c>
      <c r="E490" s="42">
        <v>195</v>
      </c>
      <c r="G490" s="306">
        <f>E490*F490</f>
        <v>0</v>
      </c>
    </row>
    <row r="491" spans="2:7" ht="76.5">
      <c r="B491" s="41" t="s">
        <v>78</v>
      </c>
      <c r="C491" t="s">
        <v>1577</v>
      </c>
    </row>
    <row r="492" spans="2:7">
      <c r="C492" t="s">
        <v>1571</v>
      </c>
      <c r="D492" s="1" t="s">
        <v>110</v>
      </c>
      <c r="E492" s="42">
        <v>9</v>
      </c>
      <c r="G492" s="306">
        <f>E492*F492</f>
        <v>0</v>
      </c>
    </row>
    <row r="493" spans="2:7">
      <c r="C493"/>
    </row>
    <row r="494" spans="2:7" ht="89.25">
      <c r="B494" s="41" t="s">
        <v>165</v>
      </c>
      <c r="C494" t="s">
        <v>1578</v>
      </c>
    </row>
    <row r="495" spans="2:7">
      <c r="C495" t="s">
        <v>1571</v>
      </c>
      <c r="D495" s="1" t="s">
        <v>110</v>
      </c>
      <c r="E495" s="42">
        <v>24</v>
      </c>
      <c r="G495" s="306">
        <f>E495*F495</f>
        <v>0</v>
      </c>
    </row>
    <row r="496" spans="2:7">
      <c r="C496"/>
    </row>
    <row r="497" spans="1:7" ht="89.25">
      <c r="B497" s="41" t="s">
        <v>205</v>
      </c>
      <c r="C497" s="75" t="s">
        <v>1579</v>
      </c>
    </row>
    <row r="498" spans="1:7">
      <c r="C498" t="s">
        <v>1571</v>
      </c>
      <c r="D498" s="1" t="s">
        <v>110</v>
      </c>
      <c r="E498" s="42">
        <v>2</v>
      </c>
      <c r="G498" s="306">
        <f>E498*F498</f>
        <v>0</v>
      </c>
    </row>
    <row r="499" spans="1:7">
      <c r="C499" s="75"/>
    </row>
    <row r="500" spans="1:7">
      <c r="B500" s="41" t="s">
        <v>206</v>
      </c>
      <c r="C500" s="75" t="s">
        <v>1580</v>
      </c>
      <c r="D500" s="1" t="s">
        <v>115</v>
      </c>
      <c r="E500" s="42">
        <v>869</v>
      </c>
      <c r="G500" s="306">
        <f>E500*F500</f>
        <v>0</v>
      </c>
    </row>
    <row r="501" spans="1:7">
      <c r="C501" s="75"/>
    </row>
    <row r="502" spans="1:7">
      <c r="B502" s="41" t="s">
        <v>233</v>
      </c>
      <c r="C502" s="75" t="s">
        <v>1581</v>
      </c>
      <c r="D502" s="1" t="s">
        <v>115</v>
      </c>
      <c r="E502" s="42">
        <v>299</v>
      </c>
      <c r="G502" s="306">
        <f>E502*F502</f>
        <v>0</v>
      </c>
    </row>
    <row r="503" spans="1:7">
      <c r="C503" s="75"/>
    </row>
    <row r="504" spans="1:7">
      <c r="B504" s="41" t="s">
        <v>245</v>
      </c>
      <c r="C504" s="75" t="s">
        <v>1582</v>
      </c>
      <c r="D504" s="1" t="s">
        <v>115</v>
      </c>
      <c r="E504" s="42">
        <v>445</v>
      </c>
      <c r="G504" s="306">
        <f>E504*F504</f>
        <v>0</v>
      </c>
    </row>
    <row r="505" spans="1:7">
      <c r="C505" s="75"/>
    </row>
    <row r="506" spans="1:7">
      <c r="B506" s="41" t="s">
        <v>250</v>
      </c>
      <c r="C506" s="75" t="s">
        <v>1583</v>
      </c>
      <c r="D506" s="1" t="s">
        <v>115</v>
      </c>
      <c r="E506" s="42">
        <v>160</v>
      </c>
      <c r="G506" s="306">
        <f>E506*F506</f>
        <v>0</v>
      </c>
    </row>
    <row r="507" spans="1:7">
      <c r="B507" s="40"/>
      <c r="C507" s="75"/>
    </row>
    <row r="508" spans="1:7" ht="15">
      <c r="A508" s="89" t="s">
        <v>1584</v>
      </c>
      <c r="B508" s="76"/>
      <c r="C508" s="76" t="s">
        <v>1585</v>
      </c>
      <c r="D508" s="76"/>
      <c r="E508" s="13"/>
      <c r="F508" s="13"/>
      <c r="G508" s="304"/>
    </row>
    <row r="509" spans="1:7">
      <c r="B509" s="40"/>
      <c r="C509"/>
    </row>
    <row r="510" spans="1:7" ht="38.25">
      <c r="B510" s="40" t="s">
        <v>9</v>
      </c>
      <c r="C510" t="s">
        <v>1586</v>
      </c>
    </row>
    <row r="511" spans="1:7">
      <c r="B511" s="40"/>
      <c r="C511" t="s">
        <v>1587</v>
      </c>
    </row>
    <row r="512" spans="1:7">
      <c r="B512" s="40"/>
      <c r="C512" t="s">
        <v>1588</v>
      </c>
    </row>
    <row r="513" spans="2:7">
      <c r="B513" s="40"/>
      <c r="C513" t="s">
        <v>1589</v>
      </c>
    </row>
    <row r="514" spans="2:7">
      <c r="B514" s="40"/>
      <c r="C514" t="s">
        <v>1590</v>
      </c>
    </row>
    <row r="515" spans="2:7">
      <c r="B515" s="40"/>
      <c r="C515" t="s">
        <v>1591</v>
      </c>
    </row>
    <row r="516" spans="2:7">
      <c r="B516" s="40"/>
      <c r="C516" t="s">
        <v>1592</v>
      </c>
    </row>
    <row r="517" spans="2:7">
      <c r="B517" s="40"/>
      <c r="C517" t="s">
        <v>1593</v>
      </c>
    </row>
    <row r="518" spans="2:7">
      <c r="B518" s="40"/>
      <c r="C518" t="s">
        <v>1594</v>
      </c>
    </row>
    <row r="519" spans="2:7">
      <c r="B519" s="40"/>
      <c r="C519" t="s">
        <v>1595</v>
      </c>
    </row>
    <row r="520" spans="2:7">
      <c r="B520" s="40"/>
      <c r="C520" t="s">
        <v>1596</v>
      </c>
    </row>
    <row r="521" spans="2:7">
      <c r="B521" s="40"/>
      <c r="C521" t="s">
        <v>1597</v>
      </c>
    </row>
    <row r="522" spans="2:7">
      <c r="B522" s="40"/>
      <c r="C522" t="s">
        <v>1598</v>
      </c>
    </row>
    <row r="523" spans="2:7">
      <c r="B523" s="40"/>
      <c r="C523" t="s">
        <v>1599</v>
      </c>
    </row>
    <row r="524" spans="2:7" ht="25.5">
      <c r="B524" s="40"/>
      <c r="C524" t="s">
        <v>1600</v>
      </c>
      <c r="D524" s="1" t="s">
        <v>115</v>
      </c>
      <c r="E524" s="42">
        <v>1</v>
      </c>
      <c r="G524" s="306">
        <f>E524*F524</f>
        <v>0</v>
      </c>
    </row>
    <row r="525" spans="2:7">
      <c r="B525" s="40"/>
      <c r="C525"/>
    </row>
    <row r="526" spans="2:7" ht="38.25">
      <c r="B526" s="40" t="s">
        <v>18</v>
      </c>
      <c r="C526" t="s">
        <v>1601</v>
      </c>
    </row>
    <row r="527" spans="2:7">
      <c r="B527" s="40"/>
      <c r="C527" t="s">
        <v>1587</v>
      </c>
    </row>
    <row r="528" spans="2:7">
      <c r="B528" s="40"/>
      <c r="C528" t="s">
        <v>1588</v>
      </c>
    </row>
    <row r="529" spans="2:7">
      <c r="B529" s="40"/>
      <c r="C529" t="s">
        <v>1589</v>
      </c>
    </row>
    <row r="530" spans="2:7">
      <c r="B530" s="40"/>
      <c r="C530" t="s">
        <v>1590</v>
      </c>
    </row>
    <row r="531" spans="2:7">
      <c r="B531" s="40"/>
      <c r="C531" t="s">
        <v>1591</v>
      </c>
    </row>
    <row r="532" spans="2:7">
      <c r="B532" s="40"/>
      <c r="C532" t="s">
        <v>1592</v>
      </c>
    </row>
    <row r="533" spans="2:7">
      <c r="B533" s="40"/>
      <c r="C533" t="s">
        <v>1602</v>
      </c>
    </row>
    <row r="534" spans="2:7">
      <c r="B534" s="40"/>
      <c r="C534" t="s">
        <v>1594</v>
      </c>
    </row>
    <row r="535" spans="2:7">
      <c r="B535" s="40"/>
      <c r="C535" t="s">
        <v>1595</v>
      </c>
    </row>
    <row r="536" spans="2:7">
      <c r="B536" s="40"/>
      <c r="C536" t="s">
        <v>1596</v>
      </c>
    </row>
    <row r="537" spans="2:7">
      <c r="B537" s="40"/>
      <c r="C537" t="s">
        <v>1597</v>
      </c>
    </row>
    <row r="538" spans="2:7">
      <c r="B538" s="40"/>
      <c r="C538" t="s">
        <v>1598</v>
      </c>
    </row>
    <row r="539" spans="2:7">
      <c r="B539" s="40"/>
      <c r="C539" t="s">
        <v>1599</v>
      </c>
    </row>
    <row r="540" spans="2:7" ht="25.5">
      <c r="B540" s="40"/>
      <c r="C540" t="s">
        <v>1600</v>
      </c>
    </row>
    <row r="541" spans="2:7">
      <c r="B541" s="40"/>
      <c r="C541" t="s">
        <v>117</v>
      </c>
      <c r="D541" s="1" t="s">
        <v>115</v>
      </c>
      <c r="E541" s="42">
        <v>1</v>
      </c>
      <c r="G541" s="306">
        <f>E541*F541</f>
        <v>0</v>
      </c>
    </row>
    <row r="542" spans="2:7">
      <c r="B542" s="40"/>
      <c r="C542"/>
    </row>
    <row r="543" spans="2:7" ht="38.25">
      <c r="B543" s="40" t="s">
        <v>19</v>
      </c>
      <c r="C543" t="s">
        <v>1603</v>
      </c>
    </row>
    <row r="544" spans="2:7">
      <c r="B544" s="40"/>
      <c r="C544" t="s">
        <v>1587</v>
      </c>
    </row>
    <row r="545" spans="2:7">
      <c r="B545" s="40"/>
      <c r="C545" t="s">
        <v>1588</v>
      </c>
    </row>
    <row r="546" spans="2:7">
      <c r="B546" s="40"/>
      <c r="C546" t="s">
        <v>1589</v>
      </c>
    </row>
    <row r="547" spans="2:7">
      <c r="B547" s="40"/>
      <c r="C547" t="s">
        <v>1590</v>
      </c>
    </row>
    <row r="548" spans="2:7">
      <c r="B548" s="40"/>
      <c r="C548" t="s">
        <v>1591</v>
      </c>
    </row>
    <row r="549" spans="2:7">
      <c r="B549" s="40"/>
      <c r="C549" t="s">
        <v>1592</v>
      </c>
    </row>
    <row r="550" spans="2:7">
      <c r="B550" s="40"/>
      <c r="C550" t="s">
        <v>1604</v>
      </c>
    </row>
    <row r="551" spans="2:7">
      <c r="B551" s="40"/>
      <c r="C551" t="s">
        <v>1595</v>
      </c>
    </row>
    <row r="552" spans="2:7">
      <c r="B552" s="40"/>
      <c r="C552" t="s">
        <v>1596</v>
      </c>
    </row>
    <row r="553" spans="2:7">
      <c r="B553" s="40"/>
      <c r="C553" t="s">
        <v>1597</v>
      </c>
    </row>
    <row r="554" spans="2:7">
      <c r="B554" s="40"/>
      <c r="C554" t="s">
        <v>1598</v>
      </c>
    </row>
    <row r="555" spans="2:7">
      <c r="B555" s="40"/>
      <c r="C555" t="s">
        <v>1599</v>
      </c>
    </row>
    <row r="556" spans="2:7" ht="25.5">
      <c r="B556" s="40"/>
      <c r="C556" t="s">
        <v>1600</v>
      </c>
    </row>
    <row r="557" spans="2:7">
      <c r="B557" s="40"/>
      <c r="C557" t="s">
        <v>117</v>
      </c>
      <c r="D557" s="1" t="s">
        <v>115</v>
      </c>
      <c r="E557" s="42">
        <v>1</v>
      </c>
      <c r="G557" s="306">
        <f>E557*F557</f>
        <v>0</v>
      </c>
    </row>
    <row r="558" spans="2:7">
      <c r="B558" s="40"/>
      <c r="C558"/>
    </row>
    <row r="559" spans="2:7" ht="38.25">
      <c r="B559" s="40" t="s">
        <v>20</v>
      </c>
      <c r="C559" t="s">
        <v>1605</v>
      </c>
    </row>
    <row r="560" spans="2:7">
      <c r="B560" s="40"/>
      <c r="C560" t="s">
        <v>1587</v>
      </c>
    </row>
    <row r="561" spans="2:7">
      <c r="B561" s="40"/>
      <c r="C561" t="s">
        <v>1588</v>
      </c>
    </row>
    <row r="562" spans="2:7">
      <c r="B562" s="40"/>
      <c r="C562" t="s">
        <v>1589</v>
      </c>
    </row>
    <row r="563" spans="2:7">
      <c r="B563" s="40"/>
      <c r="C563" t="s">
        <v>1590</v>
      </c>
    </row>
    <row r="564" spans="2:7">
      <c r="B564" s="40"/>
      <c r="C564" t="s">
        <v>1591</v>
      </c>
    </row>
    <row r="565" spans="2:7">
      <c r="B565" s="40"/>
      <c r="C565" t="s">
        <v>1592</v>
      </c>
    </row>
    <row r="566" spans="2:7">
      <c r="B566" s="40"/>
      <c r="C566" t="s">
        <v>1606</v>
      </c>
    </row>
    <row r="567" spans="2:7">
      <c r="B567" s="40"/>
      <c r="C567" t="s">
        <v>1607</v>
      </c>
    </row>
    <row r="568" spans="2:7">
      <c r="B568" s="40"/>
      <c r="C568" t="s">
        <v>1608</v>
      </c>
    </row>
    <row r="569" spans="2:7">
      <c r="B569" s="40"/>
      <c r="C569" t="s">
        <v>1595</v>
      </c>
    </row>
    <row r="570" spans="2:7">
      <c r="B570" s="40"/>
      <c r="C570" t="s">
        <v>1596</v>
      </c>
    </row>
    <row r="571" spans="2:7">
      <c r="B571" s="40"/>
      <c r="C571" t="s">
        <v>1597</v>
      </c>
    </row>
    <row r="572" spans="2:7">
      <c r="B572" s="40"/>
      <c r="C572" t="s">
        <v>1598</v>
      </c>
    </row>
    <row r="573" spans="2:7">
      <c r="B573" s="40"/>
      <c r="C573" t="s">
        <v>1599</v>
      </c>
    </row>
    <row r="574" spans="2:7" ht="25.5">
      <c r="B574" s="40"/>
      <c r="C574" t="s">
        <v>1600</v>
      </c>
    </row>
    <row r="575" spans="2:7">
      <c r="B575" s="40"/>
      <c r="C575" t="s">
        <v>117</v>
      </c>
      <c r="D575" s="1" t="s">
        <v>115</v>
      </c>
      <c r="E575" s="42">
        <v>1</v>
      </c>
      <c r="G575" s="306">
        <f>E575*F575</f>
        <v>0</v>
      </c>
    </row>
    <row r="576" spans="2:7" ht="38.25">
      <c r="B576" s="40" t="s">
        <v>21</v>
      </c>
      <c r="C576" t="s">
        <v>1609</v>
      </c>
    </row>
    <row r="577" spans="2:7">
      <c r="B577" s="40"/>
      <c r="C577" t="s">
        <v>1610</v>
      </c>
    </row>
    <row r="578" spans="2:7">
      <c r="B578" s="40"/>
      <c r="C578" t="s">
        <v>1611</v>
      </c>
    </row>
    <row r="579" spans="2:7">
      <c r="B579" s="40"/>
      <c r="C579" t="s">
        <v>1612</v>
      </c>
    </row>
    <row r="580" spans="2:7" ht="25.5">
      <c r="B580" s="40"/>
      <c r="C580" t="s">
        <v>1600</v>
      </c>
    </row>
    <row r="581" spans="2:7">
      <c r="B581" s="40"/>
      <c r="C581" t="s">
        <v>117</v>
      </c>
      <c r="D581" s="1" t="s">
        <v>115</v>
      </c>
      <c r="E581" s="42">
        <v>9</v>
      </c>
      <c r="G581" s="306">
        <f>E581*F581</f>
        <v>0</v>
      </c>
    </row>
    <row r="582" spans="2:7">
      <c r="B582" s="40"/>
      <c r="C582"/>
    </row>
    <row r="583" spans="2:7" ht="38.25">
      <c r="B583" s="40" t="s">
        <v>60</v>
      </c>
      <c r="C583" t="s">
        <v>1613</v>
      </c>
    </row>
    <row r="584" spans="2:7">
      <c r="B584" s="40"/>
      <c r="C584" t="s">
        <v>1610</v>
      </c>
    </row>
    <row r="585" spans="2:7">
      <c r="B585" s="40"/>
      <c r="C585" t="s">
        <v>1614</v>
      </c>
    </row>
    <row r="586" spans="2:7">
      <c r="B586" s="40"/>
      <c r="C586" t="s">
        <v>1615</v>
      </c>
    </row>
    <row r="587" spans="2:7">
      <c r="B587" s="40"/>
      <c r="C587" t="s">
        <v>1616</v>
      </c>
    </row>
    <row r="588" spans="2:7">
      <c r="B588" s="40"/>
      <c r="C588" t="s">
        <v>1617</v>
      </c>
    </row>
    <row r="589" spans="2:7" ht="25.5">
      <c r="B589" s="40"/>
      <c r="C589" t="s">
        <v>1600</v>
      </c>
    </row>
    <row r="590" spans="2:7">
      <c r="B590" s="40"/>
      <c r="C590" t="s">
        <v>117</v>
      </c>
      <c r="D590" s="1" t="s">
        <v>115</v>
      </c>
      <c r="E590" s="42">
        <v>2</v>
      </c>
      <c r="G590" s="306">
        <f>E590*F590</f>
        <v>0</v>
      </c>
    </row>
    <row r="591" spans="2:7">
      <c r="B591" s="40"/>
      <c r="C591"/>
    </row>
    <row r="592" spans="2:7" ht="38.25">
      <c r="B592" s="40" t="s">
        <v>78</v>
      </c>
      <c r="C592" t="s">
        <v>1618</v>
      </c>
    </row>
    <row r="593" spans="2:7">
      <c r="B593" s="40"/>
      <c r="C593" t="s">
        <v>1610</v>
      </c>
    </row>
    <row r="594" spans="2:7">
      <c r="B594" s="40"/>
      <c r="C594" t="s">
        <v>1614</v>
      </c>
    </row>
    <row r="595" spans="2:7">
      <c r="B595" s="40"/>
      <c r="C595" t="s">
        <v>1615</v>
      </c>
    </row>
    <row r="596" spans="2:7" ht="25.5">
      <c r="B596" s="40"/>
      <c r="C596" t="s">
        <v>1600</v>
      </c>
    </row>
    <row r="597" spans="2:7">
      <c r="B597" s="40"/>
      <c r="C597" t="s">
        <v>117</v>
      </c>
      <c r="D597" s="1" t="s">
        <v>115</v>
      </c>
      <c r="E597" s="42">
        <v>36</v>
      </c>
      <c r="G597" s="306">
        <f>E597*F597</f>
        <v>0</v>
      </c>
    </row>
    <row r="598" spans="2:7">
      <c r="B598" s="40"/>
      <c r="C598"/>
    </row>
    <row r="599" spans="2:7" ht="38.25">
      <c r="B599" s="40" t="s">
        <v>165</v>
      </c>
      <c r="C599" t="s">
        <v>1618</v>
      </c>
    </row>
    <row r="600" spans="2:7">
      <c r="B600" s="40"/>
      <c r="C600" t="s">
        <v>1610</v>
      </c>
    </row>
    <row r="601" spans="2:7">
      <c r="B601" s="40"/>
      <c r="C601" t="s">
        <v>1619</v>
      </c>
    </row>
    <row r="602" spans="2:7">
      <c r="B602" s="40"/>
      <c r="C602" t="s">
        <v>1620</v>
      </c>
    </row>
    <row r="603" spans="2:7">
      <c r="B603" s="40"/>
      <c r="C603" t="s">
        <v>1616</v>
      </c>
    </row>
    <row r="604" spans="2:7">
      <c r="B604" s="40"/>
      <c r="C604" t="s">
        <v>1617</v>
      </c>
    </row>
    <row r="605" spans="2:7" ht="25.5">
      <c r="B605" s="40"/>
      <c r="C605" t="s">
        <v>1600</v>
      </c>
    </row>
    <row r="606" spans="2:7">
      <c r="B606" s="40"/>
      <c r="C606" t="s">
        <v>117</v>
      </c>
      <c r="D606" s="1" t="s">
        <v>115</v>
      </c>
      <c r="E606" s="42">
        <v>3</v>
      </c>
      <c r="G606" s="306">
        <f>E606*F606</f>
        <v>0</v>
      </c>
    </row>
    <row r="607" spans="2:7">
      <c r="B607" s="40"/>
      <c r="C607"/>
    </row>
    <row r="608" spans="2:7" ht="38.25">
      <c r="B608" s="40" t="s">
        <v>205</v>
      </c>
      <c r="C608" t="s">
        <v>1621</v>
      </c>
    </row>
    <row r="609" spans="2:7">
      <c r="B609" s="40"/>
      <c r="C609" t="s">
        <v>1610</v>
      </c>
    </row>
    <row r="610" spans="2:7">
      <c r="B610" s="40"/>
      <c r="C610" t="s">
        <v>1619</v>
      </c>
    </row>
    <row r="611" spans="2:7">
      <c r="B611" s="40"/>
      <c r="C611" t="s">
        <v>1620</v>
      </c>
    </row>
    <row r="612" spans="2:7" ht="25.5">
      <c r="B612" s="40"/>
      <c r="C612" t="s">
        <v>1600</v>
      </c>
    </row>
    <row r="613" spans="2:7">
      <c r="B613" s="40"/>
      <c r="C613" t="s">
        <v>117</v>
      </c>
      <c r="D613" s="1" t="s">
        <v>115</v>
      </c>
      <c r="E613" s="42">
        <v>4</v>
      </c>
      <c r="G613" s="306">
        <f>E613*F613</f>
        <v>0</v>
      </c>
    </row>
    <row r="614" spans="2:7">
      <c r="B614" s="40"/>
      <c r="C614"/>
    </row>
    <row r="615" spans="2:7" ht="38.25">
      <c r="B615" s="40" t="s">
        <v>206</v>
      </c>
      <c r="C615" t="s">
        <v>1622</v>
      </c>
    </row>
    <row r="616" spans="2:7">
      <c r="B616" s="40"/>
      <c r="C616" t="s">
        <v>1623</v>
      </c>
    </row>
    <row r="617" spans="2:7">
      <c r="B617" s="40"/>
      <c r="C617" t="s">
        <v>1624</v>
      </c>
    </row>
    <row r="618" spans="2:7">
      <c r="B618" s="40"/>
      <c r="C618" t="s">
        <v>1591</v>
      </c>
    </row>
    <row r="619" spans="2:7">
      <c r="B619" s="40"/>
      <c r="C619" t="s">
        <v>1592</v>
      </c>
    </row>
    <row r="620" spans="2:7">
      <c r="B620" s="40"/>
      <c r="C620" t="s">
        <v>1625</v>
      </c>
    </row>
    <row r="621" spans="2:7">
      <c r="B621" s="40"/>
      <c r="C621" t="s">
        <v>1626</v>
      </c>
    </row>
    <row r="622" spans="2:7">
      <c r="B622" s="40"/>
      <c r="C622" t="s">
        <v>1627</v>
      </c>
    </row>
    <row r="623" spans="2:7">
      <c r="B623" s="40"/>
      <c r="C623" t="s">
        <v>1628</v>
      </c>
    </row>
    <row r="624" spans="2:7">
      <c r="B624" s="40"/>
      <c r="C624" t="s">
        <v>1629</v>
      </c>
    </row>
    <row r="625" spans="2:7">
      <c r="B625" s="40"/>
      <c r="C625" t="s">
        <v>1630</v>
      </c>
    </row>
    <row r="626" spans="2:7">
      <c r="B626" s="40"/>
      <c r="C626" t="s">
        <v>1631</v>
      </c>
    </row>
    <row r="627" spans="2:7">
      <c r="B627" s="40"/>
      <c r="C627" t="s">
        <v>1632</v>
      </c>
    </row>
    <row r="628" spans="2:7">
      <c r="B628" s="40"/>
      <c r="C628" t="s">
        <v>1633</v>
      </c>
    </row>
    <row r="629" spans="2:7">
      <c r="B629" s="40"/>
      <c r="C629" t="s">
        <v>1634</v>
      </c>
    </row>
    <row r="630" spans="2:7">
      <c r="B630" s="40"/>
      <c r="C630" t="s">
        <v>1635</v>
      </c>
    </row>
    <row r="631" spans="2:7">
      <c r="B631" s="40"/>
      <c r="C631" t="s">
        <v>1636</v>
      </c>
    </row>
    <row r="632" spans="2:7">
      <c r="B632" s="40"/>
      <c r="C632" t="s">
        <v>1637</v>
      </c>
    </row>
    <row r="633" spans="2:7">
      <c r="B633" s="40"/>
      <c r="C633" t="s">
        <v>1638</v>
      </c>
    </row>
    <row r="634" spans="2:7">
      <c r="B634" s="40"/>
      <c r="C634" t="s">
        <v>1639</v>
      </c>
    </row>
    <row r="635" spans="2:7">
      <c r="B635" s="40"/>
      <c r="C635" t="s">
        <v>1640</v>
      </c>
    </row>
    <row r="636" spans="2:7">
      <c r="B636" s="40"/>
      <c r="C636" t="s">
        <v>1641</v>
      </c>
    </row>
    <row r="637" spans="2:7">
      <c r="B637" s="40"/>
      <c r="C637" t="s">
        <v>1642</v>
      </c>
    </row>
    <row r="638" spans="2:7">
      <c r="B638" s="40"/>
      <c r="C638" t="s">
        <v>1643</v>
      </c>
    </row>
    <row r="639" spans="2:7" ht="25.5">
      <c r="B639" s="40"/>
      <c r="C639" t="s">
        <v>1600</v>
      </c>
    </row>
    <row r="640" spans="2:7">
      <c r="B640" s="40"/>
      <c r="C640" t="s">
        <v>117</v>
      </c>
      <c r="D640" s="1" t="s">
        <v>115</v>
      </c>
      <c r="E640" s="42">
        <v>1</v>
      </c>
      <c r="G640" s="306">
        <f>E640*F640</f>
        <v>0</v>
      </c>
    </row>
    <row r="641" spans="2:3">
      <c r="B641" s="40"/>
      <c r="C641"/>
    </row>
    <row r="642" spans="2:3" ht="38.25">
      <c r="B642" s="40" t="s">
        <v>233</v>
      </c>
      <c r="C642" t="s">
        <v>1644</v>
      </c>
    </row>
    <row r="643" spans="2:3">
      <c r="B643" s="40"/>
      <c r="C643" t="s">
        <v>1645</v>
      </c>
    </row>
    <row r="644" spans="2:3">
      <c r="B644" s="40"/>
      <c r="C644" t="s">
        <v>1610</v>
      </c>
    </row>
    <row r="645" spans="2:3">
      <c r="B645" s="40"/>
      <c r="C645" t="s">
        <v>1646</v>
      </c>
    </row>
    <row r="646" spans="2:3">
      <c r="B646" s="40"/>
      <c r="C646" t="s">
        <v>1647</v>
      </c>
    </row>
    <row r="647" spans="2:3">
      <c r="B647" s="40"/>
      <c r="C647" t="s">
        <v>1648</v>
      </c>
    </row>
    <row r="648" spans="2:3">
      <c r="B648" s="40"/>
      <c r="C648" t="s">
        <v>1649</v>
      </c>
    </row>
    <row r="649" spans="2:3">
      <c r="B649" s="40"/>
      <c r="C649" t="s">
        <v>1650</v>
      </c>
    </row>
    <row r="650" spans="2:3">
      <c r="B650" s="40"/>
      <c r="C650" t="s">
        <v>1633</v>
      </c>
    </row>
    <row r="651" spans="2:3">
      <c r="B651" s="40"/>
      <c r="C651" t="s">
        <v>1651</v>
      </c>
    </row>
    <row r="652" spans="2:3">
      <c r="B652" s="40"/>
      <c r="C652" t="s">
        <v>1652</v>
      </c>
    </row>
    <row r="653" spans="2:3">
      <c r="B653" s="40"/>
      <c r="C653" t="s">
        <v>1653</v>
      </c>
    </row>
    <row r="654" spans="2:3">
      <c r="B654" s="40"/>
      <c r="C654" t="s">
        <v>1654</v>
      </c>
    </row>
    <row r="655" spans="2:3">
      <c r="B655" s="40"/>
      <c r="C655" t="s">
        <v>1655</v>
      </c>
    </row>
    <row r="656" spans="2:3">
      <c r="B656" s="40"/>
      <c r="C656" t="s">
        <v>1656</v>
      </c>
    </row>
    <row r="657" spans="2:7">
      <c r="B657" s="40"/>
      <c r="C657" t="s">
        <v>1657</v>
      </c>
    </row>
    <row r="658" spans="2:7" ht="25.5">
      <c r="B658" s="40"/>
      <c r="C658" t="s">
        <v>1658</v>
      </c>
    </row>
    <row r="659" spans="2:7">
      <c r="B659" s="40"/>
      <c r="C659" t="s">
        <v>117</v>
      </c>
      <c r="D659" s="1" t="s">
        <v>115</v>
      </c>
      <c r="E659" s="42">
        <v>1</v>
      </c>
      <c r="G659" s="306">
        <f>E659*F659</f>
        <v>0</v>
      </c>
    </row>
    <row r="660" spans="2:7">
      <c r="B660" s="40"/>
      <c r="C660"/>
    </row>
    <row r="661" spans="2:7" ht="38.25">
      <c r="B661" s="40" t="s">
        <v>245</v>
      </c>
      <c r="C661" t="s">
        <v>1659</v>
      </c>
    </row>
    <row r="662" spans="2:7">
      <c r="B662" s="40"/>
      <c r="C662" t="s">
        <v>1645</v>
      </c>
    </row>
    <row r="663" spans="2:7">
      <c r="B663" s="40"/>
      <c r="C663" t="s">
        <v>1610</v>
      </c>
    </row>
    <row r="664" spans="2:7">
      <c r="B664" s="40"/>
      <c r="C664" t="s">
        <v>1646</v>
      </c>
    </row>
    <row r="665" spans="2:7">
      <c r="B665" s="40"/>
      <c r="C665" t="s">
        <v>1647</v>
      </c>
    </row>
    <row r="666" spans="2:7">
      <c r="B666" s="40"/>
      <c r="C666" t="s">
        <v>1648</v>
      </c>
    </row>
    <row r="667" spans="2:7">
      <c r="B667" s="40"/>
      <c r="C667" t="s">
        <v>1660</v>
      </c>
    </row>
    <row r="668" spans="2:7">
      <c r="B668" s="40"/>
      <c r="C668" t="s">
        <v>1650</v>
      </c>
    </row>
    <row r="669" spans="2:7">
      <c r="B669" s="40"/>
      <c r="C669" t="s">
        <v>1633</v>
      </c>
    </row>
    <row r="670" spans="2:7">
      <c r="B670" s="40"/>
      <c r="C670" t="s">
        <v>1651</v>
      </c>
    </row>
    <row r="671" spans="2:7">
      <c r="B671" s="40"/>
      <c r="C671" t="s">
        <v>1652</v>
      </c>
    </row>
    <row r="672" spans="2:7">
      <c r="B672" s="40"/>
      <c r="C672" t="s">
        <v>1653</v>
      </c>
    </row>
    <row r="673" spans="2:7">
      <c r="B673" s="40"/>
      <c r="C673" t="s">
        <v>1654</v>
      </c>
    </row>
    <row r="674" spans="2:7">
      <c r="B674" s="40"/>
      <c r="C674" t="s">
        <v>1661</v>
      </c>
    </row>
    <row r="675" spans="2:7">
      <c r="B675" s="40"/>
      <c r="C675" t="s">
        <v>1656</v>
      </c>
    </row>
    <row r="676" spans="2:7">
      <c r="B676" s="40"/>
      <c r="C676" t="s">
        <v>1657</v>
      </c>
    </row>
    <row r="677" spans="2:7" ht="25.5">
      <c r="B677" s="40"/>
      <c r="C677" t="s">
        <v>1658</v>
      </c>
      <c r="D677" s="1" t="s">
        <v>115</v>
      </c>
      <c r="E677" s="102">
        <v>1</v>
      </c>
      <c r="G677" s="306">
        <f>E677*F677</f>
        <v>0</v>
      </c>
    </row>
    <row r="678" spans="2:7">
      <c r="B678" s="40"/>
      <c r="C678"/>
    </row>
    <row r="679" spans="2:7" ht="38.25">
      <c r="B679" s="40" t="s">
        <v>250</v>
      </c>
      <c r="C679" t="s">
        <v>1662</v>
      </c>
    </row>
    <row r="680" spans="2:7">
      <c r="B680" s="40"/>
      <c r="C680" t="s">
        <v>1645</v>
      </c>
    </row>
    <row r="681" spans="2:7">
      <c r="B681" s="40"/>
      <c r="C681" t="s">
        <v>1610</v>
      </c>
    </row>
    <row r="682" spans="2:7">
      <c r="B682" s="40"/>
      <c r="C682" t="s">
        <v>1646</v>
      </c>
    </row>
    <row r="683" spans="2:7">
      <c r="B683" s="40"/>
      <c r="C683" t="s">
        <v>1647</v>
      </c>
    </row>
    <row r="684" spans="2:7">
      <c r="B684" s="40"/>
      <c r="C684" t="s">
        <v>1663</v>
      </c>
    </row>
    <row r="685" spans="2:7">
      <c r="B685" s="40"/>
      <c r="C685" t="s">
        <v>1664</v>
      </c>
    </row>
    <row r="686" spans="2:7">
      <c r="B686" s="40"/>
      <c r="C686" t="s">
        <v>1665</v>
      </c>
    </row>
    <row r="687" spans="2:7">
      <c r="B687" s="40"/>
      <c r="C687" t="s">
        <v>1633</v>
      </c>
    </row>
    <row r="688" spans="2:7">
      <c r="B688" s="40"/>
      <c r="C688" t="s">
        <v>1651</v>
      </c>
    </row>
    <row r="689" spans="2:7">
      <c r="B689" s="40"/>
      <c r="C689" t="s">
        <v>1666</v>
      </c>
    </row>
    <row r="690" spans="2:7">
      <c r="B690" s="40"/>
      <c r="C690" t="s">
        <v>1667</v>
      </c>
    </row>
    <row r="691" spans="2:7">
      <c r="B691" s="40"/>
      <c r="C691" t="s">
        <v>1668</v>
      </c>
    </row>
    <row r="692" spans="2:7">
      <c r="B692" s="40"/>
      <c r="C692" t="s">
        <v>1669</v>
      </c>
    </row>
    <row r="693" spans="2:7">
      <c r="B693" s="40"/>
      <c r="C693" t="s">
        <v>1656</v>
      </c>
    </row>
    <row r="694" spans="2:7">
      <c r="B694" s="40"/>
      <c r="C694" t="s">
        <v>1670</v>
      </c>
    </row>
    <row r="695" spans="2:7" ht="25.5">
      <c r="B695" s="40"/>
      <c r="C695" t="s">
        <v>1658</v>
      </c>
    </row>
    <row r="696" spans="2:7">
      <c r="B696" s="40"/>
      <c r="C696" t="s">
        <v>117</v>
      </c>
      <c r="D696" s="1" t="s">
        <v>115</v>
      </c>
      <c r="E696" s="42">
        <v>1</v>
      </c>
      <c r="G696" s="306">
        <f>E696*F696</f>
        <v>0</v>
      </c>
    </row>
    <row r="697" spans="2:7">
      <c r="B697" s="40"/>
      <c r="C697"/>
    </row>
    <row r="698" spans="2:7" ht="38.25">
      <c r="B698" s="40" t="s">
        <v>734</v>
      </c>
      <c r="C698" t="s">
        <v>1671</v>
      </c>
    </row>
    <row r="699" spans="2:7">
      <c r="B699" s="40"/>
      <c r="C699" t="s">
        <v>1645</v>
      </c>
    </row>
    <row r="700" spans="2:7">
      <c r="B700" s="40"/>
      <c r="C700" t="s">
        <v>1610</v>
      </c>
    </row>
    <row r="701" spans="2:7">
      <c r="B701" s="40"/>
      <c r="C701" t="s">
        <v>1646</v>
      </c>
    </row>
    <row r="702" spans="2:7">
      <c r="B702" s="40"/>
      <c r="C702" t="s">
        <v>1647</v>
      </c>
    </row>
    <row r="703" spans="2:7">
      <c r="B703" s="40"/>
      <c r="C703" t="s">
        <v>1663</v>
      </c>
    </row>
    <row r="704" spans="2:7">
      <c r="B704" s="40"/>
      <c r="C704" t="s">
        <v>1664</v>
      </c>
    </row>
    <row r="705" spans="2:7">
      <c r="B705" s="40"/>
      <c r="C705" t="s">
        <v>1672</v>
      </c>
    </row>
    <row r="706" spans="2:7">
      <c r="B706" s="40"/>
      <c r="C706" t="s">
        <v>1633</v>
      </c>
    </row>
    <row r="707" spans="2:7">
      <c r="B707" s="40"/>
      <c r="C707" t="s">
        <v>1651</v>
      </c>
    </row>
    <row r="708" spans="2:7">
      <c r="B708" s="40"/>
      <c r="C708" t="s">
        <v>1652</v>
      </c>
    </row>
    <row r="709" spans="2:7">
      <c r="B709" s="40"/>
      <c r="C709" t="s">
        <v>1653</v>
      </c>
    </row>
    <row r="710" spans="2:7">
      <c r="B710" s="40"/>
      <c r="C710" t="s">
        <v>1673</v>
      </c>
    </row>
    <row r="711" spans="2:7">
      <c r="B711" s="40"/>
      <c r="C711" t="s">
        <v>1661</v>
      </c>
    </row>
    <row r="712" spans="2:7">
      <c r="B712" s="40"/>
      <c r="C712" t="s">
        <v>1656</v>
      </c>
    </row>
    <row r="713" spans="2:7">
      <c r="B713" s="40"/>
      <c r="C713" t="s">
        <v>1657</v>
      </c>
    </row>
    <row r="714" spans="2:7" ht="25.5">
      <c r="B714" s="40"/>
      <c r="C714" t="s">
        <v>1658</v>
      </c>
      <c r="D714" s="1" t="s">
        <v>115</v>
      </c>
      <c r="E714" s="96">
        <v>1</v>
      </c>
      <c r="F714" s="447"/>
      <c r="G714" s="306">
        <f>E714*F714</f>
        <v>0</v>
      </c>
    </row>
    <row r="715" spans="2:7">
      <c r="B715" s="40"/>
      <c r="C715"/>
    </row>
    <row r="716" spans="2:7" ht="38.25">
      <c r="B716" s="40" t="s">
        <v>1674</v>
      </c>
      <c r="C716" t="s">
        <v>1675</v>
      </c>
    </row>
    <row r="717" spans="2:7">
      <c r="B717" s="40"/>
      <c r="C717" t="s">
        <v>1676</v>
      </c>
    </row>
    <row r="718" spans="2:7">
      <c r="B718" s="40"/>
      <c r="C718" t="s">
        <v>1677</v>
      </c>
    </row>
    <row r="719" spans="2:7">
      <c r="B719" s="40"/>
      <c r="C719" t="s">
        <v>1678</v>
      </c>
    </row>
    <row r="720" spans="2:7">
      <c r="B720" s="40"/>
      <c r="C720" t="s">
        <v>1627</v>
      </c>
    </row>
    <row r="721" spans="2:7">
      <c r="B721" s="40"/>
      <c r="C721" t="s">
        <v>1679</v>
      </c>
    </row>
    <row r="722" spans="2:7" ht="25.5">
      <c r="B722" s="40"/>
      <c r="C722" t="s">
        <v>1658</v>
      </c>
      <c r="D722" s="1" t="s">
        <v>115</v>
      </c>
      <c r="E722" s="96">
        <v>148</v>
      </c>
      <c r="G722" s="306">
        <f>E722*F722</f>
        <v>0</v>
      </c>
    </row>
    <row r="723" spans="2:7">
      <c r="B723" s="40"/>
      <c r="C723"/>
      <c r="E723" s="96"/>
    </row>
    <row r="724" spans="2:7" ht="38.25">
      <c r="B724" s="40" t="s">
        <v>1680</v>
      </c>
      <c r="C724" t="s">
        <v>1681</v>
      </c>
      <c r="E724" s="96"/>
    </row>
    <row r="725" spans="2:7">
      <c r="B725" s="40"/>
      <c r="C725" t="s">
        <v>1676</v>
      </c>
      <c r="E725" s="96"/>
    </row>
    <row r="726" spans="2:7">
      <c r="B726" s="40"/>
      <c r="C726" t="s">
        <v>1677</v>
      </c>
      <c r="E726" s="96"/>
    </row>
    <row r="727" spans="2:7">
      <c r="B727" s="40"/>
      <c r="C727" t="s">
        <v>1678</v>
      </c>
      <c r="E727" s="96"/>
    </row>
    <row r="728" spans="2:7">
      <c r="B728" s="40"/>
      <c r="C728" t="s">
        <v>1627</v>
      </c>
      <c r="E728" s="96"/>
    </row>
    <row r="729" spans="2:7">
      <c r="B729" s="40"/>
      <c r="C729" t="s">
        <v>1679</v>
      </c>
      <c r="E729" s="96"/>
    </row>
    <row r="730" spans="2:7" ht="25.5">
      <c r="B730" s="40"/>
      <c r="C730" t="s">
        <v>1658</v>
      </c>
      <c r="D730" s="1" t="s">
        <v>115</v>
      </c>
      <c r="E730" s="96">
        <v>4</v>
      </c>
      <c r="G730" s="306">
        <f>E730*F730</f>
        <v>0</v>
      </c>
    </row>
    <row r="731" spans="2:7">
      <c r="B731" s="40"/>
      <c r="C731"/>
      <c r="E731" s="96"/>
    </row>
    <row r="732" spans="2:7" ht="38.25">
      <c r="B732" s="40" t="s">
        <v>1682</v>
      </c>
      <c r="C732" t="s">
        <v>1683</v>
      </c>
      <c r="E732" s="96"/>
    </row>
    <row r="733" spans="2:7">
      <c r="B733" s="40"/>
      <c r="C733" t="s">
        <v>1684</v>
      </c>
      <c r="E733" s="96"/>
    </row>
    <row r="734" spans="2:7">
      <c r="B734" s="40"/>
      <c r="C734" t="s">
        <v>1685</v>
      </c>
      <c r="E734" s="96"/>
    </row>
    <row r="735" spans="2:7">
      <c r="B735" s="40"/>
      <c r="C735" t="s">
        <v>1686</v>
      </c>
      <c r="E735" s="96"/>
    </row>
    <row r="736" spans="2:7">
      <c r="B736" s="40"/>
      <c r="C736" t="s">
        <v>1590</v>
      </c>
      <c r="E736" s="96"/>
    </row>
    <row r="737" spans="1:7">
      <c r="B737" s="40"/>
      <c r="C737" t="s">
        <v>1687</v>
      </c>
      <c r="E737" s="96"/>
    </row>
    <row r="738" spans="1:7">
      <c r="B738" s="40"/>
      <c r="C738" t="s">
        <v>1688</v>
      </c>
      <c r="E738" s="96"/>
    </row>
    <row r="739" spans="1:7">
      <c r="B739" s="40"/>
      <c r="C739" t="s">
        <v>1689</v>
      </c>
      <c r="E739" s="96"/>
    </row>
    <row r="740" spans="1:7">
      <c r="B740" s="40"/>
      <c r="C740" t="s">
        <v>1690</v>
      </c>
      <c r="E740" s="96"/>
    </row>
    <row r="741" spans="1:7" ht="25.5">
      <c r="B741" s="40"/>
      <c r="C741" t="s">
        <v>1658</v>
      </c>
      <c r="D741" s="1" t="s">
        <v>115</v>
      </c>
      <c r="E741" s="96">
        <v>1</v>
      </c>
      <c r="G741" s="306">
        <f>E741*F741</f>
        <v>0</v>
      </c>
    </row>
    <row r="742" spans="1:7">
      <c r="B742" s="40"/>
      <c r="C742"/>
    </row>
    <row r="743" spans="1:7" ht="15">
      <c r="A743" s="89" t="s">
        <v>1691</v>
      </c>
      <c r="B743" s="76"/>
      <c r="C743" s="76" t="s">
        <v>1692</v>
      </c>
      <c r="D743" s="76"/>
      <c r="E743" s="13"/>
      <c r="F743" s="13"/>
      <c r="G743" s="304"/>
    </row>
    <row r="744" spans="1:7">
      <c r="B744" s="40"/>
      <c r="C744"/>
    </row>
    <row r="745" spans="1:7" ht="25.5">
      <c r="B745" s="40" t="s">
        <v>9</v>
      </c>
      <c r="C745" t="s">
        <v>1693</v>
      </c>
    </row>
    <row r="746" spans="1:7">
      <c r="B746" s="40"/>
      <c r="C746" t="s">
        <v>117</v>
      </c>
      <c r="D746" s="1" t="s">
        <v>115</v>
      </c>
      <c r="E746" s="42">
        <v>180</v>
      </c>
      <c r="G746" s="306">
        <f>E746*F746</f>
        <v>0</v>
      </c>
    </row>
    <row r="747" spans="1:7">
      <c r="B747" s="40"/>
      <c r="C747"/>
    </row>
    <row r="748" spans="1:7" ht="25.5">
      <c r="B748" s="40" t="s">
        <v>18</v>
      </c>
      <c r="C748" t="s">
        <v>1694</v>
      </c>
      <c r="D748" s="1" t="s">
        <v>115</v>
      </c>
      <c r="E748" s="42">
        <v>60</v>
      </c>
      <c r="G748" s="306">
        <f>E748*F748</f>
        <v>0</v>
      </c>
    </row>
    <row r="749" spans="1:7">
      <c r="B749" s="40"/>
      <c r="C749"/>
    </row>
    <row r="750" spans="1:7">
      <c r="B750" s="40" t="s">
        <v>19</v>
      </c>
      <c r="C750" t="s">
        <v>1695</v>
      </c>
      <c r="D750" s="1" t="s">
        <v>110</v>
      </c>
      <c r="E750" s="42">
        <v>4</v>
      </c>
      <c r="G750" s="306">
        <f>E750*F750</f>
        <v>0</v>
      </c>
    </row>
    <row r="751" spans="1:7">
      <c r="B751" s="40"/>
      <c r="C751"/>
    </row>
    <row r="752" spans="1:7" ht="25.5">
      <c r="B752" s="40" t="s">
        <v>20</v>
      </c>
      <c r="C752" t="s">
        <v>1696</v>
      </c>
      <c r="D752" s="1" t="s">
        <v>115</v>
      </c>
      <c r="E752" s="42">
        <v>50</v>
      </c>
      <c r="G752" s="306">
        <f>E752*F752</f>
        <v>0</v>
      </c>
    </row>
    <row r="753" spans="1:7">
      <c r="B753" s="40"/>
      <c r="C753"/>
    </row>
    <row r="754" spans="1:7">
      <c r="B754" s="40" t="s">
        <v>21</v>
      </c>
      <c r="C754" t="s">
        <v>1697</v>
      </c>
      <c r="D754" s="1" t="s">
        <v>115</v>
      </c>
      <c r="E754" s="42">
        <v>1</v>
      </c>
      <c r="G754" s="306">
        <f>E754*F754</f>
        <v>0</v>
      </c>
    </row>
    <row r="755" spans="1:7">
      <c r="B755" s="40"/>
      <c r="C755"/>
    </row>
    <row r="756" spans="1:7">
      <c r="B756" s="40" t="s">
        <v>60</v>
      </c>
      <c r="C756" t="s">
        <v>1698</v>
      </c>
      <c r="D756" s="1" t="s">
        <v>115</v>
      </c>
      <c r="E756" s="42">
        <v>1</v>
      </c>
      <c r="G756" s="306">
        <f>E756*F756</f>
        <v>0</v>
      </c>
    </row>
    <row r="757" spans="1:7" ht="15">
      <c r="A757" s="89" t="s">
        <v>1699</v>
      </c>
      <c r="B757" s="76"/>
      <c r="C757" s="76" t="s">
        <v>1700</v>
      </c>
      <c r="D757" s="76"/>
      <c r="E757" s="13"/>
      <c r="F757" s="13"/>
      <c r="G757" s="304"/>
    </row>
    <row r="758" spans="1:7">
      <c r="B758" s="40"/>
      <c r="C758"/>
    </row>
    <row r="759" spans="1:7" ht="38.25">
      <c r="B759" s="40" t="s">
        <v>9</v>
      </c>
      <c r="C759" t="s">
        <v>1701</v>
      </c>
      <c r="D759" s="1" t="s">
        <v>114</v>
      </c>
      <c r="E759" s="102">
        <v>12</v>
      </c>
      <c r="G759" s="306">
        <f>E759*F759</f>
        <v>0</v>
      </c>
    </row>
    <row r="760" spans="1:7">
      <c r="B760" s="40"/>
      <c r="C760"/>
    </row>
    <row r="761" spans="1:7" ht="38.25">
      <c r="B761" s="40" t="s">
        <v>18</v>
      </c>
      <c r="C761" t="s">
        <v>1702</v>
      </c>
      <c r="D761" s="1" t="s">
        <v>114</v>
      </c>
      <c r="E761" s="102">
        <v>8</v>
      </c>
      <c r="G761" s="306">
        <f>E761*F761</f>
        <v>0</v>
      </c>
    </row>
    <row r="762" spans="1:7">
      <c r="B762" s="40"/>
      <c r="C762"/>
    </row>
    <row r="763" spans="1:7" ht="15">
      <c r="A763" s="89" t="s">
        <v>1703</v>
      </c>
      <c r="B763" s="76"/>
      <c r="C763" s="76" t="s">
        <v>1704</v>
      </c>
      <c r="D763" s="76"/>
      <c r="E763" s="13"/>
      <c r="F763" s="13"/>
      <c r="G763" s="304"/>
    </row>
    <row r="764" spans="1:7">
      <c r="B764" s="40"/>
      <c r="C764"/>
    </row>
    <row r="765" spans="1:7" ht="38.25">
      <c r="B765" s="40" t="s">
        <v>9</v>
      </c>
      <c r="C765" t="s">
        <v>1705</v>
      </c>
    </row>
    <row r="766" spans="1:7">
      <c r="B766" s="40"/>
      <c r="C766" t="s">
        <v>128</v>
      </c>
      <c r="D766" s="1" t="s">
        <v>129</v>
      </c>
      <c r="E766" s="42">
        <v>1040</v>
      </c>
      <c r="G766" s="306">
        <f>E766*F766</f>
        <v>0</v>
      </c>
    </row>
    <row r="767" spans="1:7">
      <c r="B767" s="40"/>
      <c r="C767"/>
    </row>
    <row r="768" spans="1:7" ht="51">
      <c r="B768" s="40" t="s">
        <v>18</v>
      </c>
      <c r="C768" t="s">
        <v>1706</v>
      </c>
    </row>
    <row r="769" spans="2:7">
      <c r="B769" s="40"/>
      <c r="C769" t="s">
        <v>128</v>
      </c>
      <c r="D769" s="1" t="s">
        <v>129</v>
      </c>
      <c r="E769" s="42">
        <v>190</v>
      </c>
      <c r="G769" s="306">
        <f>E769*F769</f>
        <v>0</v>
      </c>
    </row>
    <row r="770" spans="2:7">
      <c r="B770" s="40"/>
      <c r="C770"/>
    </row>
    <row r="771" spans="2:7" ht="51">
      <c r="B771" s="40" t="s">
        <v>19</v>
      </c>
      <c r="C771" t="s">
        <v>1707</v>
      </c>
    </row>
    <row r="772" spans="2:7">
      <c r="B772" s="40"/>
      <c r="C772" t="s">
        <v>128</v>
      </c>
      <c r="D772" s="1" t="s">
        <v>129</v>
      </c>
      <c r="E772" s="42">
        <v>348</v>
      </c>
      <c r="G772" s="306">
        <f>E772*F772</f>
        <v>0</v>
      </c>
    </row>
    <row r="773" spans="2:7">
      <c r="B773" s="40"/>
      <c r="C773"/>
    </row>
    <row r="774" spans="2:7" ht="38.25">
      <c r="B774" s="40" t="s">
        <v>20</v>
      </c>
      <c r="C774" t="s">
        <v>1708</v>
      </c>
    </row>
    <row r="775" spans="2:7">
      <c r="B775" s="40"/>
      <c r="C775" t="s">
        <v>128</v>
      </c>
      <c r="D775" s="1" t="s">
        <v>129</v>
      </c>
      <c r="E775" s="42">
        <v>728</v>
      </c>
      <c r="G775" s="306">
        <f>E775*F775</f>
        <v>0</v>
      </c>
    </row>
    <row r="776" spans="2:7">
      <c r="B776" s="40"/>
      <c r="C776"/>
    </row>
    <row r="777" spans="2:7">
      <c r="B777" s="40" t="s">
        <v>21</v>
      </c>
      <c r="C777" t="s">
        <v>1709</v>
      </c>
      <c r="D777" s="1" t="s">
        <v>110</v>
      </c>
      <c r="E777" s="42">
        <v>236</v>
      </c>
      <c r="G777" s="306">
        <f>E777*F777</f>
        <v>0</v>
      </c>
    </row>
    <row r="778" spans="2:7">
      <c r="B778" s="40"/>
      <c r="C778"/>
    </row>
    <row r="779" spans="2:7">
      <c r="B779" s="40" t="s">
        <v>60</v>
      </c>
      <c r="C779" t="s">
        <v>1710</v>
      </c>
      <c r="D779" s="1" t="s">
        <v>110</v>
      </c>
      <c r="E779" s="42">
        <v>24</v>
      </c>
      <c r="G779" s="306">
        <f>E779*F779</f>
        <v>0</v>
      </c>
    </row>
    <row r="780" spans="2:7">
      <c r="B780" s="40"/>
      <c r="C780"/>
    </row>
    <row r="781" spans="2:7">
      <c r="B781" s="40" t="s">
        <v>78</v>
      </c>
      <c r="C781" t="s">
        <v>1711</v>
      </c>
      <c r="D781" s="1" t="s">
        <v>115</v>
      </c>
      <c r="E781" s="42">
        <v>26</v>
      </c>
      <c r="G781" s="306">
        <f>E781*F781</f>
        <v>0</v>
      </c>
    </row>
    <row r="782" spans="2:7">
      <c r="B782" s="40"/>
      <c r="C782"/>
    </row>
    <row r="783" spans="2:7" ht="25.5">
      <c r="B783" s="40" t="s">
        <v>165</v>
      </c>
      <c r="C783" t="s">
        <v>1712</v>
      </c>
      <c r="D783" s="1" t="s">
        <v>115</v>
      </c>
      <c r="E783" s="42">
        <v>8</v>
      </c>
      <c r="G783" s="306">
        <f>E783*F783</f>
        <v>0</v>
      </c>
    </row>
    <row r="784" spans="2:7">
      <c r="B784" s="40"/>
      <c r="C784"/>
    </row>
    <row r="785" spans="1:7" ht="25.5">
      <c r="B785" s="40" t="s">
        <v>205</v>
      </c>
      <c r="C785" t="s">
        <v>1713</v>
      </c>
      <c r="D785" s="1" t="s">
        <v>115</v>
      </c>
      <c r="E785" s="42">
        <v>44</v>
      </c>
      <c r="G785" s="306">
        <f>E785*F785</f>
        <v>0</v>
      </c>
    </row>
    <row r="786" spans="1:7">
      <c r="B786" s="40"/>
      <c r="C786"/>
    </row>
    <row r="787" spans="1:7" ht="25.5">
      <c r="B787" s="40" t="s">
        <v>206</v>
      </c>
      <c r="C787" t="s">
        <v>1714</v>
      </c>
      <c r="D787" s="1" t="s">
        <v>115</v>
      </c>
      <c r="E787" s="42">
        <v>456</v>
      </c>
      <c r="G787" s="306">
        <f>E787*F787</f>
        <v>0</v>
      </c>
    </row>
    <row r="788" spans="1:7">
      <c r="B788" s="40"/>
      <c r="C788"/>
    </row>
    <row r="789" spans="1:7" ht="25.5">
      <c r="B789" s="40" t="s">
        <v>233</v>
      </c>
      <c r="C789" t="s">
        <v>1715</v>
      </c>
      <c r="D789" s="1" t="s">
        <v>115</v>
      </c>
      <c r="E789" s="42">
        <v>282</v>
      </c>
      <c r="G789" s="306">
        <f>E789*F789</f>
        <v>0</v>
      </c>
    </row>
    <row r="790" spans="1:7">
      <c r="B790" s="40"/>
      <c r="C790"/>
    </row>
    <row r="791" spans="1:7">
      <c r="B791" s="40" t="s">
        <v>245</v>
      </c>
      <c r="C791" t="s">
        <v>1716</v>
      </c>
      <c r="D791" s="1" t="s">
        <v>115</v>
      </c>
      <c r="E791" s="42">
        <v>1</v>
      </c>
      <c r="G791" s="306">
        <f>E791*F791</f>
        <v>0</v>
      </c>
    </row>
    <row r="792" spans="1:7">
      <c r="B792" s="40"/>
      <c r="C792"/>
    </row>
    <row r="793" spans="1:7" ht="25.5">
      <c r="B793" s="40" t="s">
        <v>250</v>
      </c>
      <c r="C793" t="s">
        <v>1717</v>
      </c>
      <c r="D793" s="1" t="s">
        <v>115</v>
      </c>
      <c r="E793" s="42">
        <v>1</v>
      </c>
      <c r="G793" s="306">
        <f>E793*F793</f>
        <v>0</v>
      </c>
    </row>
    <row r="794" spans="1:7" ht="13.5" thickBot="1">
      <c r="B794" s="40"/>
      <c r="C794"/>
    </row>
    <row r="795" spans="1:7" ht="21.75" thickBot="1">
      <c r="A795" s="49" t="s">
        <v>18</v>
      </c>
      <c r="B795" s="50"/>
      <c r="C795" s="51" t="s">
        <v>1718</v>
      </c>
      <c r="D795" s="52"/>
      <c r="E795" s="53"/>
      <c r="F795" s="348"/>
      <c r="G795" s="307">
        <f>SUM(G349:G793)</f>
        <v>0</v>
      </c>
    </row>
    <row r="796" spans="1:7" ht="21">
      <c r="A796" s="34" t="s">
        <v>19</v>
      </c>
      <c r="B796" s="35"/>
      <c r="C796" s="39" t="s">
        <v>1719</v>
      </c>
      <c r="D796" s="37"/>
      <c r="E796" s="38"/>
      <c r="F796" s="438"/>
      <c r="G796" s="443"/>
    </row>
    <row r="799" spans="1:7" ht="15">
      <c r="A799" s="89" t="s">
        <v>1720</v>
      </c>
      <c r="B799" s="76"/>
      <c r="C799" s="76" t="s">
        <v>1721</v>
      </c>
      <c r="D799" s="76"/>
      <c r="E799" s="13"/>
      <c r="F799" s="13"/>
      <c r="G799" s="304"/>
    </row>
    <row r="801" spans="1:7" ht="25.5">
      <c r="B801" s="41" t="s">
        <v>9</v>
      </c>
      <c r="C801" t="s">
        <v>1722</v>
      </c>
    </row>
    <row r="802" spans="1:7">
      <c r="C802" t="s">
        <v>1402</v>
      </c>
      <c r="D802" s="1" t="s">
        <v>115</v>
      </c>
      <c r="E802" s="42">
        <v>1</v>
      </c>
      <c r="G802" s="306">
        <f>E802*F802</f>
        <v>0</v>
      </c>
    </row>
    <row r="803" spans="1:7">
      <c r="C803"/>
    </row>
    <row r="804" spans="1:7">
      <c r="B804" s="41" t="s">
        <v>18</v>
      </c>
      <c r="C804" t="s">
        <v>1723</v>
      </c>
    </row>
    <row r="805" spans="1:7">
      <c r="C805" t="s">
        <v>1724</v>
      </c>
    </row>
    <row r="806" spans="1:7">
      <c r="C806" t="s">
        <v>1725</v>
      </c>
    </row>
    <row r="807" spans="1:7">
      <c r="C807" t="s">
        <v>1402</v>
      </c>
      <c r="D807" s="1" t="s">
        <v>115</v>
      </c>
      <c r="E807" s="42">
        <v>1</v>
      </c>
      <c r="G807" s="306">
        <f>E807*F807</f>
        <v>0</v>
      </c>
    </row>
    <row r="809" spans="1:7" ht="15">
      <c r="A809" s="89" t="s">
        <v>1726</v>
      </c>
      <c r="B809" s="76"/>
      <c r="C809" s="76" t="s">
        <v>1114</v>
      </c>
      <c r="D809" s="76"/>
      <c r="E809" s="13"/>
      <c r="F809" s="13"/>
      <c r="G809" s="304"/>
    </row>
    <row r="811" spans="1:7">
      <c r="C811" t="s">
        <v>1727</v>
      </c>
    </row>
    <row r="812" spans="1:7">
      <c r="C812" t="s">
        <v>1728</v>
      </c>
    </row>
    <row r="813" spans="1:7">
      <c r="C813" t="s">
        <v>1729</v>
      </c>
    </row>
    <row r="814" spans="1:7" ht="25.5">
      <c r="C814" t="s">
        <v>1730</v>
      </c>
    </row>
    <row r="815" spans="1:7" ht="25.5">
      <c r="C815" t="s">
        <v>1731</v>
      </c>
    </row>
    <row r="816" spans="1:7" ht="25.5">
      <c r="C816" t="s">
        <v>1732</v>
      </c>
    </row>
    <row r="817" spans="1:7" ht="25.5">
      <c r="C817" t="s">
        <v>1733</v>
      </c>
    </row>
    <row r="818" spans="1:7" ht="25.5">
      <c r="C818" t="s">
        <v>1734</v>
      </c>
    </row>
    <row r="819" spans="1:7" ht="38.25">
      <c r="C819" t="s">
        <v>1735</v>
      </c>
    </row>
    <row r="820" spans="1:7">
      <c r="C820" t="s">
        <v>1402</v>
      </c>
      <c r="D820" s="1" t="s">
        <v>115</v>
      </c>
      <c r="E820" s="42">
        <v>1</v>
      </c>
      <c r="G820" s="306">
        <f>E820*F820</f>
        <v>0</v>
      </c>
    </row>
    <row r="822" spans="1:7" ht="15">
      <c r="A822" s="263" t="s">
        <v>1736</v>
      </c>
      <c r="B822" s="76"/>
      <c r="C822" s="76" t="s">
        <v>1737</v>
      </c>
      <c r="D822" s="76"/>
      <c r="E822" s="13"/>
      <c r="F822" s="13"/>
      <c r="G822" s="304"/>
    </row>
    <row r="824" spans="1:7">
      <c r="C824" s="77" t="s">
        <v>1738</v>
      </c>
    </row>
    <row r="825" spans="1:7">
      <c r="C825" s="77"/>
    </row>
    <row r="826" spans="1:7" ht="25.5">
      <c r="B826" s="41" t="s">
        <v>181</v>
      </c>
      <c r="C826" t="s">
        <v>1739</v>
      </c>
    </row>
    <row r="827" spans="1:7" ht="38.25">
      <c r="B827" s="41" t="s">
        <v>182</v>
      </c>
      <c r="C827" t="s">
        <v>1740</v>
      </c>
    </row>
    <row r="828" spans="1:7">
      <c r="C828" t="s">
        <v>1741</v>
      </c>
      <c r="D828" s="1" t="s">
        <v>115</v>
      </c>
      <c r="E828" s="42">
        <v>1</v>
      </c>
      <c r="G828" s="306">
        <f>E828*F828</f>
        <v>0</v>
      </c>
    </row>
    <row r="829" spans="1:7">
      <c r="C829"/>
    </row>
    <row r="830" spans="1:7">
      <c r="C830" s="77" t="s">
        <v>1742</v>
      </c>
    </row>
    <row r="831" spans="1:7" ht="25.5">
      <c r="C831" t="s">
        <v>1743</v>
      </c>
    </row>
    <row r="832" spans="1:7">
      <c r="C832" t="s">
        <v>1744</v>
      </c>
    </row>
    <row r="833" spans="3:7">
      <c r="C833" t="s">
        <v>1745</v>
      </c>
    </row>
    <row r="834" spans="3:7">
      <c r="C834" t="s">
        <v>1746</v>
      </c>
    </row>
    <row r="835" spans="3:7">
      <c r="C835" t="s">
        <v>1747</v>
      </c>
    </row>
    <row r="836" spans="3:7">
      <c r="C836" t="s">
        <v>1748</v>
      </c>
    </row>
    <row r="837" spans="3:7" ht="25.5">
      <c r="C837" t="s">
        <v>1749</v>
      </c>
    </row>
    <row r="838" spans="3:7">
      <c r="C838" t="s">
        <v>1750</v>
      </c>
    </row>
    <row r="839" spans="3:7">
      <c r="C839" t="s">
        <v>1751</v>
      </c>
    </row>
    <row r="840" spans="3:7">
      <c r="C840" t="s">
        <v>1752</v>
      </c>
    </row>
    <row r="841" spans="3:7" ht="25.5">
      <c r="C841" t="s">
        <v>1753</v>
      </c>
    </row>
    <row r="842" spans="3:7">
      <c r="C842" t="s">
        <v>1754</v>
      </c>
    </row>
    <row r="843" spans="3:7" ht="25.5">
      <c r="C843" t="s">
        <v>1755</v>
      </c>
    </row>
    <row r="844" spans="3:7" ht="25.5">
      <c r="C844" t="s">
        <v>1756</v>
      </c>
    </row>
    <row r="845" spans="3:7">
      <c r="C845" t="s">
        <v>1757</v>
      </c>
    </row>
    <row r="846" spans="3:7" ht="38.25">
      <c r="C846" t="s">
        <v>1758</v>
      </c>
    </row>
    <row r="847" spans="3:7">
      <c r="C847" t="s">
        <v>1741</v>
      </c>
      <c r="D847" s="1" t="s">
        <v>115</v>
      </c>
      <c r="E847" s="42">
        <v>1</v>
      </c>
      <c r="G847" s="306">
        <f>E847*F847</f>
        <v>0</v>
      </c>
    </row>
    <row r="848" spans="3:7">
      <c r="C848"/>
    </row>
    <row r="849" spans="1:7" ht="13.5" thickBot="1">
      <c r="C849"/>
    </row>
    <row r="850" spans="1:7" ht="42.75" thickBot="1">
      <c r="A850" s="49" t="s">
        <v>19</v>
      </c>
      <c r="B850" s="50"/>
      <c r="C850" s="51" t="s">
        <v>1759</v>
      </c>
      <c r="D850" s="52"/>
      <c r="E850" s="53"/>
      <c r="F850" s="348"/>
      <c r="G850" s="307">
        <f>SUM(G801:G847)</f>
        <v>0</v>
      </c>
    </row>
    <row r="851" spans="1:7">
      <c r="C851"/>
    </row>
    <row r="852" spans="1:7">
      <c r="C852"/>
    </row>
    <row r="853" spans="1:7">
      <c r="C853"/>
    </row>
    <row r="854" spans="1:7">
      <c r="C854"/>
    </row>
    <row r="855" spans="1:7" ht="23.25">
      <c r="A855" s="610"/>
      <c r="B855" s="63"/>
      <c r="C855" s="64" t="s">
        <v>1318</v>
      </c>
      <c r="D855" s="65"/>
      <c r="E855" s="66"/>
      <c r="F855" s="330"/>
      <c r="G855" s="305"/>
    </row>
    <row r="856" spans="1:7" ht="13.5" thickBot="1">
      <c r="C856" s="21"/>
    </row>
    <row r="857" spans="1:7" ht="19.5" thickBot="1">
      <c r="A857" s="68" t="s">
        <v>9</v>
      </c>
      <c r="B857" s="69"/>
      <c r="C857" s="70" t="s">
        <v>1514</v>
      </c>
      <c r="D857" s="71"/>
      <c r="E857" s="72"/>
      <c r="F857" s="331"/>
      <c r="G857" s="307">
        <f>G340</f>
        <v>0</v>
      </c>
    </row>
    <row r="858" spans="1:7" ht="19.5" thickBot="1">
      <c r="A858" s="68" t="s">
        <v>18</v>
      </c>
      <c r="B858" s="69"/>
      <c r="C858" s="74" t="s">
        <v>1718</v>
      </c>
      <c r="D858" s="71"/>
      <c r="E858" s="72"/>
      <c r="F858" s="331"/>
      <c r="G858" s="307">
        <f>G795</f>
        <v>0</v>
      </c>
    </row>
    <row r="859" spans="1:7" ht="19.5" thickBot="1">
      <c r="A859" s="613" t="s">
        <v>19</v>
      </c>
      <c r="B859" s="69"/>
      <c r="C859" s="74" t="s">
        <v>1759</v>
      </c>
      <c r="D859" s="71"/>
      <c r="E859" s="72"/>
      <c r="F859" s="331"/>
      <c r="G859" s="307">
        <f>G850</f>
        <v>0</v>
      </c>
    </row>
    <row r="861" spans="1:7" ht="23.25">
      <c r="A861" s="610"/>
      <c r="B861" s="63"/>
      <c r="C861" s="64" t="s">
        <v>1760</v>
      </c>
      <c r="D861" s="65"/>
      <c r="E861" s="66"/>
      <c r="F861" s="330"/>
      <c r="G861" s="448">
        <f>SUM(G856:G860)</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&amp;L&amp;K01+044Troškovnik&amp;C&amp;"-,Podebljano"&amp;K01+044PROJEKT ELEKTROINSTALACIJA
Zgrada&amp;R&amp;K01+044STAMBENO - POSLOVNA GRAĐEVINA, BLATO</oddHeader>
    <oddFooter>&amp;C&amp;K00-049V V - PROJEKT d.o.o. Put Supavla 1, 21000 Split, tel/fax: 021/322-249</oddFooter>
  </headerFooter>
  <rowBreaks count="15" manualBreakCount="15">
    <brk id="46" max="16383" man="1"/>
    <brk id="100" max="16383" man="1"/>
    <brk id="195" max="16383" man="1"/>
    <brk id="247" max="16383" man="1"/>
    <brk id="294" max="16383" man="1"/>
    <brk id="341" max="16383" man="1"/>
    <brk id="390" max="16383" man="1"/>
    <brk id="438" max="16383" man="1"/>
    <brk id="476" max="16383" man="1"/>
    <brk id="490" max="16383" man="1"/>
    <brk id="525" max="16383" man="1"/>
    <brk id="575" max="16383" man="1"/>
    <brk id="614" max="16383" man="1"/>
    <brk id="660" max="16383" man="1"/>
    <brk id="756"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241"/>
  <sheetViews>
    <sheetView view="pageBreakPreview" topLeftCell="A222" zoomScale="120" zoomScaleNormal="100" zoomScaleSheetLayoutView="120" workbookViewId="0">
      <selection activeCell="E247" sqref="E247"/>
    </sheetView>
  </sheetViews>
  <sheetFormatPr defaultColWidth="8" defaultRowHeight="12.75"/>
  <cols>
    <col min="1" max="1" width="6" style="40" customWidth="1"/>
    <col min="2" max="2" width="5.5703125" style="41" customWidth="1"/>
    <col min="3" max="3" width="64.28515625" style="56" customWidth="1"/>
    <col min="4" max="4" width="5.5703125" style="1" customWidth="1"/>
    <col min="5" max="5" width="10.42578125" style="42" customWidth="1"/>
    <col min="6" max="6" width="10.42578125" style="15" customWidth="1"/>
    <col min="7" max="7" width="11.85546875" style="306" customWidth="1"/>
    <col min="8" max="16384" width="8" style="21"/>
  </cols>
  <sheetData>
    <row r="4" spans="1:7" ht="46.5">
      <c r="A4" s="90"/>
      <c r="B4" s="21"/>
      <c r="C4" s="20" t="s">
        <v>0</v>
      </c>
      <c r="D4" s="21"/>
      <c r="E4" s="92"/>
      <c r="F4" s="92"/>
      <c r="G4" s="432"/>
    </row>
    <row r="5" spans="1:7">
      <c r="A5" s="90"/>
      <c r="B5" s="21"/>
      <c r="C5" s="22"/>
      <c r="D5" s="21"/>
      <c r="E5" s="92"/>
      <c r="F5" s="92"/>
      <c r="G5" s="432"/>
    </row>
    <row r="6" spans="1:7" ht="21">
      <c r="A6" s="90"/>
      <c r="B6" s="21"/>
      <c r="C6" s="23" t="s">
        <v>428</v>
      </c>
      <c r="D6" s="21"/>
      <c r="E6" s="92"/>
      <c r="F6" s="92"/>
      <c r="G6" s="432"/>
    </row>
    <row r="7" spans="1:7" ht="21">
      <c r="A7" s="90"/>
      <c r="B7" s="21"/>
      <c r="C7" s="24"/>
      <c r="D7" s="21"/>
      <c r="E7" s="92"/>
      <c r="F7" s="92"/>
      <c r="G7" s="432"/>
    </row>
    <row r="8" spans="1:7" ht="23.25">
      <c r="A8" s="90"/>
      <c r="B8" s="21"/>
      <c r="C8" s="25" t="s">
        <v>1761</v>
      </c>
      <c r="D8" s="21"/>
      <c r="E8" s="92"/>
      <c r="F8" s="92"/>
      <c r="G8" s="432"/>
    </row>
    <row r="9" spans="1:7" ht="15.75">
      <c r="A9" s="90"/>
      <c r="B9" s="21"/>
      <c r="C9" s="26" t="s">
        <v>1359</v>
      </c>
      <c r="D9" s="21"/>
      <c r="E9" s="92"/>
      <c r="F9" s="92"/>
      <c r="G9" s="432"/>
    </row>
    <row r="10" spans="1:7" ht="15.75">
      <c r="A10" s="90"/>
      <c r="B10" s="21"/>
      <c r="C10" s="612" t="s">
        <v>1762</v>
      </c>
      <c r="D10" s="21"/>
      <c r="E10" s="92"/>
      <c r="F10" s="92"/>
      <c r="G10" s="432"/>
    </row>
    <row r="11" spans="1:7">
      <c r="A11" s="90"/>
      <c r="B11" s="21"/>
      <c r="C11" s="22"/>
      <c r="D11" s="21"/>
      <c r="E11" s="92"/>
      <c r="F11" s="92"/>
      <c r="G11" s="432"/>
    </row>
    <row r="12" spans="1:7">
      <c r="A12" s="90"/>
      <c r="B12" s="21"/>
      <c r="C12" s="28" t="s">
        <v>1361</v>
      </c>
      <c r="D12" s="21"/>
      <c r="E12" s="92"/>
      <c r="F12" s="92"/>
      <c r="G12" s="432"/>
    </row>
    <row r="47" spans="1:7" ht="25.5">
      <c r="A47" s="29" t="s">
        <v>4</v>
      </c>
      <c r="B47" s="30"/>
      <c r="C47" s="31" t="s">
        <v>5</v>
      </c>
      <c r="D47" s="32" t="s">
        <v>109</v>
      </c>
      <c r="E47" s="33" t="s">
        <v>6</v>
      </c>
      <c r="F47" s="99" t="s">
        <v>113</v>
      </c>
      <c r="G47" s="442" t="s">
        <v>8</v>
      </c>
    </row>
    <row r="49" spans="1:7" ht="21">
      <c r="A49" s="34" t="s">
        <v>9</v>
      </c>
      <c r="B49" s="35"/>
      <c r="C49" s="39" t="s">
        <v>1585</v>
      </c>
      <c r="D49" s="37"/>
      <c r="E49" s="38"/>
      <c r="F49" s="438"/>
      <c r="G49" s="443"/>
    </row>
    <row r="51" spans="1:7">
      <c r="C51"/>
    </row>
    <row r="52" spans="1:7" ht="127.5">
      <c r="B52" s="41" t="s">
        <v>9</v>
      </c>
      <c r="C52" t="s">
        <v>1763</v>
      </c>
    </row>
    <row r="53" spans="1:7">
      <c r="B53" s="40"/>
      <c r="C53" t="s">
        <v>1764</v>
      </c>
    </row>
    <row r="54" spans="1:7">
      <c r="C54" t="s">
        <v>1765</v>
      </c>
    </row>
    <row r="55" spans="1:7">
      <c r="B55" s="40"/>
      <c r="C55" t="s">
        <v>1685</v>
      </c>
    </row>
    <row r="56" spans="1:7">
      <c r="B56" s="40"/>
      <c r="C56" t="s">
        <v>1766</v>
      </c>
    </row>
    <row r="57" spans="1:7">
      <c r="C57" t="s">
        <v>1767</v>
      </c>
    </row>
    <row r="58" spans="1:7">
      <c r="B58" s="40"/>
      <c r="C58" t="s">
        <v>1768</v>
      </c>
    </row>
    <row r="59" spans="1:7">
      <c r="B59" s="40"/>
      <c r="C59" t="s">
        <v>1769</v>
      </c>
    </row>
    <row r="60" spans="1:7">
      <c r="C60" t="s">
        <v>1770</v>
      </c>
    </row>
    <row r="61" spans="1:7">
      <c r="B61" s="40"/>
      <c r="C61" t="s">
        <v>1771</v>
      </c>
    </row>
    <row r="62" spans="1:7">
      <c r="B62" s="40"/>
      <c r="C62" t="s">
        <v>1772</v>
      </c>
    </row>
    <row r="63" spans="1:7">
      <c r="C63" t="s">
        <v>1773</v>
      </c>
    </row>
    <row r="64" spans="1:7">
      <c r="B64" s="40"/>
      <c r="C64" t="s">
        <v>1774</v>
      </c>
    </row>
    <row r="65" spans="1:7">
      <c r="B65" s="40"/>
      <c r="C65" t="s">
        <v>1775</v>
      </c>
    </row>
    <row r="66" spans="1:7">
      <c r="C66" t="s">
        <v>1776</v>
      </c>
    </row>
    <row r="67" spans="1:7">
      <c r="B67" s="40"/>
      <c r="C67" t="s">
        <v>1777</v>
      </c>
    </row>
    <row r="68" spans="1:7">
      <c r="B68" s="40"/>
      <c r="C68" t="s">
        <v>1778</v>
      </c>
    </row>
    <row r="69" spans="1:7">
      <c r="C69" t="s">
        <v>1779</v>
      </c>
    </row>
    <row r="70" spans="1:7">
      <c r="B70" s="40"/>
      <c r="C70" t="s">
        <v>1780</v>
      </c>
    </row>
    <row r="71" spans="1:7">
      <c r="B71" s="40"/>
      <c r="C71" t="s">
        <v>1781</v>
      </c>
    </row>
    <row r="72" spans="1:7">
      <c r="C72" t="s">
        <v>1592</v>
      </c>
    </row>
    <row r="73" spans="1:7" ht="25.5">
      <c r="B73" s="40"/>
      <c r="C73" t="s">
        <v>1600</v>
      </c>
    </row>
    <row r="74" spans="1:7">
      <c r="B74" s="40"/>
      <c r="C74" s="21" t="s">
        <v>1782</v>
      </c>
      <c r="D74" s="1" t="s">
        <v>110</v>
      </c>
      <c r="E74" s="42">
        <v>1</v>
      </c>
      <c r="G74" s="306">
        <f>E74*F74</f>
        <v>0</v>
      </c>
    </row>
    <row r="75" spans="1:7" ht="13.5" thickBot="1">
      <c r="C75"/>
    </row>
    <row r="76" spans="1:7" ht="21.75" thickBot="1">
      <c r="A76" s="49" t="s">
        <v>9</v>
      </c>
      <c r="B76" s="50"/>
      <c r="C76" s="51" t="s">
        <v>1783</v>
      </c>
      <c r="D76" s="52"/>
      <c r="E76" s="53"/>
      <c r="F76" s="348"/>
      <c r="G76" s="307">
        <f>SUM(G73:G75)</f>
        <v>0</v>
      </c>
    </row>
    <row r="77" spans="1:7">
      <c r="C77"/>
    </row>
    <row r="78" spans="1:7" ht="21">
      <c r="A78" s="34" t="s">
        <v>18</v>
      </c>
      <c r="B78" s="35"/>
      <c r="C78" s="39" t="s">
        <v>1784</v>
      </c>
      <c r="D78" s="37"/>
      <c r="E78" s="38"/>
      <c r="F78" s="438"/>
      <c r="G78" s="443"/>
    </row>
    <row r="79" spans="1:7">
      <c r="C79" s="85"/>
    </row>
    <row r="80" spans="1:7">
      <c r="B80" s="41" t="s">
        <v>1516</v>
      </c>
      <c r="C80" t="s">
        <v>1785</v>
      </c>
    </row>
    <row r="81" spans="2:7" ht="38.25">
      <c r="B81" s="40"/>
      <c r="C81" t="s">
        <v>1786</v>
      </c>
    </row>
    <row r="82" spans="2:7">
      <c r="B82" s="40"/>
      <c r="C82" t="s">
        <v>1787</v>
      </c>
      <c r="D82" s="1" t="s">
        <v>129</v>
      </c>
      <c r="E82" s="42">
        <v>44</v>
      </c>
      <c r="G82" s="306">
        <f>E82*F82</f>
        <v>0</v>
      </c>
    </row>
    <row r="83" spans="2:7">
      <c r="B83" s="40"/>
      <c r="C83"/>
    </row>
    <row r="84" spans="2:7">
      <c r="B84" s="40" t="s">
        <v>1533</v>
      </c>
      <c r="C84" t="s">
        <v>1518</v>
      </c>
    </row>
    <row r="85" spans="2:7">
      <c r="B85" s="40"/>
      <c r="C85" t="s">
        <v>1788</v>
      </c>
    </row>
    <row r="86" spans="2:7">
      <c r="B86" s="40"/>
      <c r="C86" t="s">
        <v>1789</v>
      </c>
    </row>
    <row r="87" spans="2:7">
      <c r="B87" s="40"/>
      <c r="C87" t="s">
        <v>1787</v>
      </c>
      <c r="D87" s="1" t="s">
        <v>129</v>
      </c>
      <c r="E87" s="42">
        <v>38</v>
      </c>
      <c r="G87" s="306">
        <f>E87*F87</f>
        <v>0</v>
      </c>
    </row>
    <row r="88" spans="2:7">
      <c r="B88" s="40"/>
      <c r="C88"/>
    </row>
    <row r="89" spans="2:7">
      <c r="B89" s="40" t="s">
        <v>1546</v>
      </c>
      <c r="C89" t="s">
        <v>1518</v>
      </c>
    </row>
    <row r="90" spans="2:7">
      <c r="B90" s="40"/>
      <c r="C90" t="s">
        <v>1790</v>
      </c>
    </row>
    <row r="91" spans="2:7">
      <c r="B91" s="40"/>
      <c r="C91" t="s">
        <v>1791</v>
      </c>
    </row>
    <row r="92" spans="2:7">
      <c r="B92" s="40"/>
      <c r="C92" t="s">
        <v>1792</v>
      </c>
      <c r="D92" s="1" t="s">
        <v>115</v>
      </c>
      <c r="E92" s="42">
        <v>43</v>
      </c>
      <c r="G92" s="306">
        <f>E92*F92</f>
        <v>0</v>
      </c>
    </row>
    <row r="93" spans="2:7">
      <c r="B93" s="40"/>
      <c r="C93"/>
    </row>
    <row r="94" spans="2:7">
      <c r="B94" s="40" t="s">
        <v>1568</v>
      </c>
      <c r="C94" t="s">
        <v>1518</v>
      </c>
    </row>
    <row r="95" spans="2:7">
      <c r="B95" s="40"/>
      <c r="C95" t="s">
        <v>1793</v>
      </c>
    </row>
    <row r="96" spans="2:7">
      <c r="B96" s="40"/>
      <c r="C96" t="s">
        <v>1789</v>
      </c>
    </row>
    <row r="97" spans="2:7">
      <c r="B97" s="40"/>
      <c r="C97" t="s">
        <v>1792</v>
      </c>
      <c r="D97" s="1" t="s">
        <v>115</v>
      </c>
      <c r="E97" s="42">
        <v>450</v>
      </c>
      <c r="G97" s="306">
        <f>E97*F97</f>
        <v>0</v>
      </c>
    </row>
    <row r="98" spans="2:7">
      <c r="B98" s="40"/>
      <c r="C98"/>
    </row>
    <row r="99" spans="2:7">
      <c r="B99" s="40" t="s">
        <v>1584</v>
      </c>
      <c r="C99" t="s">
        <v>1518</v>
      </c>
    </row>
    <row r="100" spans="2:7">
      <c r="B100" s="40"/>
      <c r="C100" t="s">
        <v>1794</v>
      </c>
    </row>
    <row r="101" spans="2:7">
      <c r="B101" s="40"/>
      <c r="C101" t="s">
        <v>1795</v>
      </c>
    </row>
    <row r="102" spans="2:7">
      <c r="B102" s="40"/>
      <c r="C102" t="s">
        <v>1792</v>
      </c>
      <c r="D102" s="1" t="s">
        <v>115</v>
      </c>
      <c r="E102" s="42">
        <v>290</v>
      </c>
      <c r="G102" s="306">
        <f>E102*F102</f>
        <v>0</v>
      </c>
    </row>
    <row r="103" spans="2:7">
      <c r="B103" s="40"/>
      <c r="C103"/>
    </row>
    <row r="104" spans="2:7" ht="25.5">
      <c r="B104" s="40" t="s">
        <v>1691</v>
      </c>
      <c r="C104" t="s">
        <v>1796</v>
      </c>
    </row>
    <row r="105" spans="2:7">
      <c r="B105" s="40"/>
      <c r="C105" t="s">
        <v>1795</v>
      </c>
    </row>
    <row r="106" spans="2:7">
      <c r="B106" s="40"/>
      <c r="C106" t="s">
        <v>1792</v>
      </c>
      <c r="D106" s="1" t="s">
        <v>115</v>
      </c>
      <c r="E106" s="42">
        <v>12</v>
      </c>
      <c r="G106" s="306">
        <f>E106*F106</f>
        <v>0</v>
      </c>
    </row>
    <row r="107" spans="2:7">
      <c r="B107" s="40"/>
      <c r="C107"/>
    </row>
    <row r="108" spans="2:7">
      <c r="B108" s="40" t="s">
        <v>1699</v>
      </c>
      <c r="C108" t="s">
        <v>1518</v>
      </c>
    </row>
    <row r="109" spans="2:7">
      <c r="B109" s="40"/>
      <c r="C109" t="s">
        <v>1797</v>
      </c>
    </row>
    <row r="110" spans="2:7">
      <c r="B110" s="40"/>
      <c r="C110" t="s">
        <v>1795</v>
      </c>
    </row>
    <row r="111" spans="2:7">
      <c r="B111" s="40"/>
      <c r="C111" t="s">
        <v>1792</v>
      </c>
      <c r="D111" s="1" t="s">
        <v>115</v>
      </c>
      <c r="E111" s="42">
        <v>470</v>
      </c>
      <c r="G111" s="306">
        <f>E111*F111</f>
        <v>0</v>
      </c>
    </row>
    <row r="112" spans="2:7">
      <c r="B112" s="40"/>
      <c r="C112"/>
    </row>
    <row r="113" spans="1:7" ht="25.5">
      <c r="B113" s="40" t="s">
        <v>1703</v>
      </c>
      <c r="C113" t="s">
        <v>1532</v>
      </c>
    </row>
    <row r="114" spans="1:7">
      <c r="B114" s="40"/>
      <c r="C114" t="s">
        <v>1792</v>
      </c>
      <c r="D114" s="1" t="s">
        <v>115</v>
      </c>
      <c r="E114" s="42">
        <v>1</v>
      </c>
      <c r="G114" s="306">
        <f>E114*F114</f>
        <v>0</v>
      </c>
    </row>
    <row r="115" spans="1:7">
      <c r="B115" s="40"/>
      <c r="C115"/>
    </row>
    <row r="116" spans="1:7" ht="13.5" thickBot="1">
      <c r="B116" s="40"/>
      <c r="C116"/>
    </row>
    <row r="117" spans="1:7" ht="21.75" thickBot="1">
      <c r="A117" s="49" t="s">
        <v>18</v>
      </c>
      <c r="B117" s="50"/>
      <c r="C117" s="51" t="s">
        <v>1798</v>
      </c>
      <c r="D117" s="52"/>
      <c r="E117" s="53"/>
      <c r="F117" s="348"/>
      <c r="G117" s="307">
        <f>SUM(G79:G115)</f>
        <v>0</v>
      </c>
    </row>
    <row r="118" spans="1:7" ht="21">
      <c r="A118" s="264"/>
      <c r="B118" s="265"/>
      <c r="C118" s="266"/>
      <c r="D118" s="267"/>
      <c r="E118" s="268"/>
      <c r="F118" s="450"/>
      <c r="G118" s="449"/>
    </row>
    <row r="119" spans="1:7" ht="21">
      <c r="A119" s="34" t="s">
        <v>19</v>
      </c>
      <c r="B119" s="35"/>
      <c r="C119" s="39" t="s">
        <v>1534</v>
      </c>
      <c r="D119" s="37"/>
      <c r="E119" s="38"/>
      <c r="F119" s="438"/>
      <c r="G119" s="443"/>
    </row>
    <row r="120" spans="1:7">
      <c r="C120"/>
    </row>
    <row r="121" spans="1:7" ht="25.5">
      <c r="B121" s="41" t="s">
        <v>1720</v>
      </c>
      <c r="C121" t="s">
        <v>1799</v>
      </c>
    </row>
    <row r="122" spans="1:7">
      <c r="B122" s="40"/>
      <c r="C122" t="s">
        <v>1792</v>
      </c>
      <c r="D122" s="1" t="s">
        <v>115</v>
      </c>
      <c r="E122" s="42">
        <v>11</v>
      </c>
      <c r="G122" s="306">
        <f>E122*F122</f>
        <v>0</v>
      </c>
    </row>
    <row r="123" spans="1:7">
      <c r="B123" s="40"/>
      <c r="C123"/>
    </row>
    <row r="124" spans="1:7" ht="25.5">
      <c r="B124" s="41" t="s">
        <v>1726</v>
      </c>
      <c r="C124" t="s">
        <v>1800</v>
      </c>
    </row>
    <row r="125" spans="1:7">
      <c r="B125" s="40"/>
      <c r="C125" t="s">
        <v>1792</v>
      </c>
      <c r="D125" s="1" t="s">
        <v>115</v>
      </c>
      <c r="E125" s="42">
        <v>1</v>
      </c>
      <c r="G125" s="306">
        <f>E125*F125</f>
        <v>0</v>
      </c>
    </row>
    <row r="126" spans="1:7">
      <c r="B126" s="40"/>
      <c r="C126"/>
    </row>
    <row r="127" spans="1:7" ht="25.5">
      <c r="B127" s="40" t="s">
        <v>1736</v>
      </c>
      <c r="C127" t="s">
        <v>1801</v>
      </c>
    </row>
    <row r="128" spans="1:7">
      <c r="B128" s="40"/>
      <c r="C128" t="s">
        <v>1792</v>
      </c>
      <c r="D128" s="1" t="s">
        <v>115</v>
      </c>
      <c r="E128" s="42">
        <v>7</v>
      </c>
      <c r="G128" s="306">
        <f>E128*F128</f>
        <v>0</v>
      </c>
    </row>
    <row r="129" spans="2:7">
      <c r="C129"/>
    </row>
    <row r="130" spans="2:7" ht="25.5">
      <c r="B130" s="40" t="s">
        <v>1802</v>
      </c>
      <c r="C130" t="s">
        <v>1803</v>
      </c>
    </row>
    <row r="131" spans="2:7">
      <c r="B131" s="40"/>
      <c r="C131" t="s">
        <v>1792</v>
      </c>
      <c r="D131" s="1" t="s">
        <v>115</v>
      </c>
      <c r="E131" s="42">
        <v>4</v>
      </c>
      <c r="G131" s="306">
        <f>E131*F131</f>
        <v>0</v>
      </c>
    </row>
    <row r="132" spans="2:7">
      <c r="B132" s="40"/>
      <c r="C132"/>
    </row>
    <row r="133" spans="2:7" ht="25.5">
      <c r="B133" s="40" t="s">
        <v>1804</v>
      </c>
      <c r="C133" t="s">
        <v>1805</v>
      </c>
    </row>
    <row r="134" spans="2:7">
      <c r="B134" s="40"/>
      <c r="C134" t="s">
        <v>1792</v>
      </c>
      <c r="D134" s="1" t="s">
        <v>115</v>
      </c>
      <c r="E134" s="42">
        <v>4</v>
      </c>
      <c r="G134" s="306">
        <f>E134*F134</f>
        <v>0</v>
      </c>
    </row>
    <row r="135" spans="2:7">
      <c r="B135" s="40"/>
      <c r="C135"/>
    </row>
    <row r="136" spans="2:7" ht="25.5">
      <c r="B136" s="40" t="s">
        <v>1806</v>
      </c>
      <c r="C136" t="s">
        <v>1807</v>
      </c>
    </row>
    <row r="137" spans="2:7">
      <c r="B137" s="40"/>
      <c r="C137" t="s">
        <v>1792</v>
      </c>
      <c r="D137" s="1" t="s">
        <v>115</v>
      </c>
      <c r="E137" s="42">
        <v>18</v>
      </c>
      <c r="G137" s="306">
        <f>E137*F137</f>
        <v>0</v>
      </c>
    </row>
    <row r="138" spans="2:7">
      <c r="B138" s="40"/>
      <c r="C138"/>
    </row>
    <row r="139" spans="2:7" ht="25.5">
      <c r="B139" s="40" t="s">
        <v>1808</v>
      </c>
      <c r="C139" t="s">
        <v>1809</v>
      </c>
    </row>
    <row r="140" spans="2:7">
      <c r="B140" s="40"/>
      <c r="C140" t="s">
        <v>1792</v>
      </c>
      <c r="D140" s="1" t="s">
        <v>115</v>
      </c>
      <c r="E140" s="42">
        <v>1</v>
      </c>
      <c r="G140" s="306">
        <f>E140*F140</f>
        <v>0</v>
      </c>
    </row>
    <row r="141" spans="2:7">
      <c r="B141" s="40"/>
      <c r="C141"/>
    </row>
    <row r="142" spans="2:7" ht="25.5">
      <c r="B142" s="41" t="s">
        <v>1810</v>
      </c>
      <c r="C142" t="s">
        <v>1811</v>
      </c>
    </row>
    <row r="143" spans="2:7">
      <c r="B143" s="40"/>
      <c r="C143" t="s">
        <v>1792</v>
      </c>
      <c r="D143" s="1" t="s">
        <v>115</v>
      </c>
      <c r="E143" s="42">
        <v>3</v>
      </c>
      <c r="G143" s="306">
        <f>E143*F143</f>
        <v>0</v>
      </c>
    </row>
    <row r="144" spans="2:7">
      <c r="B144" s="40"/>
      <c r="C144"/>
    </row>
    <row r="145" spans="1:7">
      <c r="B145" s="40" t="s">
        <v>1812</v>
      </c>
      <c r="C145" t="s">
        <v>1813</v>
      </c>
    </row>
    <row r="146" spans="1:7">
      <c r="B146" s="40"/>
      <c r="C146" t="s">
        <v>1792</v>
      </c>
      <c r="D146" s="1" t="s">
        <v>115</v>
      </c>
      <c r="E146" s="42">
        <v>1</v>
      </c>
      <c r="G146" s="306">
        <f>E146*F146</f>
        <v>0</v>
      </c>
    </row>
    <row r="147" spans="1:7">
      <c r="B147" s="40"/>
      <c r="C147"/>
    </row>
    <row r="148" spans="1:7" ht="25.5">
      <c r="B148" s="40" t="s">
        <v>1814</v>
      </c>
      <c r="C148" t="s">
        <v>1815</v>
      </c>
    </row>
    <row r="149" spans="1:7">
      <c r="B149" s="40"/>
      <c r="C149" t="s">
        <v>1792</v>
      </c>
      <c r="D149" s="1" t="s">
        <v>115</v>
      </c>
      <c r="E149" s="42">
        <v>12</v>
      </c>
      <c r="G149" s="306">
        <f>E149*F149</f>
        <v>0</v>
      </c>
    </row>
    <row r="150" spans="1:7" ht="13.5" thickBot="1">
      <c r="B150" s="40"/>
      <c r="C150" s="55"/>
    </row>
    <row r="151" spans="1:7" ht="21.75" thickBot="1">
      <c r="A151" s="49" t="s">
        <v>19</v>
      </c>
      <c r="B151" s="50"/>
      <c r="C151" s="51" t="s">
        <v>1816</v>
      </c>
      <c r="D151" s="52"/>
      <c r="E151" s="53"/>
      <c r="F151" s="348"/>
      <c r="G151" s="307">
        <f>SUM(G121:G149)</f>
        <v>0</v>
      </c>
    </row>
    <row r="152" spans="1:7">
      <c r="B152" s="40"/>
      <c r="C152" s="21"/>
    </row>
    <row r="153" spans="1:7">
      <c r="B153" s="40"/>
      <c r="C153" s="21"/>
    </row>
    <row r="154" spans="1:7" ht="21">
      <c r="A154" s="34" t="s">
        <v>20</v>
      </c>
      <c r="B154" s="35"/>
      <c r="C154" s="39" t="s">
        <v>1569</v>
      </c>
      <c r="D154" s="37"/>
      <c r="E154" s="38"/>
      <c r="F154" s="438"/>
      <c r="G154" s="443"/>
    </row>
    <row r="155" spans="1:7">
      <c r="C155"/>
    </row>
    <row r="156" spans="1:7" ht="25.5">
      <c r="B156" s="41" t="s">
        <v>1817</v>
      </c>
      <c r="C156" t="s">
        <v>1818</v>
      </c>
    </row>
    <row r="157" spans="1:7">
      <c r="B157" s="40"/>
      <c r="C157" t="s">
        <v>1792</v>
      </c>
      <c r="D157" s="1" t="s">
        <v>115</v>
      </c>
      <c r="E157" s="42">
        <v>19</v>
      </c>
      <c r="G157" s="306">
        <f>E157*F157</f>
        <v>0</v>
      </c>
    </row>
    <row r="158" spans="1:7">
      <c r="B158" s="40"/>
      <c r="C158"/>
    </row>
    <row r="159" spans="1:7" ht="25.5">
      <c r="B159" s="40" t="s">
        <v>1819</v>
      </c>
      <c r="C159" t="s">
        <v>1820</v>
      </c>
    </row>
    <row r="160" spans="1:7">
      <c r="B160" s="40"/>
      <c r="C160" t="s">
        <v>1792</v>
      </c>
      <c r="D160" s="1" t="s">
        <v>115</v>
      </c>
      <c r="E160" s="42">
        <v>26</v>
      </c>
      <c r="G160" s="306">
        <f>E160*F160</f>
        <v>0</v>
      </c>
    </row>
    <row r="161" spans="1:7" ht="13.5" thickBot="1">
      <c r="C161"/>
    </row>
    <row r="162" spans="1:7" ht="21.75" thickBot="1">
      <c r="A162" s="49" t="s">
        <v>20</v>
      </c>
      <c r="B162" s="50"/>
      <c r="C162" s="51" t="s">
        <v>1821</v>
      </c>
      <c r="D162" s="52"/>
      <c r="E162" s="53"/>
      <c r="F162" s="348"/>
      <c r="G162" s="307">
        <f>SUM(G156:G161)</f>
        <v>0</v>
      </c>
    </row>
    <row r="163" spans="1:7">
      <c r="B163" s="40"/>
      <c r="C163" s="21"/>
    </row>
    <row r="164" spans="1:7" ht="21">
      <c r="A164" s="34" t="s">
        <v>21</v>
      </c>
      <c r="B164" s="35"/>
      <c r="C164" s="39" t="s">
        <v>1822</v>
      </c>
      <c r="D164" s="37"/>
      <c r="E164" s="38"/>
      <c r="F164" s="438"/>
      <c r="G164" s="443"/>
    </row>
    <row r="165" spans="1:7">
      <c r="C165"/>
    </row>
    <row r="166" spans="1:7" ht="38.25">
      <c r="B166" s="41" t="s">
        <v>1823</v>
      </c>
      <c r="C166" t="s">
        <v>1824</v>
      </c>
    </row>
    <row r="167" spans="1:7">
      <c r="B167" s="40"/>
      <c r="C167" t="s">
        <v>117</v>
      </c>
      <c r="D167" s="1" t="s">
        <v>115</v>
      </c>
      <c r="E167" s="42">
        <v>1</v>
      </c>
      <c r="G167" s="306">
        <f>E167*F167</f>
        <v>0</v>
      </c>
    </row>
    <row r="168" spans="1:7">
      <c r="B168" s="40"/>
      <c r="C168"/>
    </row>
    <row r="169" spans="1:7" ht="25.5">
      <c r="B169" s="40" t="s">
        <v>1825</v>
      </c>
      <c r="C169" t="s">
        <v>1826</v>
      </c>
    </row>
    <row r="170" spans="1:7">
      <c r="B170" s="40"/>
      <c r="C170" t="s">
        <v>117</v>
      </c>
      <c r="D170" s="1" t="s">
        <v>115</v>
      </c>
      <c r="E170" s="42">
        <v>2</v>
      </c>
      <c r="G170" s="306">
        <f>E170*F170</f>
        <v>0</v>
      </c>
    </row>
    <row r="171" spans="1:7">
      <c r="B171" s="40"/>
      <c r="C171"/>
    </row>
    <row r="172" spans="1:7" ht="38.25">
      <c r="B172" s="40" t="s">
        <v>1827</v>
      </c>
      <c r="C172" t="s">
        <v>1828</v>
      </c>
    </row>
    <row r="173" spans="1:7">
      <c r="B173" s="40"/>
      <c r="C173" t="s">
        <v>117</v>
      </c>
      <c r="D173" s="1" t="s">
        <v>115</v>
      </c>
      <c r="E173" s="42">
        <v>2</v>
      </c>
      <c r="G173" s="306">
        <f>E173*F173</f>
        <v>0</v>
      </c>
    </row>
    <row r="174" spans="1:7">
      <c r="C174"/>
    </row>
    <row r="175" spans="1:7" ht="38.25">
      <c r="B175" s="41" t="s">
        <v>1829</v>
      </c>
      <c r="C175" t="s">
        <v>1830</v>
      </c>
    </row>
    <row r="176" spans="1:7">
      <c r="B176" s="40"/>
      <c r="C176" t="s">
        <v>117</v>
      </c>
      <c r="D176" s="1" t="s">
        <v>115</v>
      </c>
      <c r="E176" s="42">
        <v>3</v>
      </c>
      <c r="G176" s="306">
        <f>E176*F176</f>
        <v>0</v>
      </c>
    </row>
    <row r="177" spans="1:7">
      <c r="B177" s="40"/>
      <c r="C177"/>
    </row>
    <row r="178" spans="1:7">
      <c r="B178" s="40" t="s">
        <v>1831</v>
      </c>
      <c r="C178" t="s">
        <v>1832</v>
      </c>
    </row>
    <row r="179" spans="1:7">
      <c r="B179" s="40"/>
      <c r="C179" t="s">
        <v>1833</v>
      </c>
    </row>
    <row r="180" spans="1:7">
      <c r="B180" s="40"/>
      <c r="C180" t="s">
        <v>1834</v>
      </c>
    </row>
    <row r="181" spans="1:7">
      <c r="C181" t="s">
        <v>1835</v>
      </c>
    </row>
    <row r="182" spans="1:7">
      <c r="B182" s="40"/>
      <c r="C182" t="s">
        <v>117</v>
      </c>
      <c r="D182" s="1" t="s">
        <v>115</v>
      </c>
      <c r="E182" s="42">
        <v>1</v>
      </c>
      <c r="G182" s="306">
        <f>E182*F182</f>
        <v>0</v>
      </c>
    </row>
    <row r="183" spans="1:7" ht="13.5" thickBot="1">
      <c r="C183"/>
    </row>
    <row r="184" spans="1:7" ht="21.75" thickBot="1">
      <c r="A184" s="49" t="s">
        <v>21</v>
      </c>
      <c r="B184" s="50"/>
      <c r="C184" s="51" t="s">
        <v>1836</v>
      </c>
      <c r="D184" s="52"/>
      <c r="E184" s="53"/>
      <c r="F184" s="348"/>
      <c r="G184" s="307">
        <f>SUM(G166:G182)</f>
        <v>0</v>
      </c>
    </row>
    <row r="185" spans="1:7">
      <c r="C185"/>
    </row>
    <row r="186" spans="1:7">
      <c r="C186"/>
    </row>
    <row r="187" spans="1:7" ht="21">
      <c r="A187" s="34" t="s">
        <v>60</v>
      </c>
      <c r="B187" s="35"/>
      <c r="C187" s="39" t="s">
        <v>1692</v>
      </c>
      <c r="D187" s="37"/>
      <c r="E187" s="38"/>
      <c r="F187" s="438"/>
      <c r="G187" s="443"/>
    </row>
    <row r="188" spans="1:7">
      <c r="C188"/>
    </row>
    <row r="189" spans="1:7" ht="63.75">
      <c r="B189" s="41" t="s">
        <v>1837</v>
      </c>
      <c r="C189" t="s">
        <v>1838</v>
      </c>
    </row>
    <row r="190" spans="1:7">
      <c r="B190" s="40"/>
      <c r="C190" t="s">
        <v>1839</v>
      </c>
    </row>
    <row r="191" spans="1:7">
      <c r="B191" s="40"/>
      <c r="C191" t="s">
        <v>1840</v>
      </c>
    </row>
    <row r="192" spans="1:7">
      <c r="B192" s="40"/>
      <c r="C192" t="s">
        <v>1841</v>
      </c>
      <c r="D192" s="1" t="s">
        <v>115</v>
      </c>
      <c r="E192" s="42">
        <v>1</v>
      </c>
      <c r="G192" s="306">
        <f>E192*F192</f>
        <v>0</v>
      </c>
    </row>
    <row r="193" spans="1:7">
      <c r="B193" s="40"/>
      <c r="C193"/>
    </row>
    <row r="194" spans="1:7">
      <c r="B194" s="40" t="s">
        <v>1842</v>
      </c>
      <c r="C194" t="s">
        <v>1843</v>
      </c>
    </row>
    <row r="195" spans="1:7">
      <c r="B195" s="40"/>
      <c r="C195" t="s">
        <v>117</v>
      </c>
      <c r="D195" s="1" t="s">
        <v>115</v>
      </c>
      <c r="E195" s="42">
        <v>1</v>
      </c>
      <c r="G195" s="306">
        <f>E195*F195</f>
        <v>0</v>
      </c>
    </row>
    <row r="196" spans="1:7" ht="13.5" thickBot="1">
      <c r="C196"/>
    </row>
    <row r="197" spans="1:7" ht="21.75" thickBot="1">
      <c r="A197" s="49" t="s">
        <v>60</v>
      </c>
      <c r="B197" s="50"/>
      <c r="C197" s="51" t="s">
        <v>1844</v>
      </c>
      <c r="D197" s="52"/>
      <c r="E197" s="53"/>
      <c r="F197" s="348"/>
      <c r="G197" s="307">
        <f>SUM(G188:G195)</f>
        <v>0</v>
      </c>
    </row>
    <row r="198" spans="1:7">
      <c r="C198"/>
    </row>
    <row r="199" spans="1:7">
      <c r="C199"/>
    </row>
    <row r="200" spans="1:7" ht="21">
      <c r="A200" s="34" t="s">
        <v>78</v>
      </c>
      <c r="B200" s="35"/>
      <c r="C200" s="39" t="s">
        <v>1845</v>
      </c>
      <c r="D200" s="37"/>
      <c r="E200" s="38"/>
      <c r="F200" s="438"/>
      <c r="G200" s="443"/>
    </row>
    <row r="201" spans="1:7">
      <c r="C201"/>
    </row>
    <row r="202" spans="1:7" ht="25.5">
      <c r="B202" s="41" t="s">
        <v>1846</v>
      </c>
      <c r="C202" t="s">
        <v>1847</v>
      </c>
    </row>
    <row r="203" spans="1:7">
      <c r="B203" s="40"/>
      <c r="C203" t="s">
        <v>117</v>
      </c>
      <c r="D203" s="1" t="s">
        <v>115</v>
      </c>
      <c r="E203" s="42">
        <v>3</v>
      </c>
      <c r="G203" s="306">
        <f>E203*F203</f>
        <v>0</v>
      </c>
    </row>
    <row r="204" spans="1:7">
      <c r="B204" s="40"/>
      <c r="C204"/>
    </row>
    <row r="205" spans="1:7" ht="25.5">
      <c r="B205" s="40" t="s">
        <v>1848</v>
      </c>
      <c r="C205" t="s">
        <v>1849</v>
      </c>
    </row>
    <row r="206" spans="1:7">
      <c r="B206" s="40"/>
      <c r="C206" t="s">
        <v>117</v>
      </c>
      <c r="D206" s="1" t="s">
        <v>115</v>
      </c>
      <c r="E206" s="42">
        <v>45</v>
      </c>
      <c r="G206" s="306">
        <f>E206*F206</f>
        <v>0</v>
      </c>
    </row>
    <row r="207" spans="1:7" ht="13.5" thickBot="1">
      <c r="B207" s="40"/>
      <c r="C207"/>
    </row>
    <row r="208" spans="1:7" ht="21.75" thickBot="1">
      <c r="A208" s="49" t="s">
        <v>78</v>
      </c>
      <c r="B208" s="50"/>
      <c r="C208" s="51" t="s">
        <v>1850</v>
      </c>
      <c r="D208" s="52"/>
      <c r="E208" s="53"/>
      <c r="F208" s="348"/>
      <c r="G208" s="307">
        <f>SUM(G201:G207)</f>
        <v>0</v>
      </c>
    </row>
    <row r="212" spans="1:7" ht="21">
      <c r="A212" s="34" t="s">
        <v>165</v>
      </c>
      <c r="B212" s="35"/>
      <c r="C212" s="39" t="s">
        <v>1851</v>
      </c>
      <c r="D212" s="37"/>
      <c r="E212" s="38"/>
      <c r="F212" s="438"/>
      <c r="G212" s="443"/>
    </row>
    <row r="213" spans="1:7">
      <c r="C213"/>
    </row>
    <row r="214" spans="1:7" ht="25.5">
      <c r="B214" s="41" t="s">
        <v>1852</v>
      </c>
      <c r="C214" t="s">
        <v>1853</v>
      </c>
    </row>
    <row r="215" spans="1:7">
      <c r="B215" s="40"/>
      <c r="C215" t="s">
        <v>117</v>
      </c>
      <c r="D215" s="1" t="s">
        <v>115</v>
      </c>
      <c r="E215" s="42">
        <v>3</v>
      </c>
      <c r="G215" s="306">
        <f>E215*F215</f>
        <v>0</v>
      </c>
    </row>
    <row r="216" spans="1:7">
      <c r="B216" s="40"/>
      <c r="C216"/>
    </row>
    <row r="217" spans="1:7">
      <c r="B217" s="40" t="s">
        <v>1854</v>
      </c>
      <c r="C217" t="s">
        <v>1855</v>
      </c>
      <c r="D217" s="1" t="s">
        <v>110</v>
      </c>
      <c r="E217" s="42">
        <v>1</v>
      </c>
      <c r="G217" s="306">
        <f>E217*F217</f>
        <v>0</v>
      </c>
    </row>
    <row r="218" spans="1:7">
      <c r="B218" s="40"/>
      <c r="C218"/>
    </row>
    <row r="219" spans="1:7" ht="25.5">
      <c r="B219" s="40" t="s">
        <v>1856</v>
      </c>
      <c r="C219" t="s">
        <v>1857</v>
      </c>
      <c r="D219" s="1" t="s">
        <v>129</v>
      </c>
      <c r="E219" s="102">
        <v>60</v>
      </c>
      <c r="G219" s="306">
        <f>E219*F219</f>
        <v>0</v>
      </c>
    </row>
    <row r="220" spans="1:7" ht="13.5" thickBot="1">
      <c r="B220" s="40"/>
      <c r="C220"/>
    </row>
    <row r="221" spans="1:7" ht="21.75" thickBot="1">
      <c r="A221" s="49" t="s">
        <v>165</v>
      </c>
      <c r="B221" s="50"/>
      <c r="C221" s="51" t="s">
        <v>1858</v>
      </c>
      <c r="D221" s="52"/>
      <c r="E221" s="53"/>
      <c r="F221" s="348"/>
      <c r="G221" s="307">
        <f>SUM(G215:G219)</f>
        <v>0</v>
      </c>
    </row>
    <row r="230" spans="1:7" ht="23.25">
      <c r="A230" s="62"/>
      <c r="B230" s="63"/>
      <c r="C230" s="64" t="s">
        <v>1318</v>
      </c>
      <c r="D230" s="65"/>
      <c r="E230" s="66"/>
      <c r="F230" s="330"/>
      <c r="G230" s="305"/>
    </row>
    <row r="231" spans="1:7" ht="13.5" thickBot="1">
      <c r="C231" s="21"/>
    </row>
    <row r="232" spans="1:7" ht="19.5" thickBot="1">
      <c r="A232" s="68" t="s">
        <v>9</v>
      </c>
      <c r="B232" s="69"/>
      <c r="C232" s="70" t="s">
        <v>1783</v>
      </c>
      <c r="D232" s="71"/>
      <c r="E232" s="72"/>
      <c r="F232" s="331"/>
      <c r="G232" s="307">
        <f>G76</f>
        <v>0</v>
      </c>
    </row>
    <row r="233" spans="1:7" ht="19.5" thickBot="1">
      <c r="A233" s="68" t="s">
        <v>18</v>
      </c>
      <c r="B233" s="69"/>
      <c r="C233" s="74" t="s">
        <v>1798</v>
      </c>
      <c r="D233" s="71"/>
      <c r="E233" s="72"/>
      <c r="F233" s="331"/>
      <c r="G233" s="307">
        <f>G117</f>
        <v>0</v>
      </c>
    </row>
    <row r="234" spans="1:7" ht="19.5" thickBot="1">
      <c r="A234" s="68" t="s">
        <v>19</v>
      </c>
      <c r="B234" s="69"/>
      <c r="C234" s="70" t="s">
        <v>1816</v>
      </c>
      <c r="D234" s="71"/>
      <c r="E234" s="72"/>
      <c r="F234" s="331"/>
      <c r="G234" s="307">
        <f>G151</f>
        <v>0</v>
      </c>
    </row>
    <row r="235" spans="1:7" ht="19.5" thickBot="1">
      <c r="A235" s="68" t="s">
        <v>20</v>
      </c>
      <c r="B235" s="69"/>
      <c r="C235" s="70" t="s">
        <v>1821</v>
      </c>
      <c r="D235" s="71"/>
      <c r="E235" s="72"/>
      <c r="F235" s="331"/>
      <c r="G235" s="307">
        <f>G162</f>
        <v>0</v>
      </c>
    </row>
    <row r="236" spans="1:7" ht="19.5" thickBot="1">
      <c r="A236" s="68" t="s">
        <v>21</v>
      </c>
      <c r="B236" s="69"/>
      <c r="C236" s="74" t="s">
        <v>1836</v>
      </c>
      <c r="D236" s="71"/>
      <c r="E236" s="72"/>
      <c r="F236" s="331"/>
      <c r="G236" s="307">
        <f>G184</f>
        <v>0</v>
      </c>
    </row>
    <row r="237" spans="1:7" ht="19.5" thickBot="1">
      <c r="A237" s="68" t="s">
        <v>60</v>
      </c>
      <c r="B237" s="69"/>
      <c r="C237" s="70" t="s">
        <v>1859</v>
      </c>
      <c r="D237" s="71"/>
      <c r="E237" s="72"/>
      <c r="F237" s="331"/>
      <c r="G237" s="307">
        <f>G197</f>
        <v>0</v>
      </c>
    </row>
    <row r="238" spans="1:7" ht="19.5" thickBot="1">
      <c r="A238" s="68" t="s">
        <v>78</v>
      </c>
      <c r="B238" s="69"/>
      <c r="C238" s="74" t="s">
        <v>1850</v>
      </c>
      <c r="D238" s="71"/>
      <c r="E238" s="72"/>
      <c r="F238" s="331"/>
      <c r="G238" s="307">
        <f>G208</f>
        <v>0</v>
      </c>
    </row>
    <row r="239" spans="1:7" ht="19.5" thickBot="1">
      <c r="A239" s="68" t="s">
        <v>165</v>
      </c>
      <c r="B239" s="69"/>
      <c r="C239" s="70" t="s">
        <v>1860</v>
      </c>
      <c r="D239" s="71"/>
      <c r="E239" s="72"/>
      <c r="F239" s="331"/>
      <c r="G239" s="307">
        <f>G221</f>
        <v>0</v>
      </c>
    </row>
    <row r="241" spans="1:7" ht="23.25">
      <c r="A241" s="610"/>
      <c r="B241" s="63"/>
      <c r="C241" s="64" t="s">
        <v>2606</v>
      </c>
      <c r="D241" s="65"/>
      <c r="E241" s="66"/>
      <c r="F241" s="330"/>
      <c r="G241" s="448">
        <f>SUM(G232:G239)</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&amp;L&amp;K01+044Troškovnik&amp;C&amp;"-,Podebljano"&amp;K01+044PROJEKT ELEKTROINSTALACIJA
SKLONIŠTE&amp;R&amp;K01+044STAMBENO - POSLOVNA GRAĐEVINA, BLATO</oddHeader>
    <oddFooter>&amp;C&amp;K00-049V V - PROJEKT d.o.o. Put Supavla 1, 21000 Split, tel/fax: 021/322-249</oddFooter>
  </headerFooter>
  <rowBreaks count="5" manualBreakCount="5">
    <brk id="46" max="16383" man="1"/>
    <brk id="77" max="16383" man="1"/>
    <brk id="118" max="16383" man="1"/>
    <brk id="163" max="16383" man="1"/>
    <brk id="199"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335"/>
  <sheetViews>
    <sheetView view="pageBreakPreview" topLeftCell="A320" zoomScale="120" zoomScaleNormal="100" zoomScaleSheetLayoutView="120" workbookViewId="0">
      <selection activeCell="A335" sqref="A335"/>
    </sheetView>
  </sheetViews>
  <sheetFormatPr defaultColWidth="8" defaultRowHeight="12.75"/>
  <cols>
    <col min="1" max="1" width="6" style="40" customWidth="1"/>
    <col min="2" max="2" width="5.5703125" style="41" customWidth="1"/>
    <col min="3" max="3" width="61.85546875" style="56" customWidth="1"/>
    <col min="4" max="4" width="5.5703125" style="1" customWidth="1"/>
    <col min="5" max="5" width="8.7109375" style="42" customWidth="1"/>
    <col min="6" max="6" width="10.42578125" style="15" customWidth="1"/>
    <col min="7" max="7" width="11.28515625" style="306" customWidth="1"/>
    <col min="8" max="16384" width="8" style="21"/>
  </cols>
  <sheetData>
    <row r="4" spans="1:7" ht="46.5">
      <c r="A4" s="90"/>
      <c r="B4" s="21"/>
      <c r="C4" s="20" t="s">
        <v>0</v>
      </c>
      <c r="D4" s="21"/>
      <c r="E4" s="92"/>
      <c r="F4" s="92"/>
      <c r="G4" s="432"/>
    </row>
    <row r="5" spans="1:7">
      <c r="A5" s="90"/>
      <c r="B5" s="21"/>
      <c r="C5" s="22"/>
      <c r="D5" s="21"/>
      <c r="E5" s="92"/>
      <c r="F5" s="92"/>
      <c r="G5" s="432"/>
    </row>
    <row r="6" spans="1:7" ht="21">
      <c r="A6" s="90"/>
      <c r="B6" s="21"/>
      <c r="C6" s="23" t="s">
        <v>428</v>
      </c>
      <c r="D6" s="21"/>
      <c r="E6" s="92"/>
      <c r="F6" s="92"/>
      <c r="G6" s="432"/>
    </row>
    <row r="7" spans="1:7" ht="21">
      <c r="A7" s="90"/>
      <c r="B7" s="21"/>
      <c r="C7" s="24"/>
      <c r="D7" s="21"/>
      <c r="E7" s="92"/>
      <c r="F7" s="92"/>
      <c r="G7" s="432"/>
    </row>
    <row r="8" spans="1:7" ht="23.25">
      <c r="A8" s="90"/>
      <c r="B8" s="21"/>
      <c r="C8" s="25" t="s">
        <v>1861</v>
      </c>
      <c r="D8" s="21"/>
      <c r="E8" s="92"/>
      <c r="F8" s="92"/>
      <c r="G8" s="432"/>
    </row>
    <row r="9" spans="1:7" ht="15.75">
      <c r="A9" s="90"/>
      <c r="B9" s="21"/>
      <c r="C9" s="26" t="s">
        <v>1862</v>
      </c>
      <c r="D9" s="21"/>
      <c r="E9" s="92"/>
      <c r="F9" s="92"/>
      <c r="G9" s="432"/>
    </row>
    <row r="10" spans="1:7" ht="15.75">
      <c r="A10" s="90"/>
      <c r="B10" s="21"/>
      <c r="C10" s="612" t="s">
        <v>1863</v>
      </c>
      <c r="D10" s="21"/>
      <c r="E10" s="92"/>
      <c r="F10" s="92"/>
      <c r="G10" s="432"/>
    </row>
    <row r="11" spans="1:7">
      <c r="A11" s="90"/>
      <c r="B11" s="21"/>
      <c r="C11" s="22"/>
      <c r="D11" s="21"/>
      <c r="E11" s="92"/>
      <c r="F11" s="92"/>
      <c r="G11" s="432"/>
    </row>
    <row r="12" spans="1:7">
      <c r="A12" s="90"/>
      <c r="B12" s="21"/>
      <c r="C12" s="28" t="s">
        <v>1864</v>
      </c>
      <c r="D12" s="21"/>
      <c r="E12" s="92"/>
      <c r="F12" s="92"/>
      <c r="G12" s="432"/>
    </row>
    <row r="47" spans="1:7" ht="25.5">
      <c r="A47" s="29" t="s">
        <v>4</v>
      </c>
      <c r="B47" s="30"/>
      <c r="C47" s="31" t="s">
        <v>5</v>
      </c>
      <c r="D47" s="32" t="s">
        <v>109</v>
      </c>
      <c r="E47" s="33" t="s">
        <v>6</v>
      </c>
      <c r="F47" s="99" t="s">
        <v>113</v>
      </c>
      <c r="G47" s="442" t="s">
        <v>8</v>
      </c>
    </row>
    <row r="49" spans="1:7" ht="15.75" thickBot="1">
      <c r="C49" s="54" t="s">
        <v>1865</v>
      </c>
    </row>
    <row r="50" spans="1:7">
      <c r="C50" s="56" t="s">
        <v>1866</v>
      </c>
    </row>
    <row r="51" spans="1:7" ht="51">
      <c r="B51" s="41" t="s">
        <v>9</v>
      </c>
      <c r="C51" s="56" t="s">
        <v>1867</v>
      </c>
    </row>
    <row r="52" spans="1:7" ht="38.25">
      <c r="B52" s="41" t="s">
        <v>18</v>
      </c>
      <c r="C52" s="56" t="s">
        <v>1868</v>
      </c>
    </row>
    <row r="53" spans="1:7" ht="25.5">
      <c r="B53" s="41" t="s">
        <v>19</v>
      </c>
      <c r="C53" s="56" t="s">
        <v>1869</v>
      </c>
    </row>
    <row r="54" spans="1:7" ht="63.75">
      <c r="B54" s="41" t="s">
        <v>20</v>
      </c>
      <c r="C54" s="56" t="s">
        <v>1870</v>
      </c>
    </row>
    <row r="55" spans="1:7" ht="25.5">
      <c r="B55" s="41" t="s">
        <v>21</v>
      </c>
      <c r="C55" s="56" t="s">
        <v>1871</v>
      </c>
    </row>
    <row r="56" spans="1:7" ht="51">
      <c r="B56" s="41" t="s">
        <v>60</v>
      </c>
      <c r="C56" s="56" t="s">
        <v>1872</v>
      </c>
    </row>
    <row r="57" spans="1:7">
      <c r="B57" s="41" t="s">
        <v>78</v>
      </c>
      <c r="C57" s="56" t="s">
        <v>1873</v>
      </c>
    </row>
    <row r="58" spans="1:7" ht="38.25">
      <c r="B58" s="41" t="s">
        <v>165</v>
      </c>
      <c r="C58" s="56" t="s">
        <v>1874</v>
      </c>
    </row>
    <row r="59" spans="1:7" ht="114.75">
      <c r="B59" s="41" t="s">
        <v>205</v>
      </c>
      <c r="C59" s="21" t="s">
        <v>1875</v>
      </c>
    </row>
    <row r="60" spans="1:7" ht="25.5">
      <c r="B60" s="41" t="s">
        <v>206</v>
      </c>
      <c r="C60" s="56" t="s">
        <v>1876</v>
      </c>
    </row>
    <row r="62" spans="1:7" ht="42">
      <c r="A62" s="34" t="s">
        <v>9</v>
      </c>
      <c r="B62" s="35"/>
      <c r="C62" s="269" t="s">
        <v>1877</v>
      </c>
      <c r="D62" s="37"/>
      <c r="E62" s="38"/>
      <c r="F62" s="451"/>
      <c r="G62" s="452"/>
    </row>
    <row r="63" spans="1:7">
      <c r="C63"/>
    </row>
    <row r="64" spans="1:7" ht="76.5">
      <c r="B64" s="41" t="s">
        <v>9</v>
      </c>
      <c r="C64" s="56" t="s">
        <v>1878</v>
      </c>
    </row>
    <row r="65" spans="2:7" ht="25.5">
      <c r="C65" s="56" t="s">
        <v>1879</v>
      </c>
    </row>
    <row r="66" spans="2:7">
      <c r="C66" s="56" t="s">
        <v>1880</v>
      </c>
    </row>
    <row r="67" spans="2:7" ht="38.25">
      <c r="C67" s="56" t="s">
        <v>1881</v>
      </c>
    </row>
    <row r="68" spans="2:7">
      <c r="C68" s="22" t="s">
        <v>1882</v>
      </c>
    </row>
    <row r="69" spans="2:7" ht="127.5">
      <c r="C69" s="56" t="s">
        <v>1883</v>
      </c>
    </row>
    <row r="70" spans="2:7">
      <c r="C70" s="56" t="s">
        <v>1884</v>
      </c>
    </row>
    <row r="71" spans="2:7">
      <c r="C71" s="56" t="s">
        <v>1885</v>
      </c>
    </row>
    <row r="72" spans="2:7">
      <c r="C72" s="56" t="s">
        <v>1886</v>
      </c>
    </row>
    <row r="73" spans="2:7">
      <c r="C73" s="56" t="s">
        <v>1887</v>
      </c>
    </row>
    <row r="74" spans="2:7">
      <c r="C74" s="98" t="s">
        <v>116</v>
      </c>
      <c r="D74" s="1" t="s">
        <v>110</v>
      </c>
      <c r="E74" s="42">
        <v>144</v>
      </c>
      <c r="G74" s="306">
        <f>E74*F74</f>
        <v>0</v>
      </c>
    </row>
    <row r="76" spans="2:7" ht="76.5">
      <c r="B76" s="41" t="s">
        <v>18</v>
      </c>
      <c r="C76" s="56" t="s">
        <v>1888</v>
      </c>
    </row>
    <row r="77" spans="2:7" ht="25.5">
      <c r="C77" s="56" t="s">
        <v>1879</v>
      </c>
    </row>
    <row r="78" spans="2:7">
      <c r="C78" s="56" t="s">
        <v>1880</v>
      </c>
    </row>
    <row r="79" spans="2:7" ht="38.25">
      <c r="C79" s="56" t="s">
        <v>1881</v>
      </c>
    </row>
    <row r="80" spans="2:7">
      <c r="C80" s="56" t="s">
        <v>1882</v>
      </c>
    </row>
    <row r="81" spans="2:7" ht="140.25">
      <c r="C81" s="56" t="s">
        <v>1889</v>
      </c>
    </row>
    <row r="82" spans="2:7">
      <c r="C82" s="56" t="s">
        <v>1884</v>
      </c>
    </row>
    <row r="83" spans="2:7">
      <c r="C83" s="56" t="s">
        <v>1885</v>
      </c>
    </row>
    <row r="84" spans="2:7">
      <c r="C84" s="56" t="s">
        <v>1890</v>
      </c>
    </row>
    <row r="85" spans="2:7">
      <c r="C85" s="56" t="s">
        <v>1887</v>
      </c>
    </row>
    <row r="86" spans="2:7">
      <c r="C86" s="56" t="s">
        <v>1891</v>
      </c>
    </row>
    <row r="87" spans="2:7">
      <c r="C87" s="56" t="s">
        <v>1892</v>
      </c>
    </row>
    <row r="88" spans="2:7">
      <c r="C88" s="98" t="s">
        <v>1571</v>
      </c>
      <c r="D88" s="1" t="s">
        <v>110</v>
      </c>
      <c r="E88" s="42">
        <v>4</v>
      </c>
      <c r="G88" s="306">
        <f>E88*F88</f>
        <v>0</v>
      </c>
    </row>
    <row r="90" spans="2:7" ht="127.5">
      <c r="B90" s="41" t="s">
        <v>19</v>
      </c>
      <c r="C90" s="21" t="s">
        <v>1893</v>
      </c>
    </row>
    <row r="91" spans="2:7" ht="25.5">
      <c r="C91" s="56" t="s">
        <v>1894</v>
      </c>
    </row>
    <row r="92" spans="2:7">
      <c r="C92" s="56" t="s">
        <v>1895</v>
      </c>
    </row>
    <row r="93" spans="2:7" ht="25.5">
      <c r="C93" s="56" t="s">
        <v>1896</v>
      </c>
    </row>
    <row r="94" spans="2:7">
      <c r="C94" s="56" t="s">
        <v>1897</v>
      </c>
    </row>
    <row r="95" spans="2:7">
      <c r="C95" s="56" t="s">
        <v>1898</v>
      </c>
    </row>
    <row r="96" spans="2:7" ht="25.5">
      <c r="C96" s="56" t="s">
        <v>1899</v>
      </c>
    </row>
    <row r="97" spans="2:7">
      <c r="C97" s="56" t="s">
        <v>1897</v>
      </c>
    </row>
    <row r="98" spans="2:7">
      <c r="C98" s="56" t="s">
        <v>1898</v>
      </c>
    </row>
    <row r="99" spans="2:7" ht="25.5">
      <c r="C99" s="56" t="s">
        <v>1899</v>
      </c>
    </row>
    <row r="100" spans="2:7">
      <c r="C100" s="56" t="s">
        <v>1900</v>
      </c>
    </row>
    <row r="101" spans="2:7">
      <c r="C101" s="56" t="s">
        <v>1901</v>
      </c>
    </row>
    <row r="102" spans="2:7" ht="25.5">
      <c r="C102" s="56" t="s">
        <v>1902</v>
      </c>
    </row>
    <row r="103" spans="2:7">
      <c r="C103" s="56" t="s">
        <v>1903</v>
      </c>
    </row>
    <row r="104" spans="2:7">
      <c r="C104" s="56" t="s">
        <v>1904</v>
      </c>
    </row>
    <row r="105" spans="2:7">
      <c r="C105" s="56" t="s">
        <v>1905</v>
      </c>
    </row>
    <row r="106" spans="2:7">
      <c r="C106" s="56" t="s">
        <v>1906</v>
      </c>
    </row>
    <row r="107" spans="2:7">
      <c r="C107" s="56" t="s">
        <v>1907</v>
      </c>
    </row>
    <row r="108" spans="2:7">
      <c r="C108" s="56" t="s">
        <v>1908</v>
      </c>
    </row>
    <row r="109" spans="2:7">
      <c r="C109" s="56" t="s">
        <v>1909</v>
      </c>
      <c r="D109" s="1" t="s">
        <v>115</v>
      </c>
      <c r="E109" s="42">
        <v>4</v>
      </c>
      <c r="G109" s="306">
        <f>E109*F109</f>
        <v>0</v>
      </c>
    </row>
    <row r="111" spans="2:7" ht="63.75">
      <c r="B111" s="41" t="s">
        <v>20</v>
      </c>
      <c r="C111" s="56" t="s">
        <v>1910</v>
      </c>
    </row>
    <row r="112" spans="2:7" ht="25.5">
      <c r="C112" s="56" t="s">
        <v>1879</v>
      </c>
    </row>
    <row r="113" spans="3:7" ht="51">
      <c r="C113" s="56" t="s">
        <v>1911</v>
      </c>
    </row>
    <row r="114" spans="3:7">
      <c r="C114" s="56" t="s">
        <v>1912</v>
      </c>
    </row>
    <row r="115" spans="3:7" ht="25.5">
      <c r="C115" s="56" t="s">
        <v>1913</v>
      </c>
    </row>
    <row r="116" spans="3:7">
      <c r="C116" s="56" t="s">
        <v>1914</v>
      </c>
    </row>
    <row r="117" spans="3:7">
      <c r="C117" s="56" t="s">
        <v>1915</v>
      </c>
    </row>
    <row r="118" spans="3:7">
      <c r="C118" s="56" t="s">
        <v>1916</v>
      </c>
    </row>
    <row r="119" spans="3:7" ht="25.5">
      <c r="C119" s="56" t="s">
        <v>1917</v>
      </c>
    </row>
    <row r="120" spans="3:7">
      <c r="C120" s="56" t="s">
        <v>1918</v>
      </c>
    </row>
    <row r="121" spans="3:7">
      <c r="C121" s="56" t="s">
        <v>1919</v>
      </c>
    </row>
    <row r="122" spans="3:7">
      <c r="C122" s="56" t="s">
        <v>1920</v>
      </c>
    </row>
    <row r="123" spans="3:7">
      <c r="C123" s="56" t="s">
        <v>1921</v>
      </c>
    </row>
    <row r="124" spans="3:7">
      <c r="C124" s="56" t="s">
        <v>1922</v>
      </c>
    </row>
    <row r="125" spans="3:7">
      <c r="C125" s="56" t="s">
        <v>1923</v>
      </c>
    </row>
    <row r="126" spans="3:7">
      <c r="C126" s="56" t="s">
        <v>1924</v>
      </c>
    </row>
    <row r="127" spans="3:7">
      <c r="C127" s="56" t="s">
        <v>116</v>
      </c>
      <c r="D127" s="1" t="s">
        <v>110</v>
      </c>
      <c r="E127" s="42">
        <v>1</v>
      </c>
      <c r="G127" s="306">
        <f>E127*F127</f>
        <v>0</v>
      </c>
    </row>
    <row r="129" spans="2:7" ht="76.5">
      <c r="B129" s="41" t="s">
        <v>21</v>
      </c>
      <c r="C129" s="21" t="s">
        <v>1925</v>
      </c>
    </row>
    <row r="130" spans="2:7">
      <c r="C130" s="56" t="s">
        <v>1926</v>
      </c>
    </row>
    <row r="131" spans="2:7">
      <c r="C131" s="56" t="s">
        <v>1927</v>
      </c>
    </row>
    <row r="132" spans="2:7">
      <c r="C132" s="56" t="s">
        <v>1928</v>
      </c>
    </row>
    <row r="133" spans="2:7">
      <c r="C133" s="56" t="s">
        <v>1929</v>
      </c>
    </row>
    <row r="134" spans="2:7">
      <c r="C134" s="56" t="s">
        <v>1930</v>
      </c>
    </row>
    <row r="135" spans="2:7">
      <c r="C135" s="56" t="s">
        <v>1931</v>
      </c>
    </row>
    <row r="136" spans="2:7">
      <c r="C136" s="56" t="s">
        <v>116</v>
      </c>
      <c r="D136" s="1" t="s">
        <v>110</v>
      </c>
      <c r="E136" s="42">
        <v>152</v>
      </c>
      <c r="G136" s="306">
        <f>E136*F136</f>
        <v>0</v>
      </c>
    </row>
    <row r="138" spans="2:7" ht="76.5">
      <c r="B138" s="41" t="s">
        <v>60</v>
      </c>
      <c r="C138" s="56" t="s">
        <v>1932</v>
      </c>
    </row>
    <row r="139" spans="2:7">
      <c r="C139" s="56" t="s">
        <v>1933</v>
      </c>
    </row>
    <row r="140" spans="2:7">
      <c r="C140" s="56" t="s">
        <v>1934</v>
      </c>
    </row>
    <row r="141" spans="2:7">
      <c r="C141" s="56" t="s">
        <v>1935</v>
      </c>
    </row>
    <row r="142" spans="2:7">
      <c r="C142" s="56" t="s">
        <v>1936</v>
      </c>
    </row>
    <row r="143" spans="2:7">
      <c r="C143" s="56" t="s">
        <v>1931</v>
      </c>
    </row>
    <row r="144" spans="2:7">
      <c r="C144" s="56" t="s">
        <v>116</v>
      </c>
      <c r="D144" s="1" t="s">
        <v>110</v>
      </c>
      <c r="E144" s="42">
        <v>148</v>
      </c>
      <c r="G144" s="306">
        <f>E144*F144</f>
        <v>0</v>
      </c>
    </row>
    <row r="146" spans="2:7" ht="51">
      <c r="B146" s="41" t="s">
        <v>78</v>
      </c>
      <c r="C146" s="56" t="s">
        <v>1937</v>
      </c>
    </row>
    <row r="147" spans="2:7">
      <c r="C147" s="56" t="s">
        <v>1938</v>
      </c>
    </row>
    <row r="148" spans="2:7">
      <c r="C148" s="56" t="s">
        <v>1939</v>
      </c>
      <c r="D148" s="1" t="s">
        <v>129</v>
      </c>
      <c r="E148" s="42">
        <v>7400</v>
      </c>
      <c r="G148" s="306">
        <f t="shared" ref="G148:G151" si="0">E148*F148</f>
        <v>0</v>
      </c>
    </row>
    <row r="149" spans="2:7">
      <c r="D149" s="1" t="s">
        <v>129</v>
      </c>
      <c r="E149" s="42">
        <v>7400</v>
      </c>
      <c r="G149" s="306">
        <f t="shared" si="0"/>
        <v>0</v>
      </c>
    </row>
    <row r="150" spans="2:7">
      <c r="B150" s="41" t="s">
        <v>165</v>
      </c>
      <c r="C150" s="56" t="s">
        <v>1940</v>
      </c>
    </row>
    <row r="151" spans="2:7">
      <c r="C151" s="56" t="s">
        <v>1941</v>
      </c>
      <c r="D151" s="1" t="s">
        <v>129</v>
      </c>
      <c r="E151" s="42">
        <v>7400</v>
      </c>
      <c r="G151" s="306">
        <f t="shared" si="0"/>
        <v>0</v>
      </c>
    </row>
    <row r="153" spans="2:7">
      <c r="B153" s="41" t="s">
        <v>205</v>
      </c>
      <c r="C153" s="56" t="s">
        <v>1942</v>
      </c>
    </row>
    <row r="154" spans="2:7">
      <c r="C154" s="56" t="s">
        <v>1943</v>
      </c>
      <c r="D154" s="1" t="s">
        <v>129</v>
      </c>
      <c r="E154" s="42">
        <v>7400</v>
      </c>
      <c r="G154" s="306">
        <f t="shared" ref="G154" si="1">E154*F154</f>
        <v>0</v>
      </c>
    </row>
    <row r="156" spans="2:7" ht="51">
      <c r="B156" s="41" t="s">
        <v>206</v>
      </c>
      <c r="C156" s="56" t="s">
        <v>1944</v>
      </c>
    </row>
    <row r="157" spans="2:7" ht="38.25">
      <c r="C157" s="56" t="s">
        <v>1945</v>
      </c>
    </row>
    <row r="158" spans="2:7">
      <c r="C158" s="56" t="s">
        <v>1946</v>
      </c>
      <c r="D158" s="1" t="s">
        <v>129</v>
      </c>
      <c r="E158" s="42">
        <v>460</v>
      </c>
      <c r="G158" s="306">
        <f t="shared" ref="G158:G159" si="2">E158*F158</f>
        <v>0</v>
      </c>
    </row>
    <row r="159" spans="2:7">
      <c r="C159" s="56" t="s">
        <v>1947</v>
      </c>
      <c r="D159" s="1" t="s">
        <v>129</v>
      </c>
      <c r="E159" s="42">
        <v>3900</v>
      </c>
      <c r="G159" s="306">
        <f t="shared" si="2"/>
        <v>0</v>
      </c>
    </row>
    <row r="161" spans="1:7" ht="25.5">
      <c r="B161" s="41" t="s">
        <v>233</v>
      </c>
      <c r="C161" s="56" t="s">
        <v>1948</v>
      </c>
    </row>
    <row r="162" spans="1:7">
      <c r="C162" s="56" t="s">
        <v>116</v>
      </c>
      <c r="D162" s="1" t="s">
        <v>110</v>
      </c>
      <c r="E162" s="42">
        <v>153</v>
      </c>
      <c r="G162" s="306">
        <f>E162*F162</f>
        <v>0</v>
      </c>
    </row>
    <row r="164" spans="1:7" ht="25.5">
      <c r="B164" s="41" t="s">
        <v>245</v>
      </c>
      <c r="C164" s="56" t="s">
        <v>1949</v>
      </c>
    </row>
    <row r="165" spans="1:7">
      <c r="C165" s="56" t="s">
        <v>1950</v>
      </c>
      <c r="D165" s="1" t="s">
        <v>114</v>
      </c>
      <c r="E165" s="42">
        <v>40</v>
      </c>
      <c r="G165" s="306">
        <f>E165*F165</f>
        <v>0</v>
      </c>
    </row>
    <row r="167" spans="1:7" ht="25.5">
      <c r="B167" s="41" t="s">
        <v>250</v>
      </c>
      <c r="C167" s="56" t="s">
        <v>1951</v>
      </c>
    </row>
    <row r="168" spans="1:7">
      <c r="C168" s="56" t="s">
        <v>116</v>
      </c>
      <c r="D168" s="1" t="s">
        <v>110</v>
      </c>
      <c r="E168" s="42">
        <v>153</v>
      </c>
      <c r="G168" s="306">
        <f>E168*F168</f>
        <v>0</v>
      </c>
    </row>
    <row r="169" spans="1:7" ht="13.5" thickBot="1"/>
    <row r="170" spans="1:7" ht="42.75" thickBot="1">
      <c r="A170" s="49" t="s">
        <v>9</v>
      </c>
      <c r="B170" s="50"/>
      <c r="C170" s="51" t="s">
        <v>1952</v>
      </c>
      <c r="D170" s="52"/>
      <c r="E170" s="53"/>
      <c r="F170" s="348"/>
      <c r="G170" s="307">
        <f>SUM(G63:G169)</f>
        <v>0</v>
      </c>
    </row>
    <row r="176" spans="1:7" ht="42">
      <c r="A176" s="34" t="s">
        <v>18</v>
      </c>
      <c r="B176" s="35"/>
      <c r="C176" s="269" t="s">
        <v>1953</v>
      </c>
      <c r="D176" s="37"/>
      <c r="E176" s="38"/>
      <c r="F176" s="451"/>
      <c r="G176" s="452"/>
    </row>
    <row r="178" spans="2:7" ht="51">
      <c r="B178" s="41" t="s">
        <v>9</v>
      </c>
      <c r="C178" s="56" t="s">
        <v>1954</v>
      </c>
    </row>
    <row r="179" spans="2:7">
      <c r="C179" s="56" t="s">
        <v>1882</v>
      </c>
    </row>
    <row r="180" spans="2:7" ht="76.5">
      <c r="C180" s="56" t="s">
        <v>1955</v>
      </c>
    </row>
    <row r="181" spans="2:7">
      <c r="C181" s="56" t="s">
        <v>1956</v>
      </c>
    </row>
    <row r="182" spans="2:7">
      <c r="C182" s="56" t="s">
        <v>1957</v>
      </c>
    </row>
    <row r="183" spans="2:7">
      <c r="C183" s="56" t="s">
        <v>1958</v>
      </c>
    </row>
    <row r="184" spans="2:7">
      <c r="C184" s="270" t="s">
        <v>1959</v>
      </c>
    </row>
    <row r="185" spans="2:7">
      <c r="C185" s="98" t="s">
        <v>116</v>
      </c>
      <c r="D185" s="1" t="s">
        <v>110</v>
      </c>
      <c r="E185" s="42">
        <v>157</v>
      </c>
      <c r="G185" s="306">
        <f>E185*F185</f>
        <v>0</v>
      </c>
    </row>
    <row r="187" spans="2:7" ht="89.25">
      <c r="B187" s="41" t="s">
        <v>18</v>
      </c>
      <c r="C187" s="56" t="s">
        <v>1960</v>
      </c>
    </row>
    <row r="188" spans="2:7">
      <c r="C188" s="56" t="s">
        <v>1961</v>
      </c>
      <c r="D188" s="1" t="s">
        <v>129</v>
      </c>
      <c r="E188" s="42">
        <v>1200</v>
      </c>
      <c r="G188" s="306">
        <f t="shared" ref="G188:G189" si="3">E188*F188</f>
        <v>0</v>
      </c>
    </row>
    <row r="189" spans="2:7">
      <c r="C189" s="56" t="s">
        <v>1962</v>
      </c>
      <c r="D189" s="1" t="s">
        <v>129</v>
      </c>
      <c r="E189" s="42">
        <v>1300</v>
      </c>
      <c r="G189" s="306">
        <f t="shared" si="3"/>
        <v>0</v>
      </c>
    </row>
    <row r="191" spans="2:7">
      <c r="B191" s="41" t="s">
        <v>19</v>
      </c>
      <c r="C191" s="56" t="s">
        <v>1963</v>
      </c>
    </row>
    <row r="192" spans="2:7">
      <c r="C192" s="56" t="s">
        <v>1961</v>
      </c>
      <c r="D192" s="1" t="s">
        <v>129</v>
      </c>
      <c r="E192" s="42">
        <v>157</v>
      </c>
      <c r="G192" s="306">
        <f t="shared" ref="G192:G193" si="4">E192*F192</f>
        <v>0</v>
      </c>
    </row>
    <row r="193" spans="1:7">
      <c r="C193" s="56" t="s">
        <v>1962</v>
      </c>
      <c r="D193" s="1" t="s">
        <v>129</v>
      </c>
      <c r="E193" s="42">
        <v>195</v>
      </c>
      <c r="G193" s="306">
        <f t="shared" si="4"/>
        <v>0</v>
      </c>
    </row>
    <row r="195" spans="1:7" ht="25.5">
      <c r="B195" s="41" t="s">
        <v>20</v>
      </c>
      <c r="C195" s="56" t="s">
        <v>1964</v>
      </c>
    </row>
    <row r="196" spans="1:7">
      <c r="C196" s="56" t="s">
        <v>1909</v>
      </c>
      <c r="D196" s="1" t="s">
        <v>115</v>
      </c>
      <c r="E196" s="42">
        <v>1</v>
      </c>
      <c r="G196" s="306">
        <f>E196*F196</f>
        <v>0</v>
      </c>
    </row>
    <row r="197" spans="1:7" ht="13.5" thickBot="1"/>
    <row r="198" spans="1:7" ht="42.75" thickBot="1">
      <c r="A198" s="49" t="s">
        <v>18</v>
      </c>
      <c r="B198" s="50"/>
      <c r="C198" s="51" t="s">
        <v>1965</v>
      </c>
      <c r="D198" s="52"/>
      <c r="E198" s="53"/>
      <c r="F198" s="348"/>
      <c r="G198" s="307">
        <f>SUM(G178:G197)</f>
        <v>0</v>
      </c>
    </row>
    <row r="201" spans="1:7" ht="21">
      <c r="A201" s="34" t="s">
        <v>19</v>
      </c>
      <c r="B201" s="35"/>
      <c r="C201" s="269" t="s">
        <v>1966</v>
      </c>
      <c r="D201" s="37"/>
      <c r="E201" s="38"/>
      <c r="F201" s="451"/>
      <c r="G201" s="452"/>
    </row>
    <row r="203" spans="1:7" ht="38.25">
      <c r="B203" s="41" t="s">
        <v>9</v>
      </c>
      <c r="C203" s="56" t="s">
        <v>1967</v>
      </c>
    </row>
    <row r="204" spans="1:7">
      <c r="C204" s="56" t="s">
        <v>1968</v>
      </c>
    </row>
    <row r="205" spans="1:7" ht="63.75">
      <c r="C205" s="56" t="s">
        <v>1969</v>
      </c>
    </row>
    <row r="206" spans="1:7">
      <c r="C206" s="56" t="s">
        <v>1970</v>
      </c>
    </row>
    <row r="207" spans="1:7">
      <c r="C207" s="56" t="s">
        <v>1971</v>
      </c>
    </row>
    <row r="208" spans="1:7">
      <c r="C208" s="56" t="s">
        <v>1972</v>
      </c>
    </row>
    <row r="209" spans="2:7">
      <c r="C209" s="56" t="s">
        <v>1973</v>
      </c>
    </row>
    <row r="210" spans="2:7">
      <c r="C210" s="56" t="s">
        <v>1974</v>
      </c>
    </row>
    <row r="211" spans="2:7">
      <c r="C211" s="56" t="s">
        <v>1975</v>
      </c>
    </row>
    <row r="212" spans="2:7">
      <c r="C212" s="98" t="s">
        <v>1909</v>
      </c>
      <c r="D212" s="1" t="s">
        <v>115</v>
      </c>
      <c r="E212" s="42">
        <v>2</v>
      </c>
      <c r="G212" s="306">
        <f>E212*F212</f>
        <v>0</v>
      </c>
    </row>
    <row r="214" spans="2:7" ht="63.75">
      <c r="B214" s="41" t="s">
        <v>18</v>
      </c>
      <c r="C214" s="56" t="s">
        <v>1976</v>
      </c>
    </row>
    <row r="215" spans="2:7" ht="102">
      <c r="C215" s="56" t="s">
        <v>1977</v>
      </c>
    </row>
    <row r="216" spans="2:7">
      <c r="C216" s="56" t="s">
        <v>1978</v>
      </c>
    </row>
    <row r="217" spans="2:7">
      <c r="C217" s="98" t="s">
        <v>1909</v>
      </c>
      <c r="D217" s="1" t="s">
        <v>115</v>
      </c>
      <c r="E217" s="42">
        <v>4</v>
      </c>
      <c r="G217" s="306">
        <f>E217*F217</f>
        <v>0</v>
      </c>
    </row>
    <row r="219" spans="2:7" ht="102">
      <c r="B219" s="41" t="s">
        <v>19</v>
      </c>
      <c r="C219" s="56" t="s">
        <v>1979</v>
      </c>
    </row>
    <row r="220" spans="2:7" ht="114.75">
      <c r="C220" s="56" t="s">
        <v>1980</v>
      </c>
    </row>
    <row r="221" spans="2:7">
      <c r="C221" s="56" t="s">
        <v>1981</v>
      </c>
    </row>
    <row r="222" spans="2:7">
      <c r="C222" s="56" t="s">
        <v>1982</v>
      </c>
    </row>
    <row r="223" spans="2:7">
      <c r="C223" s="56" t="s">
        <v>1983</v>
      </c>
    </row>
    <row r="224" spans="2:7">
      <c r="C224" s="56" t="s">
        <v>1984</v>
      </c>
    </row>
    <row r="225" spans="2:7">
      <c r="C225" s="98" t="s">
        <v>1909</v>
      </c>
      <c r="D225" s="1" t="s">
        <v>115</v>
      </c>
      <c r="E225" s="42">
        <v>10</v>
      </c>
      <c r="G225" s="306">
        <f>E225*F225</f>
        <v>0</v>
      </c>
    </row>
    <row r="227" spans="2:7" ht="51">
      <c r="B227" s="41" t="s">
        <v>20</v>
      </c>
      <c r="C227" s="56" t="s">
        <v>1985</v>
      </c>
    </row>
    <row r="228" spans="2:7" ht="89.25">
      <c r="C228" s="56" t="s">
        <v>1986</v>
      </c>
    </row>
    <row r="229" spans="2:7">
      <c r="C229" s="56" t="s">
        <v>1987</v>
      </c>
    </row>
    <row r="230" spans="2:7">
      <c r="C230" s="56" t="s">
        <v>1988</v>
      </c>
    </row>
    <row r="231" spans="2:7">
      <c r="C231" s="98" t="s">
        <v>116</v>
      </c>
      <c r="D231" s="1" t="s">
        <v>110</v>
      </c>
      <c r="E231" s="42">
        <v>4</v>
      </c>
      <c r="G231" s="306">
        <f>E231*F231</f>
        <v>0</v>
      </c>
    </row>
    <row r="233" spans="2:7" ht="63.75">
      <c r="B233" s="41" t="s">
        <v>21</v>
      </c>
      <c r="C233" s="56" t="s">
        <v>1989</v>
      </c>
    </row>
    <row r="234" spans="2:7">
      <c r="C234" s="56" t="s">
        <v>1990</v>
      </c>
      <c r="D234" s="1" t="s">
        <v>110</v>
      </c>
      <c r="E234" s="42">
        <v>4</v>
      </c>
      <c r="G234" s="306">
        <f>E234*F234</f>
        <v>0</v>
      </c>
    </row>
    <row r="236" spans="2:7" ht="51">
      <c r="B236" s="41" t="s">
        <v>60</v>
      </c>
      <c r="C236" s="21" t="s">
        <v>1991</v>
      </c>
    </row>
    <row r="237" spans="2:7" ht="25.5">
      <c r="C237" s="56" t="s">
        <v>1992</v>
      </c>
    </row>
    <row r="238" spans="2:7">
      <c r="C238" s="56" t="s">
        <v>1993</v>
      </c>
    </row>
    <row r="239" spans="2:7" ht="25.5">
      <c r="C239" s="56" t="s">
        <v>1994</v>
      </c>
    </row>
    <row r="240" spans="2:7">
      <c r="C240" s="56" t="s">
        <v>1995</v>
      </c>
    </row>
    <row r="241" spans="1:7">
      <c r="C241" s="56" t="s">
        <v>1996</v>
      </c>
    </row>
    <row r="242" spans="1:7">
      <c r="C242" s="56" t="s">
        <v>1997</v>
      </c>
      <c r="D242" s="1" t="s">
        <v>110</v>
      </c>
      <c r="E242" s="42">
        <v>16</v>
      </c>
      <c r="G242" s="306">
        <f>E242*F242</f>
        <v>0</v>
      </c>
    </row>
    <row r="244" spans="1:7" ht="76.5">
      <c r="B244" s="41" t="s">
        <v>78</v>
      </c>
      <c r="C244" s="56" t="s">
        <v>1998</v>
      </c>
    </row>
    <row r="245" spans="1:7">
      <c r="C245" s="56" t="s">
        <v>1999</v>
      </c>
      <c r="D245" s="1" t="s">
        <v>110</v>
      </c>
      <c r="E245" s="42">
        <v>10</v>
      </c>
      <c r="G245" s="306">
        <f t="shared" ref="G245:G246" si="5">E245*F245</f>
        <v>0</v>
      </c>
    </row>
    <row r="246" spans="1:7">
      <c r="C246" s="56" t="s">
        <v>1962</v>
      </c>
      <c r="D246" s="1" t="s">
        <v>110</v>
      </c>
      <c r="E246" s="42">
        <v>20</v>
      </c>
      <c r="G246" s="306">
        <f t="shared" si="5"/>
        <v>0</v>
      </c>
    </row>
    <row r="248" spans="1:7">
      <c r="B248" s="41" t="s">
        <v>165</v>
      </c>
      <c r="C248" s="56" t="s">
        <v>2000</v>
      </c>
    </row>
    <row r="249" spans="1:7">
      <c r="C249" s="56" t="s">
        <v>1999</v>
      </c>
      <c r="D249" s="1" t="s">
        <v>110</v>
      </c>
      <c r="E249" s="42">
        <v>4</v>
      </c>
      <c r="G249" s="306">
        <f t="shared" ref="G249" si="6">E249*F249</f>
        <v>0</v>
      </c>
    </row>
    <row r="251" spans="1:7">
      <c r="B251" s="41" t="s">
        <v>205</v>
      </c>
      <c r="C251" s="21" t="s">
        <v>2001</v>
      </c>
    </row>
    <row r="252" spans="1:7">
      <c r="C252" s="98" t="s">
        <v>1909</v>
      </c>
      <c r="D252" s="1" t="s">
        <v>115</v>
      </c>
      <c r="E252" s="42">
        <v>1</v>
      </c>
      <c r="G252" s="306">
        <f>E252*F252</f>
        <v>0</v>
      </c>
    </row>
    <row r="253" spans="1:7" ht="13.5" thickBot="1"/>
    <row r="254" spans="1:7" ht="21.75" thickBot="1">
      <c r="A254" s="49" t="s">
        <v>19</v>
      </c>
      <c r="B254" s="50"/>
      <c r="C254" s="51" t="s">
        <v>2002</v>
      </c>
      <c r="D254" s="52"/>
      <c r="E254" s="53"/>
      <c r="F254" s="348"/>
      <c r="G254" s="307">
        <f>SUM(G203:G253)</f>
        <v>0</v>
      </c>
    </row>
    <row r="257" spans="1:7" ht="21">
      <c r="A257" s="34" t="s">
        <v>20</v>
      </c>
      <c r="B257" s="35"/>
      <c r="C257" s="269" t="s">
        <v>2003</v>
      </c>
      <c r="D257" s="37"/>
      <c r="E257" s="38"/>
      <c r="F257" s="451"/>
      <c r="G257" s="452"/>
    </row>
    <row r="259" spans="1:7" ht="63.75">
      <c r="B259" s="41" t="s">
        <v>9</v>
      </c>
      <c r="C259" s="56" t="s">
        <v>2004</v>
      </c>
    </row>
    <row r="260" spans="1:7">
      <c r="C260" s="56" t="s">
        <v>2005</v>
      </c>
      <c r="D260" s="1" t="s">
        <v>110</v>
      </c>
      <c r="E260" s="42">
        <v>136</v>
      </c>
      <c r="G260" s="306">
        <f t="shared" ref="G260:G262" si="7">E260*F260</f>
        <v>0</v>
      </c>
    </row>
    <row r="261" spans="1:7">
      <c r="C261" s="56" t="s">
        <v>2006</v>
      </c>
      <c r="D261" s="1" t="s">
        <v>110</v>
      </c>
      <c r="E261" s="42">
        <v>36</v>
      </c>
      <c r="G261" s="306">
        <f t="shared" si="7"/>
        <v>0</v>
      </c>
    </row>
    <row r="262" spans="1:7">
      <c r="C262" s="56" t="s">
        <v>2007</v>
      </c>
      <c r="D262" s="1" t="s">
        <v>110</v>
      </c>
      <c r="E262" s="42">
        <v>148</v>
      </c>
      <c r="G262" s="306">
        <f t="shared" si="7"/>
        <v>0</v>
      </c>
    </row>
    <row r="264" spans="1:7" ht="38.25">
      <c r="B264" s="41" t="s">
        <v>18</v>
      </c>
      <c r="C264" s="56" t="s">
        <v>2008</v>
      </c>
    </row>
    <row r="265" spans="1:7" ht="25.5">
      <c r="C265" s="56" t="s">
        <v>2009</v>
      </c>
    </row>
    <row r="266" spans="1:7">
      <c r="C266" s="56" t="s">
        <v>2010</v>
      </c>
    </row>
    <row r="267" spans="1:7">
      <c r="C267" s="56" t="s">
        <v>2011</v>
      </c>
    </row>
    <row r="268" spans="1:7">
      <c r="C268" s="56" t="s">
        <v>2012</v>
      </c>
    </row>
    <row r="269" spans="1:7" ht="25.5">
      <c r="C269" s="56" t="s">
        <v>2013</v>
      </c>
    </row>
    <row r="270" spans="1:7">
      <c r="C270" s="98" t="s">
        <v>116</v>
      </c>
      <c r="D270" s="1" t="s">
        <v>110</v>
      </c>
      <c r="E270" s="42">
        <v>152</v>
      </c>
      <c r="G270" s="306">
        <f>E270*F270</f>
        <v>0</v>
      </c>
    </row>
    <row r="272" spans="1:7" ht="318.75">
      <c r="B272" s="41" t="s">
        <v>19</v>
      </c>
      <c r="C272" t="s">
        <v>2014</v>
      </c>
    </row>
    <row r="273" spans="2:7">
      <c r="C273" t="s">
        <v>116</v>
      </c>
      <c r="D273" s="1" t="s">
        <v>110</v>
      </c>
      <c r="E273" s="42">
        <v>4</v>
      </c>
      <c r="G273" s="306">
        <f>E273*F273</f>
        <v>0</v>
      </c>
    </row>
    <row r="275" spans="2:7" ht="318.75">
      <c r="B275" s="41" t="s">
        <v>20</v>
      </c>
      <c r="C275" t="s">
        <v>2015</v>
      </c>
    </row>
    <row r="276" spans="2:7">
      <c r="C276" s="98" t="s">
        <v>116</v>
      </c>
      <c r="D276" s="1" t="s">
        <v>110</v>
      </c>
      <c r="E276" s="42">
        <v>132</v>
      </c>
      <c r="G276" s="306">
        <f>E276*F276</f>
        <v>0</v>
      </c>
    </row>
    <row r="278" spans="2:7" ht="318.75">
      <c r="B278" s="41" t="s">
        <v>21</v>
      </c>
      <c r="C278" s="56" t="s">
        <v>2016</v>
      </c>
    </row>
    <row r="279" spans="2:7">
      <c r="C279" s="98" t="s">
        <v>116</v>
      </c>
      <c r="D279" s="1" t="s">
        <v>110</v>
      </c>
      <c r="E279" s="42">
        <v>12</v>
      </c>
      <c r="G279" s="306">
        <f>E279*F279</f>
        <v>0</v>
      </c>
    </row>
    <row r="281" spans="2:7" ht="89.25">
      <c r="B281" s="41" t="s">
        <v>60</v>
      </c>
      <c r="C281" s="21" t="s">
        <v>2017</v>
      </c>
    </row>
    <row r="282" spans="2:7" ht="229.5">
      <c r="C282" s="56" t="s">
        <v>2018</v>
      </c>
    </row>
    <row r="283" spans="2:7">
      <c r="C283" s="98" t="s">
        <v>116</v>
      </c>
      <c r="D283" s="1" t="s">
        <v>110</v>
      </c>
      <c r="E283" s="42">
        <v>4</v>
      </c>
      <c r="G283" s="306">
        <f>E283*F283</f>
        <v>0</v>
      </c>
    </row>
    <row r="285" spans="2:7" ht="25.5">
      <c r="B285" s="41" t="s">
        <v>78</v>
      </c>
      <c r="C285" s="56" t="s">
        <v>2019</v>
      </c>
    </row>
    <row r="286" spans="2:7" ht="191.25">
      <c r="C286" s="21" t="s">
        <v>2020</v>
      </c>
    </row>
    <row r="287" spans="2:7">
      <c r="C287" s="56" t="s">
        <v>2021</v>
      </c>
      <c r="D287" s="1" t="s">
        <v>110</v>
      </c>
      <c r="E287" s="42">
        <v>459</v>
      </c>
      <c r="G287" s="306">
        <f>E287*F287</f>
        <v>0</v>
      </c>
    </row>
    <row r="289" spans="2:7" ht="191.25">
      <c r="B289" s="41" t="s">
        <v>165</v>
      </c>
      <c r="C289" s="56" t="s">
        <v>2022</v>
      </c>
    </row>
    <row r="290" spans="2:7">
      <c r="C290" s="98" t="s">
        <v>116</v>
      </c>
      <c r="D290" s="1" t="s">
        <v>110</v>
      </c>
      <c r="E290" s="42">
        <v>153</v>
      </c>
      <c r="G290" s="306">
        <f>E290*F290</f>
        <v>0</v>
      </c>
    </row>
    <row r="292" spans="2:7" ht="89.25">
      <c r="B292" s="41" t="s">
        <v>205</v>
      </c>
      <c r="C292" s="56" t="s">
        <v>2023</v>
      </c>
    </row>
    <row r="293" spans="2:7">
      <c r="C293" s="56" t="s">
        <v>2024</v>
      </c>
      <c r="D293" s="1" t="s">
        <v>110</v>
      </c>
      <c r="E293" s="42">
        <v>320</v>
      </c>
      <c r="G293" s="306">
        <f>E293*F293</f>
        <v>0</v>
      </c>
    </row>
    <row r="295" spans="2:7" ht="25.5">
      <c r="B295" s="41" t="s">
        <v>206</v>
      </c>
      <c r="C295" s="56" t="s">
        <v>2025</v>
      </c>
    </row>
    <row r="296" spans="2:7">
      <c r="C296" s="56" t="s">
        <v>2026</v>
      </c>
      <c r="D296" s="1" t="s">
        <v>110</v>
      </c>
      <c r="E296" s="42">
        <v>320</v>
      </c>
      <c r="G296" s="306">
        <f>E296*F296</f>
        <v>0</v>
      </c>
    </row>
    <row r="298" spans="2:7">
      <c r="B298" s="41" t="s">
        <v>233</v>
      </c>
      <c r="C298" s="56" t="s">
        <v>2027</v>
      </c>
      <c r="D298" s="1" t="s">
        <v>110</v>
      </c>
      <c r="E298" s="42">
        <v>320</v>
      </c>
      <c r="G298" s="306">
        <f>E298*F298</f>
        <v>0</v>
      </c>
    </row>
    <row r="300" spans="2:7">
      <c r="B300" s="41" t="s">
        <v>245</v>
      </c>
      <c r="C300" s="56" t="s">
        <v>2028</v>
      </c>
      <c r="D300" s="1" t="s">
        <v>110</v>
      </c>
      <c r="E300" s="42">
        <v>320</v>
      </c>
      <c r="G300" s="306">
        <f>E300*F300</f>
        <v>0</v>
      </c>
    </row>
    <row r="302" spans="2:7" ht="38.25">
      <c r="B302" s="41" t="s">
        <v>250</v>
      </c>
      <c r="C302" s="56" t="s">
        <v>2029</v>
      </c>
    </row>
    <row r="303" spans="2:7">
      <c r="C303" s="98" t="s">
        <v>116</v>
      </c>
      <c r="D303" s="1" t="s">
        <v>110</v>
      </c>
      <c r="E303" s="42">
        <v>152</v>
      </c>
      <c r="G303" s="306">
        <f>E303*F303</f>
        <v>0</v>
      </c>
    </row>
    <row r="305" spans="2:7" ht="38.25">
      <c r="B305" s="41" t="s">
        <v>734</v>
      </c>
      <c r="C305" s="56" t="s">
        <v>2030</v>
      </c>
    </row>
    <row r="306" spans="2:7">
      <c r="C306" s="98" t="s">
        <v>116</v>
      </c>
      <c r="D306" s="1" t="s">
        <v>110</v>
      </c>
      <c r="E306" s="42">
        <v>472</v>
      </c>
      <c r="G306" s="306">
        <f>E306*F306</f>
        <v>0</v>
      </c>
    </row>
    <row r="308" spans="2:7" ht="63.75">
      <c r="B308" s="41" t="s">
        <v>1674</v>
      </c>
      <c r="C308" s="21" t="s">
        <v>2031</v>
      </c>
    </row>
    <row r="309" spans="2:7" ht="127.5">
      <c r="C309" s="21" t="s">
        <v>2032</v>
      </c>
    </row>
    <row r="310" spans="2:7" ht="25.5">
      <c r="C310" s="56" t="s">
        <v>2033</v>
      </c>
    </row>
    <row r="311" spans="2:7">
      <c r="C311" s="56" t="s">
        <v>2034</v>
      </c>
    </row>
    <row r="312" spans="2:7" ht="25.5">
      <c r="C312" s="56" t="s">
        <v>2035</v>
      </c>
    </row>
    <row r="313" spans="2:7" ht="89.25">
      <c r="C313" s="56" t="s">
        <v>2036</v>
      </c>
    </row>
    <row r="314" spans="2:7">
      <c r="C314" s="56" t="s">
        <v>2037</v>
      </c>
      <c r="D314" s="1" t="s">
        <v>129</v>
      </c>
      <c r="E314" s="42">
        <v>545</v>
      </c>
      <c r="G314" s="306">
        <f t="shared" ref="G314:G319" si="8">E314*F314</f>
        <v>0</v>
      </c>
    </row>
    <row r="315" spans="2:7">
      <c r="C315" s="56" t="s">
        <v>2038</v>
      </c>
      <c r="D315" s="1" t="s">
        <v>129</v>
      </c>
      <c r="E315" s="42">
        <v>9880</v>
      </c>
      <c r="G315" s="306">
        <f t="shared" si="8"/>
        <v>0</v>
      </c>
    </row>
    <row r="317" spans="2:7" ht="25.5">
      <c r="B317" s="41" t="s">
        <v>1680</v>
      </c>
      <c r="C317" s="56" t="s">
        <v>2039</v>
      </c>
      <c r="D317" s="1" t="s">
        <v>1120</v>
      </c>
      <c r="E317" s="42">
        <v>30</v>
      </c>
      <c r="G317" s="306">
        <f t="shared" si="8"/>
        <v>0</v>
      </c>
    </row>
    <row r="318" spans="2:7">
      <c r="B318" s="41" t="s">
        <v>1682</v>
      </c>
      <c r="C318" s="56" t="s">
        <v>2040</v>
      </c>
    </row>
    <row r="319" spans="2:7">
      <c r="C319" s="56" t="s">
        <v>2041</v>
      </c>
      <c r="D319" s="1" t="s">
        <v>115</v>
      </c>
      <c r="E319" s="42">
        <v>1</v>
      </c>
      <c r="G319" s="306">
        <f t="shared" si="8"/>
        <v>0</v>
      </c>
    </row>
    <row r="320" spans="2:7" ht="13.5" thickBot="1"/>
    <row r="321" spans="1:7" ht="42.75" thickBot="1">
      <c r="A321" s="49" t="s">
        <v>20</v>
      </c>
      <c r="B321" s="50"/>
      <c r="C321" s="51" t="s">
        <v>2042</v>
      </c>
      <c r="D321" s="52"/>
      <c r="E321" s="53"/>
      <c r="F321" s="348"/>
      <c r="G321" s="307">
        <f>SUM(G259:G320)</f>
        <v>0</v>
      </c>
    </row>
    <row r="328" spans="1:7" ht="23.25">
      <c r="A328" s="62"/>
      <c r="B328" s="63"/>
      <c r="C328" s="64" t="s">
        <v>1318</v>
      </c>
      <c r="D328" s="65"/>
      <c r="E328" s="66"/>
      <c r="F328" s="330"/>
      <c r="G328" s="305"/>
    </row>
    <row r="329" spans="1:7" ht="13.5" thickBot="1">
      <c r="C329" s="21"/>
    </row>
    <row r="330" spans="1:7" ht="38.25" thickBot="1">
      <c r="A330" s="68" t="s">
        <v>9</v>
      </c>
      <c r="B330" s="69"/>
      <c r="C330" s="70" t="s">
        <v>1952</v>
      </c>
      <c r="D330" s="71"/>
      <c r="E330" s="72"/>
      <c r="F330" s="331"/>
      <c r="G330" s="307">
        <f>G170</f>
        <v>0</v>
      </c>
    </row>
    <row r="331" spans="1:7" ht="19.5" thickBot="1">
      <c r="A331" s="68" t="s">
        <v>18</v>
      </c>
      <c r="B331" s="69"/>
      <c r="C331" s="74" t="s">
        <v>1965</v>
      </c>
      <c r="D331" s="71"/>
      <c r="E331" s="72"/>
      <c r="F331" s="331"/>
      <c r="G331" s="307">
        <f>G198</f>
        <v>0</v>
      </c>
    </row>
    <row r="332" spans="1:7" ht="19.5" thickBot="1">
      <c r="A332" s="68" t="s">
        <v>19</v>
      </c>
      <c r="B332" s="69"/>
      <c r="C332" s="70" t="s">
        <v>2002</v>
      </c>
      <c r="D332" s="71"/>
      <c r="E332" s="72"/>
      <c r="F332" s="331"/>
      <c r="G332" s="307">
        <f>G254</f>
        <v>0</v>
      </c>
    </row>
    <row r="333" spans="1:7" ht="19.5" thickBot="1">
      <c r="A333" s="68" t="s">
        <v>20</v>
      </c>
      <c r="B333" s="69"/>
      <c r="C333" s="70" t="s">
        <v>2042</v>
      </c>
      <c r="D333" s="71"/>
      <c r="E333" s="72"/>
      <c r="F333" s="331"/>
      <c r="G333" s="307">
        <f>G321</f>
        <v>0</v>
      </c>
    </row>
    <row r="335" spans="1:7" ht="23.25">
      <c r="A335" s="610"/>
      <c r="B335" s="63"/>
      <c r="C335" s="64" t="s">
        <v>2043</v>
      </c>
      <c r="D335" s="65"/>
      <c r="E335" s="66"/>
      <c r="F335" s="330"/>
      <c r="G335" s="448">
        <f>SUM(G329:G334)</f>
        <v>0</v>
      </c>
    </row>
  </sheetData>
  <pageMargins left="0.70866141732283472" right="0.31496062992125984" top="0.74803149606299213" bottom="0.50062499999999999" header="0.31496062992125984" footer="0.31496062992125984"/>
  <pageSetup paperSize="9" scale="89" orientation="portrait" r:id="rId1"/>
  <headerFooter differentFirst="1">
    <oddHeader>&amp;L&amp;K01+042Troškovnik&amp;C&amp;"-,Podebljano"&amp;K01+042STROJARSKI PROJEKT
Termoinstalacije&amp;R&amp;K01+042STAMBENO - POSLOVNA GRAĐEVINA, BLATO</oddHeader>
    <oddFooter>&amp;C&amp;K00-049V V - PROJEKT d.o.o. Put Supavla 1, 21000 Split, tel/fax: 021/322-249</oddFooter>
  </headerFooter>
  <rowBreaks count="3" manualBreakCount="3">
    <brk id="46" max="16383" man="1"/>
    <brk id="61" max="16383" man="1"/>
    <brk id="157"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405"/>
  <sheetViews>
    <sheetView view="pageBreakPreview" topLeftCell="A393" zoomScale="120" zoomScaleNormal="100" zoomScaleSheetLayoutView="120" workbookViewId="0">
      <selection activeCell="A405" sqref="A405"/>
    </sheetView>
  </sheetViews>
  <sheetFormatPr defaultColWidth="8" defaultRowHeight="12.75"/>
  <cols>
    <col min="1" max="1" width="6" style="40" customWidth="1"/>
    <col min="2" max="2" width="5.5703125" style="41" customWidth="1"/>
    <col min="3" max="3" width="61.85546875" style="56" customWidth="1"/>
    <col min="4" max="4" width="5.5703125" style="1" customWidth="1"/>
    <col min="5" max="5" width="8.7109375" style="42" customWidth="1"/>
    <col min="6" max="6" width="9.5703125" style="15" customWidth="1"/>
    <col min="7" max="7" width="11.42578125" style="306" customWidth="1"/>
    <col min="8" max="16384" width="8" style="21"/>
  </cols>
  <sheetData>
    <row r="4" spans="1:7" ht="46.5">
      <c r="A4" s="90"/>
      <c r="B4" s="21"/>
      <c r="C4" s="20" t="s">
        <v>0</v>
      </c>
      <c r="D4" s="21"/>
      <c r="E4" s="92"/>
      <c r="F4" s="92"/>
      <c r="G4" s="432"/>
    </row>
    <row r="5" spans="1:7">
      <c r="A5" s="90"/>
      <c r="B5" s="21"/>
      <c r="C5" s="22"/>
      <c r="D5" s="21"/>
      <c r="E5" s="92"/>
      <c r="F5" s="92"/>
      <c r="G5" s="432"/>
    </row>
    <row r="6" spans="1:7" ht="21">
      <c r="A6" s="90"/>
      <c r="B6" s="21"/>
      <c r="C6" s="23" t="s">
        <v>428</v>
      </c>
      <c r="D6" s="21"/>
      <c r="E6" s="92"/>
      <c r="F6" s="92"/>
      <c r="G6" s="432"/>
    </row>
    <row r="7" spans="1:7" ht="21">
      <c r="A7" s="90"/>
      <c r="B7" s="21"/>
      <c r="C7" s="24"/>
      <c r="D7" s="21"/>
      <c r="E7" s="92"/>
      <c r="F7" s="92"/>
      <c r="G7" s="432"/>
    </row>
    <row r="8" spans="1:7" ht="23.25">
      <c r="A8" s="90"/>
      <c r="B8" s="21"/>
      <c r="C8" s="25" t="s">
        <v>2044</v>
      </c>
      <c r="D8" s="21"/>
      <c r="E8" s="92"/>
      <c r="F8" s="92"/>
      <c r="G8" s="432"/>
    </row>
    <row r="9" spans="1:7" ht="15.75">
      <c r="A9" s="90"/>
      <c r="B9" s="21"/>
      <c r="C9" s="26" t="s">
        <v>1862</v>
      </c>
      <c r="D9" s="21"/>
      <c r="E9" s="92"/>
      <c r="F9" s="92"/>
      <c r="G9" s="432"/>
    </row>
    <row r="10" spans="1:7" ht="15.75">
      <c r="A10" s="90"/>
      <c r="B10" s="21"/>
      <c r="C10" s="27" t="s">
        <v>2045</v>
      </c>
      <c r="D10" s="21"/>
      <c r="E10" s="92"/>
      <c r="F10" s="92"/>
      <c r="G10" s="432"/>
    </row>
    <row r="11" spans="1:7">
      <c r="A11" s="90"/>
      <c r="B11" s="21"/>
      <c r="C11" s="22"/>
      <c r="D11" s="21"/>
      <c r="E11" s="92"/>
      <c r="F11" s="92"/>
      <c r="G11" s="432"/>
    </row>
    <row r="12" spans="1:7">
      <c r="A12" s="90"/>
      <c r="B12" s="21"/>
      <c r="C12" s="28" t="s">
        <v>1864</v>
      </c>
      <c r="D12" s="21"/>
      <c r="E12" s="92"/>
      <c r="F12" s="92"/>
      <c r="G12" s="432"/>
    </row>
    <row r="47" spans="1:7" ht="25.5">
      <c r="A47" s="29" t="s">
        <v>4</v>
      </c>
      <c r="B47" s="30"/>
      <c r="C47" s="31" t="s">
        <v>5</v>
      </c>
      <c r="D47" s="32" t="s">
        <v>109</v>
      </c>
      <c r="E47" s="33" t="s">
        <v>6</v>
      </c>
      <c r="F47" s="99" t="s">
        <v>113</v>
      </c>
      <c r="G47" s="442" t="s">
        <v>8</v>
      </c>
    </row>
    <row r="49" spans="1:7" ht="21">
      <c r="A49" s="34" t="s">
        <v>9</v>
      </c>
      <c r="B49" s="35"/>
      <c r="C49" s="269" t="s">
        <v>2046</v>
      </c>
      <c r="D49" s="37"/>
      <c r="E49" s="38"/>
      <c r="F49" s="451"/>
      <c r="G49" s="452"/>
    </row>
    <row r="50" spans="1:7">
      <c r="C50"/>
    </row>
    <row r="51" spans="1:7" ht="63.75">
      <c r="B51" s="41" t="s">
        <v>9</v>
      </c>
      <c r="C51" t="s">
        <v>2047</v>
      </c>
    </row>
    <row r="52" spans="1:7" ht="229.5">
      <c r="C52" t="s">
        <v>2048</v>
      </c>
    </row>
    <row r="53" spans="1:7" ht="165.75">
      <c r="C53" t="s">
        <v>2049</v>
      </c>
    </row>
    <row r="54" spans="1:7">
      <c r="C54" t="s">
        <v>2050</v>
      </c>
    </row>
    <row r="55" spans="1:7" ht="25.5">
      <c r="C55" t="s">
        <v>2051</v>
      </c>
    </row>
    <row r="56" spans="1:7">
      <c r="C56" t="s">
        <v>2052</v>
      </c>
    </row>
    <row r="57" spans="1:7">
      <c r="C57" t="s">
        <v>2053</v>
      </c>
    </row>
    <row r="58" spans="1:7">
      <c r="C58" t="s">
        <v>2054</v>
      </c>
    </row>
    <row r="59" spans="1:7">
      <c r="C59" t="s">
        <v>2055</v>
      </c>
    </row>
    <row r="60" spans="1:7">
      <c r="C60" t="s">
        <v>2056</v>
      </c>
    </row>
    <row r="61" spans="1:7">
      <c r="C61" t="s">
        <v>2057</v>
      </c>
    </row>
    <row r="62" spans="1:7">
      <c r="C62" t="s">
        <v>2058</v>
      </c>
    </row>
    <row r="63" spans="1:7">
      <c r="C63" t="s">
        <v>2059</v>
      </c>
    </row>
    <row r="64" spans="1:7">
      <c r="C64" t="s">
        <v>2060</v>
      </c>
    </row>
    <row r="65" spans="3:3">
      <c r="C65" t="s">
        <v>2061</v>
      </c>
    </row>
    <row r="66" spans="3:3">
      <c r="C66" t="s">
        <v>2062</v>
      </c>
    </row>
    <row r="67" spans="3:3">
      <c r="C67" t="s">
        <v>2063</v>
      </c>
    </row>
    <row r="68" spans="3:3">
      <c r="C68" t="s">
        <v>2064</v>
      </c>
    </row>
    <row r="69" spans="3:3">
      <c r="C69" t="s">
        <v>2065</v>
      </c>
    </row>
    <row r="70" spans="3:3">
      <c r="C70" t="s">
        <v>2066</v>
      </c>
    </row>
    <row r="71" spans="3:3">
      <c r="C71" t="s">
        <v>2067</v>
      </c>
    </row>
    <row r="72" spans="3:3">
      <c r="C72" t="s">
        <v>2068</v>
      </c>
    </row>
    <row r="73" spans="3:3">
      <c r="C73" t="s">
        <v>2069</v>
      </c>
    </row>
    <row r="74" spans="3:3">
      <c r="C74" t="s">
        <v>2070</v>
      </c>
    </row>
    <row r="75" spans="3:3">
      <c r="C75" t="s">
        <v>2071</v>
      </c>
    </row>
    <row r="76" spans="3:3">
      <c r="C76" t="s">
        <v>2072</v>
      </c>
    </row>
    <row r="77" spans="3:3" ht="25.5">
      <c r="C77" t="s">
        <v>2073</v>
      </c>
    </row>
    <row r="78" spans="3:3">
      <c r="C78" t="s">
        <v>2074</v>
      </c>
    </row>
    <row r="79" spans="3:3">
      <c r="C79" t="s">
        <v>2075</v>
      </c>
    </row>
    <row r="80" spans="3:3">
      <c r="C80" t="s">
        <v>2076</v>
      </c>
    </row>
    <row r="81" spans="3:7">
      <c r="C81" t="s">
        <v>2077</v>
      </c>
    </row>
    <row r="82" spans="3:7">
      <c r="C82" t="s">
        <v>2078</v>
      </c>
    </row>
    <row r="83" spans="3:7">
      <c r="C83" t="s">
        <v>2079</v>
      </c>
    </row>
    <row r="84" spans="3:7">
      <c r="C84" t="s">
        <v>2080</v>
      </c>
    </row>
    <row r="85" spans="3:7" ht="25.5">
      <c r="C85" t="s">
        <v>2081</v>
      </c>
    </row>
    <row r="86" spans="3:7">
      <c r="C86" t="s">
        <v>2082</v>
      </c>
    </row>
    <row r="87" spans="3:7">
      <c r="C87" t="s">
        <v>2083</v>
      </c>
    </row>
    <row r="88" spans="3:7">
      <c r="C88" t="s">
        <v>2084</v>
      </c>
    </row>
    <row r="89" spans="3:7">
      <c r="C89" t="s">
        <v>2085</v>
      </c>
    </row>
    <row r="90" spans="3:7">
      <c r="C90" t="s">
        <v>2086</v>
      </c>
    </row>
    <row r="91" spans="3:7">
      <c r="C91" t="s">
        <v>2087</v>
      </c>
    </row>
    <row r="92" spans="3:7">
      <c r="C92" t="s">
        <v>2088</v>
      </c>
    </row>
    <row r="93" spans="3:7">
      <c r="C93" t="s">
        <v>2089</v>
      </c>
    </row>
    <row r="94" spans="3:7">
      <c r="C94" t="s">
        <v>2090</v>
      </c>
    </row>
    <row r="95" spans="3:7">
      <c r="C95" s="262" t="s">
        <v>117</v>
      </c>
      <c r="D95" s="1" t="s">
        <v>115</v>
      </c>
      <c r="E95" s="42">
        <v>153</v>
      </c>
      <c r="G95" s="306">
        <f>E95*F95</f>
        <v>0</v>
      </c>
    </row>
    <row r="96" spans="3:7">
      <c r="C96"/>
    </row>
    <row r="97" spans="2:7" ht="25.5">
      <c r="B97" s="41" t="s">
        <v>18</v>
      </c>
      <c r="C97" s="77" t="s">
        <v>2091</v>
      </c>
    </row>
    <row r="98" spans="2:7">
      <c r="C98" t="s">
        <v>2092</v>
      </c>
    </row>
    <row r="99" spans="2:7" ht="25.5">
      <c r="C99" t="s">
        <v>2093</v>
      </c>
    </row>
    <row r="100" spans="2:7" ht="25.5">
      <c r="C100" t="s">
        <v>2094</v>
      </c>
    </row>
    <row r="101" spans="2:7">
      <c r="C101" t="s">
        <v>2095</v>
      </c>
    </row>
    <row r="102" spans="2:7">
      <c r="C102" t="s">
        <v>2096</v>
      </c>
    </row>
    <row r="103" spans="2:7">
      <c r="C103" t="s">
        <v>2097</v>
      </c>
    </row>
    <row r="104" spans="2:7">
      <c r="C104" t="s">
        <v>2098</v>
      </c>
    </row>
    <row r="105" spans="2:7">
      <c r="C105" s="262" t="s">
        <v>117</v>
      </c>
      <c r="D105" s="1" t="s">
        <v>115</v>
      </c>
      <c r="E105" s="42">
        <v>153</v>
      </c>
      <c r="G105" s="306">
        <f>E105*F105</f>
        <v>0</v>
      </c>
    </row>
    <row r="106" spans="2:7">
      <c r="C106"/>
    </row>
    <row r="107" spans="2:7" ht="25.5">
      <c r="B107" s="41" t="s">
        <v>19</v>
      </c>
      <c r="C107" t="s">
        <v>2099</v>
      </c>
    </row>
    <row r="108" spans="2:7">
      <c r="C108" s="262" t="s">
        <v>117</v>
      </c>
      <c r="D108" s="1" t="s">
        <v>115</v>
      </c>
      <c r="E108" s="42">
        <v>153</v>
      </c>
      <c r="G108" s="306">
        <f>E108*F108</f>
        <v>0</v>
      </c>
    </row>
    <row r="109" spans="2:7">
      <c r="C109"/>
    </row>
    <row r="110" spans="2:7">
      <c r="B110" s="41" t="s">
        <v>20</v>
      </c>
      <c r="C110" t="s">
        <v>2100</v>
      </c>
    </row>
    <row r="111" spans="2:7">
      <c r="C111" s="262" t="s">
        <v>117</v>
      </c>
      <c r="D111" s="1" t="s">
        <v>115</v>
      </c>
      <c r="E111" s="42">
        <v>153</v>
      </c>
      <c r="G111" s="306">
        <f>E111*F111</f>
        <v>0</v>
      </c>
    </row>
    <row r="112" spans="2:7">
      <c r="C112"/>
    </row>
    <row r="113" spans="2:7">
      <c r="B113" s="41" t="s">
        <v>21</v>
      </c>
      <c r="C113" t="s">
        <v>2101</v>
      </c>
    </row>
    <row r="114" spans="2:7" ht="25.5">
      <c r="C114" t="s">
        <v>2102</v>
      </c>
    </row>
    <row r="115" spans="2:7">
      <c r="C115" s="262" t="s">
        <v>117</v>
      </c>
      <c r="D115" s="1" t="s">
        <v>115</v>
      </c>
      <c r="E115" s="42">
        <v>153</v>
      </c>
      <c r="G115" s="306">
        <f>E115*F115</f>
        <v>0</v>
      </c>
    </row>
    <row r="116" spans="2:7">
      <c r="C116"/>
    </row>
    <row r="117" spans="2:7">
      <c r="B117" s="41" t="s">
        <v>60</v>
      </c>
      <c r="C117" t="s">
        <v>2103</v>
      </c>
    </row>
    <row r="118" spans="2:7">
      <c r="C118" s="262" t="s">
        <v>117</v>
      </c>
      <c r="D118" s="1" t="s">
        <v>115</v>
      </c>
      <c r="E118" s="42">
        <v>153</v>
      </c>
      <c r="G118" s="306">
        <f>E118*F118</f>
        <v>0</v>
      </c>
    </row>
    <row r="119" spans="2:7">
      <c r="C119"/>
    </row>
    <row r="120" spans="2:7" ht="51">
      <c r="B120" s="41" t="s">
        <v>78</v>
      </c>
      <c r="C120" t="s">
        <v>2104</v>
      </c>
    </row>
    <row r="121" spans="2:7">
      <c r="C121" s="262" t="s">
        <v>117</v>
      </c>
      <c r="D121" s="1" t="s">
        <v>115</v>
      </c>
      <c r="E121" s="42">
        <v>1</v>
      </c>
      <c r="G121" s="306">
        <f>E121*F121</f>
        <v>0</v>
      </c>
    </row>
    <row r="122" spans="2:7">
      <c r="C122"/>
    </row>
    <row r="123" spans="2:7">
      <c r="B123" s="41" t="s">
        <v>165</v>
      </c>
      <c r="C123" t="s">
        <v>2105</v>
      </c>
    </row>
    <row r="124" spans="2:7">
      <c r="C124" s="262" t="s">
        <v>117</v>
      </c>
      <c r="D124" s="1" t="s">
        <v>115</v>
      </c>
      <c r="E124" s="42">
        <v>1</v>
      </c>
      <c r="G124" s="306">
        <f>E124*F124</f>
        <v>0</v>
      </c>
    </row>
    <row r="125" spans="2:7">
      <c r="C125"/>
    </row>
    <row r="126" spans="2:7" ht="51">
      <c r="B126" s="41" t="s">
        <v>205</v>
      </c>
      <c r="C126" t="s">
        <v>2106</v>
      </c>
    </row>
    <row r="127" spans="2:7">
      <c r="C127" s="262" t="s">
        <v>117</v>
      </c>
      <c r="D127" s="1" t="s">
        <v>115</v>
      </c>
      <c r="E127" s="42">
        <v>1</v>
      </c>
      <c r="G127" s="306">
        <f>E127*F127</f>
        <v>0</v>
      </c>
    </row>
    <row r="128" spans="2:7">
      <c r="C128"/>
    </row>
    <row r="129" spans="1:7" ht="38.25">
      <c r="B129" s="41" t="s">
        <v>206</v>
      </c>
      <c r="C129" t="s">
        <v>2107</v>
      </c>
    </row>
    <row r="130" spans="1:7">
      <c r="C130" s="262" t="s">
        <v>117</v>
      </c>
      <c r="D130" s="1" t="s">
        <v>115</v>
      </c>
      <c r="E130" s="42">
        <v>1</v>
      </c>
      <c r="G130" s="306">
        <f>E130*F130</f>
        <v>0</v>
      </c>
    </row>
    <row r="131" spans="1:7">
      <c r="C131"/>
    </row>
    <row r="132" spans="1:7">
      <c r="C132"/>
    </row>
    <row r="133" spans="1:7" ht="25.5">
      <c r="B133" s="41" t="s">
        <v>233</v>
      </c>
      <c r="C133" t="s">
        <v>2108</v>
      </c>
    </row>
    <row r="134" spans="1:7">
      <c r="C134" s="262" t="s">
        <v>117</v>
      </c>
      <c r="D134" s="1" t="s">
        <v>115</v>
      </c>
      <c r="E134" s="42">
        <v>1</v>
      </c>
      <c r="G134" s="306">
        <f>E134*F134</f>
        <v>0</v>
      </c>
    </row>
    <row r="135" spans="1:7">
      <c r="C135"/>
    </row>
    <row r="136" spans="1:7" ht="51">
      <c r="B136" s="41" t="s">
        <v>245</v>
      </c>
      <c r="C136" t="s">
        <v>2109</v>
      </c>
    </row>
    <row r="137" spans="1:7">
      <c r="C137" s="262" t="s">
        <v>117</v>
      </c>
      <c r="D137" s="1" t="s">
        <v>115</v>
      </c>
      <c r="E137" s="42">
        <v>1</v>
      </c>
      <c r="G137" s="306">
        <f>E137*F137</f>
        <v>0</v>
      </c>
    </row>
    <row r="138" spans="1:7" ht="13.5" thickBot="1">
      <c r="C138"/>
    </row>
    <row r="139" spans="1:7" ht="21.75" thickBot="1">
      <c r="A139" s="49" t="s">
        <v>9</v>
      </c>
      <c r="B139" s="50"/>
      <c r="C139" s="51" t="s">
        <v>2110</v>
      </c>
      <c r="D139" s="52"/>
      <c r="E139" s="53"/>
      <c r="F139" s="348"/>
      <c r="G139" s="307">
        <f>SUM(G50:G138)</f>
        <v>0</v>
      </c>
    </row>
    <row r="140" spans="1:7">
      <c r="C140"/>
    </row>
    <row r="141" spans="1:7">
      <c r="C141"/>
    </row>
    <row r="142" spans="1:7">
      <c r="C142"/>
    </row>
    <row r="143" spans="1:7">
      <c r="C143"/>
    </row>
    <row r="144" spans="1:7" ht="21">
      <c r="A144" s="34" t="s">
        <v>18</v>
      </c>
      <c r="B144" s="35"/>
      <c r="C144" s="269" t="s">
        <v>2111</v>
      </c>
      <c r="D144" s="37"/>
      <c r="E144" s="38"/>
      <c r="F144" s="451"/>
      <c r="G144" s="452"/>
    </row>
    <row r="145" spans="2:7">
      <c r="C145"/>
    </row>
    <row r="146" spans="2:7" ht="38.25">
      <c r="B146" s="41" t="s">
        <v>9</v>
      </c>
      <c r="C146" t="s">
        <v>2112</v>
      </c>
    </row>
    <row r="147" spans="2:7">
      <c r="C147" t="s">
        <v>2113</v>
      </c>
    </row>
    <row r="148" spans="2:7">
      <c r="C148" s="75" t="s">
        <v>2114</v>
      </c>
    </row>
    <row r="149" spans="2:7">
      <c r="C149" s="75" t="s">
        <v>2115</v>
      </c>
    </row>
    <row r="150" spans="2:7">
      <c r="C150" s="75" t="s">
        <v>2116</v>
      </c>
    </row>
    <row r="151" spans="2:7" ht="25.5">
      <c r="C151" s="75" t="s">
        <v>2117</v>
      </c>
    </row>
    <row r="152" spans="2:7" ht="51">
      <c r="C152" s="75" t="s">
        <v>2118</v>
      </c>
    </row>
    <row r="153" spans="2:7" ht="89.25">
      <c r="C153" s="75" t="s">
        <v>2119</v>
      </c>
    </row>
    <row r="154" spans="2:7">
      <c r="C154" t="s">
        <v>2120</v>
      </c>
    </row>
    <row r="155" spans="2:7">
      <c r="C155" s="262" t="s">
        <v>117</v>
      </c>
      <c r="D155" s="1" t="s">
        <v>115</v>
      </c>
      <c r="E155" s="42">
        <v>1</v>
      </c>
      <c r="G155" s="306">
        <f>E155*F155</f>
        <v>0</v>
      </c>
    </row>
    <row r="156" spans="2:7">
      <c r="C156"/>
    </row>
    <row r="157" spans="2:7" ht="25.5">
      <c r="B157" s="41" t="s">
        <v>18</v>
      </c>
      <c r="C157" t="s">
        <v>2121</v>
      </c>
    </row>
    <row r="158" spans="2:7">
      <c r="C158" t="s">
        <v>2122</v>
      </c>
      <c r="D158" s="1" t="s">
        <v>110</v>
      </c>
      <c r="E158" s="42">
        <v>1</v>
      </c>
      <c r="G158" s="306">
        <f t="shared" ref="G158:G160" si="0">E158*F158</f>
        <v>0</v>
      </c>
    </row>
    <row r="159" spans="2:7">
      <c r="C159" t="s">
        <v>2123</v>
      </c>
      <c r="D159" s="1" t="s">
        <v>110</v>
      </c>
      <c r="E159" s="42">
        <v>2</v>
      </c>
      <c r="G159" s="306">
        <f t="shared" si="0"/>
        <v>0</v>
      </c>
    </row>
    <row r="160" spans="2:7">
      <c r="C160" t="s">
        <v>2124</v>
      </c>
      <c r="D160" s="1" t="s">
        <v>110</v>
      </c>
      <c r="E160" s="42">
        <v>1</v>
      </c>
      <c r="G160" s="306">
        <f t="shared" si="0"/>
        <v>0</v>
      </c>
    </row>
    <row r="161" spans="2:7">
      <c r="C161"/>
    </row>
    <row r="162" spans="2:7" ht="216.75">
      <c r="B162" s="41" t="s">
        <v>19</v>
      </c>
      <c r="C162" t="s">
        <v>2125</v>
      </c>
    </row>
    <row r="163" spans="2:7">
      <c r="C163" t="s">
        <v>2126</v>
      </c>
      <c r="D163" s="1" t="s">
        <v>129</v>
      </c>
      <c r="E163" s="42">
        <v>270</v>
      </c>
      <c r="G163" s="306">
        <f t="shared" ref="G163:G165" si="1">E163*F163</f>
        <v>0</v>
      </c>
    </row>
    <row r="164" spans="2:7">
      <c r="C164" t="s">
        <v>2127</v>
      </c>
      <c r="D164" s="1" t="s">
        <v>129</v>
      </c>
      <c r="E164" s="42">
        <v>75</v>
      </c>
      <c r="G164" s="306">
        <f t="shared" si="1"/>
        <v>0</v>
      </c>
    </row>
    <row r="165" spans="2:7">
      <c r="C165" t="s">
        <v>2128</v>
      </c>
      <c r="D165" s="1" t="s">
        <v>129</v>
      </c>
      <c r="E165" s="42">
        <v>10</v>
      </c>
      <c r="G165" s="306">
        <f t="shared" si="1"/>
        <v>0</v>
      </c>
    </row>
    <row r="166" spans="2:7">
      <c r="C166"/>
    </row>
    <row r="167" spans="2:7" ht="63.75">
      <c r="B167" s="41" t="s">
        <v>20</v>
      </c>
      <c r="C167" t="s">
        <v>2129</v>
      </c>
    </row>
    <row r="168" spans="2:7">
      <c r="C168" t="s">
        <v>2130</v>
      </c>
      <c r="D168" s="1" t="s">
        <v>110</v>
      </c>
      <c r="E168" s="42">
        <v>2</v>
      </c>
      <c r="G168" s="306">
        <f t="shared" ref="G168:G169" si="2">E168*F168</f>
        <v>0</v>
      </c>
    </row>
    <row r="169" spans="2:7">
      <c r="C169" t="s">
        <v>2131</v>
      </c>
      <c r="D169" s="1" t="s">
        <v>110</v>
      </c>
      <c r="E169" s="42">
        <v>1</v>
      </c>
      <c r="G169" s="306">
        <f t="shared" si="2"/>
        <v>0</v>
      </c>
    </row>
    <row r="170" spans="2:7">
      <c r="C170"/>
    </row>
    <row r="171" spans="2:7" ht="38.25">
      <c r="B171" s="41" t="s">
        <v>21</v>
      </c>
      <c r="C171" t="s">
        <v>2132</v>
      </c>
    </row>
    <row r="172" spans="2:7">
      <c r="C172" t="s">
        <v>2126</v>
      </c>
      <c r="D172" s="1" t="s">
        <v>110</v>
      </c>
      <c r="E172" s="42">
        <v>66</v>
      </c>
      <c r="G172" s="306">
        <f t="shared" ref="G172:G173" si="3">E172*F172</f>
        <v>0</v>
      </c>
    </row>
    <row r="173" spans="2:7">
      <c r="C173" t="s">
        <v>2127</v>
      </c>
      <c r="D173" s="1" t="s">
        <v>110</v>
      </c>
      <c r="E173" s="42">
        <v>19</v>
      </c>
      <c r="G173" s="306">
        <f t="shared" si="3"/>
        <v>0</v>
      </c>
    </row>
    <row r="174" spans="2:7">
      <c r="C174"/>
    </row>
    <row r="175" spans="2:7" ht="51">
      <c r="B175" s="41" t="s">
        <v>60</v>
      </c>
      <c r="C175" t="s">
        <v>2133</v>
      </c>
    </row>
    <row r="176" spans="2:7">
      <c r="C176" t="s">
        <v>2134</v>
      </c>
      <c r="D176" s="1" t="s">
        <v>110</v>
      </c>
      <c r="E176" s="42">
        <v>2</v>
      </c>
      <c r="G176" s="306">
        <f t="shared" ref="G176:G177" si="4">E176*F176</f>
        <v>0</v>
      </c>
    </row>
    <row r="177" spans="2:7">
      <c r="C177" t="s">
        <v>2135</v>
      </c>
      <c r="D177" s="1" t="s">
        <v>110</v>
      </c>
      <c r="E177" s="42">
        <v>2</v>
      </c>
      <c r="G177" s="306">
        <f t="shared" si="4"/>
        <v>0</v>
      </c>
    </row>
    <row r="178" spans="2:7">
      <c r="C178" t="s">
        <v>2136</v>
      </c>
    </row>
    <row r="179" spans="2:7" ht="25.5">
      <c r="B179" s="41" t="s">
        <v>78</v>
      </c>
      <c r="C179" t="s">
        <v>2137</v>
      </c>
    </row>
    <row r="180" spans="2:7">
      <c r="C180" t="s">
        <v>2138</v>
      </c>
      <c r="D180" s="1" t="s">
        <v>110</v>
      </c>
      <c r="E180" s="42">
        <v>2</v>
      </c>
      <c r="G180" s="306">
        <f t="shared" ref="G180:G181" si="5">E180*F180</f>
        <v>0</v>
      </c>
    </row>
    <row r="181" spans="2:7">
      <c r="C181" t="s">
        <v>2021</v>
      </c>
      <c r="D181" s="1" t="s">
        <v>110</v>
      </c>
      <c r="E181" s="42">
        <v>2</v>
      </c>
      <c r="G181" s="306">
        <f t="shared" si="5"/>
        <v>0</v>
      </c>
    </row>
    <row r="182" spans="2:7">
      <c r="C182"/>
    </row>
    <row r="183" spans="2:7" ht="38.25">
      <c r="B183" s="41" t="s">
        <v>165</v>
      </c>
      <c r="C183" t="s">
        <v>2139</v>
      </c>
    </row>
    <row r="184" spans="2:7">
      <c r="C184" t="s">
        <v>111</v>
      </c>
      <c r="D184" s="1" t="s">
        <v>110</v>
      </c>
      <c r="E184" s="42">
        <v>2</v>
      </c>
      <c r="G184" s="306">
        <f t="shared" ref="G184" si="6">E184*F184</f>
        <v>0</v>
      </c>
    </row>
    <row r="185" spans="2:7">
      <c r="C185"/>
    </row>
    <row r="186" spans="2:7" ht="38.25">
      <c r="B186" s="41" t="s">
        <v>205</v>
      </c>
      <c r="C186" t="s">
        <v>2140</v>
      </c>
    </row>
    <row r="187" spans="2:7">
      <c r="C187" t="s">
        <v>111</v>
      </c>
      <c r="D187" s="1" t="s">
        <v>110</v>
      </c>
      <c r="E187" s="42">
        <v>2</v>
      </c>
      <c r="G187" s="306">
        <f t="shared" ref="G187" si="7">E187*F187</f>
        <v>0</v>
      </c>
    </row>
    <row r="188" spans="2:7">
      <c r="C188"/>
    </row>
    <row r="189" spans="2:7" ht="51">
      <c r="B189" s="41" t="s">
        <v>206</v>
      </c>
      <c r="C189" t="s">
        <v>2141</v>
      </c>
    </row>
    <row r="190" spans="2:7">
      <c r="C190" t="s">
        <v>2142</v>
      </c>
    </row>
    <row r="191" spans="2:7">
      <c r="C191" t="s">
        <v>2143</v>
      </c>
    </row>
    <row r="192" spans="2:7">
      <c r="C192" t="s">
        <v>2144</v>
      </c>
    </row>
    <row r="193" spans="2:7">
      <c r="C193" t="s">
        <v>111</v>
      </c>
      <c r="D193" s="1" t="s">
        <v>110</v>
      </c>
      <c r="E193" s="42">
        <v>2</v>
      </c>
      <c r="G193" s="306">
        <f t="shared" ref="G193" si="8">E193*F193</f>
        <v>0</v>
      </c>
    </row>
    <row r="194" spans="2:7">
      <c r="C194"/>
    </row>
    <row r="195" spans="2:7" ht="51">
      <c r="B195" s="41" t="s">
        <v>233</v>
      </c>
      <c r="C195" t="s">
        <v>2145</v>
      </c>
    </row>
    <row r="196" spans="2:7">
      <c r="C196" t="s">
        <v>2146</v>
      </c>
    </row>
    <row r="197" spans="2:7">
      <c r="C197" t="s">
        <v>2143</v>
      </c>
    </row>
    <row r="198" spans="2:7">
      <c r="C198" t="s">
        <v>2147</v>
      </c>
    </row>
    <row r="199" spans="2:7">
      <c r="C199" t="s">
        <v>111</v>
      </c>
      <c r="D199" s="1" t="s">
        <v>110</v>
      </c>
      <c r="E199" s="42">
        <v>2</v>
      </c>
      <c r="G199" s="306">
        <f t="shared" ref="G199" si="9">E199*F199</f>
        <v>0</v>
      </c>
    </row>
    <row r="200" spans="2:7">
      <c r="C200"/>
    </row>
    <row r="201" spans="2:7" ht="38.25">
      <c r="B201" s="41" t="s">
        <v>245</v>
      </c>
      <c r="C201" t="s">
        <v>2148</v>
      </c>
    </row>
    <row r="202" spans="2:7">
      <c r="C202" t="s">
        <v>111</v>
      </c>
      <c r="D202" s="1" t="s">
        <v>110</v>
      </c>
      <c r="E202" s="42">
        <v>2</v>
      </c>
      <c r="G202" s="306">
        <f t="shared" ref="G202" si="10">E202*F202</f>
        <v>0</v>
      </c>
    </row>
    <row r="203" spans="2:7">
      <c r="C203"/>
    </row>
    <row r="204" spans="2:7" ht="25.5">
      <c r="B204" s="41" t="s">
        <v>250</v>
      </c>
      <c r="C204" t="s">
        <v>2149</v>
      </c>
    </row>
    <row r="205" spans="2:7">
      <c r="C205" t="s">
        <v>111</v>
      </c>
      <c r="D205" s="1" t="s">
        <v>110</v>
      </c>
      <c r="E205" s="42">
        <v>2</v>
      </c>
      <c r="G205" s="306">
        <f t="shared" ref="G205" si="11">E205*F205</f>
        <v>0</v>
      </c>
    </row>
    <row r="206" spans="2:7">
      <c r="C206"/>
    </row>
    <row r="207" spans="2:7" ht="38.25">
      <c r="B207" s="41" t="s">
        <v>734</v>
      </c>
      <c r="C207" t="s">
        <v>2150</v>
      </c>
    </row>
    <row r="208" spans="2:7">
      <c r="C208" t="s">
        <v>2151</v>
      </c>
      <c r="D208" s="1" t="s">
        <v>110</v>
      </c>
      <c r="E208" s="42">
        <v>2</v>
      </c>
      <c r="G208" s="306">
        <f t="shared" ref="G208:G211" si="12">E208*F208</f>
        <v>0</v>
      </c>
    </row>
    <row r="209" spans="2:7">
      <c r="C209" t="s">
        <v>2152</v>
      </c>
      <c r="D209" s="1" t="s">
        <v>110</v>
      </c>
      <c r="E209" s="42">
        <v>2</v>
      </c>
      <c r="G209" s="306">
        <f t="shared" si="12"/>
        <v>0</v>
      </c>
    </row>
    <row r="210" spans="2:7">
      <c r="C210" t="s">
        <v>2153</v>
      </c>
      <c r="D210" s="1" t="s">
        <v>110</v>
      </c>
      <c r="E210" s="42">
        <v>2</v>
      </c>
      <c r="G210" s="306">
        <f t="shared" si="12"/>
        <v>0</v>
      </c>
    </row>
    <row r="211" spans="2:7">
      <c r="C211" t="s">
        <v>2154</v>
      </c>
      <c r="D211" s="1" t="s">
        <v>110</v>
      </c>
      <c r="E211" s="42">
        <v>2</v>
      </c>
      <c r="G211" s="306">
        <f t="shared" si="12"/>
        <v>0</v>
      </c>
    </row>
    <row r="212" spans="2:7">
      <c r="C212"/>
    </row>
    <row r="213" spans="2:7" ht="38.25">
      <c r="B213" s="41" t="s">
        <v>1674</v>
      </c>
      <c r="C213" t="s">
        <v>2155</v>
      </c>
    </row>
    <row r="214" spans="2:7">
      <c r="C214" t="s">
        <v>2138</v>
      </c>
      <c r="D214" s="1" t="s">
        <v>129</v>
      </c>
      <c r="E214" s="42">
        <v>10</v>
      </c>
      <c r="G214" s="306">
        <f t="shared" ref="G214:G216" si="13">E214*F214</f>
        <v>0</v>
      </c>
    </row>
    <row r="215" spans="2:7">
      <c r="C215" t="s">
        <v>2021</v>
      </c>
      <c r="D215" s="1" t="s">
        <v>129</v>
      </c>
      <c r="E215" s="42">
        <v>10</v>
      </c>
      <c r="G215" s="306">
        <f t="shared" si="13"/>
        <v>0</v>
      </c>
    </row>
    <row r="216" spans="2:7">
      <c r="C216" t="s">
        <v>2156</v>
      </c>
      <c r="D216" s="1" t="s">
        <v>129</v>
      </c>
      <c r="E216" s="42">
        <v>5</v>
      </c>
      <c r="G216" s="306">
        <f t="shared" si="13"/>
        <v>0</v>
      </c>
    </row>
    <row r="217" spans="2:7">
      <c r="C217"/>
    </row>
    <row r="218" spans="2:7">
      <c r="C218"/>
    </row>
    <row r="219" spans="2:7" ht="25.5">
      <c r="B219" s="41" t="s">
        <v>1680</v>
      </c>
      <c r="C219" t="s">
        <v>2157</v>
      </c>
    </row>
    <row r="220" spans="2:7">
      <c r="C220" t="s">
        <v>2138</v>
      </c>
      <c r="D220" s="1" t="s">
        <v>110</v>
      </c>
      <c r="E220" s="42">
        <v>6</v>
      </c>
      <c r="G220" s="306">
        <f t="shared" ref="G220:G222" si="14">E220*F220</f>
        <v>0</v>
      </c>
    </row>
    <row r="221" spans="2:7">
      <c r="C221" t="s">
        <v>2021</v>
      </c>
      <c r="D221" s="1" t="s">
        <v>110</v>
      </c>
      <c r="E221" s="42">
        <v>6</v>
      </c>
      <c r="G221" s="306">
        <f t="shared" si="14"/>
        <v>0</v>
      </c>
    </row>
    <row r="222" spans="2:7">
      <c r="C222" t="s">
        <v>2156</v>
      </c>
      <c r="D222" s="1" t="s">
        <v>110</v>
      </c>
      <c r="E222" s="42">
        <v>20</v>
      </c>
      <c r="G222" s="306">
        <f t="shared" si="14"/>
        <v>0</v>
      </c>
    </row>
    <row r="223" spans="2:7">
      <c r="C223"/>
    </row>
    <row r="224" spans="2:7">
      <c r="C224"/>
    </row>
    <row r="225" spans="2:7" ht="38.25">
      <c r="B225" s="41" t="s">
        <v>1682</v>
      </c>
      <c r="C225" t="s">
        <v>2158</v>
      </c>
    </row>
    <row r="226" spans="2:7">
      <c r="C226" t="s">
        <v>2159</v>
      </c>
      <c r="D226" s="1" t="s">
        <v>110</v>
      </c>
      <c r="E226" s="42">
        <v>3</v>
      </c>
      <c r="G226" s="306">
        <f t="shared" ref="G226:G229" si="15">E226*F226</f>
        <v>0</v>
      </c>
    </row>
    <row r="227" spans="2:7">
      <c r="C227" t="s">
        <v>2160</v>
      </c>
      <c r="D227" s="1" t="s">
        <v>110</v>
      </c>
      <c r="E227" s="42">
        <v>3</v>
      </c>
      <c r="G227" s="306">
        <f t="shared" si="15"/>
        <v>0</v>
      </c>
    </row>
    <row r="228" spans="2:7">
      <c r="C228" t="s">
        <v>2161</v>
      </c>
      <c r="D228" s="1" t="s">
        <v>110</v>
      </c>
      <c r="E228" s="42">
        <v>3</v>
      </c>
      <c r="G228" s="306">
        <f t="shared" si="15"/>
        <v>0</v>
      </c>
    </row>
    <row r="229" spans="2:7">
      <c r="C229" t="s">
        <v>2021</v>
      </c>
      <c r="D229" s="1" t="s">
        <v>110</v>
      </c>
      <c r="E229" s="42">
        <v>2</v>
      </c>
      <c r="G229" s="306">
        <f t="shared" si="15"/>
        <v>0</v>
      </c>
    </row>
    <row r="230" spans="2:7">
      <c r="C230" t="s">
        <v>2162</v>
      </c>
    </row>
    <row r="231" spans="2:7">
      <c r="C231"/>
    </row>
    <row r="232" spans="2:7" ht="25.5">
      <c r="B232" s="41" t="s">
        <v>2163</v>
      </c>
      <c r="C232" t="s">
        <v>2164</v>
      </c>
    </row>
    <row r="233" spans="2:7">
      <c r="C233" s="262" t="s">
        <v>130</v>
      </c>
      <c r="D233" s="1" t="s">
        <v>129</v>
      </c>
      <c r="E233" s="42">
        <v>350</v>
      </c>
      <c r="G233" s="306">
        <f t="shared" ref="G233" si="16">E233*F233</f>
        <v>0</v>
      </c>
    </row>
    <row r="234" spans="2:7">
      <c r="C234"/>
    </row>
    <row r="235" spans="2:7" ht="25.5">
      <c r="B235" s="41" t="s">
        <v>2165</v>
      </c>
      <c r="C235" t="s">
        <v>2166</v>
      </c>
    </row>
    <row r="236" spans="2:7">
      <c r="C236" s="262" t="s">
        <v>130</v>
      </c>
      <c r="D236" s="1" t="s">
        <v>129</v>
      </c>
      <c r="E236" s="42">
        <v>350</v>
      </c>
      <c r="G236" s="306">
        <f t="shared" ref="G236" si="17">E236*F236</f>
        <v>0</v>
      </c>
    </row>
    <row r="237" spans="2:7">
      <c r="C237"/>
    </row>
    <row r="238" spans="2:7" ht="63.75">
      <c r="B238" s="41" t="s">
        <v>2167</v>
      </c>
      <c r="C238" t="s">
        <v>2168</v>
      </c>
    </row>
    <row r="239" spans="2:7">
      <c r="C239" s="262" t="s">
        <v>1909</v>
      </c>
      <c r="D239" s="1" t="s">
        <v>115</v>
      </c>
      <c r="E239" s="42">
        <v>1</v>
      </c>
      <c r="G239" s="306">
        <f t="shared" ref="G239" si="18">E239*F239</f>
        <v>0</v>
      </c>
    </row>
    <row r="240" spans="2:7">
      <c r="C240"/>
    </row>
    <row r="241" spans="2:7">
      <c r="B241" s="41" t="s">
        <v>2169</v>
      </c>
      <c r="C241" t="s">
        <v>2105</v>
      </c>
      <c r="D241" s="1" t="s">
        <v>115</v>
      </c>
      <c r="E241" s="42">
        <v>1</v>
      </c>
      <c r="G241" s="306">
        <f t="shared" ref="G241" si="19">E241*F241</f>
        <v>0</v>
      </c>
    </row>
    <row r="242" spans="2:7">
      <c r="C242"/>
    </row>
    <row r="243" spans="2:7">
      <c r="B243" s="41" t="s">
        <v>2170</v>
      </c>
      <c r="C243" t="s">
        <v>2171</v>
      </c>
      <c r="D243" s="1" t="s">
        <v>115</v>
      </c>
      <c r="E243" s="42">
        <v>1</v>
      </c>
      <c r="G243" s="306">
        <f t="shared" ref="G243" si="20">E243*F243</f>
        <v>0</v>
      </c>
    </row>
    <row r="244" spans="2:7" ht="63.75">
      <c r="B244" s="41" t="s">
        <v>2172</v>
      </c>
      <c r="C244" t="s">
        <v>2173</v>
      </c>
    </row>
    <row r="245" spans="2:7">
      <c r="C245" s="262" t="s">
        <v>1909</v>
      </c>
      <c r="D245" s="1" t="s">
        <v>115</v>
      </c>
      <c r="E245" s="42">
        <v>1</v>
      </c>
      <c r="G245" s="306">
        <f t="shared" ref="G245" si="21">E245*F245</f>
        <v>0</v>
      </c>
    </row>
    <row r="246" spans="2:7">
      <c r="C246"/>
    </row>
    <row r="247" spans="2:7" ht="25.5">
      <c r="B247" s="41" t="s">
        <v>2174</v>
      </c>
      <c r="C247" t="s">
        <v>2175</v>
      </c>
    </row>
    <row r="248" spans="2:7">
      <c r="C248" t="s">
        <v>2176</v>
      </c>
    </row>
    <row r="249" spans="2:7">
      <c r="C249" t="s">
        <v>2177</v>
      </c>
    </row>
    <row r="250" spans="2:7">
      <c r="C250" t="s">
        <v>2178</v>
      </c>
    </row>
    <row r="251" spans="2:7">
      <c r="C251" s="262" t="s">
        <v>130</v>
      </c>
      <c r="D251" s="1" t="s">
        <v>129</v>
      </c>
      <c r="E251" s="42">
        <v>350</v>
      </c>
      <c r="G251" s="306">
        <f t="shared" ref="G251" si="22">E251*F251</f>
        <v>0</v>
      </c>
    </row>
    <row r="252" spans="2:7">
      <c r="C252"/>
    </row>
    <row r="253" spans="2:7" ht="38.25">
      <c r="B253" s="41" t="s">
        <v>2179</v>
      </c>
      <c r="C253" t="s">
        <v>2107</v>
      </c>
    </row>
    <row r="254" spans="2:7">
      <c r="C254" s="262" t="s">
        <v>1909</v>
      </c>
      <c r="D254" s="1" t="s">
        <v>115</v>
      </c>
      <c r="E254" s="42">
        <v>1</v>
      </c>
      <c r="G254" s="306">
        <f t="shared" ref="G254" si="23">E254*F254</f>
        <v>0</v>
      </c>
    </row>
    <row r="255" spans="2:7">
      <c r="C255"/>
    </row>
    <row r="256" spans="2:7" ht="13.5" thickBot="1">
      <c r="C256"/>
    </row>
    <row r="257" spans="1:7" ht="21.75" thickBot="1">
      <c r="A257" s="49" t="s">
        <v>18</v>
      </c>
      <c r="B257" s="50"/>
      <c r="C257" s="51" t="s">
        <v>2181</v>
      </c>
      <c r="D257" s="52"/>
      <c r="E257" s="53"/>
      <c r="F257" s="348"/>
      <c r="G257" s="307">
        <f>SUM(G146:G256)</f>
        <v>0</v>
      </c>
    </row>
    <row r="258" spans="1:7">
      <c r="C258"/>
    </row>
    <row r="259" spans="1:7">
      <c r="C259"/>
    </row>
    <row r="260" spans="1:7">
      <c r="C260"/>
    </row>
    <row r="261" spans="1:7" ht="21">
      <c r="A261" s="34" t="s">
        <v>19</v>
      </c>
      <c r="B261" s="35"/>
      <c r="C261" s="269" t="s">
        <v>2182</v>
      </c>
      <c r="D261" s="37"/>
      <c r="E261" s="38"/>
      <c r="F261" s="451"/>
      <c r="G261" s="452"/>
    </row>
    <row r="262" spans="1:7">
      <c r="C262"/>
    </row>
    <row r="263" spans="1:7" ht="51">
      <c r="B263" s="41" t="s">
        <v>9</v>
      </c>
      <c r="C263" t="s">
        <v>2183</v>
      </c>
    </row>
    <row r="264" spans="1:7">
      <c r="C264" t="s">
        <v>2184</v>
      </c>
      <c r="D264" s="1" t="s">
        <v>129</v>
      </c>
      <c r="E264" s="42">
        <v>35</v>
      </c>
      <c r="G264" s="306">
        <f t="shared" ref="G264:G270" si="24">E264*F264</f>
        <v>0</v>
      </c>
    </row>
    <row r="265" spans="1:7">
      <c r="C265" t="s">
        <v>2160</v>
      </c>
      <c r="D265" s="1" t="s">
        <v>129</v>
      </c>
      <c r="E265" s="42">
        <v>55</v>
      </c>
      <c r="G265" s="306">
        <f t="shared" si="24"/>
        <v>0</v>
      </c>
    </row>
    <row r="266" spans="1:7">
      <c r="C266" t="s">
        <v>2185</v>
      </c>
      <c r="D266" s="1" t="s">
        <v>129</v>
      </c>
      <c r="E266" s="42">
        <v>75</v>
      </c>
      <c r="G266" s="306">
        <f t="shared" si="24"/>
        <v>0</v>
      </c>
    </row>
    <row r="267" spans="1:7">
      <c r="C267" t="s">
        <v>2186</v>
      </c>
      <c r="D267" s="1" t="s">
        <v>129</v>
      </c>
      <c r="E267" s="42">
        <v>60</v>
      </c>
      <c r="G267" s="306">
        <f t="shared" si="24"/>
        <v>0</v>
      </c>
    </row>
    <row r="268" spans="1:7">
      <c r="C268" t="s">
        <v>2138</v>
      </c>
      <c r="D268" s="1" t="s">
        <v>129</v>
      </c>
      <c r="E268" s="42">
        <v>25</v>
      </c>
      <c r="G268" s="306">
        <f t="shared" si="24"/>
        <v>0</v>
      </c>
    </row>
    <row r="269" spans="1:7">
      <c r="C269" t="s">
        <v>2187</v>
      </c>
      <c r="D269" s="1" t="s">
        <v>129</v>
      </c>
      <c r="E269" s="42">
        <v>550</v>
      </c>
      <c r="G269" s="306">
        <f t="shared" si="24"/>
        <v>0</v>
      </c>
    </row>
    <row r="270" spans="1:7">
      <c r="C270" t="s">
        <v>2021</v>
      </c>
      <c r="D270" s="1" t="s">
        <v>129</v>
      </c>
      <c r="E270" s="42">
        <v>435</v>
      </c>
      <c r="G270" s="306">
        <f t="shared" si="24"/>
        <v>0</v>
      </c>
    </row>
    <row r="271" spans="1:7">
      <c r="C271"/>
    </row>
    <row r="272" spans="1:7" ht="25.5">
      <c r="B272" s="41" t="s">
        <v>18</v>
      </c>
      <c r="C272" t="s">
        <v>2157</v>
      </c>
    </row>
    <row r="273" spans="2:7">
      <c r="C273" t="s">
        <v>2184</v>
      </c>
      <c r="D273" s="1" t="s">
        <v>110</v>
      </c>
      <c r="E273" s="42">
        <v>5</v>
      </c>
      <c r="G273" s="306">
        <f t="shared" ref="G273:G279" si="25">E273*F273</f>
        <v>0</v>
      </c>
    </row>
    <row r="274" spans="2:7">
      <c r="C274" t="s">
        <v>2160</v>
      </c>
      <c r="D274" s="1" t="s">
        <v>110</v>
      </c>
      <c r="E274" s="42">
        <v>5</v>
      </c>
      <c r="G274" s="306">
        <f t="shared" si="25"/>
        <v>0</v>
      </c>
    </row>
    <row r="275" spans="2:7">
      <c r="C275" t="s">
        <v>2185</v>
      </c>
      <c r="D275" s="1" t="s">
        <v>110</v>
      </c>
      <c r="E275" s="42">
        <v>5</v>
      </c>
      <c r="G275" s="306">
        <f t="shared" si="25"/>
        <v>0</v>
      </c>
    </row>
    <row r="276" spans="2:7">
      <c r="C276" t="s">
        <v>2186</v>
      </c>
      <c r="D276" s="1" t="s">
        <v>110</v>
      </c>
      <c r="E276" s="42">
        <v>5</v>
      </c>
      <c r="G276" s="306">
        <f t="shared" si="25"/>
        <v>0</v>
      </c>
    </row>
    <row r="277" spans="2:7">
      <c r="C277" t="s">
        <v>2138</v>
      </c>
      <c r="D277" s="1" t="s">
        <v>110</v>
      </c>
      <c r="E277" s="42">
        <v>10</v>
      </c>
      <c r="G277" s="306">
        <f t="shared" si="25"/>
        <v>0</v>
      </c>
    </row>
    <row r="278" spans="2:7">
      <c r="C278" t="s">
        <v>2187</v>
      </c>
      <c r="D278" s="1" t="s">
        <v>110</v>
      </c>
      <c r="E278" s="42">
        <v>80</v>
      </c>
      <c r="G278" s="306">
        <f t="shared" si="25"/>
        <v>0</v>
      </c>
    </row>
    <row r="279" spans="2:7">
      <c r="C279" t="s">
        <v>2021</v>
      </c>
      <c r="D279" s="1" t="s">
        <v>110</v>
      </c>
      <c r="E279" s="42">
        <v>320</v>
      </c>
      <c r="G279" s="306">
        <f t="shared" si="25"/>
        <v>0</v>
      </c>
    </row>
    <row r="280" spans="2:7">
      <c r="C280"/>
    </row>
    <row r="281" spans="2:7" ht="76.5">
      <c r="B281" s="41" t="s">
        <v>19</v>
      </c>
      <c r="C281" t="s">
        <v>2188</v>
      </c>
    </row>
    <row r="282" spans="2:7">
      <c r="C282" t="s">
        <v>2189</v>
      </c>
      <c r="D282" s="1" t="s">
        <v>110</v>
      </c>
      <c r="E282" s="42">
        <v>6</v>
      </c>
      <c r="G282" s="306">
        <f t="shared" ref="G282:G286" si="26">E282*F282</f>
        <v>0</v>
      </c>
    </row>
    <row r="283" spans="2:7">
      <c r="C283" t="s">
        <v>2190</v>
      </c>
      <c r="D283" s="1" t="s">
        <v>110</v>
      </c>
      <c r="E283" s="42">
        <v>6</v>
      </c>
      <c r="G283" s="306">
        <f t="shared" si="26"/>
        <v>0</v>
      </c>
    </row>
    <row r="284" spans="2:7">
      <c r="C284" t="s">
        <v>2191</v>
      </c>
      <c r="D284" s="1" t="s">
        <v>110</v>
      </c>
      <c r="E284" s="42">
        <v>10</v>
      </c>
      <c r="G284" s="306">
        <f t="shared" si="26"/>
        <v>0</v>
      </c>
    </row>
    <row r="285" spans="2:7">
      <c r="C285" t="s">
        <v>2192</v>
      </c>
      <c r="D285" s="1" t="s">
        <v>110</v>
      </c>
      <c r="E285" s="42">
        <v>160</v>
      </c>
      <c r="G285" s="306">
        <f t="shared" si="26"/>
        <v>0</v>
      </c>
    </row>
    <row r="286" spans="2:7">
      <c r="C286" t="s">
        <v>2193</v>
      </c>
      <c r="D286" s="1" t="s">
        <v>110</v>
      </c>
      <c r="E286" s="42">
        <v>160</v>
      </c>
      <c r="G286" s="306">
        <f t="shared" si="26"/>
        <v>0</v>
      </c>
    </row>
    <row r="287" spans="2:7">
      <c r="C287"/>
    </row>
    <row r="288" spans="2:7" ht="25.5">
      <c r="B288" s="41" t="s">
        <v>20</v>
      </c>
      <c r="C288" t="s">
        <v>2194</v>
      </c>
    </row>
    <row r="289" spans="2:7">
      <c r="C289" t="s">
        <v>2195</v>
      </c>
      <c r="D289" s="1" t="s">
        <v>110</v>
      </c>
      <c r="E289" s="42">
        <v>20</v>
      </c>
      <c r="G289" s="306">
        <f t="shared" ref="G289:G297" si="27">E289*F289</f>
        <v>0</v>
      </c>
    </row>
    <row r="290" spans="2:7">
      <c r="C290" t="s">
        <v>2196</v>
      </c>
      <c r="D290" s="1" t="s">
        <v>110</v>
      </c>
      <c r="E290" s="42">
        <v>20</v>
      </c>
      <c r="G290" s="306">
        <f t="shared" si="27"/>
        <v>0</v>
      </c>
    </row>
    <row r="291" spans="2:7">
      <c r="C291" t="s">
        <v>2197</v>
      </c>
      <c r="D291" s="1" t="s">
        <v>110</v>
      </c>
      <c r="E291" s="42">
        <v>20</v>
      </c>
      <c r="G291" s="306">
        <f t="shared" si="27"/>
        <v>0</v>
      </c>
    </row>
    <row r="292" spans="2:7">
      <c r="C292" t="s">
        <v>2198</v>
      </c>
      <c r="D292" s="1" t="s">
        <v>110</v>
      </c>
      <c r="E292" s="42">
        <v>40</v>
      </c>
      <c r="G292" s="306">
        <f t="shared" si="27"/>
        <v>0</v>
      </c>
    </row>
    <row r="293" spans="2:7">
      <c r="C293" t="s">
        <v>2199</v>
      </c>
      <c r="D293" s="1" t="s">
        <v>110</v>
      </c>
      <c r="E293" s="42">
        <v>40</v>
      </c>
      <c r="G293" s="306">
        <f t="shared" si="27"/>
        <v>0</v>
      </c>
    </row>
    <row r="294" spans="2:7">
      <c r="C294" t="s">
        <v>2200</v>
      </c>
      <c r="D294" s="1" t="s">
        <v>110</v>
      </c>
      <c r="E294" s="42">
        <v>20</v>
      </c>
      <c r="G294" s="306">
        <f t="shared" si="27"/>
        <v>0</v>
      </c>
    </row>
    <row r="295" spans="2:7">
      <c r="C295" t="s">
        <v>2200</v>
      </c>
      <c r="D295" s="1" t="s">
        <v>110</v>
      </c>
      <c r="E295" s="42">
        <v>20</v>
      </c>
      <c r="G295" s="306">
        <f t="shared" si="27"/>
        <v>0</v>
      </c>
    </row>
    <row r="296" spans="2:7">
      <c r="C296" t="s">
        <v>2201</v>
      </c>
      <c r="D296" s="1" t="s">
        <v>110</v>
      </c>
      <c r="E296" s="42">
        <v>20</v>
      </c>
      <c r="G296" s="306">
        <f t="shared" si="27"/>
        <v>0</v>
      </c>
    </row>
    <row r="297" spans="2:7">
      <c r="C297" t="s">
        <v>2202</v>
      </c>
      <c r="D297" s="1" t="s">
        <v>110</v>
      </c>
      <c r="E297" s="42">
        <v>160</v>
      </c>
      <c r="G297" s="306">
        <f t="shared" si="27"/>
        <v>0</v>
      </c>
    </row>
    <row r="298" spans="2:7">
      <c r="C298"/>
    </row>
    <row r="299" spans="2:7" ht="25.5">
      <c r="B299" s="41" t="s">
        <v>21</v>
      </c>
      <c r="C299" t="s">
        <v>2203</v>
      </c>
    </row>
    <row r="300" spans="2:7">
      <c r="C300" t="s">
        <v>2204</v>
      </c>
      <c r="D300" s="1" t="s">
        <v>110</v>
      </c>
      <c r="E300" s="42">
        <v>10</v>
      </c>
      <c r="G300" s="306">
        <f t="shared" ref="G300:G306" si="28">E300*F300</f>
        <v>0</v>
      </c>
    </row>
    <row r="301" spans="2:7">
      <c r="C301" t="s">
        <v>2205</v>
      </c>
      <c r="D301" s="1" t="s">
        <v>110</v>
      </c>
      <c r="E301" s="42">
        <v>10</v>
      </c>
      <c r="G301" s="306">
        <f t="shared" si="28"/>
        <v>0</v>
      </c>
    </row>
    <row r="302" spans="2:7">
      <c r="C302" t="s">
        <v>2206</v>
      </c>
      <c r="D302" s="1" t="s">
        <v>110</v>
      </c>
      <c r="E302" s="42">
        <v>10</v>
      </c>
      <c r="G302" s="306">
        <f t="shared" si="28"/>
        <v>0</v>
      </c>
    </row>
    <row r="303" spans="2:7">
      <c r="C303" t="s">
        <v>2207</v>
      </c>
      <c r="D303" s="1" t="s">
        <v>110</v>
      </c>
      <c r="E303" s="42">
        <v>10</v>
      </c>
      <c r="G303" s="306">
        <f t="shared" si="28"/>
        <v>0</v>
      </c>
    </row>
    <row r="304" spans="2:7">
      <c r="C304" t="s">
        <v>2208</v>
      </c>
      <c r="D304" s="1" t="s">
        <v>110</v>
      </c>
      <c r="E304" s="42">
        <v>10</v>
      </c>
      <c r="G304" s="306">
        <f t="shared" si="28"/>
        <v>0</v>
      </c>
    </row>
    <row r="305" spans="2:7">
      <c r="C305" t="s">
        <v>2209</v>
      </c>
      <c r="D305" s="1" t="s">
        <v>110</v>
      </c>
      <c r="E305" s="42">
        <v>90</v>
      </c>
      <c r="G305" s="306">
        <f t="shared" si="28"/>
        <v>0</v>
      </c>
    </row>
    <row r="306" spans="2:7">
      <c r="C306" t="s">
        <v>2210</v>
      </c>
      <c r="D306" s="1" t="s">
        <v>110</v>
      </c>
      <c r="E306" s="42">
        <v>50</v>
      </c>
      <c r="G306" s="306">
        <f t="shared" si="28"/>
        <v>0</v>
      </c>
    </row>
    <row r="307" spans="2:7">
      <c r="C307"/>
    </row>
    <row r="308" spans="2:7" ht="63.75">
      <c r="B308" s="41" t="s">
        <v>60</v>
      </c>
      <c r="C308" t="s">
        <v>2211</v>
      </c>
    </row>
    <row r="309" spans="2:7">
      <c r="C309" t="s">
        <v>676</v>
      </c>
      <c r="D309" s="1" t="s">
        <v>40</v>
      </c>
      <c r="E309" s="42">
        <v>180</v>
      </c>
      <c r="G309" s="306">
        <f t="shared" ref="G309" si="29">E309*F309</f>
        <v>0</v>
      </c>
    </row>
    <row r="310" spans="2:7">
      <c r="C310"/>
    </row>
    <row r="311" spans="2:7" ht="63.75">
      <c r="B311" s="41" t="s">
        <v>78</v>
      </c>
      <c r="C311" t="s">
        <v>2212</v>
      </c>
    </row>
    <row r="312" spans="2:7">
      <c r="C312"/>
      <c r="D312" s="1" t="s">
        <v>115</v>
      </c>
      <c r="E312" s="42">
        <v>1</v>
      </c>
      <c r="G312" s="306">
        <f t="shared" ref="G312" si="30">E312*F312</f>
        <v>0</v>
      </c>
    </row>
    <row r="313" spans="2:7">
      <c r="C313"/>
    </row>
    <row r="314" spans="2:7">
      <c r="B314" s="41" t="s">
        <v>165</v>
      </c>
      <c r="C314" t="s">
        <v>2105</v>
      </c>
      <c r="D314" s="1" t="s">
        <v>115</v>
      </c>
      <c r="E314" s="42">
        <v>1</v>
      </c>
      <c r="G314" s="306">
        <f t="shared" ref="G314" si="31">E314*F314</f>
        <v>0</v>
      </c>
    </row>
    <row r="315" spans="2:7">
      <c r="C315"/>
    </row>
    <row r="316" spans="2:7">
      <c r="B316" s="41" t="s">
        <v>205</v>
      </c>
      <c r="C316" t="s">
        <v>2171</v>
      </c>
      <c r="D316" s="1" t="s">
        <v>115</v>
      </c>
      <c r="E316" s="42">
        <v>1</v>
      </c>
      <c r="G316" s="306">
        <f t="shared" ref="G316" si="32">E316*F316</f>
        <v>0</v>
      </c>
    </row>
    <row r="317" spans="2:7">
      <c r="C317"/>
    </row>
    <row r="318" spans="2:7" ht="38.25">
      <c r="B318" s="41" t="s">
        <v>206</v>
      </c>
      <c r="C318" t="s">
        <v>2107</v>
      </c>
    </row>
    <row r="319" spans="2:7">
      <c r="C319" t="s">
        <v>1909</v>
      </c>
      <c r="D319" s="1" t="s">
        <v>115</v>
      </c>
      <c r="E319" s="42">
        <v>1</v>
      </c>
      <c r="G319" s="306">
        <f t="shared" ref="G319" si="33">E319*F319</f>
        <v>0</v>
      </c>
    </row>
    <row r="320" spans="2:7">
      <c r="C320"/>
    </row>
    <row r="321" spans="1:7">
      <c r="C321"/>
    </row>
    <row r="322" spans="1:7" ht="25.5">
      <c r="B322" s="41" t="s">
        <v>233</v>
      </c>
      <c r="C322" t="s">
        <v>2108</v>
      </c>
      <c r="D322" s="1" t="s">
        <v>115</v>
      </c>
      <c r="E322" s="42">
        <v>1</v>
      </c>
      <c r="G322" s="306">
        <f t="shared" ref="G322" si="34">E322*F322</f>
        <v>0</v>
      </c>
    </row>
    <row r="323" spans="1:7">
      <c r="C323"/>
    </row>
    <row r="324" spans="1:7" ht="13.5" thickBot="1">
      <c r="C324"/>
    </row>
    <row r="325" spans="1:7" ht="21.75" thickBot="1">
      <c r="A325" s="49" t="s">
        <v>19</v>
      </c>
      <c r="B325" s="50"/>
      <c r="C325" s="51" t="s">
        <v>2213</v>
      </c>
      <c r="D325" s="52"/>
      <c r="E325" s="53"/>
      <c r="F325" s="348"/>
      <c r="G325" s="307">
        <f>SUM(G263:G324)</f>
        <v>0</v>
      </c>
    </row>
    <row r="326" spans="1:7">
      <c r="C326"/>
    </row>
    <row r="327" spans="1:7" ht="21">
      <c r="A327" s="34" t="s">
        <v>20</v>
      </c>
      <c r="B327" s="35"/>
      <c r="C327" s="269" t="s">
        <v>2214</v>
      </c>
      <c r="D327" s="37"/>
      <c r="E327" s="38"/>
      <c r="F327" s="451"/>
      <c r="G327" s="452"/>
    </row>
    <row r="328" spans="1:7">
      <c r="C328"/>
    </row>
    <row r="329" spans="1:7" ht="76.5">
      <c r="B329" s="41" t="s">
        <v>9</v>
      </c>
      <c r="C329" t="s">
        <v>2215</v>
      </c>
    </row>
    <row r="330" spans="1:7">
      <c r="C330" t="s">
        <v>111</v>
      </c>
      <c r="D330" s="1" t="s">
        <v>110</v>
      </c>
      <c r="E330" s="42">
        <v>153</v>
      </c>
      <c r="G330" s="306">
        <f t="shared" ref="G330" si="35">E330*F330</f>
        <v>0</v>
      </c>
    </row>
    <row r="331" spans="1:7">
      <c r="C331"/>
    </row>
    <row r="332" spans="1:7">
      <c r="B332" s="41" t="s">
        <v>18</v>
      </c>
      <c r="C332" t="s">
        <v>2216</v>
      </c>
      <c r="D332" s="1" t="s">
        <v>110</v>
      </c>
      <c r="E332" s="42">
        <v>153</v>
      </c>
      <c r="G332" s="306">
        <f t="shared" ref="G332" si="36">E332*F332</f>
        <v>0</v>
      </c>
    </row>
    <row r="333" spans="1:7">
      <c r="C333"/>
    </row>
    <row r="334" spans="1:7">
      <c r="B334" s="41" t="s">
        <v>19</v>
      </c>
      <c r="C334" t="s">
        <v>2217</v>
      </c>
    </row>
    <row r="335" spans="1:7">
      <c r="C335" t="s">
        <v>2024</v>
      </c>
      <c r="D335" s="1" t="s">
        <v>110</v>
      </c>
      <c r="E335" s="42">
        <v>152</v>
      </c>
      <c r="G335" s="306">
        <f t="shared" ref="G335" si="37">E335*F335</f>
        <v>0</v>
      </c>
    </row>
    <row r="336" spans="1:7">
      <c r="C336"/>
    </row>
    <row r="337" spans="2:7" ht="51">
      <c r="B337" s="41" t="s">
        <v>20</v>
      </c>
      <c r="C337" t="s">
        <v>2183</v>
      </c>
    </row>
    <row r="338" spans="2:7">
      <c r="C338" t="s">
        <v>2021</v>
      </c>
      <c r="D338" s="1" t="s">
        <v>129</v>
      </c>
      <c r="E338" s="42">
        <v>405</v>
      </c>
      <c r="G338" s="306">
        <f t="shared" ref="G338:G340" si="38">E338*F338</f>
        <v>0</v>
      </c>
    </row>
    <row r="339" spans="2:7">
      <c r="C339" t="s">
        <v>2156</v>
      </c>
      <c r="D339" s="1" t="s">
        <v>129</v>
      </c>
      <c r="E339" s="42">
        <v>450</v>
      </c>
      <c r="G339" s="306">
        <f t="shared" si="38"/>
        <v>0</v>
      </c>
    </row>
    <row r="340" spans="2:7">
      <c r="C340" t="s">
        <v>2024</v>
      </c>
      <c r="D340" s="1" t="s">
        <v>129</v>
      </c>
      <c r="E340" s="42">
        <v>1530</v>
      </c>
      <c r="G340" s="306">
        <f t="shared" si="38"/>
        <v>0</v>
      </c>
    </row>
    <row r="341" spans="2:7">
      <c r="C341"/>
    </row>
    <row r="342" spans="2:7" ht="25.5">
      <c r="B342" s="41" t="s">
        <v>21</v>
      </c>
      <c r="C342" t="s">
        <v>2218</v>
      </c>
    </row>
    <row r="343" spans="2:7">
      <c r="C343" t="s">
        <v>2021</v>
      </c>
      <c r="D343" s="1" t="s">
        <v>110</v>
      </c>
      <c r="E343" s="42">
        <v>310</v>
      </c>
      <c r="G343" s="306">
        <f t="shared" ref="G343:G345" si="39">E343*F343</f>
        <v>0</v>
      </c>
    </row>
    <row r="344" spans="2:7">
      <c r="C344" t="s">
        <v>2156</v>
      </c>
      <c r="D344" s="1" t="s">
        <v>110</v>
      </c>
      <c r="E344" s="42">
        <v>850</v>
      </c>
      <c r="G344" s="306">
        <f t="shared" si="39"/>
        <v>0</v>
      </c>
    </row>
    <row r="345" spans="2:7">
      <c r="C345" t="s">
        <v>2024</v>
      </c>
      <c r="D345" s="1" t="s">
        <v>110</v>
      </c>
      <c r="E345" s="42">
        <v>675</v>
      </c>
      <c r="G345" s="306">
        <f t="shared" si="39"/>
        <v>0</v>
      </c>
    </row>
    <row r="346" spans="2:7">
      <c r="C346"/>
    </row>
    <row r="347" spans="2:7" ht="25.5">
      <c r="B347" s="41" t="s">
        <v>60</v>
      </c>
      <c r="C347" t="s">
        <v>2194</v>
      </c>
    </row>
    <row r="348" spans="2:7">
      <c r="C348" t="s">
        <v>2219</v>
      </c>
      <c r="D348" s="1" t="s">
        <v>110</v>
      </c>
      <c r="E348" s="42">
        <v>152</v>
      </c>
      <c r="G348" s="306">
        <f t="shared" ref="G348:G349" si="40">E348*F348</f>
        <v>0</v>
      </c>
    </row>
    <row r="349" spans="2:7">
      <c r="C349" t="s">
        <v>2220</v>
      </c>
      <c r="D349" s="1" t="s">
        <v>110</v>
      </c>
      <c r="E349" s="42">
        <v>152</v>
      </c>
      <c r="G349" s="306">
        <f t="shared" si="40"/>
        <v>0</v>
      </c>
    </row>
    <row r="350" spans="2:7">
      <c r="C350"/>
    </row>
    <row r="351" spans="2:7" ht="25.5">
      <c r="B351" s="41" t="s">
        <v>78</v>
      </c>
      <c r="C351" t="s">
        <v>2203</v>
      </c>
    </row>
    <row r="352" spans="2:7">
      <c r="C352" t="s">
        <v>2210</v>
      </c>
      <c r="D352" s="1" t="s">
        <v>110</v>
      </c>
      <c r="E352" s="42">
        <v>152</v>
      </c>
      <c r="G352" s="306">
        <f t="shared" ref="G352" si="41">E352*F352</f>
        <v>0</v>
      </c>
    </row>
    <row r="353" spans="2:7">
      <c r="C353"/>
    </row>
    <row r="354" spans="2:7" ht="38.25">
      <c r="B354" s="41" t="s">
        <v>165</v>
      </c>
      <c r="C354" t="s">
        <v>2221</v>
      </c>
    </row>
    <row r="355" spans="2:7">
      <c r="C355" t="s">
        <v>1909</v>
      </c>
      <c r="D355" s="1" t="s">
        <v>115</v>
      </c>
      <c r="E355" s="42">
        <v>1</v>
      </c>
      <c r="G355" s="306">
        <f t="shared" ref="G355" si="42">E355*F355</f>
        <v>0</v>
      </c>
    </row>
    <row r="356" spans="2:7">
      <c r="C356"/>
    </row>
    <row r="357" spans="2:7" ht="76.5">
      <c r="B357" s="41" t="s">
        <v>205</v>
      </c>
      <c r="C357" t="s">
        <v>2188</v>
      </c>
    </row>
    <row r="358" spans="2:7">
      <c r="C358" t="s">
        <v>2222</v>
      </c>
      <c r="D358" s="1" t="s">
        <v>110</v>
      </c>
      <c r="E358" s="42">
        <v>4</v>
      </c>
      <c r="G358" s="306">
        <f t="shared" ref="G358:G360" si="43">E358*F358</f>
        <v>0</v>
      </c>
    </row>
    <row r="359" spans="2:7">
      <c r="C359" t="s">
        <v>2223</v>
      </c>
      <c r="D359" s="1" t="s">
        <v>110</v>
      </c>
      <c r="E359" s="42">
        <v>120</v>
      </c>
      <c r="G359" s="306">
        <f t="shared" si="43"/>
        <v>0</v>
      </c>
    </row>
    <row r="360" spans="2:7">
      <c r="C360" t="s">
        <v>2224</v>
      </c>
      <c r="D360" s="1" t="s">
        <v>110</v>
      </c>
      <c r="E360" s="42">
        <v>182</v>
      </c>
      <c r="G360" s="306">
        <f t="shared" si="43"/>
        <v>0</v>
      </c>
    </row>
    <row r="361" spans="2:7">
      <c r="C361"/>
    </row>
    <row r="362" spans="2:7" ht="63.75">
      <c r="B362" s="41" t="s">
        <v>206</v>
      </c>
      <c r="C362" t="s">
        <v>2211</v>
      </c>
    </row>
    <row r="363" spans="2:7">
      <c r="C363" t="s">
        <v>676</v>
      </c>
      <c r="D363" s="1" t="s">
        <v>40</v>
      </c>
      <c r="E363" s="42">
        <v>185</v>
      </c>
      <c r="G363" s="306">
        <f t="shared" ref="G363:G364" si="44">E363*F363</f>
        <v>0</v>
      </c>
    </row>
    <row r="364" spans="2:7" ht="63.75">
      <c r="B364" s="41" t="s">
        <v>233</v>
      </c>
      <c r="C364" t="s">
        <v>2225</v>
      </c>
      <c r="D364" s="1" t="s">
        <v>115</v>
      </c>
      <c r="E364" s="102">
        <v>1</v>
      </c>
      <c r="G364" s="306">
        <f t="shared" si="44"/>
        <v>0</v>
      </c>
    </row>
    <row r="365" spans="2:7">
      <c r="C365"/>
    </row>
    <row r="366" spans="2:7">
      <c r="B366" s="41" t="s">
        <v>245</v>
      </c>
      <c r="C366" t="s">
        <v>2105</v>
      </c>
      <c r="D366" s="1" t="s">
        <v>115</v>
      </c>
      <c r="E366" s="42">
        <v>1</v>
      </c>
      <c r="G366" s="306">
        <f t="shared" ref="G366" si="45">E366*F366</f>
        <v>0</v>
      </c>
    </row>
    <row r="367" spans="2:7">
      <c r="C367"/>
    </row>
    <row r="368" spans="2:7">
      <c r="B368" s="41" t="s">
        <v>250</v>
      </c>
      <c r="C368" t="s">
        <v>2171</v>
      </c>
      <c r="D368" s="1" t="s">
        <v>115</v>
      </c>
      <c r="E368" s="42">
        <v>1</v>
      </c>
      <c r="G368" s="306">
        <f t="shared" ref="G368" si="46">E368*F368</f>
        <v>0</v>
      </c>
    </row>
    <row r="369" spans="1:7">
      <c r="C369"/>
    </row>
    <row r="370" spans="1:7" ht="38.25">
      <c r="B370" s="41" t="s">
        <v>734</v>
      </c>
      <c r="C370" t="s">
        <v>2107</v>
      </c>
      <c r="D370" s="1" t="s">
        <v>115</v>
      </c>
      <c r="E370" s="102">
        <v>1</v>
      </c>
      <c r="G370" s="306">
        <f t="shared" ref="G370" si="47">E370*F370</f>
        <v>0</v>
      </c>
    </row>
    <row r="371" spans="1:7">
      <c r="C371"/>
    </row>
    <row r="372" spans="1:7" ht="25.5">
      <c r="B372" s="41" t="s">
        <v>1674</v>
      </c>
      <c r="C372" t="s">
        <v>2108</v>
      </c>
      <c r="D372" s="1" t="s">
        <v>115</v>
      </c>
      <c r="E372" s="102">
        <v>1</v>
      </c>
      <c r="G372" s="306">
        <f t="shared" ref="G372" si="48">E372*F372</f>
        <v>0</v>
      </c>
    </row>
    <row r="374" spans="1:7" ht="13.5" thickBot="1"/>
    <row r="375" spans="1:7" ht="21.75" thickBot="1">
      <c r="A375" s="49" t="s">
        <v>20</v>
      </c>
      <c r="B375" s="50"/>
      <c r="C375" s="51" t="s">
        <v>2226</v>
      </c>
      <c r="D375" s="52"/>
      <c r="E375" s="53"/>
      <c r="F375" s="348"/>
      <c r="G375" s="307">
        <f>SUM(G328:G374)</f>
        <v>0</v>
      </c>
    </row>
    <row r="398" spans="1:7" ht="23.25">
      <c r="A398" s="62"/>
      <c r="B398" s="63"/>
      <c r="C398" s="64" t="s">
        <v>1318</v>
      </c>
      <c r="D398" s="65"/>
      <c r="E398" s="66"/>
      <c r="F398" s="330"/>
      <c r="G398" s="305"/>
    </row>
    <row r="399" spans="1:7" ht="13.5" thickBot="1">
      <c r="C399" s="21"/>
    </row>
    <row r="400" spans="1:7" ht="19.5" thickBot="1">
      <c r="A400" s="68" t="s">
        <v>9</v>
      </c>
      <c r="B400" s="69"/>
      <c r="C400" s="70" t="s">
        <v>2110</v>
      </c>
      <c r="D400" s="71"/>
      <c r="E400" s="72"/>
      <c r="F400" s="331"/>
      <c r="G400" s="307">
        <f>G139</f>
        <v>0</v>
      </c>
    </row>
    <row r="401" spans="1:7" ht="19.5" thickBot="1">
      <c r="A401" s="68" t="s">
        <v>18</v>
      </c>
      <c r="B401" s="69"/>
      <c r="C401" s="74" t="s">
        <v>2181</v>
      </c>
      <c r="D401" s="71"/>
      <c r="E401" s="72"/>
      <c r="F401" s="331"/>
      <c r="G401" s="307">
        <f>G257</f>
        <v>0</v>
      </c>
    </row>
    <row r="402" spans="1:7" ht="19.5" thickBot="1">
      <c r="A402" s="68" t="s">
        <v>19</v>
      </c>
      <c r="B402" s="69"/>
      <c r="C402" s="70" t="s">
        <v>2227</v>
      </c>
      <c r="D402" s="71"/>
      <c r="E402" s="72"/>
      <c r="F402" s="331"/>
      <c r="G402" s="307">
        <f>G325</f>
        <v>0</v>
      </c>
    </row>
    <row r="403" spans="1:7" ht="19.5" thickBot="1">
      <c r="A403" s="68" t="s">
        <v>20</v>
      </c>
      <c r="B403" s="69"/>
      <c r="C403" s="70" t="s">
        <v>2226</v>
      </c>
      <c r="D403" s="71"/>
      <c r="E403" s="72"/>
      <c r="F403" s="331"/>
      <c r="G403" s="307">
        <f>G375</f>
        <v>0</v>
      </c>
    </row>
    <row r="405" spans="1:7" ht="46.5">
      <c r="A405" s="610"/>
      <c r="B405" s="63"/>
      <c r="C405" s="64" t="s">
        <v>2228</v>
      </c>
      <c r="D405" s="65"/>
      <c r="E405" s="66"/>
      <c r="F405" s="330"/>
      <c r="G405" s="305">
        <f>SUM(G399:G404)</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&amp;L&amp;K01+043Troškovnik&amp;C&amp;"-,Podebljano"&amp;K01+043STROJARSKI PROJEKT
Plinske instalacije&amp;R&amp;K01+043STAMBENO - POSLOVNA GRAĐEVINA, BLATO</oddHeader>
    <oddFooter>&amp;C&amp;K00-049V V - PROJEKT d.o.o. Put Supavla 1, 21000 Split, tel/fax: 021/322-249</oddFooter>
  </headerFooter>
  <rowBreaks count="7" manualBreakCount="7">
    <brk id="46" max="16383" man="1"/>
    <brk id="119" max="16383" man="1"/>
    <brk id="166" max="16383" man="1"/>
    <brk id="200" max="16383" man="1"/>
    <brk id="243" max="16383" man="1"/>
    <brk id="326" max="16383" man="1"/>
    <brk id="363"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690"/>
  <sheetViews>
    <sheetView view="pageBreakPreview" topLeftCell="A680" zoomScale="120" zoomScaleNormal="100" zoomScaleSheetLayoutView="120" workbookViewId="0">
      <selection activeCell="C696" sqref="C696"/>
    </sheetView>
  </sheetViews>
  <sheetFormatPr defaultColWidth="8" defaultRowHeight="12.75"/>
  <cols>
    <col min="1" max="1" width="6" style="40" customWidth="1"/>
    <col min="2" max="2" width="5.5703125" style="41" customWidth="1"/>
    <col min="3" max="3" width="61.85546875" style="56" customWidth="1"/>
    <col min="4" max="4" width="5.5703125" style="1" customWidth="1"/>
    <col min="5" max="5" width="9.140625" style="42" customWidth="1"/>
    <col min="6" max="6" width="9.140625" style="15" customWidth="1"/>
    <col min="7" max="7" width="13.85546875" style="306" customWidth="1"/>
    <col min="8" max="16384" width="8" style="21"/>
  </cols>
  <sheetData>
    <row r="4" spans="1:7" ht="46.5">
      <c r="A4" s="90"/>
      <c r="B4" s="21"/>
      <c r="C4" s="20" t="s">
        <v>0</v>
      </c>
      <c r="D4" s="21"/>
      <c r="E4" s="92"/>
      <c r="F4" s="92"/>
      <c r="G4" s="432"/>
    </row>
    <row r="5" spans="1:7">
      <c r="A5" s="90"/>
      <c r="B5" s="21"/>
      <c r="C5" s="22"/>
      <c r="D5" s="21"/>
      <c r="E5" s="92"/>
      <c r="F5" s="92"/>
      <c r="G5" s="432"/>
    </row>
    <row r="6" spans="1:7" ht="21">
      <c r="A6" s="90"/>
      <c r="B6" s="21"/>
      <c r="C6" s="23" t="s">
        <v>428</v>
      </c>
      <c r="D6" s="21"/>
      <c r="E6" s="92"/>
      <c r="F6" s="92"/>
      <c r="G6" s="432"/>
    </row>
    <row r="7" spans="1:7" ht="21">
      <c r="A7" s="90"/>
      <c r="B7" s="21"/>
      <c r="C7" s="24"/>
      <c r="D7" s="21"/>
      <c r="E7" s="92"/>
      <c r="F7" s="92"/>
      <c r="G7" s="432"/>
    </row>
    <row r="8" spans="1:7" ht="23.25">
      <c r="A8" s="90"/>
      <c r="B8" s="21"/>
      <c r="C8" s="25" t="s">
        <v>2229</v>
      </c>
      <c r="D8" s="21"/>
      <c r="E8" s="92"/>
      <c r="F8" s="92"/>
      <c r="G8" s="432"/>
    </row>
    <row r="9" spans="1:7" ht="15.75">
      <c r="A9" s="90"/>
      <c r="B9" s="21"/>
      <c r="C9" s="26" t="s">
        <v>2230</v>
      </c>
      <c r="D9" s="21"/>
      <c r="E9" s="92"/>
      <c r="F9" s="92"/>
      <c r="G9" s="432"/>
    </row>
    <row r="10" spans="1:7" ht="15.75">
      <c r="A10" s="90"/>
      <c r="B10" s="21"/>
      <c r="C10" s="27" t="s">
        <v>2231</v>
      </c>
      <c r="D10" s="21"/>
      <c r="E10" s="92"/>
      <c r="F10" s="92"/>
      <c r="G10" s="432"/>
    </row>
    <row r="11" spans="1:7">
      <c r="A11" s="90"/>
      <c r="B11" s="21"/>
      <c r="C11" s="22"/>
      <c r="D11" s="21"/>
      <c r="E11" s="92"/>
      <c r="F11" s="92"/>
      <c r="G11" s="432"/>
    </row>
    <row r="12" spans="1:7">
      <c r="A12" s="90"/>
      <c r="B12" s="21"/>
      <c r="C12" s="28" t="s">
        <v>2232</v>
      </c>
      <c r="D12" s="21"/>
      <c r="E12" s="92"/>
      <c r="F12" s="92"/>
      <c r="G12" s="432"/>
    </row>
    <row r="16" spans="1:7" ht="23.25">
      <c r="A16" s="90"/>
      <c r="B16" s="21"/>
      <c r="C16" s="25" t="s">
        <v>2233</v>
      </c>
      <c r="D16" s="21"/>
      <c r="E16" s="92"/>
      <c r="F16" s="92"/>
      <c r="G16" s="432"/>
    </row>
    <row r="17" spans="1:7" ht="15.75">
      <c r="A17" s="90"/>
      <c r="B17" s="21"/>
      <c r="C17" s="26" t="s">
        <v>2230</v>
      </c>
      <c r="D17" s="21"/>
      <c r="E17" s="92"/>
      <c r="F17" s="92"/>
      <c r="G17" s="432"/>
    </row>
    <row r="18" spans="1:7" ht="15.75">
      <c r="A18" s="90"/>
      <c r="B18" s="21"/>
      <c r="C18" s="27" t="s">
        <v>2234</v>
      </c>
      <c r="D18" s="21"/>
      <c r="E18" s="92"/>
      <c r="F18" s="92"/>
      <c r="G18" s="432"/>
    </row>
    <row r="19" spans="1:7">
      <c r="A19" s="90"/>
      <c r="B19" s="21"/>
      <c r="C19" s="22"/>
      <c r="D19" s="21"/>
      <c r="E19" s="92"/>
      <c r="F19" s="92"/>
      <c r="G19" s="432"/>
    </row>
    <row r="20" spans="1:7">
      <c r="A20" s="90"/>
      <c r="B20" s="21"/>
      <c r="C20" s="28" t="s">
        <v>2232</v>
      </c>
      <c r="D20" s="21"/>
      <c r="E20" s="92"/>
      <c r="F20" s="92"/>
      <c r="G20" s="432"/>
    </row>
    <row r="52" spans="1:7" ht="25.5">
      <c r="A52" s="29" t="s">
        <v>4</v>
      </c>
      <c r="B52" s="30"/>
      <c r="C52" s="31" t="s">
        <v>5</v>
      </c>
      <c r="D52" s="32" t="s">
        <v>109</v>
      </c>
      <c r="E52" s="33" t="s">
        <v>6</v>
      </c>
      <c r="F52" s="99" t="s">
        <v>113</v>
      </c>
      <c r="G52" s="442" t="s">
        <v>8</v>
      </c>
    </row>
    <row r="54" spans="1:7" ht="21">
      <c r="A54" s="34" t="s">
        <v>9</v>
      </c>
      <c r="B54" s="35"/>
      <c r="C54" s="39" t="s">
        <v>2235</v>
      </c>
      <c r="D54" s="37"/>
      <c r="E54" s="38"/>
      <c r="F54" s="438"/>
      <c r="G54" s="443"/>
    </row>
    <row r="56" spans="1:7">
      <c r="C56"/>
    </row>
    <row r="57" spans="1:7" ht="15">
      <c r="A57" s="89">
        <v>1.1000000000000001</v>
      </c>
      <c r="B57" s="76"/>
      <c r="C57" s="76" t="s">
        <v>1721</v>
      </c>
      <c r="D57" s="76"/>
      <c r="E57" s="13"/>
      <c r="F57" s="13"/>
      <c r="G57" s="304"/>
    </row>
    <row r="58" spans="1:7">
      <c r="C58"/>
    </row>
    <row r="59" spans="1:7" ht="15.75" thickBot="1">
      <c r="B59" s="54" t="s">
        <v>9</v>
      </c>
      <c r="C59" s="54" t="s">
        <v>1121</v>
      </c>
    </row>
    <row r="60" spans="1:7">
      <c r="C60"/>
    </row>
    <row r="61" spans="1:7" ht="25.5">
      <c r="B61" s="40" t="s">
        <v>1333</v>
      </c>
      <c r="C61" t="s">
        <v>2236</v>
      </c>
    </row>
    <row r="62" spans="1:7">
      <c r="B62" s="40"/>
      <c r="C62" s="21" t="s">
        <v>128</v>
      </c>
      <c r="D62" s="1" t="s">
        <v>129</v>
      </c>
      <c r="E62" s="42">
        <v>540</v>
      </c>
      <c r="G62" s="306">
        <f>E62*F62</f>
        <v>0</v>
      </c>
    </row>
    <row r="63" spans="1:7">
      <c r="C63"/>
    </row>
    <row r="64" spans="1:7" ht="114.75">
      <c r="B64" s="40" t="s">
        <v>1336</v>
      </c>
      <c r="C64" t="s">
        <v>2237</v>
      </c>
    </row>
    <row r="65" spans="2:7">
      <c r="B65" s="40"/>
      <c r="C65" s="21" t="s">
        <v>2238</v>
      </c>
      <c r="D65" s="1" t="s">
        <v>321</v>
      </c>
      <c r="E65" s="42">
        <v>810</v>
      </c>
      <c r="G65" s="306">
        <f>E65*F65</f>
        <v>0</v>
      </c>
    </row>
    <row r="66" spans="2:7">
      <c r="C66"/>
    </row>
    <row r="67" spans="2:7" ht="127.5">
      <c r="B67" s="40" t="s">
        <v>1337</v>
      </c>
      <c r="C67" t="s">
        <v>2239</v>
      </c>
    </row>
    <row r="68" spans="2:7">
      <c r="B68" s="40"/>
      <c r="C68" s="21" t="s">
        <v>2238</v>
      </c>
      <c r="D68" s="1" t="s">
        <v>321</v>
      </c>
      <c r="E68" s="42">
        <v>30</v>
      </c>
      <c r="G68" s="306">
        <f>E68*F68</f>
        <v>0</v>
      </c>
    </row>
    <row r="69" spans="2:7">
      <c r="C69"/>
    </row>
    <row r="70" spans="2:7" ht="76.5">
      <c r="B70" s="40" t="s">
        <v>1341</v>
      </c>
      <c r="C70" t="s">
        <v>2240</v>
      </c>
    </row>
    <row r="71" spans="2:7">
      <c r="B71" s="40"/>
      <c r="C71" s="21" t="s">
        <v>2241</v>
      </c>
      <c r="D71" s="1" t="s">
        <v>1120</v>
      </c>
      <c r="E71" s="42">
        <v>540</v>
      </c>
      <c r="G71" s="306">
        <f>E71*F71</f>
        <v>0</v>
      </c>
    </row>
    <row r="72" spans="2:7">
      <c r="C72"/>
    </row>
    <row r="73" spans="2:7" ht="102">
      <c r="B73" s="40" t="s">
        <v>1349</v>
      </c>
      <c r="C73" t="s">
        <v>2242</v>
      </c>
    </row>
    <row r="74" spans="2:7">
      <c r="B74" s="40"/>
      <c r="C74" s="21" t="s">
        <v>2243</v>
      </c>
      <c r="D74" s="1" t="s">
        <v>321</v>
      </c>
      <c r="E74" s="42">
        <v>65</v>
      </c>
      <c r="G74" s="306">
        <f>E74*F74</f>
        <v>0</v>
      </c>
    </row>
    <row r="75" spans="2:7">
      <c r="C75"/>
    </row>
    <row r="76" spans="2:7" ht="38.25">
      <c r="B76" s="40" t="s">
        <v>1355</v>
      </c>
      <c r="C76" t="s">
        <v>2244</v>
      </c>
    </row>
    <row r="77" spans="2:7">
      <c r="B77" s="40"/>
      <c r="C77" s="21" t="s">
        <v>2243</v>
      </c>
      <c r="D77" s="1" t="s">
        <v>321</v>
      </c>
      <c r="E77" s="42">
        <v>180</v>
      </c>
      <c r="G77" s="306">
        <f>E77*F77</f>
        <v>0</v>
      </c>
    </row>
    <row r="78" spans="2:7">
      <c r="C78"/>
    </row>
    <row r="79" spans="2:7" ht="51">
      <c r="B79" s="40" t="s">
        <v>1498</v>
      </c>
      <c r="C79" t="s">
        <v>2245</v>
      </c>
    </row>
    <row r="80" spans="2:7">
      <c r="B80" s="40"/>
      <c r="C80" s="21" t="s">
        <v>2243</v>
      </c>
      <c r="D80" s="1" t="s">
        <v>321</v>
      </c>
      <c r="E80" s="42">
        <v>565</v>
      </c>
      <c r="G80" s="306">
        <f>E80*F80</f>
        <v>0</v>
      </c>
    </row>
    <row r="81" spans="2:7">
      <c r="C81"/>
    </row>
    <row r="82" spans="2:7" ht="63.75">
      <c r="B82" s="40" t="s">
        <v>1506</v>
      </c>
      <c r="C82" t="s">
        <v>2246</v>
      </c>
    </row>
    <row r="83" spans="2:7">
      <c r="B83" s="40"/>
      <c r="C83" s="21" t="s">
        <v>2243</v>
      </c>
      <c r="D83" s="1" t="s">
        <v>321</v>
      </c>
      <c r="E83" s="42">
        <v>275</v>
      </c>
      <c r="G83" s="306">
        <f>E83*F83</f>
        <v>0</v>
      </c>
    </row>
    <row r="84" spans="2:7">
      <c r="C84"/>
    </row>
    <row r="85" spans="2:7" ht="15.75" thickBot="1">
      <c r="B85" s="54" t="s">
        <v>18</v>
      </c>
      <c r="C85" s="54" t="s">
        <v>2247</v>
      </c>
    </row>
    <row r="86" spans="2:7">
      <c r="C86"/>
    </row>
    <row r="87" spans="2:7" ht="140.25">
      <c r="B87" s="40" t="s">
        <v>1516</v>
      </c>
      <c r="C87" t="s">
        <v>2248</v>
      </c>
    </row>
    <row r="88" spans="2:7">
      <c r="B88" s="40"/>
      <c r="C88" s="21" t="s">
        <v>2249</v>
      </c>
      <c r="D88" s="1" t="s">
        <v>115</v>
      </c>
      <c r="E88" s="42">
        <v>1</v>
      </c>
      <c r="G88" s="306">
        <f>E88*F88</f>
        <v>0</v>
      </c>
    </row>
    <row r="89" spans="2:7">
      <c r="B89" s="40"/>
      <c r="C89" s="21"/>
    </row>
    <row r="90" spans="2:7" ht="25.5">
      <c r="B90" s="40" t="s">
        <v>1533</v>
      </c>
      <c r="C90" t="s">
        <v>2250</v>
      </c>
    </row>
    <row r="91" spans="2:7">
      <c r="B91" s="40"/>
      <c r="C91" s="21" t="s">
        <v>679</v>
      </c>
      <c r="D91" s="1" t="s">
        <v>110</v>
      </c>
      <c r="E91" s="42">
        <v>70</v>
      </c>
      <c r="G91" s="306">
        <f>E91*F91</f>
        <v>0</v>
      </c>
    </row>
    <row r="92" spans="2:7">
      <c r="B92" s="40"/>
      <c r="C92" s="21"/>
    </row>
    <row r="93" spans="2:7" ht="76.5">
      <c r="B93" s="40" t="s">
        <v>1546</v>
      </c>
      <c r="C93" t="s">
        <v>2251</v>
      </c>
    </row>
    <row r="94" spans="2:7">
      <c r="B94" s="40"/>
      <c r="C94" s="21" t="s">
        <v>679</v>
      </c>
      <c r="D94" s="1" t="s">
        <v>110</v>
      </c>
      <c r="E94" s="42">
        <v>6</v>
      </c>
      <c r="G94" s="306">
        <f>E94*F94</f>
        <v>0</v>
      </c>
    </row>
    <row r="95" spans="2:7">
      <c r="B95" s="40"/>
      <c r="C95" s="21"/>
    </row>
    <row r="96" spans="2:7" ht="25.5">
      <c r="B96" s="40" t="s">
        <v>1568</v>
      </c>
      <c r="C96" t="s">
        <v>2252</v>
      </c>
    </row>
    <row r="97" spans="1:7">
      <c r="B97" s="40"/>
      <c r="C97" s="21" t="s">
        <v>679</v>
      </c>
      <c r="D97" s="1" t="s">
        <v>110</v>
      </c>
      <c r="E97" s="42">
        <v>6</v>
      </c>
      <c r="G97" s="306">
        <f>E97*F97</f>
        <v>0</v>
      </c>
    </row>
    <row r="98" spans="1:7">
      <c r="B98" s="40"/>
      <c r="C98" s="21"/>
    </row>
    <row r="99" spans="1:7" ht="15">
      <c r="A99" s="89">
        <v>1.2</v>
      </c>
      <c r="B99" s="76"/>
      <c r="C99" s="76" t="s">
        <v>2253</v>
      </c>
      <c r="D99" s="76"/>
      <c r="E99" s="13"/>
      <c r="F99" s="13"/>
      <c r="G99" s="304"/>
    </row>
    <row r="100" spans="1:7">
      <c r="B100" s="40"/>
      <c r="C100" s="21"/>
    </row>
    <row r="101" spans="1:7" ht="63.75">
      <c r="B101" s="40" t="s">
        <v>9</v>
      </c>
      <c r="C101" s="21" t="s">
        <v>2254</v>
      </c>
    </row>
    <row r="102" spans="1:7">
      <c r="B102" s="40"/>
      <c r="C102" s="21" t="s">
        <v>1909</v>
      </c>
    </row>
    <row r="103" spans="1:7">
      <c r="B103" s="40"/>
      <c r="C103" s="21" t="s">
        <v>2255</v>
      </c>
      <c r="D103" s="1" t="s">
        <v>115</v>
      </c>
      <c r="E103" s="42">
        <v>1</v>
      </c>
      <c r="G103" s="306">
        <f>E103*F103</f>
        <v>0</v>
      </c>
    </row>
    <row r="104" spans="1:7">
      <c r="B104" s="40"/>
      <c r="C104" s="21"/>
    </row>
    <row r="105" spans="1:7" ht="89.25">
      <c r="B105" s="40" t="s">
        <v>18</v>
      </c>
      <c r="C105" s="21" t="s">
        <v>2256</v>
      </c>
    </row>
    <row r="106" spans="1:7">
      <c r="B106" s="40"/>
      <c r="C106" s="21" t="s">
        <v>128</v>
      </c>
    </row>
    <row r="107" spans="1:7">
      <c r="B107" s="40"/>
      <c r="C107" s="21" t="s">
        <v>2257</v>
      </c>
      <c r="D107" s="1" t="s">
        <v>129</v>
      </c>
      <c r="E107" s="42">
        <v>390</v>
      </c>
      <c r="G107" s="306">
        <f>E107*F107</f>
        <v>0</v>
      </c>
    </row>
    <row r="108" spans="1:7">
      <c r="B108" s="40"/>
      <c r="C108" s="21"/>
    </row>
    <row r="109" spans="1:7" ht="89.25">
      <c r="B109" s="40" t="s">
        <v>19</v>
      </c>
      <c r="C109" s="21" t="s">
        <v>2258</v>
      </c>
    </row>
    <row r="110" spans="1:7">
      <c r="B110" s="40"/>
      <c r="C110" s="21" t="s">
        <v>128</v>
      </c>
    </row>
    <row r="111" spans="1:7">
      <c r="B111" s="40"/>
      <c r="C111" s="21" t="s">
        <v>2259</v>
      </c>
      <c r="D111" s="1" t="s">
        <v>129</v>
      </c>
      <c r="E111" s="42">
        <v>250</v>
      </c>
      <c r="G111" s="306">
        <f t="shared" ref="G111:G113" si="0">E111*F111</f>
        <v>0</v>
      </c>
    </row>
    <row r="112" spans="1:7">
      <c r="B112" s="40"/>
      <c r="C112" s="21" t="s">
        <v>2126</v>
      </c>
      <c r="D112" s="1" t="s">
        <v>129</v>
      </c>
      <c r="E112" s="42">
        <v>163</v>
      </c>
      <c r="G112" s="306">
        <f t="shared" si="0"/>
        <v>0</v>
      </c>
    </row>
    <row r="113" spans="2:7">
      <c r="B113" s="40"/>
      <c r="C113" s="21" t="s">
        <v>2260</v>
      </c>
      <c r="D113" s="1" t="s">
        <v>129</v>
      </c>
      <c r="E113" s="42">
        <v>240</v>
      </c>
      <c r="G113" s="306">
        <f t="shared" si="0"/>
        <v>0</v>
      </c>
    </row>
    <row r="114" spans="2:7">
      <c r="B114" s="40"/>
      <c r="C114" s="21"/>
    </row>
    <row r="115" spans="2:7" ht="51">
      <c r="B115" s="40" t="s">
        <v>20</v>
      </c>
      <c r="C115" s="21" t="s">
        <v>2261</v>
      </c>
    </row>
    <row r="116" spans="2:7">
      <c r="B116" s="40"/>
      <c r="C116" s="21" t="s">
        <v>2262</v>
      </c>
    </row>
    <row r="117" spans="2:7">
      <c r="B117" s="40"/>
      <c r="C117" s="21" t="s">
        <v>2185</v>
      </c>
      <c r="D117" s="1" t="s">
        <v>129</v>
      </c>
      <c r="E117" s="42">
        <v>3</v>
      </c>
      <c r="G117" s="306">
        <f t="shared" ref="G117:G119" si="1">E117*F117</f>
        <v>0</v>
      </c>
    </row>
    <row r="118" spans="2:7">
      <c r="B118" s="40"/>
      <c r="C118" s="21" t="s">
        <v>2186</v>
      </c>
      <c r="D118" s="1" t="s">
        <v>129</v>
      </c>
      <c r="E118" s="42">
        <v>8</v>
      </c>
      <c r="G118" s="306">
        <f t="shared" si="1"/>
        <v>0</v>
      </c>
    </row>
    <row r="119" spans="2:7">
      <c r="B119" s="40"/>
      <c r="C119" s="21" t="s">
        <v>2156</v>
      </c>
      <c r="D119" s="1" t="s">
        <v>129</v>
      </c>
      <c r="E119" s="42">
        <v>6</v>
      </c>
      <c r="G119" s="306">
        <f t="shared" si="1"/>
        <v>0</v>
      </c>
    </row>
    <row r="120" spans="2:7">
      <c r="B120" s="40"/>
      <c r="C120" s="21"/>
    </row>
    <row r="121" spans="2:7" ht="25.5">
      <c r="B121" s="40" t="s">
        <v>21</v>
      </c>
      <c r="C121" s="21" t="s">
        <v>2263</v>
      </c>
    </row>
    <row r="122" spans="2:7">
      <c r="B122" s="40"/>
      <c r="C122" s="21" t="s">
        <v>679</v>
      </c>
    </row>
    <row r="123" spans="2:7">
      <c r="B123" s="40"/>
      <c r="C123" s="21" t="s">
        <v>2264</v>
      </c>
      <c r="D123" s="1" t="s">
        <v>110</v>
      </c>
      <c r="E123" s="42">
        <v>1</v>
      </c>
      <c r="G123" s="306">
        <f t="shared" ref="G123:G124" si="2">E123*F123</f>
        <v>0</v>
      </c>
    </row>
    <row r="124" spans="2:7">
      <c r="B124" s="40"/>
      <c r="C124" s="21" t="s">
        <v>2265</v>
      </c>
      <c r="D124" s="1" t="s">
        <v>110</v>
      </c>
      <c r="E124" s="42">
        <v>6</v>
      </c>
      <c r="G124" s="306">
        <f t="shared" si="2"/>
        <v>0</v>
      </c>
    </row>
    <row r="125" spans="2:7">
      <c r="B125" s="40"/>
      <c r="C125" s="21"/>
    </row>
    <row r="126" spans="2:7">
      <c r="B126" s="40" t="s">
        <v>60</v>
      </c>
      <c r="C126" s="21" t="s">
        <v>2266</v>
      </c>
    </row>
    <row r="127" spans="2:7">
      <c r="B127" s="40"/>
      <c r="C127" s="21" t="s">
        <v>679</v>
      </c>
    </row>
    <row r="128" spans="2:7">
      <c r="B128" s="40"/>
      <c r="C128" s="21" t="s">
        <v>2184</v>
      </c>
      <c r="D128" s="1" t="s">
        <v>110</v>
      </c>
      <c r="E128" s="42">
        <v>1</v>
      </c>
      <c r="G128" s="306">
        <f t="shared" ref="G128" si="3">E128*F128</f>
        <v>0</v>
      </c>
    </row>
    <row r="129" spans="2:7">
      <c r="B129" s="40"/>
      <c r="C129" s="21"/>
    </row>
    <row r="130" spans="2:7">
      <c r="B130" s="40" t="s">
        <v>78</v>
      </c>
      <c r="C130" s="21" t="s">
        <v>2267</v>
      </c>
    </row>
    <row r="131" spans="2:7">
      <c r="B131" s="40"/>
      <c r="C131" s="21" t="s">
        <v>679</v>
      </c>
    </row>
    <row r="132" spans="2:7">
      <c r="B132" s="40"/>
      <c r="C132" s="21" t="s">
        <v>2186</v>
      </c>
      <c r="D132" s="1" t="s">
        <v>110</v>
      </c>
      <c r="E132" s="42">
        <v>2</v>
      </c>
      <c r="G132" s="306">
        <f t="shared" ref="G132" si="4">E132*F132</f>
        <v>0</v>
      </c>
    </row>
    <row r="133" spans="2:7">
      <c r="B133" s="40"/>
      <c r="C133" s="21"/>
    </row>
    <row r="134" spans="2:7">
      <c r="B134" s="40" t="s">
        <v>165</v>
      </c>
      <c r="C134" s="21" t="s">
        <v>2268</v>
      </c>
    </row>
    <row r="135" spans="2:7">
      <c r="B135" s="40"/>
      <c r="C135" s="21" t="s">
        <v>679</v>
      </c>
    </row>
    <row r="136" spans="2:7">
      <c r="B136" s="40"/>
      <c r="C136" s="21" t="s">
        <v>2184</v>
      </c>
      <c r="D136" s="1" t="s">
        <v>110</v>
      </c>
      <c r="E136" s="42">
        <v>1</v>
      </c>
      <c r="G136" s="306">
        <f t="shared" ref="G136:G137" si="5">E136*F136</f>
        <v>0</v>
      </c>
    </row>
    <row r="137" spans="2:7">
      <c r="B137" s="40"/>
      <c r="C137" s="21" t="s">
        <v>2186</v>
      </c>
      <c r="D137" s="1" t="s">
        <v>110</v>
      </c>
      <c r="E137" s="42">
        <v>1</v>
      </c>
      <c r="G137" s="306">
        <f t="shared" si="5"/>
        <v>0</v>
      </c>
    </row>
    <row r="138" spans="2:7">
      <c r="B138" s="40"/>
      <c r="C138" s="21"/>
    </row>
    <row r="139" spans="2:7" ht="38.25">
      <c r="B139" s="40" t="s">
        <v>205</v>
      </c>
      <c r="C139" s="21" t="s">
        <v>2269</v>
      </c>
    </row>
    <row r="140" spans="2:7">
      <c r="B140" s="40"/>
      <c r="C140" s="21" t="s">
        <v>679</v>
      </c>
    </row>
    <row r="141" spans="2:7">
      <c r="B141" s="40"/>
      <c r="C141" s="21" t="s">
        <v>2184</v>
      </c>
      <c r="D141" s="1" t="s">
        <v>110</v>
      </c>
      <c r="E141" s="42">
        <v>1</v>
      </c>
      <c r="G141" s="306">
        <f t="shared" ref="G141" si="6">E141*F141</f>
        <v>0</v>
      </c>
    </row>
    <row r="142" spans="2:7">
      <c r="B142" s="40"/>
      <c r="C142" s="21"/>
    </row>
    <row r="143" spans="2:7" ht="38.25">
      <c r="B143" s="40" t="s">
        <v>206</v>
      </c>
      <c r="C143" s="21" t="s">
        <v>2270</v>
      </c>
    </row>
    <row r="144" spans="2:7">
      <c r="B144" s="40"/>
      <c r="C144" s="21" t="s">
        <v>679</v>
      </c>
    </row>
    <row r="145" spans="2:7">
      <c r="B145" s="40"/>
      <c r="C145" s="21" t="s">
        <v>2186</v>
      </c>
      <c r="D145" s="1" t="s">
        <v>110</v>
      </c>
      <c r="E145" s="42">
        <v>2</v>
      </c>
      <c r="G145" s="306">
        <f t="shared" ref="G145:G147" si="7">E145*F145</f>
        <v>0</v>
      </c>
    </row>
    <row r="146" spans="2:7">
      <c r="B146" s="40"/>
      <c r="C146" s="21" t="s">
        <v>2138</v>
      </c>
      <c r="D146" s="1" t="s">
        <v>110</v>
      </c>
      <c r="E146" s="42">
        <v>3</v>
      </c>
      <c r="G146" s="306">
        <f t="shared" si="7"/>
        <v>0</v>
      </c>
    </row>
    <row r="147" spans="2:7">
      <c r="B147" s="40"/>
      <c r="C147" s="21" t="s">
        <v>2156</v>
      </c>
      <c r="D147" s="1" t="s">
        <v>110</v>
      </c>
      <c r="E147" s="42">
        <v>2</v>
      </c>
      <c r="G147" s="306">
        <f t="shared" si="7"/>
        <v>0</v>
      </c>
    </row>
    <row r="148" spans="2:7">
      <c r="B148" s="40"/>
      <c r="C148" s="21"/>
    </row>
    <row r="149" spans="2:7">
      <c r="B149" s="40" t="s">
        <v>233</v>
      </c>
      <c r="C149" s="21" t="s">
        <v>2271</v>
      </c>
    </row>
    <row r="150" spans="2:7">
      <c r="B150" s="40"/>
      <c r="C150" s="21" t="s">
        <v>679</v>
      </c>
    </row>
    <row r="151" spans="2:7">
      <c r="B151" s="40"/>
      <c r="C151" s="21" t="s">
        <v>2184</v>
      </c>
      <c r="D151" s="1" t="s">
        <v>110</v>
      </c>
      <c r="E151" s="42">
        <v>1</v>
      </c>
      <c r="G151" s="306">
        <f t="shared" ref="G151:G152" si="8">E151*F151</f>
        <v>0</v>
      </c>
    </row>
    <row r="152" spans="2:7">
      <c r="B152" s="40"/>
      <c r="C152" s="21" t="s">
        <v>2186</v>
      </c>
      <c r="D152" s="1" t="s">
        <v>110</v>
      </c>
      <c r="E152" s="42">
        <v>1</v>
      </c>
      <c r="G152" s="306">
        <f t="shared" si="8"/>
        <v>0</v>
      </c>
    </row>
    <row r="153" spans="2:7">
      <c r="B153" s="40"/>
      <c r="C153" s="21"/>
    </row>
    <row r="154" spans="2:7" ht="38.25">
      <c r="B154" s="40" t="s">
        <v>245</v>
      </c>
      <c r="C154" s="21" t="s">
        <v>2272</v>
      </c>
    </row>
    <row r="155" spans="2:7">
      <c r="B155" s="40"/>
      <c r="C155" s="21" t="s">
        <v>679</v>
      </c>
    </row>
    <row r="156" spans="2:7">
      <c r="B156" s="40"/>
      <c r="C156" s="21" t="s">
        <v>2138</v>
      </c>
      <c r="D156" s="1" t="s">
        <v>110</v>
      </c>
      <c r="E156" s="42">
        <v>3</v>
      </c>
      <c r="G156" s="306">
        <f t="shared" ref="G156:G157" si="9">E156*F156</f>
        <v>0</v>
      </c>
    </row>
    <row r="157" spans="2:7">
      <c r="B157" s="40"/>
      <c r="C157" s="21" t="s">
        <v>2156</v>
      </c>
      <c r="D157" s="1" t="s">
        <v>110</v>
      </c>
      <c r="E157" s="42">
        <v>2</v>
      </c>
      <c r="G157" s="306">
        <f t="shared" si="9"/>
        <v>0</v>
      </c>
    </row>
    <row r="158" spans="2:7">
      <c r="B158" s="40"/>
      <c r="C158" s="21"/>
    </row>
    <row r="159" spans="2:7">
      <c r="B159" s="40" t="s">
        <v>250</v>
      </c>
      <c r="C159" s="21" t="s">
        <v>2273</v>
      </c>
    </row>
    <row r="160" spans="2:7">
      <c r="B160" s="40"/>
      <c r="C160" s="21" t="s">
        <v>679</v>
      </c>
    </row>
    <row r="161" spans="2:7">
      <c r="B161" s="40"/>
      <c r="C161" s="21" t="s">
        <v>2198</v>
      </c>
      <c r="D161" s="1" t="s">
        <v>110</v>
      </c>
      <c r="E161" s="42">
        <v>1</v>
      </c>
      <c r="G161" s="306">
        <f t="shared" ref="G161:G162" si="10">E161*F161</f>
        <v>0</v>
      </c>
    </row>
    <row r="162" spans="2:7">
      <c r="B162" s="40"/>
      <c r="C162" s="21" t="s">
        <v>2274</v>
      </c>
      <c r="D162" s="1" t="s">
        <v>110</v>
      </c>
      <c r="E162" s="42">
        <v>1</v>
      </c>
      <c r="G162" s="306">
        <f t="shared" si="10"/>
        <v>0</v>
      </c>
    </row>
    <row r="163" spans="2:7">
      <c r="B163" s="40"/>
      <c r="C163" s="21"/>
    </row>
    <row r="164" spans="2:7" ht="25.5">
      <c r="B164" s="40" t="s">
        <v>734</v>
      </c>
      <c r="C164" s="21" t="s">
        <v>2275</v>
      </c>
    </row>
    <row r="165" spans="2:7">
      <c r="B165" s="40"/>
      <c r="C165" s="21" t="s">
        <v>2276</v>
      </c>
      <c r="D165" s="1" t="s">
        <v>114</v>
      </c>
      <c r="E165" s="42">
        <v>430</v>
      </c>
      <c r="G165" s="306">
        <f t="shared" ref="G165" si="11">E165*F165</f>
        <v>0</v>
      </c>
    </row>
    <row r="166" spans="2:7">
      <c r="B166" s="40"/>
      <c r="C166" s="21"/>
    </row>
    <row r="167" spans="2:7">
      <c r="B167" s="40" t="s">
        <v>1674</v>
      </c>
      <c r="C167" s="21" t="s">
        <v>2277</v>
      </c>
    </row>
    <row r="168" spans="2:7">
      <c r="B168" s="40"/>
      <c r="C168" s="21" t="s">
        <v>679</v>
      </c>
    </row>
    <row r="169" spans="2:7">
      <c r="B169" s="40"/>
      <c r="C169" s="21" t="s">
        <v>2257</v>
      </c>
      <c r="D169" s="1" t="s">
        <v>110</v>
      </c>
      <c r="E169" s="42">
        <v>7</v>
      </c>
      <c r="G169" s="306">
        <f t="shared" ref="G169:G172" si="12">E169*F169</f>
        <v>0</v>
      </c>
    </row>
    <row r="170" spans="2:7">
      <c r="B170" s="40"/>
      <c r="C170" s="21" t="s">
        <v>2278</v>
      </c>
      <c r="D170" s="1" t="s">
        <v>110</v>
      </c>
      <c r="E170" s="42">
        <v>2</v>
      </c>
      <c r="G170" s="306">
        <f t="shared" si="12"/>
        <v>0</v>
      </c>
    </row>
    <row r="171" spans="2:7">
      <c r="B171" s="40"/>
      <c r="C171" s="21" t="s">
        <v>2279</v>
      </c>
      <c r="D171" s="1" t="s">
        <v>110</v>
      </c>
      <c r="E171" s="42">
        <v>3</v>
      </c>
      <c r="G171" s="306">
        <f t="shared" si="12"/>
        <v>0</v>
      </c>
    </row>
    <row r="172" spans="2:7">
      <c r="B172" s="40"/>
      <c r="C172" s="21" t="s">
        <v>2280</v>
      </c>
      <c r="D172" s="1" t="s">
        <v>110</v>
      </c>
      <c r="E172" s="42">
        <v>2</v>
      </c>
      <c r="G172" s="306">
        <f t="shared" si="12"/>
        <v>0</v>
      </c>
    </row>
    <row r="173" spans="2:7">
      <c r="B173" s="40"/>
      <c r="C173" s="21"/>
    </row>
    <row r="174" spans="2:7">
      <c r="B174" s="40" t="s">
        <v>1680</v>
      </c>
      <c r="C174" s="21" t="s">
        <v>2281</v>
      </c>
    </row>
    <row r="175" spans="2:7">
      <c r="B175" s="40"/>
      <c r="C175" s="21" t="s">
        <v>111</v>
      </c>
      <c r="D175" s="1" t="s">
        <v>110</v>
      </c>
      <c r="E175" s="42">
        <v>6</v>
      </c>
      <c r="G175" s="306">
        <f t="shared" ref="G175" si="13">E175*F175</f>
        <v>0</v>
      </c>
    </row>
    <row r="176" spans="2:7">
      <c r="B176" s="40"/>
      <c r="C176" s="21"/>
    </row>
    <row r="177" spans="2:7" ht="25.5">
      <c r="B177" s="40" t="s">
        <v>1682</v>
      </c>
      <c r="C177" s="21" t="s">
        <v>2282</v>
      </c>
    </row>
    <row r="178" spans="2:7">
      <c r="B178" s="40"/>
      <c r="C178" s="21" t="s">
        <v>111</v>
      </c>
    </row>
    <row r="179" spans="2:7">
      <c r="B179" s="40"/>
      <c r="C179" s="55" t="s">
        <v>2283</v>
      </c>
      <c r="D179" s="1" t="s">
        <v>110</v>
      </c>
      <c r="E179" s="42">
        <v>1</v>
      </c>
      <c r="G179" s="306">
        <f t="shared" ref="G179" si="14">E179*F179</f>
        <v>0</v>
      </c>
    </row>
    <row r="180" spans="2:7">
      <c r="B180" s="40"/>
      <c r="C180" s="21"/>
    </row>
    <row r="181" spans="2:7" ht="25.5">
      <c r="B181" s="40" t="s">
        <v>2163</v>
      </c>
      <c r="C181" s="21" t="s">
        <v>2284</v>
      </c>
    </row>
    <row r="182" spans="2:7">
      <c r="B182" s="40"/>
      <c r="C182" s="21" t="s">
        <v>2285</v>
      </c>
    </row>
    <row r="183" spans="2:7">
      <c r="B183" s="40"/>
      <c r="C183" s="21" t="s">
        <v>2186</v>
      </c>
      <c r="D183" s="1" t="s">
        <v>110</v>
      </c>
      <c r="E183" s="42">
        <v>1</v>
      </c>
      <c r="G183" s="306">
        <f t="shared" ref="G183:G186" si="15">E183*F183</f>
        <v>0</v>
      </c>
    </row>
    <row r="184" spans="2:7">
      <c r="B184" s="40"/>
      <c r="C184" s="21"/>
    </row>
    <row r="185" spans="2:7" ht="51">
      <c r="B185" s="40" t="s">
        <v>2165</v>
      </c>
      <c r="C185" s="21" t="s">
        <v>2286</v>
      </c>
    </row>
    <row r="186" spans="2:7">
      <c r="B186" s="40"/>
      <c r="C186" s="21" t="s">
        <v>111</v>
      </c>
      <c r="D186" s="1" t="s">
        <v>110</v>
      </c>
      <c r="E186" s="42">
        <v>6</v>
      </c>
      <c r="G186" s="306">
        <f t="shared" si="15"/>
        <v>0</v>
      </c>
    </row>
    <row r="187" spans="2:7">
      <c r="B187" s="40"/>
      <c r="C187" s="21"/>
    </row>
    <row r="188" spans="2:7" ht="38.25">
      <c r="B188" s="40" t="s">
        <v>2167</v>
      </c>
      <c r="C188" s="21" t="s">
        <v>2287</v>
      </c>
    </row>
    <row r="189" spans="2:7" ht="38.25">
      <c r="B189" s="40"/>
      <c r="C189" s="55" t="s">
        <v>2288</v>
      </c>
    </row>
    <row r="190" spans="2:7">
      <c r="B190" s="40"/>
      <c r="C190" s="55" t="s">
        <v>117</v>
      </c>
      <c r="D190" s="1" t="s">
        <v>115</v>
      </c>
      <c r="E190" s="42">
        <v>6</v>
      </c>
      <c r="G190" s="306">
        <f t="shared" ref="G190" si="16">E190*F190</f>
        <v>0</v>
      </c>
    </row>
    <row r="191" spans="2:7">
      <c r="B191" s="40"/>
      <c r="C191" s="55"/>
    </row>
    <row r="192" spans="2:7" ht="89.25">
      <c r="B192" s="40" t="s">
        <v>2169</v>
      </c>
      <c r="C192" s="55" t="s">
        <v>2289</v>
      </c>
    </row>
    <row r="193" spans="2:7">
      <c r="B193" s="40"/>
      <c r="C193" s="55" t="s">
        <v>128</v>
      </c>
      <c r="D193" s="1" t="s">
        <v>129</v>
      </c>
      <c r="E193" s="42">
        <v>1072</v>
      </c>
      <c r="G193" s="306">
        <f t="shared" ref="G193" si="17">E193*F193</f>
        <v>0</v>
      </c>
    </row>
    <row r="194" spans="2:7">
      <c r="B194" s="40"/>
      <c r="C194" s="55"/>
    </row>
    <row r="195" spans="2:7" ht="89.25">
      <c r="B195" s="40" t="s">
        <v>2170</v>
      </c>
      <c r="C195" s="21" t="s">
        <v>2290</v>
      </c>
    </row>
    <row r="196" spans="2:7">
      <c r="B196" s="40"/>
      <c r="C196" s="55" t="s">
        <v>128</v>
      </c>
      <c r="D196" s="1" t="s">
        <v>129</v>
      </c>
      <c r="E196" s="42">
        <v>1072</v>
      </c>
      <c r="G196" s="306">
        <f t="shared" ref="G196" si="18">E196*F196</f>
        <v>0</v>
      </c>
    </row>
    <row r="197" spans="2:7">
      <c r="B197" s="40"/>
      <c r="C197" s="55"/>
    </row>
    <row r="198" spans="2:7" ht="38.25">
      <c r="B198" s="40" t="s">
        <v>2172</v>
      </c>
      <c r="C198" s="55" t="s">
        <v>2291</v>
      </c>
    </row>
    <row r="199" spans="2:7">
      <c r="B199" s="40"/>
      <c r="C199" s="55" t="s">
        <v>128</v>
      </c>
      <c r="D199" s="1" t="s">
        <v>129</v>
      </c>
      <c r="E199" s="42">
        <v>1072</v>
      </c>
      <c r="G199" s="306">
        <f t="shared" ref="G199" si="19">E199*F199</f>
        <v>0</v>
      </c>
    </row>
    <row r="200" spans="2:7">
      <c r="B200" s="40"/>
      <c r="C200" s="55"/>
    </row>
    <row r="201" spans="2:7" ht="38.25">
      <c r="B201" s="40" t="s">
        <v>2174</v>
      </c>
      <c r="C201" s="21" t="s">
        <v>2292</v>
      </c>
    </row>
    <row r="202" spans="2:7">
      <c r="B202" s="40"/>
      <c r="C202" s="55" t="s">
        <v>128</v>
      </c>
      <c r="D202" s="1" t="s">
        <v>129</v>
      </c>
      <c r="E202" s="42">
        <v>1072</v>
      </c>
      <c r="G202" s="306">
        <f t="shared" ref="G202" si="20">E202*F202</f>
        <v>0</v>
      </c>
    </row>
    <row r="203" spans="2:7">
      <c r="B203" s="40"/>
      <c r="C203" s="55"/>
    </row>
    <row r="204" spans="2:7">
      <c r="B204" s="40" t="s">
        <v>2179</v>
      </c>
      <c r="C204" s="55" t="s">
        <v>2293</v>
      </c>
    </row>
    <row r="205" spans="2:7">
      <c r="B205" s="40"/>
      <c r="C205" s="55" t="s">
        <v>1909</v>
      </c>
      <c r="D205" s="1" t="s">
        <v>115</v>
      </c>
      <c r="E205" s="42">
        <v>1</v>
      </c>
      <c r="G205" s="306">
        <f t="shared" ref="G205" si="21">E205*F205</f>
        <v>0</v>
      </c>
    </row>
    <row r="206" spans="2:7">
      <c r="B206" s="40"/>
      <c r="C206" s="55"/>
    </row>
    <row r="207" spans="2:7">
      <c r="B207" s="40" t="s">
        <v>2180</v>
      </c>
      <c r="C207" s="21" t="s">
        <v>2294</v>
      </c>
    </row>
    <row r="208" spans="2:7">
      <c r="B208" s="40"/>
      <c r="C208" s="55" t="s">
        <v>1909</v>
      </c>
      <c r="D208" s="1" t="s">
        <v>115</v>
      </c>
      <c r="E208" s="42">
        <v>1</v>
      </c>
      <c r="G208" s="306">
        <f t="shared" ref="G208" si="22">E208*F208</f>
        <v>0</v>
      </c>
    </row>
    <row r="209" spans="1:7">
      <c r="B209" s="40"/>
      <c r="C209" s="55"/>
    </row>
    <row r="210" spans="1:7" ht="38.25">
      <c r="B210" s="40" t="s">
        <v>2295</v>
      </c>
      <c r="C210" s="55" t="s">
        <v>2296</v>
      </c>
    </row>
    <row r="211" spans="1:7">
      <c r="B211" s="40"/>
      <c r="C211" s="55" t="s">
        <v>128</v>
      </c>
      <c r="D211" s="1" t="s">
        <v>129</v>
      </c>
      <c r="E211" s="42">
        <v>540</v>
      </c>
      <c r="G211" s="306">
        <f t="shared" ref="G211" si="23">E211*F211</f>
        <v>0</v>
      </c>
    </row>
    <row r="212" spans="1:7">
      <c r="B212" s="40"/>
      <c r="C212" s="55"/>
    </row>
    <row r="213" spans="1:7" ht="38.25">
      <c r="B213" s="40" t="s">
        <v>2297</v>
      </c>
      <c r="C213" s="21" t="s">
        <v>2298</v>
      </c>
    </row>
    <row r="214" spans="1:7">
      <c r="B214" s="40"/>
      <c r="C214" s="55" t="s">
        <v>1909</v>
      </c>
      <c r="D214" s="1" t="s">
        <v>115</v>
      </c>
      <c r="E214" s="42">
        <v>1</v>
      </c>
      <c r="G214" s="306">
        <f t="shared" ref="G214" si="24">E214*F214</f>
        <v>0</v>
      </c>
    </row>
    <row r="215" spans="1:7">
      <c r="B215" s="40"/>
      <c r="C215" s="55"/>
    </row>
    <row r="216" spans="1:7" ht="13.5" thickBot="1">
      <c r="B216" s="40"/>
      <c r="C216" s="21"/>
    </row>
    <row r="217" spans="1:7" ht="21.75" thickBot="1">
      <c r="A217" s="49" t="s">
        <v>9</v>
      </c>
      <c r="B217" s="50"/>
      <c r="C217" s="51" t="s">
        <v>2299</v>
      </c>
      <c r="D217" s="52"/>
      <c r="E217" s="53"/>
      <c r="F217" s="348"/>
      <c r="G217" s="307">
        <f>SUM(G56:G215)</f>
        <v>0</v>
      </c>
    </row>
    <row r="218" spans="1:7">
      <c r="C218"/>
    </row>
    <row r="219" spans="1:7" ht="21">
      <c r="A219" s="34" t="s">
        <v>18</v>
      </c>
      <c r="B219" s="35"/>
      <c r="C219" s="39" t="s">
        <v>2300</v>
      </c>
      <c r="D219" s="37"/>
      <c r="E219" s="38"/>
      <c r="F219" s="438"/>
      <c r="G219" s="443"/>
    </row>
    <row r="220" spans="1:7">
      <c r="C220" s="85"/>
    </row>
    <row r="221" spans="1:7">
      <c r="C221"/>
    </row>
    <row r="222" spans="1:7" ht="15">
      <c r="A222" s="89">
        <v>2.1</v>
      </c>
      <c r="B222" s="76"/>
      <c r="C222" s="76" t="s">
        <v>1721</v>
      </c>
      <c r="D222" s="76"/>
      <c r="E222" s="13"/>
      <c r="F222" s="13"/>
      <c r="G222" s="304"/>
    </row>
    <row r="223" spans="1:7">
      <c r="B223" s="40"/>
      <c r="C223"/>
    </row>
    <row r="224" spans="1:7" ht="15.75" thickBot="1">
      <c r="B224" s="54" t="s">
        <v>9</v>
      </c>
      <c r="C224" s="54" t="s">
        <v>1121</v>
      </c>
    </row>
    <row r="225" spans="2:7">
      <c r="B225" s="40"/>
      <c r="C225"/>
    </row>
    <row r="226" spans="2:7" ht="25.5">
      <c r="B226" s="40" t="s">
        <v>1333</v>
      </c>
      <c r="C226" t="s">
        <v>2236</v>
      </c>
    </row>
    <row r="227" spans="2:7">
      <c r="B227" s="40"/>
      <c r="C227" t="s">
        <v>128</v>
      </c>
      <c r="D227" s="1" t="s">
        <v>129</v>
      </c>
      <c r="E227" s="42">
        <v>942</v>
      </c>
      <c r="G227" s="306">
        <f>E227*F227</f>
        <v>0</v>
      </c>
    </row>
    <row r="228" spans="2:7">
      <c r="B228" s="40"/>
      <c r="C228"/>
    </row>
    <row r="229" spans="2:7" ht="127.5">
      <c r="B229" s="40" t="s">
        <v>1336</v>
      </c>
      <c r="C229" t="s">
        <v>2301</v>
      </c>
    </row>
    <row r="230" spans="2:7">
      <c r="B230" s="40"/>
      <c r="C230" t="s">
        <v>2243</v>
      </c>
      <c r="D230" s="1" t="s">
        <v>321</v>
      </c>
      <c r="E230" s="42">
        <v>700</v>
      </c>
      <c r="G230" s="306">
        <f>E230*F230</f>
        <v>0</v>
      </c>
    </row>
    <row r="231" spans="2:7">
      <c r="B231" s="40"/>
      <c r="C231"/>
    </row>
    <row r="232" spans="2:7" ht="127.5">
      <c r="B232" s="40" t="s">
        <v>1337</v>
      </c>
      <c r="C232" t="s">
        <v>2302</v>
      </c>
    </row>
    <row r="233" spans="2:7">
      <c r="B233" s="40"/>
      <c r="C233" t="s">
        <v>2243</v>
      </c>
      <c r="D233" s="1" t="s">
        <v>321</v>
      </c>
      <c r="E233" s="42">
        <v>710</v>
      </c>
      <c r="G233" s="306">
        <f>E233*F233</f>
        <v>0</v>
      </c>
    </row>
    <row r="234" spans="2:7">
      <c r="B234" s="40"/>
      <c r="C234"/>
    </row>
    <row r="235" spans="2:7" ht="140.25">
      <c r="B235" s="40" t="s">
        <v>1341</v>
      </c>
      <c r="C235" t="s">
        <v>2303</v>
      </c>
    </row>
    <row r="236" spans="2:7">
      <c r="B236" s="40"/>
      <c r="C236" t="s">
        <v>2243</v>
      </c>
      <c r="D236" s="1" t="s">
        <v>321</v>
      </c>
      <c r="E236" s="42">
        <v>22</v>
      </c>
      <c r="G236" s="306">
        <f>E236*F236</f>
        <v>0</v>
      </c>
    </row>
    <row r="237" spans="2:7">
      <c r="B237" s="40"/>
      <c r="C237"/>
    </row>
    <row r="238" spans="2:7" ht="76.5">
      <c r="B238" s="40" t="s">
        <v>1349</v>
      </c>
      <c r="C238" t="s">
        <v>2304</v>
      </c>
    </row>
    <row r="239" spans="2:7">
      <c r="B239" s="40"/>
      <c r="C239" t="s">
        <v>676</v>
      </c>
      <c r="D239" s="1" t="s">
        <v>2305</v>
      </c>
      <c r="E239" s="42">
        <v>942</v>
      </c>
      <c r="G239" s="306">
        <f>E239*F239</f>
        <v>0</v>
      </c>
    </row>
    <row r="240" spans="2:7">
      <c r="B240" s="40"/>
      <c r="C240"/>
    </row>
    <row r="241" spans="2:7" ht="102">
      <c r="B241" s="40" t="s">
        <v>1355</v>
      </c>
      <c r="C241" t="s">
        <v>2306</v>
      </c>
    </row>
    <row r="242" spans="2:7">
      <c r="B242" s="40"/>
      <c r="C242" t="s">
        <v>2307</v>
      </c>
      <c r="D242" s="1" t="s">
        <v>321</v>
      </c>
      <c r="E242" s="42">
        <v>127</v>
      </c>
      <c r="G242" s="306">
        <f>E242*F242</f>
        <v>0</v>
      </c>
    </row>
    <row r="243" spans="2:7">
      <c r="B243" s="40"/>
      <c r="C243"/>
    </row>
    <row r="244" spans="2:7" ht="38.25">
      <c r="B244" s="40" t="s">
        <v>1498</v>
      </c>
      <c r="C244" t="s">
        <v>2244</v>
      </c>
    </row>
    <row r="245" spans="2:7">
      <c r="B245" s="40"/>
      <c r="C245" t="s">
        <v>2243</v>
      </c>
      <c r="D245" s="1" t="s">
        <v>321</v>
      </c>
      <c r="E245" s="42">
        <v>360</v>
      </c>
    </row>
    <row r="246" spans="2:7">
      <c r="B246" s="40"/>
      <c r="C246"/>
    </row>
    <row r="247" spans="2:7" ht="51">
      <c r="B247" s="40" t="s">
        <v>1506</v>
      </c>
      <c r="C247" t="s">
        <v>2308</v>
      </c>
    </row>
    <row r="248" spans="2:7">
      <c r="B248" s="40"/>
      <c r="C248" t="s">
        <v>2243</v>
      </c>
      <c r="D248" s="1" t="s">
        <v>321</v>
      </c>
      <c r="E248" s="42">
        <v>893</v>
      </c>
    </row>
    <row r="249" spans="2:7">
      <c r="B249" s="40"/>
      <c r="C249"/>
    </row>
    <row r="250" spans="2:7" ht="51">
      <c r="B250" s="40" t="s">
        <v>2309</v>
      </c>
      <c r="C250" t="s">
        <v>2310</v>
      </c>
    </row>
    <row r="251" spans="2:7">
      <c r="B251" s="40"/>
      <c r="C251" t="s">
        <v>2243</v>
      </c>
      <c r="D251" s="1" t="s">
        <v>321</v>
      </c>
      <c r="E251" s="42">
        <v>509</v>
      </c>
      <c r="G251" s="306">
        <f>E251*F251</f>
        <v>0</v>
      </c>
    </row>
    <row r="252" spans="2:7">
      <c r="B252" s="40"/>
      <c r="C252"/>
    </row>
    <row r="253" spans="2:7" ht="15.75" thickBot="1">
      <c r="B253" s="54" t="s">
        <v>18</v>
      </c>
      <c r="C253" s="54" t="s">
        <v>2247</v>
      </c>
    </row>
    <row r="254" spans="2:7">
      <c r="B254" s="40"/>
      <c r="C254"/>
    </row>
    <row r="255" spans="2:7" ht="25.5">
      <c r="B255" s="40" t="s">
        <v>1516</v>
      </c>
      <c r="C255" t="s">
        <v>2311</v>
      </c>
    </row>
    <row r="256" spans="2:7" ht="76.5">
      <c r="B256" s="40"/>
      <c r="C256" t="s">
        <v>2312</v>
      </c>
    </row>
    <row r="257" spans="1:7">
      <c r="B257" s="40"/>
      <c r="C257" t="s">
        <v>1909</v>
      </c>
      <c r="D257" s="1" t="s">
        <v>115</v>
      </c>
      <c r="E257" s="42">
        <v>1</v>
      </c>
      <c r="G257" s="306">
        <f>E257*F257</f>
        <v>0</v>
      </c>
    </row>
    <row r="258" spans="1:7">
      <c r="B258" s="40"/>
      <c r="C258"/>
    </row>
    <row r="259" spans="1:7" ht="140.25">
      <c r="B259" s="40" t="s">
        <v>1533</v>
      </c>
      <c r="C259" t="s">
        <v>2313</v>
      </c>
    </row>
    <row r="260" spans="1:7" ht="38.25">
      <c r="B260" s="40"/>
      <c r="C260" t="s">
        <v>2314</v>
      </c>
    </row>
    <row r="261" spans="1:7">
      <c r="B261" s="40"/>
      <c r="C261" t="s">
        <v>2315</v>
      </c>
      <c r="D261" s="1" t="s">
        <v>115</v>
      </c>
      <c r="E261" s="42">
        <v>1</v>
      </c>
      <c r="G261" s="306">
        <f>E261*F261</f>
        <v>0</v>
      </c>
    </row>
    <row r="262" spans="1:7">
      <c r="B262" s="40"/>
      <c r="C262"/>
    </row>
    <row r="263" spans="1:7" ht="38.25">
      <c r="B263" s="40" t="s">
        <v>1546</v>
      </c>
      <c r="C263" t="s">
        <v>2316</v>
      </c>
    </row>
    <row r="264" spans="1:7">
      <c r="B264" s="40"/>
      <c r="C264" t="s">
        <v>1909</v>
      </c>
      <c r="D264" s="1" t="s">
        <v>115</v>
      </c>
      <c r="E264" s="42">
        <v>1</v>
      </c>
      <c r="G264" s="306">
        <f>E264*F264</f>
        <v>0</v>
      </c>
    </row>
    <row r="265" spans="1:7" ht="25.5">
      <c r="B265" s="40" t="s">
        <v>1568</v>
      </c>
      <c r="C265" t="s">
        <v>2317</v>
      </c>
    </row>
    <row r="266" spans="1:7">
      <c r="B266" s="40"/>
      <c r="C266" t="s">
        <v>2318</v>
      </c>
    </row>
    <row r="267" spans="1:7">
      <c r="B267" s="40"/>
      <c r="C267" t="s">
        <v>2319</v>
      </c>
    </row>
    <row r="268" spans="1:7">
      <c r="B268" s="40"/>
      <c r="C268" t="s">
        <v>2243</v>
      </c>
      <c r="D268" s="1" t="s">
        <v>321</v>
      </c>
      <c r="E268" s="42">
        <v>2</v>
      </c>
      <c r="G268" s="306">
        <f>E268*F268</f>
        <v>0</v>
      </c>
    </row>
    <row r="269" spans="1:7">
      <c r="B269" s="40"/>
      <c r="C269"/>
    </row>
    <row r="270" spans="1:7" ht="15">
      <c r="A270" s="89">
        <v>2.2000000000000002</v>
      </c>
      <c r="B270" s="76"/>
      <c r="C270" s="76" t="s">
        <v>2253</v>
      </c>
      <c r="D270" s="76"/>
      <c r="E270" s="13"/>
      <c r="F270" s="13"/>
      <c r="G270" s="304"/>
    </row>
    <row r="271" spans="1:7">
      <c r="B271" s="40"/>
      <c r="C271"/>
    </row>
    <row r="272" spans="1:7" ht="165.75">
      <c r="B272" s="41" t="s">
        <v>9</v>
      </c>
      <c r="C272" t="s">
        <v>2320</v>
      </c>
    </row>
    <row r="273" spans="2:7" ht="216.75">
      <c r="B273" s="40"/>
      <c r="C273" t="s">
        <v>2321</v>
      </c>
    </row>
    <row r="274" spans="2:7">
      <c r="B274" s="40"/>
      <c r="C274" s="77" t="s">
        <v>2322</v>
      </c>
    </row>
    <row r="275" spans="2:7">
      <c r="B275" s="40"/>
      <c r="C275" t="s">
        <v>2323</v>
      </c>
      <c r="D275" s="1" t="s">
        <v>110</v>
      </c>
      <c r="E275" s="42">
        <v>4</v>
      </c>
      <c r="G275" s="306">
        <f t="shared" ref="G275:G276" si="25">E275*F275</f>
        <v>0</v>
      </c>
    </row>
    <row r="276" spans="2:7">
      <c r="B276" s="40"/>
      <c r="C276" t="s">
        <v>2324</v>
      </c>
      <c r="D276" s="1" t="s">
        <v>110</v>
      </c>
      <c r="E276" s="42">
        <v>2</v>
      </c>
      <c r="G276" s="306">
        <f t="shared" si="25"/>
        <v>0</v>
      </c>
    </row>
    <row r="277" spans="2:7">
      <c r="B277" s="40"/>
      <c r="C277" s="77" t="s">
        <v>2325</v>
      </c>
    </row>
    <row r="278" spans="2:7">
      <c r="B278" s="40"/>
      <c r="C278" t="s">
        <v>2326</v>
      </c>
      <c r="D278" s="1" t="s">
        <v>110</v>
      </c>
      <c r="E278" s="42">
        <v>3</v>
      </c>
      <c r="G278" s="306">
        <f t="shared" ref="G278:G281" si="26">E278*F278</f>
        <v>0</v>
      </c>
    </row>
    <row r="279" spans="2:7">
      <c r="B279" s="40"/>
      <c r="C279" t="s">
        <v>2327</v>
      </c>
      <c r="D279" s="1" t="s">
        <v>110</v>
      </c>
      <c r="E279" s="42">
        <v>7</v>
      </c>
      <c r="G279" s="306">
        <f t="shared" si="26"/>
        <v>0</v>
      </c>
    </row>
    <row r="280" spans="2:7">
      <c r="B280" s="40"/>
      <c r="C280" t="s">
        <v>2323</v>
      </c>
      <c r="D280" s="1" t="s">
        <v>110</v>
      </c>
      <c r="E280" s="42">
        <v>12</v>
      </c>
      <c r="G280" s="306">
        <f t="shared" si="26"/>
        <v>0</v>
      </c>
    </row>
    <row r="281" spans="2:7">
      <c r="B281" s="40"/>
      <c r="C281" t="s">
        <v>2324</v>
      </c>
      <c r="D281" s="1" t="s">
        <v>110</v>
      </c>
      <c r="E281" s="42">
        <v>2</v>
      </c>
      <c r="G281" s="306">
        <f t="shared" si="26"/>
        <v>0</v>
      </c>
    </row>
    <row r="282" spans="2:7">
      <c r="B282" s="40"/>
      <c r="C282"/>
    </row>
    <row r="283" spans="2:7" ht="127.5">
      <c r="B283" s="41" t="s">
        <v>18</v>
      </c>
      <c r="C283" t="s">
        <v>2328</v>
      </c>
    </row>
    <row r="284" spans="2:7" ht="216.75">
      <c r="B284" s="40"/>
      <c r="C284" t="s">
        <v>2321</v>
      </c>
    </row>
    <row r="285" spans="2:7">
      <c r="B285" s="40"/>
      <c r="C285" s="77" t="s">
        <v>2322</v>
      </c>
    </row>
    <row r="286" spans="2:7">
      <c r="B286" s="40"/>
      <c r="C286" t="s">
        <v>2326</v>
      </c>
      <c r="D286" s="1" t="s">
        <v>110</v>
      </c>
      <c r="E286" s="42">
        <v>3</v>
      </c>
      <c r="G286" s="306">
        <f t="shared" ref="G286" si="27">E286*F286</f>
        <v>0</v>
      </c>
    </row>
    <row r="287" spans="2:7">
      <c r="B287" s="40"/>
      <c r="C287" s="77" t="s">
        <v>2325</v>
      </c>
    </row>
    <row r="288" spans="2:7">
      <c r="B288" s="40"/>
      <c r="C288" t="s">
        <v>2326</v>
      </c>
      <c r="D288" s="1" t="s">
        <v>110</v>
      </c>
      <c r="E288" s="42">
        <v>5</v>
      </c>
      <c r="G288" s="306">
        <f t="shared" ref="G288:G290" si="28">E288*F288</f>
        <v>0</v>
      </c>
    </row>
    <row r="289" spans="2:7">
      <c r="B289" s="40"/>
      <c r="C289" s="77" t="s">
        <v>2329</v>
      </c>
    </row>
    <row r="290" spans="2:7">
      <c r="B290" s="40"/>
      <c r="C290" t="s">
        <v>2326</v>
      </c>
      <c r="D290" s="1" t="s">
        <v>110</v>
      </c>
      <c r="E290" s="42">
        <v>2</v>
      </c>
      <c r="G290" s="306">
        <f t="shared" si="28"/>
        <v>0</v>
      </c>
    </row>
    <row r="291" spans="2:7">
      <c r="B291" s="40"/>
      <c r="C291"/>
    </row>
    <row r="292" spans="2:7" ht="178.5">
      <c r="B292" s="41" t="s">
        <v>19</v>
      </c>
      <c r="C292" t="s">
        <v>2330</v>
      </c>
    </row>
    <row r="293" spans="2:7">
      <c r="B293" s="40"/>
      <c r="C293" t="s">
        <v>679</v>
      </c>
      <c r="D293" s="1" t="s">
        <v>110</v>
      </c>
      <c r="E293" s="42">
        <v>13</v>
      </c>
      <c r="G293" s="306">
        <f t="shared" ref="G293" si="29">E293*F293</f>
        <v>0</v>
      </c>
    </row>
    <row r="294" spans="2:7">
      <c r="B294" s="40"/>
      <c r="C294"/>
    </row>
    <row r="295" spans="2:7" ht="140.25">
      <c r="B295" s="41" t="s">
        <v>20</v>
      </c>
      <c r="C295" t="s">
        <v>2331</v>
      </c>
    </row>
    <row r="296" spans="2:7">
      <c r="B296" s="40"/>
      <c r="C296" t="s">
        <v>2332</v>
      </c>
      <c r="D296" s="1" t="s">
        <v>129</v>
      </c>
      <c r="E296" s="42">
        <v>210</v>
      </c>
      <c r="G296" s="306">
        <f t="shared" ref="G296:G298" si="30">E296*F296</f>
        <v>0</v>
      </c>
    </row>
    <row r="297" spans="2:7">
      <c r="B297" s="40"/>
      <c r="C297" t="s">
        <v>2333</v>
      </c>
      <c r="D297" s="1" t="s">
        <v>129</v>
      </c>
      <c r="E297" s="42">
        <v>128</v>
      </c>
      <c r="G297" s="306">
        <f t="shared" si="30"/>
        <v>0</v>
      </c>
    </row>
    <row r="298" spans="2:7">
      <c r="B298" s="40"/>
      <c r="C298" t="s">
        <v>2334</v>
      </c>
      <c r="D298" s="1" t="s">
        <v>129</v>
      </c>
      <c r="E298" s="42">
        <v>338</v>
      </c>
      <c r="G298" s="306">
        <f t="shared" si="30"/>
        <v>0</v>
      </c>
    </row>
    <row r="299" spans="2:7">
      <c r="B299" s="40"/>
      <c r="C299"/>
    </row>
    <row r="300" spans="2:7">
      <c r="B300" s="41" t="s">
        <v>21</v>
      </c>
      <c r="C300" t="s">
        <v>2335</v>
      </c>
    </row>
    <row r="301" spans="2:7">
      <c r="B301" s="40"/>
      <c r="C301" t="s">
        <v>2332</v>
      </c>
      <c r="D301" s="1" t="s">
        <v>110</v>
      </c>
      <c r="E301" s="42">
        <v>6</v>
      </c>
      <c r="G301" s="306">
        <f t="shared" ref="G301:G303" si="31">E301*F301</f>
        <v>0</v>
      </c>
    </row>
    <row r="302" spans="2:7">
      <c r="B302" s="40"/>
      <c r="C302" t="s">
        <v>2333</v>
      </c>
      <c r="D302" s="1" t="s">
        <v>110</v>
      </c>
      <c r="E302" s="42">
        <v>2</v>
      </c>
      <c r="G302" s="306">
        <f t="shared" si="31"/>
        <v>0</v>
      </c>
    </row>
    <row r="303" spans="2:7">
      <c r="B303" s="40"/>
      <c r="C303" t="s">
        <v>2336</v>
      </c>
      <c r="D303" s="1" t="s">
        <v>110</v>
      </c>
      <c r="E303" s="42">
        <v>12</v>
      </c>
      <c r="G303" s="306">
        <f t="shared" si="31"/>
        <v>0</v>
      </c>
    </row>
    <row r="304" spans="2:7">
      <c r="B304" s="40"/>
      <c r="C304"/>
    </row>
    <row r="305" spans="2:7" ht="38.25">
      <c r="B305" s="41" t="s">
        <v>60</v>
      </c>
      <c r="C305" t="s">
        <v>2337</v>
      </c>
    </row>
    <row r="306" spans="2:7">
      <c r="B306" s="40"/>
      <c r="C306" t="s">
        <v>2338</v>
      </c>
      <c r="D306" s="1" t="s">
        <v>129</v>
      </c>
      <c r="E306" s="42">
        <v>210</v>
      </c>
      <c r="G306" s="306">
        <f t="shared" ref="G306:G308" si="32">E306*F306</f>
        <v>0</v>
      </c>
    </row>
    <row r="307" spans="2:7">
      <c r="B307" s="40"/>
      <c r="C307" t="s">
        <v>2339</v>
      </c>
      <c r="D307" s="1" t="s">
        <v>129</v>
      </c>
      <c r="E307" s="42">
        <v>48</v>
      </c>
      <c r="G307" s="306">
        <f t="shared" si="32"/>
        <v>0</v>
      </c>
    </row>
    <row r="308" spans="2:7">
      <c r="B308" s="40"/>
      <c r="C308" t="s">
        <v>2340</v>
      </c>
      <c r="D308" s="1" t="s">
        <v>129</v>
      </c>
      <c r="E308" s="42">
        <v>8</v>
      </c>
      <c r="G308" s="306">
        <f t="shared" si="32"/>
        <v>0</v>
      </c>
    </row>
    <row r="309" spans="2:7">
      <c r="B309" s="40"/>
      <c r="C309"/>
    </row>
    <row r="310" spans="2:7">
      <c r="B310" s="41" t="s">
        <v>78</v>
      </c>
      <c r="C310" t="s">
        <v>2335</v>
      </c>
    </row>
    <row r="311" spans="2:7">
      <c r="B311" s="40"/>
      <c r="C311" t="s">
        <v>2338</v>
      </c>
      <c r="D311" s="1" t="s">
        <v>129</v>
      </c>
      <c r="E311" s="42">
        <v>65</v>
      </c>
      <c r="G311" s="306">
        <f t="shared" ref="G311:G313" si="33">E311*F311</f>
        <v>0</v>
      </c>
    </row>
    <row r="312" spans="2:7">
      <c r="B312" s="40"/>
      <c r="C312" t="s">
        <v>2339</v>
      </c>
      <c r="D312" s="1" t="s">
        <v>129</v>
      </c>
      <c r="E312" s="42">
        <v>8</v>
      </c>
      <c r="G312" s="306">
        <f t="shared" si="33"/>
        <v>0</v>
      </c>
    </row>
    <row r="313" spans="2:7">
      <c r="B313" s="40"/>
      <c r="C313" t="s">
        <v>2340</v>
      </c>
      <c r="D313" s="1" t="s">
        <v>129</v>
      </c>
      <c r="E313" s="42">
        <v>12</v>
      </c>
      <c r="G313" s="306">
        <f t="shared" si="33"/>
        <v>0</v>
      </c>
    </row>
    <row r="314" spans="2:7">
      <c r="B314" s="40"/>
      <c r="C314"/>
    </row>
    <row r="315" spans="2:7" ht="38.25">
      <c r="B315" s="40" t="s">
        <v>165</v>
      </c>
      <c r="C315" s="21" t="s">
        <v>2341</v>
      </c>
    </row>
    <row r="316" spans="2:7">
      <c r="B316" s="40"/>
      <c r="C316" s="21" t="s">
        <v>2342</v>
      </c>
      <c r="D316" s="1" t="s">
        <v>110</v>
      </c>
      <c r="E316" s="42">
        <v>31</v>
      </c>
      <c r="G316" s="306">
        <f t="shared" ref="G316:G317" si="34">E316*F316</f>
        <v>0</v>
      </c>
    </row>
    <row r="317" spans="2:7">
      <c r="B317" s="40"/>
      <c r="C317" s="21" t="s">
        <v>2343</v>
      </c>
      <c r="D317" s="1" t="s">
        <v>110</v>
      </c>
      <c r="E317" s="42">
        <v>9</v>
      </c>
      <c r="G317" s="306">
        <f t="shared" si="34"/>
        <v>0</v>
      </c>
    </row>
    <row r="318" spans="2:7">
      <c r="B318" s="40"/>
      <c r="C318" s="21"/>
    </row>
    <row r="319" spans="2:7" ht="38.25">
      <c r="B319" s="40" t="s">
        <v>205</v>
      </c>
      <c r="C319" s="21" t="s">
        <v>2344</v>
      </c>
    </row>
    <row r="320" spans="2:7">
      <c r="B320" s="40"/>
      <c r="C320" s="21" t="s">
        <v>2342</v>
      </c>
      <c r="D320" s="1" t="s">
        <v>110</v>
      </c>
      <c r="E320" s="42">
        <v>1</v>
      </c>
      <c r="G320" s="306">
        <f t="shared" ref="G320" si="35">E320*F320</f>
        <v>0</v>
      </c>
    </row>
    <row r="321" spans="2:7">
      <c r="B321" s="40"/>
      <c r="C321" s="21"/>
    </row>
    <row r="322" spans="2:7">
      <c r="B322" s="40" t="s">
        <v>206</v>
      </c>
      <c r="C322" s="21" t="s">
        <v>2345</v>
      </c>
    </row>
    <row r="323" spans="2:7">
      <c r="B323" s="40"/>
      <c r="C323" s="21" t="s">
        <v>2342</v>
      </c>
      <c r="D323" s="1" t="s">
        <v>110</v>
      </c>
      <c r="E323" s="42">
        <v>13</v>
      </c>
      <c r="G323" s="306">
        <f t="shared" ref="G323" si="36">E323*F323</f>
        <v>0</v>
      </c>
    </row>
    <row r="324" spans="2:7">
      <c r="B324" s="40"/>
      <c r="C324" s="21"/>
    </row>
    <row r="325" spans="2:7" ht="89.25">
      <c r="B325" s="41" t="s">
        <v>233</v>
      </c>
      <c r="C325" s="21" t="s">
        <v>2346</v>
      </c>
    </row>
    <row r="326" spans="2:7" ht="127.5">
      <c r="B326" s="40"/>
      <c r="C326" s="21" t="s">
        <v>2347</v>
      </c>
    </row>
    <row r="327" spans="2:7" ht="102">
      <c r="B327" s="40"/>
      <c r="C327" s="21" t="s">
        <v>2348</v>
      </c>
    </row>
    <row r="328" spans="2:7">
      <c r="B328" s="40"/>
      <c r="C328" s="21" t="s">
        <v>117</v>
      </c>
      <c r="D328" s="1" t="s">
        <v>115</v>
      </c>
      <c r="E328" s="42">
        <v>1</v>
      </c>
      <c r="G328" s="306">
        <f t="shared" ref="G328" si="37">E328*F328</f>
        <v>0</v>
      </c>
    </row>
    <row r="329" spans="2:7">
      <c r="B329" s="40"/>
      <c r="C329" s="21"/>
    </row>
    <row r="330" spans="2:7">
      <c r="B330" s="40"/>
      <c r="C330" s="3" t="s">
        <v>2349</v>
      </c>
    </row>
    <row r="331" spans="2:7" ht="89.25">
      <c r="B331" s="41" t="s">
        <v>245</v>
      </c>
      <c r="C331" s="21" t="s">
        <v>2350</v>
      </c>
    </row>
    <row r="332" spans="2:7">
      <c r="B332" s="40"/>
      <c r="C332" s="21" t="s">
        <v>117</v>
      </c>
    </row>
    <row r="333" spans="2:7">
      <c r="B333" s="40"/>
      <c r="C333" s="55" t="s">
        <v>2351</v>
      </c>
    </row>
    <row r="334" spans="2:7">
      <c r="B334" s="40"/>
      <c r="C334" s="21" t="s">
        <v>2352</v>
      </c>
      <c r="D334" s="1" t="s">
        <v>115</v>
      </c>
      <c r="E334" s="42">
        <v>2</v>
      </c>
      <c r="G334" s="306">
        <f t="shared" ref="G334" si="38">E334*F334</f>
        <v>0</v>
      </c>
    </row>
    <row r="335" spans="2:7">
      <c r="B335" s="40"/>
      <c r="C335" s="21"/>
    </row>
    <row r="336" spans="2:7" ht="25.5">
      <c r="B336" s="40"/>
      <c r="C336" s="48" t="s">
        <v>2353</v>
      </c>
    </row>
    <row r="337" spans="2:7">
      <c r="B337" s="40"/>
      <c r="C337" s="21"/>
    </row>
    <row r="338" spans="2:7" ht="102">
      <c r="B338" s="40" t="s">
        <v>250</v>
      </c>
      <c r="C338" s="21" t="s">
        <v>2354</v>
      </c>
    </row>
    <row r="339" spans="2:7">
      <c r="B339" s="40"/>
      <c r="C339" s="21" t="s">
        <v>117</v>
      </c>
      <c r="D339" s="1" t="s">
        <v>115</v>
      </c>
      <c r="E339" s="42">
        <v>2</v>
      </c>
      <c r="G339" s="306">
        <f t="shared" ref="G339" si="39">E339*F339</f>
        <v>0</v>
      </c>
    </row>
    <row r="340" spans="2:7">
      <c r="B340" s="40"/>
      <c r="C340" s="21"/>
    </row>
    <row r="341" spans="2:7" ht="38.25">
      <c r="B341" s="40" t="s">
        <v>734</v>
      </c>
      <c r="C341" s="21" t="s">
        <v>2355</v>
      </c>
    </row>
    <row r="342" spans="2:7">
      <c r="B342" s="40"/>
      <c r="C342" s="55" t="s">
        <v>2356</v>
      </c>
      <c r="D342" s="1" t="s">
        <v>112</v>
      </c>
      <c r="E342" s="42">
        <v>942</v>
      </c>
      <c r="G342" s="306">
        <f t="shared" ref="G342:G344" si="40">E342*F342</f>
        <v>0</v>
      </c>
    </row>
    <row r="343" spans="2:7">
      <c r="B343" s="40"/>
      <c r="C343" s="55" t="s">
        <v>2357</v>
      </c>
      <c r="D343" s="1" t="s">
        <v>110</v>
      </c>
      <c r="E343" s="42">
        <v>41</v>
      </c>
      <c r="G343" s="306">
        <f t="shared" si="40"/>
        <v>0</v>
      </c>
    </row>
    <row r="344" spans="2:7">
      <c r="B344" s="40"/>
      <c r="C344" s="55" t="s">
        <v>2358</v>
      </c>
      <c r="D344" s="1" t="s">
        <v>115</v>
      </c>
      <c r="E344" s="42">
        <v>1</v>
      </c>
      <c r="G344" s="306">
        <f t="shared" si="40"/>
        <v>0</v>
      </c>
    </row>
    <row r="345" spans="2:7">
      <c r="B345" s="40"/>
      <c r="C345" s="21"/>
    </row>
    <row r="346" spans="2:7" ht="38.25">
      <c r="B346" s="40" t="s">
        <v>1674</v>
      </c>
      <c r="C346" s="21" t="s">
        <v>2359</v>
      </c>
    </row>
    <row r="347" spans="2:7">
      <c r="B347" s="40"/>
      <c r="C347" s="21" t="s">
        <v>2360</v>
      </c>
      <c r="D347" s="1" t="s">
        <v>129</v>
      </c>
      <c r="E347" s="42">
        <v>942</v>
      </c>
      <c r="G347" s="306">
        <f t="shared" ref="G347" si="41">E347*F347</f>
        <v>0</v>
      </c>
    </row>
    <row r="348" spans="2:7">
      <c r="B348" s="40"/>
      <c r="C348" s="21"/>
    </row>
    <row r="349" spans="2:7" ht="63.75">
      <c r="B349" s="40" t="s">
        <v>1680</v>
      </c>
      <c r="C349" s="21" t="s">
        <v>2361</v>
      </c>
    </row>
    <row r="350" spans="2:7">
      <c r="B350" s="40"/>
      <c r="C350" s="21" t="s">
        <v>2332</v>
      </c>
      <c r="D350" s="1" t="s">
        <v>115</v>
      </c>
      <c r="E350" s="42">
        <v>1</v>
      </c>
      <c r="G350" s="306">
        <f t="shared" ref="G350" si="42">E350*F350</f>
        <v>0</v>
      </c>
    </row>
    <row r="351" spans="2:7">
      <c r="B351" s="40"/>
      <c r="C351" s="21"/>
    </row>
    <row r="352" spans="2:7" ht="13.5" thickBot="1">
      <c r="B352" s="40"/>
      <c r="C352" s="21"/>
    </row>
    <row r="353" spans="1:7" ht="21.75" thickBot="1">
      <c r="A353" s="49" t="s">
        <v>18</v>
      </c>
      <c r="B353" s="50"/>
      <c r="C353" s="51" t="s">
        <v>2362</v>
      </c>
      <c r="D353" s="52"/>
      <c r="E353" s="53"/>
      <c r="F353" s="348"/>
      <c r="G353" s="307">
        <f>SUM(G220:G352)</f>
        <v>0</v>
      </c>
    </row>
    <row r="354" spans="1:7" ht="21">
      <c r="A354" s="264"/>
      <c r="B354" s="265"/>
      <c r="C354" s="266"/>
      <c r="D354" s="267"/>
      <c r="E354" s="268"/>
      <c r="F354" s="450"/>
      <c r="G354" s="449"/>
    </row>
    <row r="355" spans="1:7" ht="21">
      <c r="A355" s="34" t="s">
        <v>19</v>
      </c>
      <c r="B355" s="35"/>
      <c r="C355" s="39" t="s">
        <v>2363</v>
      </c>
      <c r="D355" s="37"/>
      <c r="E355" s="38"/>
      <c r="F355" s="438"/>
      <c r="G355" s="443"/>
    </row>
    <row r="356" spans="1:7">
      <c r="C356"/>
    </row>
    <row r="357" spans="1:7" s="58" customFormat="1" ht="21">
      <c r="A357" s="545"/>
      <c r="B357" s="546" t="s">
        <v>2364</v>
      </c>
      <c r="C357" s="546" t="s">
        <v>2253</v>
      </c>
      <c r="D357" s="547"/>
      <c r="E357" s="548"/>
      <c r="F357" s="106"/>
      <c r="G357" s="453"/>
    </row>
    <row r="358" spans="1:7">
      <c r="C358"/>
    </row>
    <row r="359" spans="1:7" ht="15">
      <c r="A359" s="89" t="s">
        <v>2365</v>
      </c>
      <c r="B359" s="76"/>
      <c r="C359" s="76" t="s">
        <v>2366</v>
      </c>
      <c r="D359" s="76"/>
      <c r="E359" s="13"/>
      <c r="F359" s="13"/>
      <c r="G359" s="304"/>
    </row>
    <row r="360" spans="1:7">
      <c r="B360" s="40"/>
      <c r="C360" s="21"/>
    </row>
    <row r="361" spans="1:7" ht="76.5">
      <c r="B361" s="41" t="s">
        <v>9</v>
      </c>
      <c r="C361" t="s">
        <v>2367</v>
      </c>
    </row>
    <row r="362" spans="1:7">
      <c r="B362" s="40"/>
      <c r="C362" t="s">
        <v>2368</v>
      </c>
      <c r="D362" s="1" t="s">
        <v>129</v>
      </c>
      <c r="E362" s="42">
        <v>258</v>
      </c>
      <c r="G362" s="306">
        <f>E362*F362</f>
        <v>0</v>
      </c>
    </row>
    <row r="363" spans="1:7">
      <c r="B363" s="40"/>
      <c r="C363"/>
    </row>
    <row r="364" spans="1:7" ht="140.25">
      <c r="B364" s="41" t="s">
        <v>18</v>
      </c>
      <c r="C364" t="s">
        <v>2369</v>
      </c>
    </row>
    <row r="365" spans="1:7">
      <c r="B365" s="40"/>
      <c r="C365" t="s">
        <v>2370</v>
      </c>
      <c r="D365" s="1" t="s">
        <v>129</v>
      </c>
      <c r="E365" s="42">
        <v>48</v>
      </c>
      <c r="G365" s="306">
        <f t="shared" ref="G365:G367" si="43">E365*F365</f>
        <v>0</v>
      </c>
    </row>
    <row r="366" spans="1:7">
      <c r="B366" s="40"/>
      <c r="C366" t="s">
        <v>2371</v>
      </c>
      <c r="D366" s="1" t="s">
        <v>129</v>
      </c>
      <c r="E366" s="42">
        <v>84</v>
      </c>
      <c r="G366" s="306">
        <f t="shared" si="43"/>
        <v>0</v>
      </c>
    </row>
    <row r="367" spans="1:7">
      <c r="B367" s="40"/>
      <c r="C367" s="21" t="s">
        <v>2372</v>
      </c>
      <c r="D367" s="1" t="s">
        <v>129</v>
      </c>
      <c r="E367" s="42">
        <v>91</v>
      </c>
      <c r="G367" s="306">
        <f t="shared" si="43"/>
        <v>0</v>
      </c>
    </row>
    <row r="368" spans="1:7">
      <c r="B368" s="40"/>
      <c r="C368" s="21" t="s">
        <v>2373</v>
      </c>
      <c r="D368" s="1" t="s">
        <v>129</v>
      </c>
      <c r="E368" s="42">
        <v>105</v>
      </c>
      <c r="G368" s="306">
        <f>E368*F368</f>
        <v>0</v>
      </c>
    </row>
    <row r="369" spans="2:7">
      <c r="B369" s="40"/>
      <c r="C369" t="s">
        <v>2374</v>
      </c>
      <c r="D369" s="1" t="s">
        <v>129</v>
      </c>
      <c r="E369" s="42">
        <v>34</v>
      </c>
      <c r="G369" s="306">
        <f t="shared" ref="G369:G371" si="44">E369*F369</f>
        <v>0</v>
      </c>
    </row>
    <row r="370" spans="2:7">
      <c r="B370" s="40"/>
      <c r="C370" t="s">
        <v>2375</v>
      </c>
      <c r="D370" s="1" t="s">
        <v>129</v>
      </c>
      <c r="E370" s="42">
        <v>4680</v>
      </c>
      <c r="G370" s="306">
        <f t="shared" si="44"/>
        <v>0</v>
      </c>
    </row>
    <row r="371" spans="2:7">
      <c r="B371" s="40"/>
      <c r="C371" s="21" t="s">
        <v>2376</v>
      </c>
      <c r="D371" s="1" t="s">
        <v>129</v>
      </c>
      <c r="E371" s="42">
        <v>3030</v>
      </c>
      <c r="G371" s="306">
        <f t="shared" si="44"/>
        <v>0</v>
      </c>
    </row>
    <row r="372" spans="2:7">
      <c r="B372" s="40"/>
      <c r="C372" s="21"/>
    </row>
    <row r="373" spans="2:7" ht="63.75">
      <c r="B373" s="41" t="s">
        <v>19</v>
      </c>
      <c r="C373" t="s">
        <v>2377</v>
      </c>
    </row>
    <row r="374" spans="2:7">
      <c r="B374" s="40"/>
      <c r="C374" s="21" t="s">
        <v>2185</v>
      </c>
      <c r="D374" s="1" t="s">
        <v>129</v>
      </c>
      <c r="E374" s="42">
        <v>48</v>
      </c>
      <c r="G374" s="306">
        <f>E374*F374</f>
        <v>0</v>
      </c>
    </row>
    <row r="375" spans="2:7">
      <c r="B375" s="40"/>
      <c r="C375" t="s">
        <v>2186</v>
      </c>
      <c r="D375" s="1" t="s">
        <v>129</v>
      </c>
      <c r="E375" s="42">
        <v>84</v>
      </c>
      <c r="G375" s="306">
        <f t="shared" ref="G375:G377" si="45">E375*F375</f>
        <v>0</v>
      </c>
    </row>
    <row r="376" spans="2:7">
      <c r="B376" s="40"/>
      <c r="C376" t="s">
        <v>2138</v>
      </c>
      <c r="D376" s="1" t="s">
        <v>129</v>
      </c>
      <c r="E376" s="42">
        <v>85</v>
      </c>
      <c r="G376" s="306">
        <f t="shared" si="45"/>
        <v>0</v>
      </c>
    </row>
    <row r="377" spans="2:7">
      <c r="B377" s="40"/>
      <c r="C377" s="21" t="s">
        <v>2187</v>
      </c>
      <c r="D377" s="1" t="s">
        <v>129</v>
      </c>
      <c r="E377" s="42">
        <v>105</v>
      </c>
      <c r="G377" s="306">
        <f t="shared" si="45"/>
        <v>0</v>
      </c>
    </row>
    <row r="378" spans="2:7">
      <c r="B378" s="40"/>
      <c r="C378" s="21" t="s">
        <v>2021</v>
      </c>
      <c r="D378" s="1" t="s">
        <v>129</v>
      </c>
      <c r="E378" s="42">
        <v>4</v>
      </c>
      <c r="G378" s="306">
        <f>E378*F378</f>
        <v>0</v>
      </c>
    </row>
    <row r="379" spans="2:7">
      <c r="B379" s="40"/>
      <c r="C379" t="s">
        <v>2156</v>
      </c>
      <c r="D379" s="1" t="s">
        <v>129</v>
      </c>
      <c r="E379" s="42">
        <v>110</v>
      </c>
      <c r="G379" s="306">
        <f t="shared" ref="G379:G380" si="46">E379*F379</f>
        <v>0</v>
      </c>
    </row>
    <row r="380" spans="2:7">
      <c r="B380" s="40"/>
      <c r="C380" t="s">
        <v>2024</v>
      </c>
      <c r="D380" s="1" t="s">
        <v>129</v>
      </c>
      <c r="E380" s="42">
        <v>930</v>
      </c>
      <c r="G380" s="306">
        <f t="shared" si="46"/>
        <v>0</v>
      </c>
    </row>
    <row r="381" spans="2:7">
      <c r="B381" s="40"/>
      <c r="C381" s="21"/>
    </row>
    <row r="382" spans="2:7" ht="38.25">
      <c r="B382" s="41" t="s">
        <v>20</v>
      </c>
      <c r="C382" t="s">
        <v>2378</v>
      </c>
    </row>
    <row r="383" spans="2:7">
      <c r="B383" s="40"/>
      <c r="C383" s="21" t="s">
        <v>2379</v>
      </c>
      <c r="D383" s="1" t="s">
        <v>129</v>
      </c>
      <c r="E383" s="42">
        <v>6</v>
      </c>
      <c r="G383" s="306">
        <f>E383*F383</f>
        <v>0</v>
      </c>
    </row>
    <row r="384" spans="2:7">
      <c r="B384" s="40"/>
      <c r="C384" t="s">
        <v>2260</v>
      </c>
      <c r="D384" s="1" t="s">
        <v>129</v>
      </c>
      <c r="E384" s="42">
        <v>30</v>
      </c>
      <c r="G384" s="306">
        <f t="shared" ref="G384:G386" si="47">E384*F384</f>
        <v>0</v>
      </c>
    </row>
    <row r="385" spans="2:7">
      <c r="B385" s="40"/>
      <c r="C385" t="s">
        <v>2380</v>
      </c>
      <c r="D385" s="1" t="s">
        <v>129</v>
      </c>
      <c r="E385" s="42">
        <v>4570</v>
      </c>
      <c r="G385" s="306">
        <f t="shared" si="47"/>
        <v>0</v>
      </c>
    </row>
    <row r="386" spans="2:7">
      <c r="B386" s="40"/>
      <c r="C386" s="21" t="s">
        <v>2381</v>
      </c>
      <c r="D386" s="1" t="s">
        <v>129</v>
      </c>
      <c r="E386" s="42">
        <v>2100</v>
      </c>
      <c r="G386" s="306">
        <f t="shared" si="47"/>
        <v>0</v>
      </c>
    </row>
    <row r="387" spans="2:7">
      <c r="B387" s="40"/>
      <c r="C387" s="21"/>
    </row>
    <row r="388" spans="2:7" ht="38.25">
      <c r="B388" s="40" t="s">
        <v>21</v>
      </c>
      <c r="C388" s="21" t="s">
        <v>2382</v>
      </c>
    </row>
    <row r="389" spans="2:7">
      <c r="B389" s="40"/>
      <c r="C389" s="55" t="s">
        <v>2383</v>
      </c>
      <c r="D389" s="1" t="s">
        <v>115</v>
      </c>
      <c r="E389" s="42">
        <v>1</v>
      </c>
      <c r="G389" s="306">
        <f>E389*F389</f>
        <v>0</v>
      </c>
    </row>
    <row r="390" spans="2:7" ht="51">
      <c r="B390" s="40" t="s">
        <v>60</v>
      </c>
      <c r="C390" s="21" t="s">
        <v>2384</v>
      </c>
    </row>
    <row r="391" spans="2:7">
      <c r="B391" s="40"/>
      <c r="C391" s="55" t="s">
        <v>2186</v>
      </c>
      <c r="D391" s="1" t="s">
        <v>112</v>
      </c>
      <c r="E391" s="42">
        <v>160</v>
      </c>
      <c r="G391" s="306">
        <f>E391*F391</f>
        <v>0</v>
      </c>
    </row>
    <row r="392" spans="2:7">
      <c r="B392" s="40"/>
      <c r="C392"/>
    </row>
    <row r="393" spans="2:7" ht="25.5">
      <c r="B393" s="40" t="s">
        <v>78</v>
      </c>
      <c r="C393" t="s">
        <v>2385</v>
      </c>
    </row>
    <row r="394" spans="2:7">
      <c r="B394" s="40"/>
      <c r="C394" t="s">
        <v>2386</v>
      </c>
    </row>
    <row r="395" spans="2:7">
      <c r="B395" s="40"/>
      <c r="C395" t="s">
        <v>2156</v>
      </c>
      <c r="D395" s="1" t="s">
        <v>110</v>
      </c>
      <c r="E395" s="42">
        <v>152</v>
      </c>
      <c r="G395" s="306">
        <f t="shared" ref="G395:G396" si="48">E395*F395</f>
        <v>0</v>
      </c>
    </row>
    <row r="396" spans="2:7">
      <c r="B396" s="40"/>
      <c r="C396" t="s">
        <v>2024</v>
      </c>
      <c r="D396" s="1" t="s">
        <v>110</v>
      </c>
      <c r="E396" s="42">
        <v>357</v>
      </c>
      <c r="G396" s="306">
        <f t="shared" si="48"/>
        <v>0</v>
      </c>
    </row>
    <row r="397" spans="2:7">
      <c r="B397" s="40"/>
      <c r="C397"/>
    </row>
    <row r="398" spans="2:7" ht="51">
      <c r="B398" s="40" t="s">
        <v>165</v>
      </c>
      <c r="C398" s="21" t="s">
        <v>2387</v>
      </c>
    </row>
    <row r="399" spans="2:7">
      <c r="B399" s="40"/>
      <c r="C399" s="55" t="s">
        <v>2388</v>
      </c>
      <c r="D399" s="1" t="s">
        <v>115</v>
      </c>
      <c r="E399" s="42">
        <v>17</v>
      </c>
      <c r="G399" s="306">
        <f>E399*F399</f>
        <v>0</v>
      </c>
    </row>
    <row r="400" spans="2:7">
      <c r="B400" s="40"/>
      <c r="C400"/>
    </row>
    <row r="401" spans="2:7" ht="51">
      <c r="B401" s="40" t="s">
        <v>205</v>
      </c>
      <c r="C401" t="s">
        <v>2389</v>
      </c>
    </row>
    <row r="402" spans="2:7">
      <c r="B402" s="40"/>
      <c r="C402" t="s">
        <v>2388</v>
      </c>
      <c r="D402" s="1" t="s">
        <v>115</v>
      </c>
      <c r="E402" s="42">
        <v>18</v>
      </c>
      <c r="G402" s="306">
        <f>E402*F402</f>
        <v>0</v>
      </c>
    </row>
    <row r="403" spans="2:7">
      <c r="B403" s="40"/>
      <c r="C403"/>
    </row>
    <row r="404" spans="2:7" ht="51">
      <c r="B404" s="40" t="s">
        <v>206</v>
      </c>
      <c r="C404" t="s">
        <v>2390</v>
      </c>
    </row>
    <row r="405" spans="2:7">
      <c r="B405" s="40"/>
      <c r="C405" t="s">
        <v>2391</v>
      </c>
      <c r="D405" s="1" t="s">
        <v>110</v>
      </c>
      <c r="E405" s="42">
        <v>26</v>
      </c>
      <c r="G405" s="306">
        <f t="shared" ref="G405:G407" si="49">E405*F405</f>
        <v>0</v>
      </c>
    </row>
    <row r="406" spans="2:7">
      <c r="B406" s="40"/>
      <c r="C406" t="s">
        <v>2392</v>
      </c>
      <c r="D406" s="1" t="s">
        <v>110</v>
      </c>
      <c r="E406" s="42">
        <v>69</v>
      </c>
      <c r="G406" s="306">
        <f t="shared" si="49"/>
        <v>0</v>
      </c>
    </row>
    <row r="407" spans="2:7">
      <c r="B407" s="40"/>
      <c r="C407" t="s">
        <v>2393</v>
      </c>
      <c r="D407" s="1" t="s">
        <v>110</v>
      </c>
      <c r="E407" s="42">
        <v>4</v>
      </c>
      <c r="G407" s="306">
        <f t="shared" si="49"/>
        <v>0</v>
      </c>
    </row>
    <row r="408" spans="2:7">
      <c r="B408" s="40"/>
      <c r="C408"/>
    </row>
    <row r="409" spans="2:7" ht="51">
      <c r="B409" s="40" t="s">
        <v>233</v>
      </c>
      <c r="C409" s="21" t="s">
        <v>2394</v>
      </c>
    </row>
    <row r="410" spans="2:7">
      <c r="B410" s="40"/>
      <c r="C410" s="55" t="s">
        <v>679</v>
      </c>
      <c r="D410" s="1" t="s">
        <v>110</v>
      </c>
      <c r="E410" s="42">
        <v>4</v>
      </c>
      <c r="G410" s="306">
        <f>E410*F410</f>
        <v>0</v>
      </c>
    </row>
    <row r="411" spans="2:7">
      <c r="B411" s="40"/>
      <c r="C411"/>
    </row>
    <row r="412" spans="2:7" ht="51">
      <c r="B412" s="40" t="s">
        <v>245</v>
      </c>
      <c r="C412" t="s">
        <v>2245</v>
      </c>
    </row>
    <row r="413" spans="2:7">
      <c r="B413" s="40"/>
      <c r="C413" t="s">
        <v>2386</v>
      </c>
    </row>
    <row r="414" spans="2:7">
      <c r="B414" s="40"/>
      <c r="C414" t="s">
        <v>2021</v>
      </c>
      <c r="D414" s="1" t="s">
        <v>110</v>
      </c>
      <c r="E414" s="42">
        <v>4</v>
      </c>
      <c r="G414" s="306">
        <f t="shared" ref="G414:G415" si="50">E414*F414</f>
        <v>0</v>
      </c>
    </row>
    <row r="415" spans="2:7">
      <c r="B415" s="40"/>
      <c r="C415" t="s">
        <v>2156</v>
      </c>
      <c r="D415" s="1" t="s">
        <v>110</v>
      </c>
      <c r="E415" s="42">
        <v>148</v>
      </c>
      <c r="G415" s="306">
        <f t="shared" si="50"/>
        <v>0</v>
      </c>
    </row>
    <row r="416" spans="2:7">
      <c r="B416" s="40"/>
      <c r="C416"/>
    </row>
    <row r="417" spans="2:7" ht="25.5">
      <c r="B417" s="40" t="s">
        <v>250</v>
      </c>
      <c r="C417" t="s">
        <v>2395</v>
      </c>
    </row>
    <row r="418" spans="2:7">
      <c r="B418" s="40"/>
      <c r="C418" t="s">
        <v>2386</v>
      </c>
    </row>
    <row r="419" spans="2:7">
      <c r="B419" s="40"/>
      <c r="C419" t="s">
        <v>2396</v>
      </c>
      <c r="D419" s="1" t="s">
        <v>110</v>
      </c>
      <c r="E419" s="42">
        <v>7</v>
      </c>
      <c r="G419" s="306">
        <f t="shared" ref="G419:G421" si="51">E419*F419</f>
        <v>0</v>
      </c>
    </row>
    <row r="420" spans="2:7">
      <c r="B420" s="40"/>
      <c r="C420" t="s">
        <v>2397</v>
      </c>
      <c r="D420" s="1" t="s">
        <v>110</v>
      </c>
      <c r="E420" s="42">
        <v>21</v>
      </c>
      <c r="G420" s="306">
        <f t="shared" si="51"/>
        <v>0</v>
      </c>
    </row>
    <row r="421" spans="2:7">
      <c r="B421" s="40"/>
      <c r="C421" t="s">
        <v>2398</v>
      </c>
      <c r="D421" s="1" t="s">
        <v>110</v>
      </c>
      <c r="E421" s="42">
        <v>18</v>
      </c>
      <c r="G421" s="306">
        <f t="shared" si="51"/>
        <v>0</v>
      </c>
    </row>
    <row r="422" spans="2:7">
      <c r="B422" s="40"/>
      <c r="C422"/>
    </row>
    <row r="423" spans="2:7" ht="25.5">
      <c r="B423" s="40" t="s">
        <v>734</v>
      </c>
      <c r="C423" t="s">
        <v>2399</v>
      </c>
    </row>
    <row r="424" spans="2:7">
      <c r="B424" s="40"/>
      <c r="C424" t="s">
        <v>2386</v>
      </c>
      <c r="D424" s="1" t="s">
        <v>110</v>
      </c>
      <c r="E424" s="42">
        <v>1</v>
      </c>
      <c r="G424" s="306">
        <f t="shared" ref="G424" si="52">E424*F424</f>
        <v>0</v>
      </c>
    </row>
    <row r="425" spans="2:7">
      <c r="B425" s="40"/>
      <c r="C425"/>
    </row>
    <row r="426" spans="2:7" ht="38.25">
      <c r="B426" s="40" t="s">
        <v>1674</v>
      </c>
      <c r="C426" t="s">
        <v>2400</v>
      </c>
    </row>
    <row r="427" spans="2:7">
      <c r="B427" s="40"/>
      <c r="C427" t="s">
        <v>128</v>
      </c>
      <c r="D427" s="1" t="s">
        <v>129</v>
      </c>
      <c r="E427" s="42">
        <v>4750</v>
      </c>
      <c r="G427" s="306">
        <f t="shared" ref="G427" si="53">E427*F427</f>
        <v>0</v>
      </c>
    </row>
    <row r="428" spans="2:7">
      <c r="B428" s="40"/>
      <c r="C428"/>
    </row>
    <row r="429" spans="2:7" ht="25.5">
      <c r="B429" s="40" t="s">
        <v>1680</v>
      </c>
      <c r="C429" t="s">
        <v>2401</v>
      </c>
    </row>
    <row r="430" spans="2:7">
      <c r="B430" s="40"/>
      <c r="C430" t="s">
        <v>1909</v>
      </c>
      <c r="D430" s="1" t="s">
        <v>115</v>
      </c>
      <c r="E430" s="42">
        <v>1</v>
      </c>
      <c r="G430" s="306">
        <f t="shared" ref="G430" si="54">E430*F430</f>
        <v>0</v>
      </c>
    </row>
    <row r="431" spans="2:7">
      <c r="B431" s="40"/>
      <c r="C431"/>
    </row>
    <row r="432" spans="2:7">
      <c r="B432" s="40" t="s">
        <v>1682</v>
      </c>
      <c r="C432" s="21" t="s">
        <v>2402</v>
      </c>
    </row>
    <row r="433" spans="1:7">
      <c r="B433" s="40"/>
      <c r="C433" s="55" t="s">
        <v>130</v>
      </c>
      <c r="D433" s="1" t="s">
        <v>129</v>
      </c>
      <c r="E433" s="42">
        <v>8330</v>
      </c>
      <c r="G433" s="306">
        <f>E433*F433</f>
        <v>0</v>
      </c>
    </row>
    <row r="434" spans="1:7">
      <c r="B434" s="40"/>
      <c r="C434"/>
    </row>
    <row r="435" spans="1:7" ht="25.5">
      <c r="B435" s="40" t="s">
        <v>2163</v>
      </c>
      <c r="C435" t="s">
        <v>2403</v>
      </c>
    </row>
    <row r="436" spans="1:7">
      <c r="B436" s="40"/>
      <c r="C436" t="s">
        <v>128</v>
      </c>
      <c r="D436" s="1" t="s">
        <v>129</v>
      </c>
      <c r="E436" s="42">
        <v>8330</v>
      </c>
      <c r="G436" s="306">
        <f t="shared" ref="G436" si="55">E436*F436</f>
        <v>0</v>
      </c>
    </row>
    <row r="437" spans="1:7">
      <c r="B437" s="40"/>
      <c r="C437"/>
    </row>
    <row r="438" spans="1:7" ht="25.5">
      <c r="B438" s="40" t="s">
        <v>2165</v>
      </c>
      <c r="C438" t="s">
        <v>2404</v>
      </c>
    </row>
    <row r="439" spans="1:7">
      <c r="B439" s="40"/>
      <c r="C439" t="s">
        <v>128</v>
      </c>
      <c r="D439" s="1" t="s">
        <v>129</v>
      </c>
      <c r="E439" s="42">
        <v>8330</v>
      </c>
      <c r="G439" s="306">
        <f t="shared" ref="G439" si="56">E439*F439</f>
        <v>0</v>
      </c>
    </row>
    <row r="440" spans="1:7">
      <c r="B440" s="40"/>
      <c r="C440"/>
    </row>
    <row r="441" spans="1:7" ht="25.5">
      <c r="B441" s="40" t="s">
        <v>2167</v>
      </c>
      <c r="C441" s="21" t="s">
        <v>2405</v>
      </c>
    </row>
    <row r="442" spans="1:7">
      <c r="B442" s="40"/>
      <c r="C442" s="55" t="s">
        <v>1909</v>
      </c>
      <c r="D442" s="1" t="s">
        <v>115</v>
      </c>
      <c r="E442" s="42">
        <v>1</v>
      </c>
      <c r="G442" s="306">
        <f>E442*F442</f>
        <v>0</v>
      </c>
    </row>
    <row r="443" spans="1:7">
      <c r="B443" s="40"/>
      <c r="C443"/>
    </row>
    <row r="444" spans="1:7">
      <c r="B444" s="40" t="s">
        <v>2169</v>
      </c>
      <c r="C444" s="21" t="s">
        <v>2406</v>
      </c>
    </row>
    <row r="445" spans="1:7">
      <c r="B445" s="40"/>
      <c r="C445" s="55" t="s">
        <v>1909</v>
      </c>
      <c r="D445" s="1" t="s">
        <v>115</v>
      </c>
      <c r="E445" s="42">
        <v>1</v>
      </c>
      <c r="G445" s="306">
        <f>E445*F445</f>
        <v>0</v>
      </c>
    </row>
    <row r="446" spans="1:7">
      <c r="B446" s="40"/>
      <c r="C446"/>
    </row>
    <row r="447" spans="1:7">
      <c r="B447" s="40"/>
      <c r="C447"/>
    </row>
    <row r="448" spans="1:7" ht="15">
      <c r="A448" s="89" t="s">
        <v>2407</v>
      </c>
      <c r="B448" s="76"/>
      <c r="C448" s="76" t="s">
        <v>2408</v>
      </c>
      <c r="D448" s="76"/>
      <c r="E448" s="13"/>
      <c r="F448" s="13"/>
      <c r="G448" s="304"/>
    </row>
    <row r="449" spans="1:7">
      <c r="B449" s="40"/>
      <c r="C449" s="21"/>
    </row>
    <row r="450" spans="1:7" ht="51">
      <c r="B450" s="40" t="s">
        <v>9</v>
      </c>
      <c r="C450" s="21" t="s">
        <v>2409</v>
      </c>
    </row>
    <row r="451" spans="1:7">
      <c r="B451" s="40"/>
      <c r="C451" s="21" t="s">
        <v>2338</v>
      </c>
      <c r="D451" s="1" t="s">
        <v>129</v>
      </c>
      <c r="E451" s="42">
        <v>14</v>
      </c>
      <c r="G451" s="306">
        <f t="shared" ref="G451:G454" si="57">E451*F451</f>
        <v>0</v>
      </c>
    </row>
    <row r="452" spans="1:7">
      <c r="B452" s="40"/>
      <c r="C452" s="21" t="s">
        <v>2339</v>
      </c>
      <c r="D452" s="1" t="s">
        <v>129</v>
      </c>
      <c r="E452" s="42">
        <v>4</v>
      </c>
      <c r="G452" s="306">
        <f t="shared" si="57"/>
        <v>0</v>
      </c>
    </row>
    <row r="453" spans="1:7">
      <c r="B453" s="40"/>
      <c r="C453" s="21" t="s">
        <v>2340</v>
      </c>
      <c r="D453" s="1" t="s">
        <v>129</v>
      </c>
      <c r="E453" s="42">
        <v>630</v>
      </c>
      <c r="G453" s="306">
        <f t="shared" si="57"/>
        <v>0</v>
      </c>
    </row>
    <row r="454" spans="1:7">
      <c r="B454" s="40"/>
      <c r="C454" s="21" t="s">
        <v>2410</v>
      </c>
      <c r="D454" s="1" t="s">
        <v>129</v>
      </c>
      <c r="E454" s="42">
        <v>285</v>
      </c>
      <c r="G454" s="306">
        <f t="shared" si="57"/>
        <v>0</v>
      </c>
    </row>
    <row r="455" spans="1:7">
      <c r="B455" s="40"/>
      <c r="C455" s="21"/>
    </row>
    <row r="456" spans="1:7">
      <c r="B456" s="40" t="s">
        <v>18</v>
      </c>
      <c r="C456" s="21" t="s">
        <v>2411</v>
      </c>
    </row>
    <row r="457" spans="1:7">
      <c r="B457" s="40"/>
      <c r="C457" s="21" t="s">
        <v>2338</v>
      </c>
      <c r="D457" s="1" t="s">
        <v>110</v>
      </c>
      <c r="E457" s="42">
        <v>68</v>
      </c>
      <c r="G457" s="306">
        <f t="shared" ref="G457:G460" si="58">E457*F457</f>
        <v>0</v>
      </c>
    </row>
    <row r="458" spans="1:7">
      <c r="B458" s="40"/>
      <c r="C458" s="21" t="s">
        <v>2339</v>
      </c>
      <c r="D458" s="1" t="s">
        <v>110</v>
      </c>
      <c r="E458" s="42">
        <v>20</v>
      </c>
      <c r="G458" s="306">
        <f t="shared" si="58"/>
        <v>0</v>
      </c>
    </row>
    <row r="459" spans="1:7">
      <c r="B459" s="40"/>
      <c r="C459" s="21" t="s">
        <v>2340</v>
      </c>
      <c r="D459" s="1" t="s">
        <v>110</v>
      </c>
      <c r="E459" s="42">
        <v>325</v>
      </c>
      <c r="G459" s="306">
        <f t="shared" si="58"/>
        <v>0</v>
      </c>
    </row>
    <row r="460" spans="1:7">
      <c r="B460" s="40"/>
      <c r="C460" s="21" t="s">
        <v>2410</v>
      </c>
      <c r="D460" s="1" t="s">
        <v>110</v>
      </c>
      <c r="E460" s="42">
        <v>155</v>
      </c>
      <c r="G460" s="306">
        <f t="shared" si="58"/>
        <v>0</v>
      </c>
    </row>
    <row r="461" spans="1:7">
      <c r="B461" s="40"/>
      <c r="C461" s="21"/>
    </row>
    <row r="462" spans="1:7" s="58" customFormat="1" ht="51">
      <c r="A462" s="545"/>
      <c r="B462" s="545" t="s">
        <v>19</v>
      </c>
      <c r="C462" s="58" t="s">
        <v>2412</v>
      </c>
      <c r="D462" s="547"/>
      <c r="E462" s="548"/>
      <c r="F462" s="106"/>
      <c r="G462" s="453"/>
    </row>
    <row r="463" spans="1:7" s="58" customFormat="1">
      <c r="A463" s="545"/>
      <c r="B463" s="545"/>
      <c r="C463" s="58" t="s">
        <v>2413</v>
      </c>
      <c r="D463" s="547"/>
      <c r="E463" s="548"/>
      <c r="F463" s="106"/>
      <c r="G463" s="453"/>
    </row>
    <row r="464" spans="1:7" s="58" customFormat="1">
      <c r="A464" s="545"/>
      <c r="B464" s="545"/>
      <c r="C464" s="58" t="s">
        <v>2340</v>
      </c>
      <c r="D464" s="547" t="s">
        <v>129</v>
      </c>
      <c r="E464" s="548">
        <v>215</v>
      </c>
      <c r="F464" s="106"/>
      <c r="G464" s="453">
        <f t="shared" ref="G464:G465" si="59">E464*F464</f>
        <v>0</v>
      </c>
    </row>
    <row r="465" spans="1:7" s="58" customFormat="1">
      <c r="A465" s="545"/>
      <c r="B465" s="545"/>
      <c r="C465" s="58" t="s">
        <v>2414</v>
      </c>
      <c r="D465" s="547" t="s">
        <v>129</v>
      </c>
      <c r="E465" s="548">
        <v>1230</v>
      </c>
      <c r="F465" s="106"/>
      <c r="G465" s="453">
        <f t="shared" si="59"/>
        <v>0</v>
      </c>
    </row>
    <row r="466" spans="1:7" s="58" customFormat="1">
      <c r="A466" s="545"/>
      <c r="B466" s="545"/>
      <c r="D466" s="547"/>
      <c r="E466" s="548"/>
      <c r="F466" s="106"/>
      <c r="G466" s="453"/>
    </row>
    <row r="467" spans="1:7" s="58" customFormat="1">
      <c r="A467" s="545"/>
      <c r="B467" s="545" t="s">
        <v>20</v>
      </c>
      <c r="C467" s="58" t="s">
        <v>2415</v>
      </c>
      <c r="D467" s="547"/>
      <c r="E467" s="548"/>
      <c r="F467" s="106"/>
      <c r="G467" s="453"/>
    </row>
    <row r="468" spans="1:7" s="58" customFormat="1">
      <c r="A468" s="545"/>
      <c r="B468" s="545"/>
      <c r="C468" s="58" t="s">
        <v>2338</v>
      </c>
      <c r="D468" s="547" t="s">
        <v>110</v>
      </c>
      <c r="E468" s="548">
        <v>10</v>
      </c>
      <c r="F468" s="106"/>
      <c r="G468" s="453">
        <f t="shared" ref="G468:G471" si="60">E468*F468</f>
        <v>0</v>
      </c>
    </row>
    <row r="469" spans="1:7" s="58" customFormat="1">
      <c r="A469" s="545"/>
      <c r="B469" s="545"/>
      <c r="C469" s="58" t="s">
        <v>2339</v>
      </c>
      <c r="D469" s="547" t="s">
        <v>110</v>
      </c>
      <c r="E469" s="548">
        <v>17</v>
      </c>
      <c r="F469" s="106"/>
      <c r="G469" s="453">
        <f t="shared" si="60"/>
        <v>0</v>
      </c>
    </row>
    <row r="470" spans="1:7" s="58" customFormat="1">
      <c r="A470" s="545"/>
      <c r="B470" s="545"/>
      <c r="C470" s="58" t="s">
        <v>2340</v>
      </c>
      <c r="D470" s="547" t="s">
        <v>110</v>
      </c>
      <c r="E470" s="548">
        <v>300</v>
      </c>
      <c r="F470" s="106"/>
      <c r="G470" s="453">
        <f t="shared" si="60"/>
        <v>0</v>
      </c>
    </row>
    <row r="471" spans="1:7" s="58" customFormat="1">
      <c r="A471" s="545"/>
      <c r="B471" s="545"/>
      <c r="C471" s="58" t="s">
        <v>2414</v>
      </c>
      <c r="D471" s="547" t="s">
        <v>110</v>
      </c>
      <c r="E471" s="548">
        <v>3750</v>
      </c>
      <c r="F471" s="106"/>
      <c r="G471" s="453">
        <f t="shared" si="60"/>
        <v>0</v>
      </c>
    </row>
    <row r="472" spans="1:7" ht="38.25">
      <c r="B472" s="40" t="s">
        <v>21</v>
      </c>
      <c r="C472" s="21" t="s">
        <v>2416</v>
      </c>
    </row>
    <row r="473" spans="1:7">
      <c r="B473" s="40"/>
      <c r="C473" s="21" t="s">
        <v>2417</v>
      </c>
      <c r="D473" s="1" t="s">
        <v>129</v>
      </c>
      <c r="E473" s="42">
        <v>260</v>
      </c>
      <c r="G473" s="453">
        <f t="shared" ref="G473:G477" si="61">E473*F473</f>
        <v>0</v>
      </c>
    </row>
    <row r="474" spans="1:7">
      <c r="B474" s="40"/>
      <c r="C474" s="21" t="s">
        <v>2418</v>
      </c>
      <c r="D474" s="1" t="s">
        <v>129</v>
      </c>
      <c r="E474" s="42">
        <v>94</v>
      </c>
      <c r="G474" s="453">
        <f t="shared" si="61"/>
        <v>0</v>
      </c>
    </row>
    <row r="475" spans="1:7">
      <c r="B475" s="40"/>
      <c r="C475" s="21" t="s">
        <v>2419</v>
      </c>
      <c r="D475" s="1" t="s">
        <v>129</v>
      </c>
      <c r="E475" s="42">
        <v>50</v>
      </c>
      <c r="G475" s="453">
        <f t="shared" si="61"/>
        <v>0</v>
      </c>
    </row>
    <row r="476" spans="1:7">
      <c r="B476" s="40"/>
      <c r="C476" s="21" t="s">
        <v>2420</v>
      </c>
      <c r="D476" s="1" t="s">
        <v>129</v>
      </c>
      <c r="E476" s="42">
        <v>4</v>
      </c>
      <c r="G476" s="453">
        <f t="shared" si="61"/>
        <v>0</v>
      </c>
    </row>
    <row r="477" spans="1:7">
      <c r="B477" s="40"/>
      <c r="C477" s="21" t="s">
        <v>2421</v>
      </c>
      <c r="D477" s="1" t="s">
        <v>129</v>
      </c>
      <c r="E477" s="42">
        <v>26</v>
      </c>
      <c r="G477" s="453">
        <f t="shared" si="61"/>
        <v>0</v>
      </c>
    </row>
    <row r="478" spans="1:7">
      <c r="B478" s="40"/>
      <c r="C478" s="21"/>
      <c r="G478" s="453"/>
    </row>
    <row r="479" spans="1:7">
      <c r="B479" s="40" t="s">
        <v>60</v>
      </c>
      <c r="C479" s="21" t="s">
        <v>2422</v>
      </c>
    </row>
    <row r="480" spans="1:7">
      <c r="B480" s="40"/>
      <c r="C480" s="21" t="s">
        <v>2417</v>
      </c>
      <c r="D480" s="1" t="s">
        <v>129</v>
      </c>
      <c r="E480" s="42">
        <v>290</v>
      </c>
      <c r="G480" s="453">
        <f t="shared" ref="G480:G484" si="62">E480*F480</f>
        <v>0</v>
      </c>
    </row>
    <row r="481" spans="2:7">
      <c r="B481" s="40"/>
      <c r="C481" s="21" t="s">
        <v>2418</v>
      </c>
      <c r="D481" s="1" t="s">
        <v>129</v>
      </c>
      <c r="E481" s="42">
        <v>52</v>
      </c>
      <c r="G481" s="453">
        <f t="shared" si="62"/>
        <v>0</v>
      </c>
    </row>
    <row r="482" spans="2:7">
      <c r="B482" s="40"/>
      <c r="C482" s="21" t="s">
        <v>2419</v>
      </c>
      <c r="D482" s="1" t="s">
        <v>129</v>
      </c>
      <c r="E482" s="42">
        <v>330</v>
      </c>
      <c r="G482" s="453">
        <f t="shared" si="62"/>
        <v>0</v>
      </c>
    </row>
    <row r="483" spans="2:7">
      <c r="B483" s="40"/>
      <c r="C483" s="21" t="s">
        <v>2420</v>
      </c>
      <c r="D483" s="1" t="s">
        <v>129</v>
      </c>
      <c r="E483" s="42">
        <v>150</v>
      </c>
      <c r="G483" s="453">
        <f t="shared" si="62"/>
        <v>0</v>
      </c>
    </row>
    <row r="484" spans="2:7">
      <c r="B484" s="40"/>
      <c r="C484" s="21" t="s">
        <v>2421</v>
      </c>
      <c r="D484" s="1" t="s">
        <v>129</v>
      </c>
      <c r="E484" s="42">
        <v>88</v>
      </c>
      <c r="G484" s="453">
        <f t="shared" si="62"/>
        <v>0</v>
      </c>
    </row>
    <row r="485" spans="2:7">
      <c r="B485" s="40"/>
      <c r="C485" s="21"/>
      <c r="G485" s="453"/>
    </row>
    <row r="486" spans="2:7" ht="102">
      <c r="B486" s="40" t="s">
        <v>78</v>
      </c>
      <c r="C486" s="21" t="s">
        <v>2423</v>
      </c>
      <c r="G486" s="453"/>
    </row>
    <row r="487" spans="2:7">
      <c r="B487" s="40"/>
      <c r="C487" s="21" t="s">
        <v>2424</v>
      </c>
      <c r="D487" s="1" t="s">
        <v>115</v>
      </c>
      <c r="E487" s="42">
        <v>163</v>
      </c>
      <c r="G487" s="453">
        <f t="shared" ref="G487" si="63">E487*F487</f>
        <v>0</v>
      </c>
    </row>
    <row r="488" spans="2:7">
      <c r="B488" s="40"/>
      <c r="C488" s="21"/>
      <c r="G488" s="453"/>
    </row>
    <row r="489" spans="2:7" ht="51">
      <c r="B489" s="40" t="s">
        <v>165</v>
      </c>
      <c r="C489" s="21" t="s">
        <v>2425</v>
      </c>
      <c r="G489" s="453"/>
    </row>
    <row r="490" spans="2:7">
      <c r="B490" s="40"/>
      <c r="C490" s="21" t="s">
        <v>2424</v>
      </c>
      <c r="D490" s="1" t="s">
        <v>115</v>
      </c>
      <c r="E490" s="42">
        <v>10</v>
      </c>
      <c r="G490" s="453">
        <f t="shared" ref="G490" si="64">E490*F490</f>
        <v>0</v>
      </c>
    </row>
    <row r="491" spans="2:7">
      <c r="B491" s="40"/>
      <c r="C491" s="21"/>
      <c r="G491" s="453"/>
    </row>
    <row r="492" spans="2:7" ht="51">
      <c r="B492" s="40" t="s">
        <v>205</v>
      </c>
      <c r="C492" s="21" t="s">
        <v>2426</v>
      </c>
      <c r="G492" s="453"/>
    </row>
    <row r="493" spans="2:7">
      <c r="B493" s="40"/>
      <c r="C493" s="21" t="s">
        <v>2386</v>
      </c>
      <c r="D493" s="1" t="s">
        <v>110</v>
      </c>
      <c r="E493" s="42">
        <v>311</v>
      </c>
      <c r="G493" s="453">
        <f t="shared" ref="G493" si="65">E493*F493</f>
        <v>0</v>
      </c>
    </row>
    <row r="494" spans="2:7">
      <c r="B494" s="40"/>
      <c r="C494" s="21"/>
      <c r="G494" s="453"/>
    </row>
    <row r="495" spans="2:7" ht="38.25">
      <c r="B495" s="40" t="s">
        <v>206</v>
      </c>
      <c r="C495" s="21" t="s">
        <v>2427</v>
      </c>
      <c r="G495" s="453"/>
    </row>
    <row r="496" spans="2:7">
      <c r="B496" s="40"/>
      <c r="C496" s="21" t="s">
        <v>2428</v>
      </c>
      <c r="G496" s="453"/>
    </row>
    <row r="497" spans="2:7" ht="51">
      <c r="B497" s="40" t="s">
        <v>181</v>
      </c>
      <c r="C497" s="21" t="s">
        <v>2429</v>
      </c>
      <c r="G497" s="453"/>
    </row>
    <row r="498" spans="2:7" ht="25.5">
      <c r="B498" s="40" t="s">
        <v>182</v>
      </c>
      <c r="C498" s="21" t="s">
        <v>2430</v>
      </c>
      <c r="G498" s="453"/>
    </row>
    <row r="499" spans="2:7" ht="25.5">
      <c r="B499" s="40" t="s">
        <v>324</v>
      </c>
      <c r="C499" s="21" t="s">
        <v>2431</v>
      </c>
      <c r="G499" s="453"/>
    </row>
    <row r="500" spans="2:7">
      <c r="B500" s="40"/>
      <c r="C500" s="21" t="s">
        <v>2424</v>
      </c>
      <c r="D500" s="1" t="s">
        <v>115</v>
      </c>
      <c r="E500" s="42">
        <v>24</v>
      </c>
      <c r="G500" s="453">
        <f t="shared" ref="G500" si="66">E500*F500</f>
        <v>0</v>
      </c>
    </row>
    <row r="501" spans="2:7">
      <c r="B501" s="40"/>
      <c r="C501" s="21"/>
      <c r="G501" s="453"/>
    </row>
    <row r="502" spans="2:7" ht="38.25">
      <c r="B502" s="40"/>
      <c r="C502" s="48" t="s">
        <v>2432</v>
      </c>
      <c r="G502" s="453"/>
    </row>
    <row r="503" spans="2:7">
      <c r="B503" s="40"/>
      <c r="C503" s="21"/>
      <c r="G503" s="453"/>
    </row>
    <row r="504" spans="2:7">
      <c r="B504" s="40"/>
      <c r="C504" s="21"/>
      <c r="G504" s="453"/>
    </row>
    <row r="505" spans="2:7" ht="165.75">
      <c r="B505" s="40" t="s">
        <v>233</v>
      </c>
      <c r="C505" s="21" t="s">
        <v>2433</v>
      </c>
      <c r="G505" s="453"/>
    </row>
    <row r="506" spans="2:7">
      <c r="B506" s="40"/>
      <c r="C506" s="21" t="s">
        <v>2434</v>
      </c>
      <c r="G506" s="453"/>
    </row>
    <row r="507" spans="2:7">
      <c r="B507" s="40"/>
      <c r="C507" s="21" t="s">
        <v>2435</v>
      </c>
      <c r="G507" s="453"/>
    </row>
    <row r="508" spans="2:7">
      <c r="B508" s="40"/>
      <c r="C508" s="21" t="s">
        <v>2436</v>
      </c>
      <c r="G508" s="453"/>
    </row>
    <row r="509" spans="2:7">
      <c r="B509" s="40"/>
      <c r="C509" s="21" t="s">
        <v>2437</v>
      </c>
      <c r="G509" s="453"/>
    </row>
    <row r="510" spans="2:7">
      <c r="B510" s="40"/>
      <c r="C510" s="21" t="s">
        <v>2424</v>
      </c>
      <c r="D510" s="1" t="s">
        <v>115</v>
      </c>
      <c r="E510" s="42">
        <v>4</v>
      </c>
      <c r="G510" s="453">
        <f t="shared" ref="G510" si="67">E510*F510</f>
        <v>0</v>
      </c>
    </row>
    <row r="511" spans="2:7">
      <c r="B511" s="40"/>
      <c r="C511" s="21"/>
      <c r="G511" s="453"/>
    </row>
    <row r="512" spans="2:7">
      <c r="B512" s="40" t="s">
        <v>245</v>
      </c>
      <c r="C512" s="21" t="s">
        <v>2438</v>
      </c>
      <c r="G512" s="453"/>
    </row>
    <row r="513" spans="2:7">
      <c r="B513" s="40"/>
      <c r="C513" s="21" t="s">
        <v>2439</v>
      </c>
      <c r="G513" s="453"/>
    </row>
    <row r="514" spans="2:7">
      <c r="B514" s="40"/>
      <c r="C514" s="21" t="s">
        <v>2440</v>
      </c>
      <c r="D514" s="1" t="s">
        <v>115</v>
      </c>
      <c r="E514" s="42">
        <v>2</v>
      </c>
      <c r="G514" s="453">
        <f t="shared" ref="G514:G515" si="68">E514*F514</f>
        <v>0</v>
      </c>
    </row>
    <row r="515" spans="2:7">
      <c r="B515" s="40"/>
      <c r="C515" s="21" t="s">
        <v>2441</v>
      </c>
      <c r="D515" s="1" t="s">
        <v>115</v>
      </c>
      <c r="E515" s="42">
        <v>2</v>
      </c>
      <c r="G515" s="453">
        <f t="shared" si="68"/>
        <v>0</v>
      </c>
    </row>
    <row r="516" spans="2:7">
      <c r="B516" s="40"/>
      <c r="C516" s="21"/>
      <c r="G516" s="453"/>
    </row>
    <row r="517" spans="2:7" ht="63.75">
      <c r="B517" s="40" t="s">
        <v>250</v>
      </c>
      <c r="C517" s="21" t="s">
        <v>2442</v>
      </c>
      <c r="G517" s="453"/>
    </row>
    <row r="518" spans="2:7">
      <c r="B518" s="40"/>
      <c r="C518" s="21" t="s">
        <v>111</v>
      </c>
      <c r="D518" s="1" t="s">
        <v>110</v>
      </c>
      <c r="E518" s="42">
        <v>28</v>
      </c>
      <c r="G518" s="453">
        <f t="shared" ref="G518" si="69">E518*F518</f>
        <v>0</v>
      </c>
    </row>
    <row r="519" spans="2:7">
      <c r="B519" s="40"/>
      <c r="C519" s="21"/>
      <c r="G519" s="453"/>
    </row>
    <row r="520" spans="2:7" ht="63.75">
      <c r="B520" s="40" t="s">
        <v>734</v>
      </c>
      <c r="C520" s="21" t="s">
        <v>2443</v>
      </c>
      <c r="G520" s="453"/>
    </row>
    <row r="521" spans="2:7">
      <c r="B521" s="40"/>
      <c r="C521" s="21" t="s">
        <v>111</v>
      </c>
      <c r="D521" s="1" t="s">
        <v>110</v>
      </c>
      <c r="E521" s="42">
        <v>6</v>
      </c>
      <c r="G521" s="453">
        <f t="shared" ref="G521" si="70">E521*F521</f>
        <v>0</v>
      </c>
    </row>
    <row r="522" spans="2:7">
      <c r="B522" s="40"/>
      <c r="C522" s="21"/>
      <c r="G522" s="453"/>
    </row>
    <row r="523" spans="2:7" ht="63.75">
      <c r="B523" s="40" t="s">
        <v>1674</v>
      </c>
      <c r="C523" s="21" t="s">
        <v>2444</v>
      </c>
      <c r="G523" s="453"/>
    </row>
    <row r="524" spans="2:7">
      <c r="B524" s="40"/>
      <c r="C524" s="21" t="s">
        <v>111</v>
      </c>
      <c r="D524" s="1" t="s">
        <v>110</v>
      </c>
      <c r="E524" s="42">
        <v>2</v>
      </c>
      <c r="G524" s="453">
        <f t="shared" ref="G524" si="71">E524*F524</f>
        <v>0</v>
      </c>
    </row>
    <row r="525" spans="2:7">
      <c r="B525" s="40"/>
      <c r="C525" s="21"/>
      <c r="G525" s="453"/>
    </row>
    <row r="526" spans="2:7" ht="38.25">
      <c r="B526" s="40" t="s">
        <v>1680</v>
      </c>
      <c r="C526" s="21" t="s">
        <v>2445</v>
      </c>
      <c r="G526" s="453"/>
    </row>
    <row r="527" spans="2:7">
      <c r="B527" s="40"/>
      <c r="C527" s="21" t="s">
        <v>1909</v>
      </c>
      <c r="D527" s="1" t="s">
        <v>115</v>
      </c>
      <c r="E527" s="42">
        <v>4</v>
      </c>
      <c r="G527" s="453">
        <f t="shared" ref="G527" si="72">E527*F527</f>
        <v>0</v>
      </c>
    </row>
    <row r="528" spans="2:7">
      <c r="B528" s="40"/>
      <c r="C528" s="21"/>
      <c r="G528" s="453"/>
    </row>
    <row r="529" spans="1:7" ht="38.25">
      <c r="B529" s="40" t="s">
        <v>1682</v>
      </c>
      <c r="C529" s="21" t="s">
        <v>2446</v>
      </c>
      <c r="G529" s="453"/>
    </row>
    <row r="530" spans="1:7">
      <c r="B530" s="40"/>
      <c r="C530" s="21" t="s">
        <v>2424</v>
      </c>
      <c r="D530" s="1" t="s">
        <v>115</v>
      </c>
      <c r="E530" s="42">
        <v>12</v>
      </c>
      <c r="G530" s="453">
        <f t="shared" ref="G530" si="73">E530*F530</f>
        <v>0</v>
      </c>
    </row>
    <row r="531" spans="1:7">
      <c r="B531" s="40"/>
      <c r="C531" s="21"/>
      <c r="G531" s="453"/>
    </row>
    <row r="532" spans="1:7" ht="38.25">
      <c r="B532" s="40" t="s">
        <v>2163</v>
      </c>
      <c r="C532" s="21" t="s">
        <v>2447</v>
      </c>
      <c r="G532" s="453"/>
    </row>
    <row r="533" spans="1:7">
      <c r="B533" s="40"/>
      <c r="C533" s="21" t="s">
        <v>1909</v>
      </c>
      <c r="D533" s="1" t="s">
        <v>115</v>
      </c>
      <c r="E533" s="42">
        <v>6</v>
      </c>
      <c r="G533" s="453">
        <f t="shared" ref="G533" si="74">E533*F533</f>
        <v>0</v>
      </c>
    </row>
    <row r="534" spans="1:7">
      <c r="B534" s="40"/>
      <c r="C534" s="21"/>
      <c r="G534" s="453"/>
    </row>
    <row r="535" spans="1:7" ht="25.5">
      <c r="B535" s="40" t="s">
        <v>2165</v>
      </c>
      <c r="C535" s="21" t="s">
        <v>2448</v>
      </c>
      <c r="G535" s="453"/>
    </row>
    <row r="536" spans="1:7">
      <c r="B536" s="40"/>
      <c r="C536" s="21" t="s">
        <v>676</v>
      </c>
      <c r="D536" s="1" t="s">
        <v>1335</v>
      </c>
      <c r="E536" s="42">
        <v>30</v>
      </c>
      <c r="G536" s="453">
        <f t="shared" ref="G536" si="75">E536*F536</f>
        <v>0</v>
      </c>
    </row>
    <row r="537" spans="1:7">
      <c r="B537" s="40"/>
      <c r="C537" s="21"/>
      <c r="G537" s="453"/>
    </row>
    <row r="538" spans="1:7" ht="25.5">
      <c r="B538" s="40" t="s">
        <v>2167</v>
      </c>
      <c r="C538" s="21" t="s">
        <v>2449</v>
      </c>
      <c r="G538" s="453"/>
    </row>
    <row r="539" spans="1:7">
      <c r="B539" s="40"/>
      <c r="C539" s="21" t="s">
        <v>2450</v>
      </c>
      <c r="D539" s="1" t="s">
        <v>110</v>
      </c>
      <c r="E539" s="42">
        <v>50</v>
      </c>
      <c r="G539" s="453">
        <f t="shared" ref="G539" si="76">E539*F539</f>
        <v>0</v>
      </c>
    </row>
    <row r="540" spans="1:7">
      <c r="B540" s="40"/>
      <c r="C540" s="21"/>
      <c r="G540" s="453"/>
    </row>
    <row r="541" spans="1:7" ht="25.5">
      <c r="B541" s="40" t="s">
        <v>2169</v>
      </c>
      <c r="C541" s="21" t="s">
        <v>2451</v>
      </c>
      <c r="G541" s="453"/>
    </row>
    <row r="542" spans="1:7">
      <c r="B542" s="40"/>
      <c r="C542" s="21" t="s">
        <v>2386</v>
      </c>
      <c r="D542" s="1" t="s">
        <v>110</v>
      </c>
      <c r="E542" s="42">
        <v>1</v>
      </c>
      <c r="G542" s="453">
        <f t="shared" ref="G542" si="77">E542*F542</f>
        <v>0</v>
      </c>
    </row>
    <row r="543" spans="1:7">
      <c r="B543" s="40"/>
      <c r="C543" s="21"/>
    </row>
    <row r="544" spans="1:7" ht="15">
      <c r="A544" s="89" t="s">
        <v>2452</v>
      </c>
      <c r="B544" s="76"/>
      <c r="C544" s="76" t="s">
        <v>2453</v>
      </c>
      <c r="D544" s="76"/>
      <c r="E544" s="13"/>
      <c r="F544" s="13"/>
      <c r="G544" s="304"/>
    </row>
    <row r="545" spans="2:7">
      <c r="B545" s="40"/>
      <c r="C545" s="21"/>
    </row>
    <row r="546" spans="2:7" ht="127.5">
      <c r="B546" s="41" t="s">
        <v>9</v>
      </c>
      <c r="C546" s="21" t="s">
        <v>2454</v>
      </c>
    </row>
    <row r="547" spans="2:7" ht="280.5">
      <c r="B547" s="40"/>
      <c r="C547" s="21" t="s">
        <v>2455</v>
      </c>
    </row>
    <row r="548" spans="2:7">
      <c r="B548" s="40"/>
      <c r="C548" s="48" t="s">
        <v>2322</v>
      </c>
    </row>
    <row r="549" spans="2:7">
      <c r="B549" s="40"/>
      <c r="C549" s="21" t="s">
        <v>2456</v>
      </c>
      <c r="D549" s="1" t="s">
        <v>110</v>
      </c>
      <c r="E549" s="42">
        <v>2</v>
      </c>
      <c r="G549" s="453">
        <f t="shared" ref="G549" si="78">E549*F549</f>
        <v>0</v>
      </c>
    </row>
    <row r="550" spans="2:7">
      <c r="B550" s="40"/>
      <c r="C550" s="21"/>
    </row>
    <row r="551" spans="2:7" ht="114.75">
      <c r="B551" s="41" t="s">
        <v>18</v>
      </c>
      <c r="C551" s="21" t="s">
        <v>2457</v>
      </c>
    </row>
    <row r="552" spans="2:7">
      <c r="B552" s="40"/>
      <c r="C552" s="21" t="s">
        <v>2458</v>
      </c>
      <c r="D552" s="1" t="s">
        <v>129</v>
      </c>
      <c r="E552" s="42">
        <v>160</v>
      </c>
      <c r="G552" s="453">
        <f t="shared" ref="G552" si="79">E552*F552</f>
        <v>0</v>
      </c>
    </row>
    <row r="553" spans="2:7">
      <c r="B553" s="40"/>
      <c r="C553" s="21"/>
    </row>
    <row r="554" spans="2:7">
      <c r="B554" s="40" t="s">
        <v>19</v>
      </c>
      <c r="C554" s="21" t="s">
        <v>2459</v>
      </c>
    </row>
    <row r="555" spans="2:7">
      <c r="B555" s="40"/>
      <c r="C555" s="21" t="s">
        <v>2458</v>
      </c>
      <c r="D555" s="1" t="s">
        <v>110</v>
      </c>
      <c r="E555" s="42">
        <v>22</v>
      </c>
      <c r="G555" s="453">
        <f t="shared" ref="G555" si="80">E555*F555</f>
        <v>0</v>
      </c>
    </row>
    <row r="556" spans="2:7">
      <c r="B556" s="40"/>
      <c r="C556" s="21"/>
    </row>
    <row r="557" spans="2:7" ht="38.25">
      <c r="B557" s="40" t="s">
        <v>20</v>
      </c>
      <c r="C557" s="21" t="s">
        <v>2460</v>
      </c>
    </row>
    <row r="558" spans="2:7">
      <c r="B558" s="40"/>
      <c r="C558" s="21" t="s">
        <v>2461</v>
      </c>
      <c r="D558" s="1" t="s">
        <v>110</v>
      </c>
      <c r="E558" s="42">
        <v>2</v>
      </c>
      <c r="G558" s="453">
        <f t="shared" ref="G558" si="81">E558*F558</f>
        <v>0</v>
      </c>
    </row>
    <row r="559" spans="2:7">
      <c r="B559" s="40"/>
      <c r="C559" s="21"/>
    </row>
    <row r="560" spans="2:7" ht="38.25">
      <c r="B560" s="40" t="s">
        <v>21</v>
      </c>
      <c r="C560" s="21" t="s">
        <v>2462</v>
      </c>
    </row>
    <row r="561" spans="2:7">
      <c r="B561" s="40"/>
      <c r="C561" s="21" t="s">
        <v>2463</v>
      </c>
      <c r="D561" s="1" t="s">
        <v>110</v>
      </c>
      <c r="E561" s="42">
        <v>2</v>
      </c>
      <c r="G561" s="453">
        <f t="shared" ref="G561" si="82">E561*F561</f>
        <v>0</v>
      </c>
    </row>
    <row r="562" spans="2:7">
      <c r="B562" s="40"/>
      <c r="C562" s="21"/>
    </row>
    <row r="563" spans="2:7" ht="38.25">
      <c r="B563" s="40" t="s">
        <v>60</v>
      </c>
      <c r="C563" s="21" t="s">
        <v>2355</v>
      </c>
    </row>
    <row r="564" spans="2:7">
      <c r="B564" s="40"/>
      <c r="C564" s="21" t="s">
        <v>2464</v>
      </c>
      <c r="D564" s="1" t="s">
        <v>112</v>
      </c>
      <c r="E564" s="42">
        <v>160</v>
      </c>
      <c r="G564" s="453">
        <f t="shared" ref="G564:G566" si="83">E564*F564</f>
        <v>0</v>
      </c>
    </row>
    <row r="565" spans="2:7">
      <c r="B565" s="40"/>
      <c r="C565" s="21" t="s">
        <v>2465</v>
      </c>
      <c r="D565" s="1" t="s">
        <v>110</v>
      </c>
      <c r="E565" s="42">
        <v>2</v>
      </c>
      <c r="G565" s="453">
        <f t="shared" si="83"/>
        <v>0</v>
      </c>
    </row>
    <row r="566" spans="2:7">
      <c r="B566" s="40"/>
      <c r="C566" s="21" t="s">
        <v>2466</v>
      </c>
      <c r="D566" s="1" t="s">
        <v>115</v>
      </c>
      <c r="E566" s="42">
        <v>1</v>
      </c>
      <c r="G566" s="453">
        <f t="shared" si="83"/>
        <v>0</v>
      </c>
    </row>
    <row r="567" spans="2:7">
      <c r="B567" s="40"/>
      <c r="C567" s="21"/>
    </row>
    <row r="568" spans="2:7" ht="15">
      <c r="B568" s="40"/>
      <c r="C568" s="271" t="s">
        <v>2467</v>
      </c>
    </row>
    <row r="569" spans="2:7">
      <c r="B569" s="40"/>
      <c r="C569" s="21"/>
    </row>
    <row r="570" spans="2:7" ht="89.25">
      <c r="B570" s="41" t="s">
        <v>78</v>
      </c>
      <c r="C570" s="21" t="s">
        <v>2468</v>
      </c>
    </row>
    <row r="571" spans="2:7" ht="102">
      <c r="B571" s="40"/>
      <c r="C571" s="21" t="s">
        <v>2469</v>
      </c>
    </row>
    <row r="572" spans="2:7" ht="127.5">
      <c r="B572" s="40"/>
      <c r="C572" s="21" t="s">
        <v>2470</v>
      </c>
    </row>
    <row r="573" spans="2:7">
      <c r="B573" s="40"/>
      <c r="C573" s="21" t="s">
        <v>679</v>
      </c>
      <c r="D573" s="1" t="s">
        <v>110</v>
      </c>
      <c r="E573" s="42">
        <v>2</v>
      </c>
      <c r="G573" s="453">
        <f t="shared" ref="G573" si="84">E573*F573</f>
        <v>0</v>
      </c>
    </row>
    <row r="574" spans="2:7" ht="114.75">
      <c r="B574" s="41" t="s">
        <v>165</v>
      </c>
      <c r="C574" s="21" t="s">
        <v>2471</v>
      </c>
    </row>
    <row r="575" spans="2:7">
      <c r="B575" s="40"/>
      <c r="C575" s="21" t="s">
        <v>679</v>
      </c>
      <c r="D575" s="1" t="s">
        <v>110</v>
      </c>
      <c r="E575" s="42">
        <v>2</v>
      </c>
      <c r="G575" s="453">
        <f t="shared" ref="G575" si="85">E575*F575</f>
        <v>0</v>
      </c>
    </row>
    <row r="576" spans="2:7">
      <c r="B576" s="40"/>
      <c r="C576" s="21"/>
    </row>
    <row r="577" spans="2:7" ht="38.25">
      <c r="B577" s="40" t="s">
        <v>205</v>
      </c>
      <c r="C577" s="21" t="s">
        <v>2472</v>
      </c>
    </row>
    <row r="578" spans="2:7">
      <c r="B578" s="40"/>
      <c r="C578" s="21" t="s">
        <v>117</v>
      </c>
      <c r="D578" s="1" t="s">
        <v>115</v>
      </c>
      <c r="E578" s="42">
        <v>2</v>
      </c>
      <c r="G578" s="453">
        <f t="shared" ref="G578" si="86">E578*F578</f>
        <v>0</v>
      </c>
    </row>
    <row r="579" spans="2:7">
      <c r="B579" s="40"/>
      <c r="C579" s="21"/>
    </row>
    <row r="580" spans="2:7" ht="89.25">
      <c r="B580" s="40" t="s">
        <v>206</v>
      </c>
      <c r="C580" s="21" t="s">
        <v>2473</v>
      </c>
    </row>
    <row r="581" spans="2:7">
      <c r="B581" s="40"/>
      <c r="C581" s="21" t="s">
        <v>1909</v>
      </c>
      <c r="D581" s="1" t="s">
        <v>115</v>
      </c>
      <c r="E581" s="42">
        <v>2</v>
      </c>
      <c r="G581" s="453">
        <f t="shared" ref="G581" si="87">E581*F581</f>
        <v>0</v>
      </c>
    </row>
    <row r="582" spans="2:7">
      <c r="B582" s="40"/>
      <c r="C582" s="21"/>
    </row>
    <row r="583" spans="2:7" ht="153">
      <c r="B583" s="40" t="s">
        <v>233</v>
      </c>
      <c r="C583" s="21" t="s">
        <v>2474</v>
      </c>
    </row>
    <row r="584" spans="2:7">
      <c r="B584" s="40"/>
      <c r="C584" s="21" t="s">
        <v>1909</v>
      </c>
      <c r="D584" s="1" t="s">
        <v>115</v>
      </c>
      <c r="E584" s="42">
        <v>1</v>
      </c>
      <c r="G584" s="453">
        <f t="shared" ref="G584" si="88">E584*F584</f>
        <v>0</v>
      </c>
    </row>
    <row r="585" spans="2:7">
      <c r="B585" s="40"/>
      <c r="C585" s="21"/>
    </row>
    <row r="586" spans="2:7" ht="25.5">
      <c r="B586" s="40" t="s">
        <v>245</v>
      </c>
      <c r="C586" s="21" t="s">
        <v>2475</v>
      </c>
    </row>
    <row r="587" spans="2:7">
      <c r="B587" s="40"/>
      <c r="C587" s="21" t="s">
        <v>1950</v>
      </c>
      <c r="D587" s="1" t="s">
        <v>114</v>
      </c>
      <c r="E587" s="42">
        <v>190</v>
      </c>
      <c r="G587" s="453">
        <f t="shared" ref="G587" si="89">E587*F587</f>
        <v>0</v>
      </c>
    </row>
    <row r="588" spans="2:7">
      <c r="B588" s="40"/>
      <c r="C588" s="21"/>
    </row>
    <row r="589" spans="2:7" ht="25.5">
      <c r="B589" s="40" t="s">
        <v>250</v>
      </c>
      <c r="C589" s="21" t="s">
        <v>2476</v>
      </c>
    </row>
    <row r="590" spans="2:7">
      <c r="B590" s="40"/>
      <c r="C590" s="21" t="s">
        <v>1909</v>
      </c>
      <c r="D590" s="1" t="s">
        <v>115</v>
      </c>
      <c r="E590" s="42">
        <v>2</v>
      </c>
      <c r="G590" s="453">
        <f t="shared" ref="G590" si="90">E590*F590</f>
        <v>0</v>
      </c>
    </row>
    <row r="591" spans="2:7">
      <c r="B591" s="40"/>
      <c r="C591" s="21"/>
    </row>
    <row r="592" spans="2:7">
      <c r="B592" s="40" t="s">
        <v>734</v>
      </c>
      <c r="C592" s="21" t="s">
        <v>2477</v>
      </c>
    </row>
    <row r="593" spans="1:7">
      <c r="B593" s="40"/>
      <c r="C593" s="21" t="s">
        <v>2478</v>
      </c>
      <c r="D593" s="1" t="s">
        <v>129</v>
      </c>
      <c r="E593" s="42">
        <v>8</v>
      </c>
      <c r="G593" s="453">
        <f t="shared" ref="G593" si="91">E593*F593</f>
        <v>0</v>
      </c>
    </row>
    <row r="594" spans="1:7">
      <c r="B594" s="40"/>
      <c r="C594" s="21"/>
    </row>
    <row r="595" spans="1:7" ht="15">
      <c r="A595" s="89" t="s">
        <v>2479</v>
      </c>
      <c r="B595" s="76"/>
      <c r="C595" s="76" t="s">
        <v>2480</v>
      </c>
      <c r="D595" s="76"/>
      <c r="E595" s="13"/>
      <c r="F595" s="13"/>
      <c r="G595" s="304"/>
    </row>
    <row r="596" spans="1:7" ht="89.25">
      <c r="C596" s="21" t="s">
        <v>2481</v>
      </c>
    </row>
    <row r="597" spans="1:7" ht="25.5">
      <c r="B597" s="40"/>
      <c r="C597" s="21" t="s">
        <v>2482</v>
      </c>
    </row>
    <row r="598" spans="1:7">
      <c r="B598" s="40"/>
      <c r="C598" s="21" t="s">
        <v>2483</v>
      </c>
    </row>
    <row r="599" spans="1:7">
      <c r="B599" s="40"/>
      <c r="C599" s="21"/>
    </row>
    <row r="600" spans="1:7" ht="165.75">
      <c r="B600" s="41" t="s">
        <v>9</v>
      </c>
      <c r="C600" s="21" t="s">
        <v>2484</v>
      </c>
    </row>
    <row r="601" spans="1:7">
      <c r="B601" s="40"/>
      <c r="C601" s="55" t="s">
        <v>2485</v>
      </c>
      <c r="D601" s="1" t="s">
        <v>110</v>
      </c>
      <c r="E601" s="42">
        <v>1</v>
      </c>
    </row>
    <row r="602" spans="1:7" ht="25.5">
      <c r="B602" s="40"/>
      <c r="C602" s="55" t="s">
        <v>2486</v>
      </c>
      <c r="D602" s="1" t="s">
        <v>110</v>
      </c>
      <c r="E602" s="42">
        <v>1</v>
      </c>
    </row>
    <row r="603" spans="1:7">
      <c r="B603" s="40"/>
      <c r="C603" s="55" t="s">
        <v>2487</v>
      </c>
      <c r="D603" s="1" t="s">
        <v>110</v>
      </c>
      <c r="E603" s="42">
        <v>1</v>
      </c>
    </row>
    <row r="604" spans="1:7">
      <c r="B604" s="40"/>
      <c r="C604" s="55" t="s">
        <v>2488</v>
      </c>
      <c r="D604" s="1" t="s">
        <v>110</v>
      </c>
      <c r="E604" s="42">
        <v>1</v>
      </c>
    </row>
    <row r="605" spans="1:7">
      <c r="B605" s="40"/>
      <c r="C605" s="55" t="s">
        <v>2489</v>
      </c>
      <c r="D605" s="1" t="s">
        <v>110</v>
      </c>
      <c r="E605" s="42">
        <v>1</v>
      </c>
    </row>
    <row r="606" spans="1:7">
      <c r="B606" s="40"/>
      <c r="C606" s="21" t="s">
        <v>2490</v>
      </c>
      <c r="D606" s="1" t="s">
        <v>115</v>
      </c>
      <c r="E606" s="42">
        <v>163</v>
      </c>
      <c r="G606" s="453">
        <f t="shared" ref="G606" si="92">E606*F606</f>
        <v>0</v>
      </c>
    </row>
    <row r="607" spans="1:7">
      <c r="B607" s="40"/>
      <c r="C607" s="21"/>
    </row>
    <row r="608" spans="1:7" ht="204">
      <c r="B608" s="41" t="s">
        <v>18</v>
      </c>
      <c r="C608" s="21" t="s">
        <v>2491</v>
      </c>
    </row>
    <row r="609" spans="2:7">
      <c r="B609" s="40"/>
      <c r="C609" s="55" t="s">
        <v>2492</v>
      </c>
      <c r="D609" s="1" t="s">
        <v>110</v>
      </c>
      <c r="E609" s="42">
        <v>1</v>
      </c>
    </row>
    <row r="610" spans="2:7">
      <c r="B610" s="40"/>
      <c r="C610" s="55" t="s">
        <v>2493</v>
      </c>
      <c r="D610" s="1" t="s">
        <v>110</v>
      </c>
      <c r="E610" s="42">
        <v>1</v>
      </c>
    </row>
    <row r="611" spans="2:7">
      <c r="B611" s="40"/>
      <c r="C611" s="55" t="s">
        <v>2494</v>
      </c>
      <c r="D611" s="1" t="s">
        <v>110</v>
      </c>
      <c r="E611" s="42">
        <v>1</v>
      </c>
    </row>
    <row r="612" spans="2:7">
      <c r="B612" s="40"/>
      <c r="C612" s="55" t="s">
        <v>2495</v>
      </c>
      <c r="D612" s="1" t="s">
        <v>110</v>
      </c>
      <c r="E612" s="42">
        <v>1</v>
      </c>
    </row>
    <row r="613" spans="2:7">
      <c r="B613" s="40"/>
      <c r="C613" s="55" t="s">
        <v>2496</v>
      </c>
      <c r="D613" s="1" t="s">
        <v>110</v>
      </c>
      <c r="E613" s="42">
        <v>2</v>
      </c>
    </row>
    <row r="614" spans="2:7">
      <c r="B614" s="40"/>
      <c r="C614" s="55" t="s">
        <v>2489</v>
      </c>
      <c r="D614" s="1" t="s">
        <v>115</v>
      </c>
      <c r="E614" s="42">
        <v>1</v>
      </c>
    </row>
    <row r="615" spans="2:7">
      <c r="B615" s="40"/>
      <c r="C615" s="21" t="s">
        <v>2490</v>
      </c>
      <c r="D615" s="1" t="s">
        <v>115</v>
      </c>
      <c r="E615" s="42">
        <v>163</v>
      </c>
      <c r="G615" s="453">
        <f t="shared" ref="G615" si="93">E615*F615</f>
        <v>0</v>
      </c>
    </row>
    <row r="616" spans="2:7" ht="25.5">
      <c r="B616" s="40" t="s">
        <v>19</v>
      </c>
      <c r="C616" s="3" t="s">
        <v>2497</v>
      </c>
    </row>
    <row r="617" spans="2:7">
      <c r="B617" s="40"/>
      <c r="C617" s="55" t="s">
        <v>2498</v>
      </c>
      <c r="D617" s="1" t="s">
        <v>110</v>
      </c>
      <c r="E617" s="42">
        <v>1</v>
      </c>
    </row>
    <row r="618" spans="2:7">
      <c r="B618" s="40"/>
      <c r="C618" s="55" t="s">
        <v>2499</v>
      </c>
      <c r="D618" s="1" t="s">
        <v>110</v>
      </c>
      <c r="E618" s="42">
        <v>1</v>
      </c>
    </row>
    <row r="619" spans="2:7">
      <c r="B619" s="40"/>
      <c r="C619" s="55" t="s">
        <v>2500</v>
      </c>
      <c r="D619" s="1" t="s">
        <v>110</v>
      </c>
      <c r="E619" s="42">
        <v>1</v>
      </c>
    </row>
    <row r="620" spans="2:7">
      <c r="B620" s="40"/>
      <c r="C620" s="55" t="s">
        <v>2489</v>
      </c>
      <c r="D620" s="1" t="s">
        <v>115</v>
      </c>
      <c r="E620" s="42">
        <v>1</v>
      </c>
    </row>
    <row r="621" spans="2:7">
      <c r="B621" s="40"/>
      <c r="C621" s="55" t="s">
        <v>2490</v>
      </c>
      <c r="D621" s="1" t="s">
        <v>115</v>
      </c>
      <c r="E621" s="42">
        <v>148</v>
      </c>
      <c r="G621" s="453">
        <f t="shared" ref="G621" si="94">E621*F621</f>
        <v>0</v>
      </c>
    </row>
    <row r="622" spans="2:7">
      <c r="B622" s="40"/>
      <c r="C622" s="55"/>
    </row>
    <row r="623" spans="2:7" ht="25.5">
      <c r="B623" s="40" t="s">
        <v>20</v>
      </c>
      <c r="C623" s="55" t="s">
        <v>2501</v>
      </c>
    </row>
    <row r="624" spans="2:7">
      <c r="B624" s="40"/>
      <c r="C624" s="55" t="s">
        <v>2502</v>
      </c>
      <c r="D624" s="1" t="s">
        <v>110</v>
      </c>
      <c r="E624" s="42">
        <v>1</v>
      </c>
    </row>
    <row r="625" spans="2:7">
      <c r="B625" s="40"/>
      <c r="C625" s="55" t="s">
        <v>2499</v>
      </c>
      <c r="D625" s="1" t="s">
        <v>110</v>
      </c>
      <c r="E625" s="42">
        <v>1</v>
      </c>
    </row>
    <row r="626" spans="2:7">
      <c r="B626" s="40"/>
      <c r="C626" s="55" t="s">
        <v>2503</v>
      </c>
      <c r="D626" s="1" t="s">
        <v>110</v>
      </c>
      <c r="E626" s="42">
        <v>1</v>
      </c>
    </row>
    <row r="627" spans="2:7">
      <c r="B627" s="40"/>
      <c r="C627" s="55" t="s">
        <v>2500</v>
      </c>
      <c r="D627" s="1" t="s">
        <v>110</v>
      </c>
      <c r="E627" s="42">
        <v>1</v>
      </c>
    </row>
    <row r="628" spans="2:7">
      <c r="B628" s="40"/>
      <c r="C628" s="55" t="s">
        <v>2489</v>
      </c>
      <c r="D628" s="1" t="s">
        <v>115</v>
      </c>
      <c r="E628" s="42">
        <v>1</v>
      </c>
    </row>
    <row r="629" spans="2:7">
      <c r="B629" s="40"/>
      <c r="C629" s="55" t="s">
        <v>2490</v>
      </c>
      <c r="D629" s="1" t="s">
        <v>115</v>
      </c>
      <c r="E629" s="42">
        <v>15</v>
      </c>
      <c r="G629" s="453">
        <f t="shared" ref="G629" si="95">E629*F629</f>
        <v>0</v>
      </c>
    </row>
    <row r="630" spans="2:7">
      <c r="B630" s="40"/>
      <c r="C630" s="55"/>
    </row>
    <row r="631" spans="2:7" ht="127.5">
      <c r="B631" s="41" t="s">
        <v>21</v>
      </c>
      <c r="C631" s="55" t="s">
        <v>2504</v>
      </c>
    </row>
    <row r="632" spans="2:7">
      <c r="B632" s="40"/>
      <c r="C632" s="55" t="s">
        <v>2505</v>
      </c>
      <c r="D632" s="1" t="s">
        <v>110</v>
      </c>
      <c r="E632" s="42">
        <v>1</v>
      </c>
    </row>
    <row r="633" spans="2:7">
      <c r="B633" s="40"/>
      <c r="C633" s="55" t="s">
        <v>2506</v>
      </c>
      <c r="D633" s="1" t="s">
        <v>110</v>
      </c>
      <c r="E633" s="42">
        <v>1</v>
      </c>
    </row>
    <row r="634" spans="2:7">
      <c r="B634" s="40"/>
      <c r="C634" s="55" t="s">
        <v>2495</v>
      </c>
      <c r="D634" s="1" t="s">
        <v>110</v>
      </c>
      <c r="E634" s="42">
        <v>1</v>
      </c>
    </row>
    <row r="635" spans="2:7">
      <c r="B635" s="40"/>
      <c r="C635" s="55" t="s">
        <v>2507</v>
      </c>
      <c r="D635" s="1" t="s">
        <v>110</v>
      </c>
      <c r="E635" s="42">
        <v>1</v>
      </c>
    </row>
    <row r="636" spans="2:7">
      <c r="B636" s="40"/>
      <c r="C636" s="55" t="s">
        <v>2489</v>
      </c>
      <c r="D636" s="1" t="s">
        <v>115</v>
      </c>
      <c r="E636" s="42">
        <v>1</v>
      </c>
    </row>
    <row r="637" spans="2:7">
      <c r="B637" s="40"/>
      <c r="C637" s="55" t="s">
        <v>2490</v>
      </c>
      <c r="D637" s="1" t="s">
        <v>115</v>
      </c>
      <c r="E637" s="42">
        <v>4</v>
      </c>
      <c r="G637" s="453">
        <f t="shared" ref="G637" si="96">E637*F637</f>
        <v>0</v>
      </c>
    </row>
    <row r="638" spans="2:7">
      <c r="B638" s="40"/>
      <c r="C638" s="55"/>
    </row>
    <row r="639" spans="2:7" ht="51">
      <c r="B639" s="40" t="s">
        <v>60</v>
      </c>
      <c r="C639" s="55" t="s">
        <v>2508</v>
      </c>
    </row>
    <row r="640" spans="2:7">
      <c r="B640" s="40"/>
      <c r="C640" s="55" t="s">
        <v>2490</v>
      </c>
      <c r="D640" s="1" t="s">
        <v>115</v>
      </c>
      <c r="E640" s="42">
        <v>152</v>
      </c>
      <c r="G640" s="453">
        <f t="shared" ref="G640" si="97">E640*F640</f>
        <v>0</v>
      </c>
    </row>
    <row r="641" spans="1:7">
      <c r="B641" s="40"/>
      <c r="C641" s="55"/>
    </row>
    <row r="642" spans="1:7" ht="25.5">
      <c r="B642" s="40" t="s">
        <v>78</v>
      </c>
      <c r="C642" s="55" t="s">
        <v>2509</v>
      </c>
    </row>
    <row r="643" spans="1:7">
      <c r="B643" s="40"/>
      <c r="C643" s="55" t="s">
        <v>2490</v>
      </c>
      <c r="D643" s="1" t="s">
        <v>115</v>
      </c>
      <c r="E643" s="42">
        <v>311</v>
      </c>
      <c r="G643" s="453">
        <f t="shared" ref="G643" si="98">E643*F643</f>
        <v>0</v>
      </c>
    </row>
    <row r="644" spans="1:7">
      <c r="B644" s="40"/>
      <c r="C644" s="55"/>
    </row>
    <row r="645" spans="1:7" ht="25.5">
      <c r="B645" s="40" t="s">
        <v>165</v>
      </c>
      <c r="C645" s="55" t="s">
        <v>2510</v>
      </c>
    </row>
    <row r="646" spans="1:7">
      <c r="B646" s="40"/>
      <c r="C646" s="55" t="s">
        <v>2490</v>
      </c>
      <c r="D646" s="1" t="s">
        <v>115</v>
      </c>
      <c r="E646" s="42">
        <v>152</v>
      </c>
      <c r="G646" s="453">
        <f t="shared" ref="G646" si="99">E646*F646</f>
        <v>0</v>
      </c>
    </row>
    <row r="647" spans="1:7">
      <c r="B647" s="40"/>
      <c r="C647" s="55"/>
    </row>
    <row r="648" spans="1:7" s="58" customFormat="1" ht="42">
      <c r="A648" s="545"/>
      <c r="B648" s="546" t="s">
        <v>2511</v>
      </c>
      <c r="C648" s="546" t="s">
        <v>2512</v>
      </c>
      <c r="D648" s="547"/>
      <c r="E648" s="548"/>
      <c r="F648" s="106"/>
      <c r="G648" s="453"/>
    </row>
    <row r="649" spans="1:7">
      <c r="B649" s="40"/>
      <c r="C649" s="55"/>
    </row>
    <row r="650" spans="1:7" ht="38.25">
      <c r="B650" s="40"/>
      <c r="C650" s="55" t="s">
        <v>2513</v>
      </c>
    </row>
    <row r="651" spans="1:7">
      <c r="B651" s="40"/>
      <c r="C651" s="55"/>
    </row>
    <row r="652" spans="1:7" ht="15">
      <c r="A652" s="89" t="s">
        <v>2514</v>
      </c>
      <c r="B652" s="76"/>
      <c r="C652" s="76" t="s">
        <v>1121</v>
      </c>
      <c r="D652" s="76"/>
      <c r="E652" s="13"/>
      <c r="F652" s="13"/>
      <c r="G652" s="304"/>
    </row>
    <row r="653" spans="1:7">
      <c r="B653" s="40"/>
      <c r="C653" s="55"/>
    </row>
    <row r="654" spans="1:7" ht="25.5">
      <c r="B654" s="40" t="s">
        <v>9</v>
      </c>
      <c r="C654" s="55" t="s">
        <v>2236</v>
      </c>
    </row>
    <row r="655" spans="1:7">
      <c r="B655" s="40"/>
      <c r="C655" s="55" t="s">
        <v>130</v>
      </c>
      <c r="D655" s="1" t="s">
        <v>129</v>
      </c>
      <c r="E655" s="42">
        <v>160</v>
      </c>
      <c r="G655" s="453">
        <f t="shared" ref="G655" si="100">E655*F655</f>
        <v>0</v>
      </c>
    </row>
    <row r="656" spans="1:7">
      <c r="B656" s="40"/>
      <c r="C656" s="55"/>
    </row>
    <row r="657" spans="1:7" ht="127.5">
      <c r="B657" s="40" t="s">
        <v>18</v>
      </c>
      <c r="C657" s="55" t="s">
        <v>2515</v>
      </c>
    </row>
    <row r="658" spans="1:7">
      <c r="B658" s="40"/>
      <c r="C658" s="55" t="s">
        <v>2243</v>
      </c>
      <c r="D658" s="1" t="s">
        <v>321</v>
      </c>
      <c r="E658" s="42">
        <v>166</v>
      </c>
      <c r="G658" s="453">
        <f t="shared" ref="G658" si="101">E658*F658</f>
        <v>0</v>
      </c>
    </row>
    <row r="659" spans="1:7">
      <c r="B659" s="40"/>
      <c r="C659" s="55"/>
    </row>
    <row r="660" spans="1:7" ht="114.75">
      <c r="B660" s="40" t="s">
        <v>19</v>
      </c>
      <c r="C660" s="55" t="s">
        <v>2516</v>
      </c>
    </row>
    <row r="661" spans="1:7">
      <c r="B661" s="40"/>
      <c r="C661" s="55" t="s">
        <v>2243</v>
      </c>
      <c r="D661" s="1" t="s">
        <v>321</v>
      </c>
      <c r="E661" s="42">
        <v>12</v>
      </c>
      <c r="G661" s="453">
        <f t="shared" ref="G661" si="102">E661*F661</f>
        <v>0</v>
      </c>
    </row>
    <row r="662" spans="1:7">
      <c r="B662" s="40"/>
      <c r="C662" s="55"/>
    </row>
    <row r="663" spans="1:7" ht="76.5">
      <c r="B663" s="40" t="s">
        <v>20</v>
      </c>
      <c r="C663" s="55" t="s">
        <v>2304</v>
      </c>
    </row>
    <row r="664" spans="1:7">
      <c r="B664" s="40"/>
      <c r="C664" s="55" t="s">
        <v>2243</v>
      </c>
      <c r="D664" s="1" t="s">
        <v>321</v>
      </c>
      <c r="E664" s="42">
        <v>128</v>
      </c>
      <c r="G664" s="453">
        <f t="shared" ref="G664" si="103">E664*F664</f>
        <v>0</v>
      </c>
    </row>
    <row r="665" spans="1:7">
      <c r="B665" s="40"/>
      <c r="C665" s="55"/>
    </row>
    <row r="666" spans="1:7" ht="51">
      <c r="B666" s="40" t="s">
        <v>21</v>
      </c>
      <c r="C666" s="55" t="s">
        <v>2310</v>
      </c>
    </row>
    <row r="667" spans="1:7">
      <c r="B667" s="40"/>
      <c r="C667" s="55" t="s">
        <v>2243</v>
      </c>
      <c r="D667" s="1" t="s">
        <v>321</v>
      </c>
      <c r="E667" s="42">
        <v>128</v>
      </c>
      <c r="G667" s="453">
        <f t="shared" ref="G667" si="104">E667*F667</f>
        <v>0</v>
      </c>
    </row>
    <row r="668" spans="1:7">
      <c r="B668" s="40"/>
      <c r="C668" s="55"/>
    </row>
    <row r="669" spans="1:7" ht="15">
      <c r="A669" s="89" t="s">
        <v>2517</v>
      </c>
      <c r="B669" s="76"/>
      <c r="C669" s="76" t="s">
        <v>2518</v>
      </c>
      <c r="D669" s="76"/>
      <c r="E669" s="13"/>
      <c r="F669" s="13"/>
      <c r="G669" s="304"/>
    </row>
    <row r="670" spans="1:7">
      <c r="B670" s="40"/>
      <c r="C670" s="55"/>
    </row>
    <row r="671" spans="1:7" ht="63.75">
      <c r="B671" s="40" t="s">
        <v>9</v>
      </c>
      <c r="C671" s="55" t="s">
        <v>2519</v>
      </c>
    </row>
    <row r="672" spans="1:7">
      <c r="B672" s="40"/>
      <c r="C672" s="55" t="s">
        <v>2243</v>
      </c>
      <c r="D672" s="1" t="s">
        <v>321</v>
      </c>
      <c r="E672" s="42">
        <v>128</v>
      </c>
      <c r="G672" s="453">
        <f t="shared" ref="G672" si="105">E672*F672</f>
        <v>0</v>
      </c>
    </row>
    <row r="673" spans="1:7">
      <c r="B673" s="40"/>
      <c r="C673" s="55"/>
    </row>
    <row r="674" spans="1:7" ht="127.5">
      <c r="B674" s="40" t="s">
        <v>18</v>
      </c>
      <c r="C674" s="55" t="s">
        <v>2520</v>
      </c>
    </row>
    <row r="675" spans="1:7" ht="38.25">
      <c r="B675" s="40"/>
      <c r="C675" s="55" t="s">
        <v>2521</v>
      </c>
    </row>
    <row r="676" spans="1:7">
      <c r="B676" s="40"/>
      <c r="C676" s="55" t="s">
        <v>1909</v>
      </c>
    </row>
    <row r="677" spans="1:7">
      <c r="B677" s="40"/>
      <c r="C677" s="55" t="s">
        <v>2522</v>
      </c>
      <c r="D677" s="1" t="s">
        <v>115</v>
      </c>
      <c r="E677" s="42">
        <v>1</v>
      </c>
      <c r="G677" s="453">
        <f t="shared" ref="G677" si="106">E677*F677</f>
        <v>0</v>
      </c>
    </row>
    <row r="678" spans="1:7">
      <c r="B678" s="40"/>
      <c r="C678" s="55"/>
    </row>
    <row r="679" spans="1:7" ht="13.5" thickBot="1">
      <c r="B679" s="40"/>
      <c r="C679" s="55"/>
    </row>
    <row r="680" spans="1:7" ht="21.75" thickBot="1">
      <c r="A680" s="49" t="s">
        <v>19</v>
      </c>
      <c r="B680" s="50"/>
      <c r="C680" s="51" t="s">
        <v>2523</v>
      </c>
      <c r="D680" s="52"/>
      <c r="E680" s="53"/>
      <c r="F680" s="348"/>
      <c r="G680" s="307">
        <f>SUM(G359:G678)</f>
        <v>0</v>
      </c>
    </row>
    <row r="681" spans="1:7">
      <c r="B681" s="40"/>
      <c r="C681" s="21"/>
    </row>
    <row r="682" spans="1:7">
      <c r="B682" s="40"/>
      <c r="C682" s="21"/>
    </row>
    <row r="683" spans="1:7">
      <c r="B683" s="40"/>
      <c r="C683" s="21"/>
    </row>
    <row r="684" spans="1:7" ht="46.5">
      <c r="A684" s="62"/>
      <c r="B684" s="63"/>
      <c r="C684" s="64" t="s">
        <v>2524</v>
      </c>
      <c r="D684" s="65"/>
      <c r="E684" s="66"/>
      <c r="F684" s="330"/>
      <c r="G684" s="305"/>
    </row>
    <row r="685" spans="1:7" ht="13.5" thickBot="1">
      <c r="C685" s="21"/>
    </row>
    <row r="686" spans="1:7" ht="19.5" thickBot="1">
      <c r="A686" s="68" t="s">
        <v>9</v>
      </c>
      <c r="B686" s="69"/>
      <c r="C686" s="70" t="s">
        <v>2299</v>
      </c>
      <c r="D686" s="71"/>
      <c r="E686" s="72"/>
      <c r="F686" s="331"/>
      <c r="G686" s="307">
        <f>G217</f>
        <v>0</v>
      </c>
    </row>
    <row r="687" spans="1:7" ht="19.5" thickBot="1">
      <c r="A687" s="68" t="s">
        <v>18</v>
      </c>
      <c r="B687" s="69"/>
      <c r="C687" s="74" t="s">
        <v>2362</v>
      </c>
      <c r="D687" s="71"/>
      <c r="E687" s="72"/>
      <c r="F687" s="331"/>
      <c r="G687" s="307">
        <f>G353</f>
        <v>0</v>
      </c>
    </row>
    <row r="688" spans="1:7" ht="19.5" thickBot="1">
      <c r="A688" s="68" t="s">
        <v>19</v>
      </c>
      <c r="B688" s="69"/>
      <c r="C688" s="70" t="s">
        <v>2523</v>
      </c>
      <c r="D688" s="71"/>
      <c r="E688" s="72"/>
      <c r="F688" s="331"/>
      <c r="G688" s="307">
        <f>G680</f>
        <v>0</v>
      </c>
    </row>
    <row r="690" spans="1:7" ht="23.25">
      <c r="A690" s="610"/>
      <c r="B690" s="63"/>
      <c r="C690" s="64" t="s">
        <v>2903</v>
      </c>
      <c r="D690" s="65"/>
      <c r="E690" s="66"/>
      <c r="F690" s="330"/>
      <c r="G690" s="448">
        <f>SUM(G685:G689)</f>
        <v>0</v>
      </c>
    </row>
  </sheetData>
  <pageMargins left="0.70866141732283472" right="0.31496062992125984" top="0.74803149606299213" bottom="0.74803149606299213" header="0.31496062992125984" footer="0.31496062992125984"/>
  <pageSetup paperSize="9" scale="89" orientation="portrait" r:id="rId1"/>
  <headerFooter differentFirst="1">
    <oddHeader>&amp;L&amp;K01+044Troškovnik&amp;C&amp;"-,Podebljano"&amp;K01+044STROJARSKI PROJEKT
Projekt vodovoda i kanalizacije&amp;R&amp;K01+044STAMBENO - POSLOVNA GRAĐEVINA, BLATO</oddHeader>
    <oddFooter>&amp;C&amp;K00-049V V - PROJEKT d.o.o. Put Supavla 1, 21000 Split, tel/fax: 021/322-249</oddFooter>
  </headerFooter>
  <rowBreaks count="19" manualBreakCount="19">
    <brk id="51" max="16383" man="1"/>
    <brk id="78" max="16383" man="1"/>
    <brk id="104" max="16383" man="1"/>
    <brk id="142" max="16383" man="1"/>
    <brk id="187" max="16383" man="1"/>
    <brk id="218" max="16383" man="1"/>
    <brk id="240" max="16383" man="1"/>
    <brk id="299" max="16383" man="1"/>
    <brk id="330" max="16383" man="1"/>
    <brk id="354" max="16383" man="1"/>
    <brk id="389" max="16383" man="1"/>
    <brk id="425" max="16383" man="1"/>
    <brk id="471" max="16383" man="1"/>
    <brk id="504" max="16383" man="1"/>
    <brk id="573" max="16383" man="1"/>
    <brk id="594" max="16383" man="1"/>
    <brk id="615" max="16383" man="1"/>
    <brk id="647" max="16383" man="1"/>
    <brk id="668"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197"/>
  <sheetViews>
    <sheetView view="pageBreakPreview" topLeftCell="A181" zoomScale="120" zoomScaleNormal="100" zoomScaleSheetLayoutView="120" workbookViewId="0">
      <selection activeCell="C202" sqref="C202"/>
    </sheetView>
  </sheetViews>
  <sheetFormatPr defaultColWidth="8" defaultRowHeight="12.75"/>
  <cols>
    <col min="1" max="1" width="6" style="40" customWidth="1"/>
    <col min="2" max="2" width="5.5703125" style="41" customWidth="1"/>
    <col min="3" max="3" width="61.85546875" style="56" customWidth="1"/>
    <col min="4" max="4" width="5.5703125" style="1" customWidth="1"/>
    <col min="5" max="5" width="8.7109375" style="42" customWidth="1"/>
    <col min="6" max="6" width="11.28515625" style="332" customWidth="1"/>
    <col min="7" max="7" width="11.85546875" style="306" customWidth="1"/>
    <col min="8" max="16384" width="8" style="21"/>
  </cols>
  <sheetData>
    <row r="4" spans="1:7" ht="46.5">
      <c r="A4" s="90"/>
      <c r="B4" s="21"/>
      <c r="C4" s="20" t="s">
        <v>0</v>
      </c>
      <c r="D4" s="21"/>
      <c r="E4" s="92"/>
      <c r="F4" s="454"/>
      <c r="G4" s="432"/>
    </row>
    <row r="5" spans="1:7">
      <c r="A5" s="90"/>
      <c r="B5" s="21"/>
      <c r="C5" s="22"/>
      <c r="D5" s="21"/>
      <c r="E5" s="92"/>
      <c r="F5" s="454"/>
      <c r="G5" s="432"/>
    </row>
    <row r="6" spans="1:7" ht="21">
      <c r="A6" s="90"/>
      <c r="B6" s="21"/>
      <c r="C6" s="23" t="s">
        <v>428</v>
      </c>
      <c r="D6" s="21"/>
      <c r="E6" s="92"/>
      <c r="F6" s="454"/>
      <c r="G6" s="432"/>
    </row>
    <row r="7" spans="1:7" ht="21">
      <c r="A7" s="90"/>
      <c r="B7" s="21"/>
      <c r="C7" s="24"/>
      <c r="D7" s="21"/>
      <c r="E7" s="92"/>
      <c r="F7" s="454"/>
      <c r="G7" s="432"/>
    </row>
    <row r="8" spans="1:7" ht="23.25">
      <c r="A8" s="90"/>
      <c r="B8" s="21"/>
      <c r="C8" s="25" t="s">
        <v>2598</v>
      </c>
      <c r="D8" s="21"/>
      <c r="E8" s="92"/>
      <c r="F8" s="454"/>
      <c r="G8" s="432"/>
    </row>
    <row r="9" spans="1:7" ht="15.75">
      <c r="A9" s="90"/>
      <c r="B9" s="21"/>
      <c r="C9" s="26" t="s">
        <v>1862</v>
      </c>
      <c r="D9" s="21"/>
      <c r="E9" s="92"/>
      <c r="F9" s="454"/>
      <c r="G9" s="432"/>
    </row>
    <row r="10" spans="1:7" ht="15.75">
      <c r="A10" s="90"/>
      <c r="B10" s="21"/>
      <c r="C10" s="27" t="s">
        <v>2599</v>
      </c>
      <c r="D10" s="21"/>
      <c r="E10" s="92"/>
      <c r="F10" s="454"/>
      <c r="G10" s="432"/>
    </row>
    <row r="11" spans="1:7">
      <c r="A11" s="90"/>
      <c r="B11" s="21"/>
      <c r="C11" s="22"/>
      <c r="D11" s="21"/>
      <c r="E11" s="92"/>
      <c r="F11" s="454"/>
      <c r="G11" s="432"/>
    </row>
    <row r="12" spans="1:7">
      <c r="A12" s="90"/>
      <c r="B12" s="21"/>
      <c r="C12" s="28" t="s">
        <v>1864</v>
      </c>
      <c r="D12" s="21"/>
      <c r="E12" s="92"/>
      <c r="F12" s="454"/>
      <c r="G12" s="432"/>
    </row>
    <row r="47" spans="1:7" ht="25.5">
      <c r="A47" s="29" t="s">
        <v>4</v>
      </c>
      <c r="B47" s="30"/>
      <c r="C47" s="31" t="s">
        <v>5</v>
      </c>
      <c r="D47" s="32" t="s">
        <v>109</v>
      </c>
      <c r="E47" s="33" t="s">
        <v>6</v>
      </c>
      <c r="F47" s="455" t="s">
        <v>113</v>
      </c>
      <c r="G47" s="442" t="s">
        <v>8</v>
      </c>
    </row>
    <row r="49" spans="2:3" ht="15.75" thickBot="1">
      <c r="C49" s="54" t="s">
        <v>1865</v>
      </c>
    </row>
    <row r="50" spans="2:3">
      <c r="C50" s="56" t="s">
        <v>1866</v>
      </c>
    </row>
    <row r="51" spans="2:3" ht="51">
      <c r="B51" s="41" t="s">
        <v>9</v>
      </c>
      <c r="C51" s="56" t="s">
        <v>1867</v>
      </c>
    </row>
    <row r="52" spans="2:3" ht="38.25">
      <c r="B52" s="41" t="s">
        <v>18</v>
      </c>
      <c r="C52" s="56" t="s">
        <v>1868</v>
      </c>
    </row>
    <row r="53" spans="2:3" ht="25.5">
      <c r="B53" s="41" t="s">
        <v>19</v>
      </c>
      <c r="C53" s="56" t="s">
        <v>1869</v>
      </c>
    </row>
    <row r="54" spans="2:3" ht="63.75">
      <c r="B54" s="41" t="s">
        <v>20</v>
      </c>
      <c r="C54" s="56" t="s">
        <v>1870</v>
      </c>
    </row>
    <row r="55" spans="2:3" ht="25.5">
      <c r="B55" s="41" t="s">
        <v>21</v>
      </c>
      <c r="C55" s="56" t="s">
        <v>1871</v>
      </c>
    </row>
    <row r="56" spans="2:3" ht="51">
      <c r="B56" s="41" t="s">
        <v>60</v>
      </c>
      <c r="C56" s="56" t="s">
        <v>1872</v>
      </c>
    </row>
    <row r="57" spans="2:3">
      <c r="B57" s="41" t="s">
        <v>78</v>
      </c>
      <c r="C57" s="56" t="s">
        <v>1873</v>
      </c>
    </row>
    <row r="58" spans="2:3" ht="38.25">
      <c r="B58" s="41" t="s">
        <v>165</v>
      </c>
      <c r="C58" s="56" t="s">
        <v>1874</v>
      </c>
    </row>
    <row r="59" spans="2:3" ht="114.75">
      <c r="B59" s="41" t="s">
        <v>205</v>
      </c>
      <c r="C59" s="21" t="s">
        <v>1875</v>
      </c>
    </row>
    <row r="60" spans="2:3" ht="25.5">
      <c r="B60" s="41" t="s">
        <v>206</v>
      </c>
      <c r="C60" s="56" t="s">
        <v>1876</v>
      </c>
    </row>
    <row r="84" spans="1:7" ht="42">
      <c r="A84" s="34" t="s">
        <v>9</v>
      </c>
      <c r="B84" s="35"/>
      <c r="C84" s="272" t="s">
        <v>2600</v>
      </c>
      <c r="D84" s="37"/>
      <c r="E84" s="38"/>
      <c r="F84" s="333"/>
      <c r="G84" s="463"/>
    </row>
    <row r="85" spans="1:7">
      <c r="B85" s="281"/>
      <c r="C85" s="277"/>
      <c r="D85" s="276"/>
      <c r="E85" s="549"/>
      <c r="F85" s="456"/>
      <c r="G85" s="464"/>
    </row>
    <row r="86" spans="1:7" ht="25.5">
      <c r="B86" s="275">
        <v>1</v>
      </c>
      <c r="C86" s="277" t="s">
        <v>2525</v>
      </c>
      <c r="D86" s="276"/>
      <c r="E86" s="549"/>
      <c r="F86" s="456"/>
      <c r="G86" s="464"/>
    </row>
    <row r="87" spans="1:7">
      <c r="B87" s="281"/>
      <c r="C87" s="274" t="s">
        <v>2526</v>
      </c>
      <c r="D87" s="276" t="s">
        <v>115</v>
      </c>
      <c r="E87" s="549">
        <v>3</v>
      </c>
      <c r="F87" s="457">
        <v>0</v>
      </c>
      <c r="G87" s="465">
        <v>0</v>
      </c>
    </row>
    <row r="88" spans="1:7">
      <c r="B88" s="281"/>
      <c r="C88" s="277"/>
      <c r="D88" s="276"/>
      <c r="E88" s="549"/>
      <c r="F88" s="456"/>
      <c r="G88" s="464"/>
    </row>
    <row r="89" spans="1:7" ht="25.5">
      <c r="B89" s="275">
        <v>2</v>
      </c>
      <c r="C89" s="283" t="s">
        <v>2528</v>
      </c>
      <c r="D89" s="276"/>
      <c r="E89" s="549"/>
      <c r="F89" s="456"/>
      <c r="G89" s="464"/>
    </row>
    <row r="90" spans="1:7">
      <c r="B90" s="281"/>
      <c r="C90" s="274" t="s">
        <v>2529</v>
      </c>
      <c r="D90" s="276" t="s">
        <v>115</v>
      </c>
      <c r="E90" s="549">
        <v>3</v>
      </c>
      <c r="F90" s="457">
        <v>0</v>
      </c>
      <c r="G90" s="465">
        <v>0</v>
      </c>
    </row>
    <row r="91" spans="1:7">
      <c r="B91" s="281"/>
      <c r="C91" s="277"/>
      <c r="D91" s="276"/>
      <c r="E91" s="549"/>
      <c r="F91" s="456"/>
      <c r="G91" s="464"/>
    </row>
    <row r="92" spans="1:7" ht="25.5">
      <c r="B92" s="275">
        <v>3</v>
      </c>
      <c r="C92" s="283" t="s">
        <v>2530</v>
      </c>
      <c r="D92" s="276"/>
      <c r="E92" s="549"/>
      <c r="F92" s="456"/>
      <c r="G92" s="464"/>
    </row>
    <row r="93" spans="1:7">
      <c r="B93" s="281"/>
      <c r="C93" s="274" t="s">
        <v>2531</v>
      </c>
      <c r="D93" s="276" t="s">
        <v>110</v>
      </c>
      <c r="E93" s="549">
        <v>3</v>
      </c>
      <c r="F93" s="457">
        <v>0</v>
      </c>
      <c r="G93" s="465">
        <v>0</v>
      </c>
    </row>
    <row r="94" spans="1:7">
      <c r="B94" s="281"/>
      <c r="C94" s="277"/>
      <c r="D94" s="276"/>
      <c r="E94" s="549"/>
      <c r="F94" s="456"/>
      <c r="G94" s="464"/>
    </row>
    <row r="95" spans="1:7" ht="25.5">
      <c r="B95" s="275">
        <v>4</v>
      </c>
      <c r="C95" s="283" t="s">
        <v>2532</v>
      </c>
      <c r="D95" s="276"/>
      <c r="E95" s="549"/>
      <c r="F95" s="456"/>
      <c r="G95" s="464"/>
    </row>
    <row r="96" spans="1:7">
      <c r="B96" s="281"/>
      <c r="C96" s="274" t="s">
        <v>2533</v>
      </c>
      <c r="D96" s="276" t="s">
        <v>110</v>
      </c>
      <c r="E96" s="550">
        <v>4</v>
      </c>
      <c r="F96" s="457">
        <v>0</v>
      </c>
      <c r="G96" s="465">
        <v>0</v>
      </c>
    </row>
    <row r="97" spans="2:7">
      <c r="B97" s="281"/>
      <c r="C97" s="273"/>
      <c r="D97" s="276"/>
      <c r="E97" s="551"/>
      <c r="F97" s="456"/>
      <c r="G97" s="464"/>
    </row>
    <row r="98" spans="2:7" ht="25.5">
      <c r="B98" s="275">
        <v>5</v>
      </c>
      <c r="C98" s="283" t="s">
        <v>2534</v>
      </c>
      <c r="D98" s="276"/>
      <c r="E98" s="551"/>
      <c r="F98" s="456"/>
      <c r="G98" s="464"/>
    </row>
    <row r="99" spans="2:7">
      <c r="B99" s="281"/>
      <c r="C99" s="274" t="s">
        <v>2535</v>
      </c>
      <c r="D99" s="276" t="s">
        <v>110</v>
      </c>
      <c r="E99" s="550">
        <v>2</v>
      </c>
      <c r="F99" s="457">
        <v>0</v>
      </c>
      <c r="G99" s="465">
        <v>0</v>
      </c>
    </row>
    <row r="100" spans="2:7">
      <c r="B100" s="281"/>
      <c r="C100" s="277"/>
      <c r="D100" s="276"/>
      <c r="E100" s="549"/>
      <c r="F100" s="456"/>
      <c r="G100" s="464"/>
    </row>
    <row r="101" spans="2:7" ht="25.5">
      <c r="B101" s="275">
        <v>6</v>
      </c>
      <c r="C101" s="277" t="s">
        <v>2536</v>
      </c>
      <c r="D101" s="276"/>
      <c r="E101" s="549"/>
      <c r="F101" s="456"/>
      <c r="G101" s="464"/>
    </row>
    <row r="102" spans="2:7">
      <c r="B102" s="281"/>
      <c r="C102" s="282" t="s">
        <v>2533</v>
      </c>
      <c r="D102" s="276" t="s">
        <v>110</v>
      </c>
      <c r="E102" s="550">
        <v>5</v>
      </c>
      <c r="F102" s="457">
        <v>0</v>
      </c>
      <c r="G102" s="465">
        <v>0</v>
      </c>
    </row>
    <row r="103" spans="2:7">
      <c r="B103" s="281"/>
      <c r="C103" s="277"/>
      <c r="D103" s="276"/>
      <c r="E103" s="551"/>
      <c r="F103" s="456"/>
      <c r="G103" s="464"/>
    </row>
    <row r="104" spans="2:7" ht="25.5">
      <c r="B104" s="275">
        <v>7</v>
      </c>
      <c r="C104" s="283" t="s">
        <v>2537</v>
      </c>
      <c r="D104" s="276"/>
      <c r="E104" s="551"/>
      <c r="F104" s="456"/>
      <c r="G104" s="464"/>
    </row>
    <row r="105" spans="2:7">
      <c r="B105" s="281"/>
      <c r="C105" s="282" t="s">
        <v>2533</v>
      </c>
      <c r="D105" s="276" t="s">
        <v>110</v>
      </c>
      <c r="E105" s="550">
        <v>7</v>
      </c>
      <c r="F105" s="457">
        <v>0</v>
      </c>
      <c r="G105" s="465">
        <v>0</v>
      </c>
    </row>
    <row r="106" spans="2:7">
      <c r="B106" s="281"/>
      <c r="C106" s="277"/>
      <c r="D106" s="273"/>
      <c r="E106" s="551"/>
      <c r="F106" s="456"/>
      <c r="G106" s="464"/>
    </row>
    <row r="107" spans="2:7">
      <c r="B107" s="275">
        <v>8</v>
      </c>
      <c r="C107" s="283" t="s">
        <v>2538</v>
      </c>
      <c r="D107" s="276"/>
      <c r="E107" s="549"/>
      <c r="F107" s="456"/>
      <c r="G107" s="464"/>
    </row>
    <row r="108" spans="2:7">
      <c r="B108" s="281"/>
      <c r="C108" s="274" t="s">
        <v>2539</v>
      </c>
      <c r="D108" s="276" t="s">
        <v>110</v>
      </c>
      <c r="E108" s="552">
        <v>1</v>
      </c>
      <c r="F108" s="457">
        <v>0</v>
      </c>
      <c r="G108" s="465">
        <v>0</v>
      </c>
    </row>
    <row r="109" spans="2:7">
      <c r="B109" s="281"/>
      <c r="C109" s="277"/>
      <c r="D109" s="276"/>
      <c r="E109" s="549"/>
      <c r="F109" s="456"/>
      <c r="G109" s="464"/>
    </row>
    <row r="110" spans="2:7">
      <c r="B110" s="275">
        <v>9</v>
      </c>
      <c r="C110" s="274" t="s">
        <v>2540</v>
      </c>
      <c r="D110" s="276"/>
      <c r="E110" s="549"/>
      <c r="F110" s="456"/>
      <c r="G110" s="464"/>
    </row>
    <row r="111" spans="2:7">
      <c r="B111" s="281"/>
      <c r="C111" s="273"/>
      <c r="D111" s="276" t="s">
        <v>110</v>
      </c>
      <c r="E111" s="552">
        <v>1</v>
      </c>
      <c r="F111" s="457">
        <v>0</v>
      </c>
      <c r="G111" s="465">
        <v>0</v>
      </c>
    </row>
    <row r="112" spans="2:7">
      <c r="B112" s="281"/>
      <c r="C112" s="277"/>
      <c r="D112" s="276"/>
      <c r="E112" s="549"/>
      <c r="F112" s="456"/>
      <c r="G112" s="464"/>
    </row>
    <row r="113" spans="2:7">
      <c r="B113" s="275">
        <v>10</v>
      </c>
      <c r="C113" s="274" t="s">
        <v>2541</v>
      </c>
      <c r="D113" s="276"/>
      <c r="E113" s="549"/>
      <c r="F113" s="456"/>
      <c r="G113" s="464"/>
    </row>
    <row r="114" spans="2:7">
      <c r="B114" s="281"/>
      <c r="C114" s="273"/>
      <c r="D114" s="276" t="s">
        <v>110</v>
      </c>
      <c r="E114" s="552">
        <v>1</v>
      </c>
      <c r="F114" s="457">
        <v>0</v>
      </c>
      <c r="G114" s="465">
        <v>0</v>
      </c>
    </row>
    <row r="115" spans="2:7">
      <c r="B115" s="281"/>
      <c r="C115" s="277"/>
      <c r="D115" s="276"/>
      <c r="E115" s="549"/>
      <c r="F115" s="456"/>
      <c r="G115" s="464"/>
    </row>
    <row r="116" spans="2:7">
      <c r="B116" s="275">
        <v>11</v>
      </c>
      <c r="C116" s="274" t="s">
        <v>2542</v>
      </c>
      <c r="D116" s="276"/>
      <c r="E116" s="549"/>
      <c r="F116" s="456"/>
      <c r="G116" s="464"/>
    </row>
    <row r="117" spans="2:7">
      <c r="B117" s="281"/>
      <c r="C117" s="273"/>
      <c r="D117" s="276" t="s">
        <v>110</v>
      </c>
      <c r="E117" s="552">
        <v>1</v>
      </c>
      <c r="F117" s="457">
        <v>0</v>
      </c>
      <c r="G117" s="465">
        <v>0</v>
      </c>
    </row>
    <row r="118" spans="2:7">
      <c r="B118" s="281"/>
      <c r="C118" s="277"/>
      <c r="D118" s="276"/>
      <c r="E118" s="549"/>
      <c r="F118" s="456"/>
      <c r="G118" s="464"/>
    </row>
    <row r="119" spans="2:7">
      <c r="B119" s="275">
        <v>12</v>
      </c>
      <c r="C119" s="277" t="s">
        <v>2543</v>
      </c>
      <c r="D119" s="276" t="s">
        <v>110</v>
      </c>
      <c r="E119" s="552">
        <v>2</v>
      </c>
      <c r="F119" s="457">
        <v>0</v>
      </c>
      <c r="G119" s="465">
        <v>0</v>
      </c>
    </row>
    <row r="120" spans="2:7">
      <c r="B120" s="281"/>
      <c r="C120" s="277"/>
      <c r="D120" s="276"/>
      <c r="E120" s="549"/>
      <c r="F120" s="456"/>
      <c r="G120" s="464"/>
    </row>
    <row r="121" spans="2:7">
      <c r="B121" s="275">
        <v>13</v>
      </c>
      <c r="C121" s="669" t="s">
        <v>2544</v>
      </c>
      <c r="D121" s="669"/>
      <c r="E121" s="669"/>
      <c r="F121" s="458"/>
      <c r="G121" s="466"/>
    </row>
    <row r="122" spans="2:7">
      <c r="B122" s="281"/>
      <c r="C122" s="669" t="s">
        <v>2545</v>
      </c>
      <c r="D122" s="669"/>
      <c r="E122" s="669"/>
      <c r="F122" s="458"/>
      <c r="G122" s="466"/>
    </row>
    <row r="123" spans="2:7">
      <c r="B123" s="281"/>
      <c r="C123" s="282" t="s">
        <v>2546</v>
      </c>
      <c r="D123" s="283"/>
      <c r="E123" s="553"/>
      <c r="F123" s="458"/>
      <c r="G123" s="466"/>
    </row>
    <row r="124" spans="2:7">
      <c r="B124" s="281"/>
      <c r="C124" s="292" t="s">
        <v>2547</v>
      </c>
      <c r="D124" s="283"/>
      <c r="E124" s="553"/>
      <c r="F124" s="458"/>
      <c r="G124" s="466"/>
    </row>
    <row r="125" spans="2:7">
      <c r="B125" s="281"/>
      <c r="C125" s="292" t="s">
        <v>2548</v>
      </c>
      <c r="D125" s="283"/>
      <c r="E125" s="553"/>
      <c r="F125" s="458"/>
      <c r="G125" s="466"/>
    </row>
    <row r="126" spans="2:7">
      <c r="B126" s="281"/>
      <c r="C126" s="292" t="s">
        <v>2549</v>
      </c>
      <c r="D126" s="283"/>
      <c r="E126" s="553"/>
      <c r="F126" s="458"/>
      <c r="G126" s="466"/>
    </row>
    <row r="127" spans="2:7">
      <c r="B127" s="281"/>
      <c r="C127" s="273"/>
      <c r="D127" s="274" t="s">
        <v>2527</v>
      </c>
      <c r="E127" s="550">
        <v>3</v>
      </c>
      <c r="F127" s="457">
        <v>0</v>
      </c>
      <c r="G127" s="467">
        <v>0</v>
      </c>
    </row>
    <row r="128" spans="2:7">
      <c r="B128" s="281"/>
      <c r="C128" s="293"/>
      <c r="D128" s="273"/>
      <c r="E128" s="551"/>
      <c r="F128" s="458"/>
      <c r="G128" s="466"/>
    </row>
    <row r="129" spans="2:7">
      <c r="B129" s="275">
        <v>14</v>
      </c>
      <c r="C129" s="283" t="s">
        <v>2550</v>
      </c>
      <c r="D129" s="276"/>
      <c r="E129" s="549"/>
      <c r="F129" s="456"/>
      <c r="G129" s="464"/>
    </row>
    <row r="130" spans="2:7" ht="14.25">
      <c r="B130" s="281"/>
      <c r="C130" s="284" t="s">
        <v>2551</v>
      </c>
      <c r="D130" s="276"/>
      <c r="E130" s="549"/>
      <c r="F130" s="456"/>
      <c r="G130" s="464"/>
    </row>
    <row r="131" spans="2:7">
      <c r="B131" s="281"/>
      <c r="C131" s="278" t="s">
        <v>2552</v>
      </c>
      <c r="D131" s="276"/>
      <c r="E131" s="549"/>
      <c r="F131" s="456"/>
      <c r="G131" s="464"/>
    </row>
    <row r="132" spans="2:7">
      <c r="B132" s="281"/>
      <c r="C132" s="290" t="s">
        <v>2553</v>
      </c>
      <c r="D132" s="276" t="s">
        <v>110</v>
      </c>
      <c r="E132" s="552">
        <v>4</v>
      </c>
      <c r="F132" s="457">
        <v>0</v>
      </c>
      <c r="G132" s="465">
        <v>0</v>
      </c>
    </row>
    <row r="133" spans="2:7">
      <c r="B133" s="281"/>
      <c r="C133" s="284"/>
      <c r="D133" s="283"/>
      <c r="E133" s="549"/>
      <c r="F133" s="456"/>
      <c r="G133" s="464"/>
    </row>
    <row r="134" spans="2:7">
      <c r="B134" s="275">
        <v>15</v>
      </c>
      <c r="C134" s="284" t="s">
        <v>2554</v>
      </c>
      <c r="D134" s="283"/>
      <c r="E134" s="549"/>
      <c r="F134" s="456"/>
      <c r="G134" s="464"/>
    </row>
    <row r="135" spans="2:7">
      <c r="B135" s="281"/>
      <c r="C135" s="284" t="s">
        <v>2555</v>
      </c>
      <c r="D135" s="283"/>
      <c r="E135" s="549"/>
      <c r="F135" s="456"/>
      <c r="G135" s="464"/>
    </row>
    <row r="136" spans="2:7">
      <c r="B136" s="281"/>
      <c r="C136" s="284" t="s">
        <v>2556</v>
      </c>
      <c r="D136" s="276"/>
      <c r="E136" s="549"/>
      <c r="F136" s="456"/>
      <c r="G136" s="464"/>
    </row>
    <row r="137" spans="2:7">
      <c r="B137" s="281"/>
      <c r="C137" s="273"/>
      <c r="D137" s="276" t="s">
        <v>110</v>
      </c>
      <c r="E137" s="552">
        <v>4</v>
      </c>
      <c r="F137" s="457">
        <v>0</v>
      </c>
      <c r="G137" s="465">
        <v>0</v>
      </c>
    </row>
    <row r="138" spans="2:7">
      <c r="B138" s="281"/>
      <c r="C138" s="277"/>
      <c r="D138" s="276"/>
      <c r="E138" s="549"/>
      <c r="F138" s="456"/>
      <c r="G138" s="464"/>
    </row>
    <row r="139" spans="2:7">
      <c r="B139" s="275">
        <v>16</v>
      </c>
      <c r="C139" s="274" t="s">
        <v>2557</v>
      </c>
      <c r="D139" s="276" t="s">
        <v>110</v>
      </c>
      <c r="E139" s="549">
        <v>3</v>
      </c>
      <c r="F139" s="457">
        <v>0</v>
      </c>
      <c r="G139" s="465">
        <v>0</v>
      </c>
    </row>
    <row r="140" spans="2:7">
      <c r="B140" s="281"/>
      <c r="C140" s="277"/>
      <c r="D140" s="276"/>
      <c r="E140" s="549"/>
      <c r="F140" s="456"/>
      <c r="G140" s="464"/>
    </row>
    <row r="141" spans="2:7">
      <c r="B141" s="275">
        <v>17</v>
      </c>
      <c r="C141" s="274" t="s">
        <v>2558</v>
      </c>
      <c r="D141" s="276"/>
      <c r="E141" s="549"/>
      <c r="F141" s="456"/>
      <c r="G141" s="464"/>
    </row>
    <row r="142" spans="2:7">
      <c r="B142" s="281"/>
      <c r="C142" s="289">
        <v>150</v>
      </c>
      <c r="D142" s="276" t="s">
        <v>110</v>
      </c>
      <c r="E142" s="550">
        <v>6</v>
      </c>
      <c r="F142" s="457">
        <v>0</v>
      </c>
      <c r="G142" s="465">
        <v>0</v>
      </c>
    </row>
    <row r="143" spans="2:7">
      <c r="B143" s="281"/>
      <c r="C143" s="277"/>
      <c r="D143" s="276"/>
      <c r="E143" s="549"/>
      <c r="F143" s="456"/>
      <c r="G143" s="464"/>
    </row>
    <row r="144" spans="2:7">
      <c r="B144" s="275">
        <v>18</v>
      </c>
      <c r="C144" s="283" t="s">
        <v>2559</v>
      </c>
      <c r="D144" s="285"/>
      <c r="E144" s="554"/>
      <c r="F144" s="459"/>
      <c r="G144" s="464"/>
    </row>
    <row r="145" spans="2:7">
      <c r="B145" s="281"/>
      <c r="C145" s="289">
        <v>150</v>
      </c>
      <c r="D145" s="276" t="s">
        <v>115</v>
      </c>
      <c r="E145" s="549">
        <v>9</v>
      </c>
      <c r="F145" s="457">
        <v>0</v>
      </c>
      <c r="G145" s="465">
        <v>0</v>
      </c>
    </row>
    <row r="146" spans="2:7">
      <c r="B146" s="273"/>
      <c r="C146" s="669"/>
      <c r="D146" s="669"/>
      <c r="E146" s="549"/>
      <c r="F146" s="459"/>
      <c r="G146" s="464"/>
    </row>
    <row r="147" spans="2:7">
      <c r="B147" s="275">
        <v>19</v>
      </c>
      <c r="C147" s="279" t="s">
        <v>2560</v>
      </c>
      <c r="D147" s="283"/>
      <c r="E147" s="549"/>
      <c r="F147" s="459"/>
      <c r="G147" s="464"/>
    </row>
    <row r="148" spans="2:7" ht="15.75">
      <c r="B148" s="273"/>
      <c r="C148" s="287" t="s">
        <v>2561</v>
      </c>
      <c r="D148" s="276"/>
      <c r="E148" s="549"/>
      <c r="F148" s="459"/>
      <c r="G148" s="464"/>
    </row>
    <row r="149" spans="2:7" ht="15.75">
      <c r="B149" s="273"/>
      <c r="C149" s="287" t="s">
        <v>2562</v>
      </c>
      <c r="D149" s="276"/>
      <c r="E149" s="549"/>
      <c r="F149" s="459"/>
      <c r="G149" s="464"/>
    </row>
    <row r="150" spans="2:7" ht="15.75">
      <c r="B150" s="273"/>
      <c r="C150" s="286" t="s">
        <v>2563</v>
      </c>
      <c r="D150" s="276"/>
      <c r="E150" s="549"/>
      <c r="F150" s="459"/>
      <c r="G150" s="464"/>
    </row>
    <row r="151" spans="2:7">
      <c r="B151" s="273"/>
      <c r="C151" s="286" t="s">
        <v>2564</v>
      </c>
      <c r="D151" s="276"/>
      <c r="E151" s="549"/>
      <c r="F151" s="459"/>
      <c r="G151" s="464"/>
    </row>
    <row r="152" spans="2:7" ht="15.75">
      <c r="B152" s="273"/>
      <c r="C152" s="286" t="s">
        <v>2565</v>
      </c>
      <c r="D152" s="276"/>
      <c r="E152" s="549"/>
      <c r="F152" s="459"/>
      <c r="G152" s="464"/>
    </row>
    <row r="153" spans="2:7">
      <c r="B153" s="273"/>
      <c r="C153" s="669" t="s">
        <v>2546</v>
      </c>
      <c r="D153" s="669"/>
      <c r="E153" s="553"/>
      <c r="F153" s="460"/>
      <c r="G153" s="464"/>
    </row>
    <row r="154" spans="2:7" ht="25.5">
      <c r="B154" s="273"/>
      <c r="C154" s="280" t="s">
        <v>2566</v>
      </c>
      <c r="D154" s="283"/>
      <c r="E154" s="553"/>
      <c r="F154" s="461"/>
      <c r="G154" s="464"/>
    </row>
    <row r="155" spans="2:7" ht="15">
      <c r="B155" s="273"/>
      <c r="C155" s="668" t="s">
        <v>2567</v>
      </c>
      <c r="D155" s="669"/>
      <c r="E155" s="553"/>
      <c r="F155" s="461"/>
      <c r="G155" s="464"/>
    </row>
    <row r="156" spans="2:7" ht="15">
      <c r="B156" s="273"/>
      <c r="C156" s="669" t="s">
        <v>2568</v>
      </c>
      <c r="D156" s="669"/>
      <c r="E156" s="553"/>
      <c r="F156" s="461"/>
      <c r="G156" s="464"/>
    </row>
    <row r="157" spans="2:7" ht="15">
      <c r="B157" s="273"/>
      <c r="C157" s="284" t="s">
        <v>2569</v>
      </c>
      <c r="D157" s="283"/>
      <c r="E157" s="553"/>
      <c r="F157" s="461"/>
      <c r="G157" s="464"/>
    </row>
    <row r="158" spans="2:7">
      <c r="B158" s="273"/>
      <c r="C158" s="668" t="s">
        <v>2570</v>
      </c>
      <c r="D158" s="669"/>
      <c r="E158" s="670"/>
      <c r="F158" s="670"/>
      <c r="G158" s="464"/>
    </row>
    <row r="159" spans="2:7">
      <c r="B159" s="273"/>
      <c r="C159" s="668" t="s">
        <v>2571</v>
      </c>
      <c r="D159" s="669"/>
      <c r="E159" s="670"/>
      <c r="F159" s="670"/>
      <c r="G159" s="464"/>
    </row>
    <row r="160" spans="2:7">
      <c r="B160" s="273"/>
      <c r="C160" s="668" t="s">
        <v>2572</v>
      </c>
      <c r="D160" s="669"/>
      <c r="E160" s="670"/>
      <c r="F160" s="670"/>
      <c r="G160" s="464"/>
    </row>
    <row r="161" spans="2:7" ht="15">
      <c r="B161" s="273"/>
      <c r="C161" s="668" t="s">
        <v>2573</v>
      </c>
      <c r="D161" s="669"/>
      <c r="E161" s="553"/>
      <c r="F161" s="461"/>
      <c r="G161" s="464"/>
    </row>
    <row r="162" spans="2:7" ht="15">
      <c r="B162" s="273"/>
      <c r="C162" s="669" t="s">
        <v>2574</v>
      </c>
      <c r="D162" s="669"/>
      <c r="E162" s="553"/>
      <c r="F162" s="461"/>
      <c r="G162" s="464"/>
    </row>
    <row r="163" spans="2:7">
      <c r="B163" s="273"/>
      <c r="C163" s="276"/>
      <c r="D163" s="276" t="s">
        <v>2575</v>
      </c>
      <c r="E163" s="549">
        <v>3</v>
      </c>
      <c r="F163" s="457">
        <v>0</v>
      </c>
      <c r="G163" s="465">
        <v>0</v>
      </c>
    </row>
    <row r="164" spans="2:7">
      <c r="B164" s="273"/>
      <c r="C164" s="276"/>
      <c r="D164" s="276"/>
      <c r="E164" s="549"/>
      <c r="F164" s="459"/>
      <c r="G164" s="464"/>
    </row>
    <row r="165" spans="2:7" ht="25.5">
      <c r="B165" s="275">
        <v>20</v>
      </c>
      <c r="C165" s="283" t="s">
        <v>2576</v>
      </c>
      <c r="D165" s="283"/>
      <c r="E165" s="549"/>
      <c r="F165" s="459"/>
      <c r="G165" s="464"/>
    </row>
    <row r="166" spans="2:7">
      <c r="B166" s="273"/>
      <c r="C166" s="288" t="s">
        <v>2577</v>
      </c>
      <c r="D166" s="283" t="s">
        <v>112</v>
      </c>
      <c r="E166" s="549">
        <v>70</v>
      </c>
      <c r="F166" s="457">
        <v>0</v>
      </c>
      <c r="G166" s="465">
        <v>0</v>
      </c>
    </row>
    <row r="167" spans="2:7">
      <c r="B167" s="273"/>
      <c r="C167" s="288" t="s">
        <v>2578</v>
      </c>
      <c r="D167" s="283" t="s">
        <v>112</v>
      </c>
      <c r="E167" s="549">
        <v>75</v>
      </c>
      <c r="F167" s="457">
        <v>0</v>
      </c>
      <c r="G167" s="465">
        <v>0</v>
      </c>
    </row>
    <row r="168" spans="2:7">
      <c r="B168" s="273"/>
      <c r="C168" s="288"/>
      <c r="D168" s="283"/>
      <c r="E168" s="549"/>
      <c r="F168" s="459"/>
      <c r="G168" s="464"/>
    </row>
    <row r="169" spans="2:7" ht="25.5">
      <c r="B169" s="275">
        <v>21</v>
      </c>
      <c r="C169" s="288" t="s">
        <v>2579</v>
      </c>
      <c r="D169" s="283"/>
      <c r="E169" s="549"/>
      <c r="F169" s="459"/>
      <c r="G169" s="464"/>
    </row>
    <row r="170" spans="2:7">
      <c r="B170" s="273"/>
      <c r="C170" s="286" t="s">
        <v>2580</v>
      </c>
      <c r="D170" s="273"/>
      <c r="E170" s="551"/>
      <c r="F170" s="459"/>
      <c r="G170" s="464"/>
    </row>
    <row r="171" spans="2:7">
      <c r="B171" s="273"/>
      <c r="C171" s="286" t="s">
        <v>2581</v>
      </c>
      <c r="D171" s="286" t="s">
        <v>2582</v>
      </c>
      <c r="E171" s="555">
        <v>14</v>
      </c>
      <c r="F171" s="457">
        <v>0</v>
      </c>
      <c r="G171" s="465">
        <v>0</v>
      </c>
    </row>
    <row r="172" spans="2:7">
      <c r="B172" s="273"/>
      <c r="C172" s="286" t="s">
        <v>2583</v>
      </c>
      <c r="D172" s="286" t="s">
        <v>2582</v>
      </c>
      <c r="E172" s="555">
        <v>3</v>
      </c>
      <c r="F172" s="457">
        <v>0</v>
      </c>
      <c r="G172" s="465">
        <v>0</v>
      </c>
    </row>
    <row r="173" spans="2:7">
      <c r="B173" s="273"/>
      <c r="C173" s="286" t="s">
        <v>2584</v>
      </c>
      <c r="D173" s="273"/>
      <c r="E173" s="551"/>
      <c r="F173" s="459"/>
      <c r="G173" s="464"/>
    </row>
    <row r="174" spans="2:7">
      <c r="B174" s="273"/>
      <c r="C174" s="286" t="s">
        <v>2585</v>
      </c>
      <c r="D174" s="286" t="s">
        <v>2582</v>
      </c>
      <c r="E174" s="555">
        <v>9</v>
      </c>
      <c r="F174" s="457">
        <v>0</v>
      </c>
      <c r="G174" s="465">
        <v>0</v>
      </c>
    </row>
    <row r="175" spans="2:7">
      <c r="B175" s="273"/>
      <c r="C175" s="286" t="s">
        <v>2586</v>
      </c>
      <c r="D175" s="273"/>
      <c r="E175" s="551"/>
      <c r="F175" s="459"/>
      <c r="G175" s="464"/>
    </row>
    <row r="176" spans="2:7">
      <c r="B176" s="273"/>
      <c r="C176" s="286" t="s">
        <v>2587</v>
      </c>
      <c r="D176" s="286" t="s">
        <v>2582</v>
      </c>
      <c r="E176" s="555">
        <v>9</v>
      </c>
      <c r="F176" s="457">
        <v>0</v>
      </c>
      <c r="G176" s="465">
        <v>0</v>
      </c>
    </row>
    <row r="177" spans="2:7">
      <c r="B177" s="273"/>
      <c r="C177" s="276"/>
      <c r="D177" s="276"/>
      <c r="E177" s="549"/>
      <c r="F177" s="459"/>
      <c r="G177" s="464"/>
    </row>
    <row r="178" spans="2:7" ht="25.5">
      <c r="B178" s="275">
        <v>22</v>
      </c>
      <c r="C178" s="283" t="s">
        <v>2588</v>
      </c>
      <c r="D178" s="276"/>
      <c r="E178" s="549"/>
      <c r="F178" s="459"/>
      <c r="G178" s="464"/>
    </row>
    <row r="179" spans="2:7">
      <c r="B179" s="273"/>
      <c r="C179" s="291">
        <v>200</v>
      </c>
      <c r="D179" s="276" t="s">
        <v>110</v>
      </c>
      <c r="E179" s="550">
        <v>6</v>
      </c>
      <c r="F179" s="457">
        <v>0</v>
      </c>
      <c r="G179" s="465">
        <v>0</v>
      </c>
    </row>
    <row r="180" spans="2:7">
      <c r="B180" s="273"/>
      <c r="C180" s="291">
        <v>150</v>
      </c>
      <c r="D180" s="276" t="s">
        <v>2589</v>
      </c>
      <c r="E180" s="550">
        <v>4</v>
      </c>
      <c r="F180" s="457">
        <v>0</v>
      </c>
      <c r="G180" s="465">
        <v>0</v>
      </c>
    </row>
    <row r="181" spans="2:7">
      <c r="B181" s="273"/>
      <c r="C181" s="276"/>
      <c r="D181" s="276"/>
      <c r="E181" s="556"/>
      <c r="F181" s="459"/>
      <c r="G181" s="464"/>
    </row>
    <row r="182" spans="2:7">
      <c r="B182" s="275">
        <v>23</v>
      </c>
      <c r="C182" s="274" t="s">
        <v>2590</v>
      </c>
      <c r="D182" s="276"/>
      <c r="E182" s="556"/>
      <c r="F182" s="459"/>
      <c r="G182" s="464"/>
    </row>
    <row r="183" spans="2:7">
      <c r="B183" s="273"/>
      <c r="C183" s="274" t="s">
        <v>2591</v>
      </c>
      <c r="D183" s="276" t="s">
        <v>110</v>
      </c>
      <c r="E183" s="550">
        <v>30</v>
      </c>
      <c r="F183" s="457">
        <v>0</v>
      </c>
      <c r="G183" s="465">
        <v>0</v>
      </c>
    </row>
    <row r="184" spans="2:7">
      <c r="B184" s="273"/>
      <c r="C184" s="276"/>
      <c r="D184" s="276"/>
      <c r="E184" s="556"/>
      <c r="F184" s="459"/>
      <c r="G184" s="464"/>
    </row>
    <row r="185" spans="2:7">
      <c r="B185" s="275">
        <v>24</v>
      </c>
      <c r="C185" s="274" t="s">
        <v>2592</v>
      </c>
      <c r="D185" s="283"/>
      <c r="E185" s="557"/>
      <c r="F185" s="459"/>
      <c r="G185" s="464"/>
    </row>
    <row r="186" spans="2:7">
      <c r="B186" s="273"/>
      <c r="C186" s="274" t="s">
        <v>2593</v>
      </c>
      <c r="D186" s="283" t="s">
        <v>110</v>
      </c>
      <c r="E186" s="553">
        <v>9</v>
      </c>
      <c r="F186" s="457">
        <v>0</v>
      </c>
      <c r="G186" s="465">
        <v>0</v>
      </c>
    </row>
    <row r="187" spans="2:7">
      <c r="B187" s="273"/>
      <c r="C187" s="273"/>
      <c r="D187" s="283"/>
      <c r="E187" s="557"/>
      <c r="F187" s="459"/>
      <c r="G187" s="464"/>
    </row>
    <row r="188" spans="2:7">
      <c r="B188" s="275">
        <v>25</v>
      </c>
      <c r="C188" s="274" t="s">
        <v>2594</v>
      </c>
      <c r="D188" s="283"/>
      <c r="E188" s="557"/>
      <c r="F188" s="459"/>
      <c r="G188" s="464"/>
    </row>
    <row r="189" spans="2:7">
      <c r="B189" s="273"/>
      <c r="C189" s="286" t="s">
        <v>2595</v>
      </c>
      <c r="D189" s="283" t="s">
        <v>110</v>
      </c>
      <c r="E189" s="553">
        <v>1</v>
      </c>
      <c r="F189" s="457">
        <v>0</v>
      </c>
      <c r="G189" s="465">
        <v>0</v>
      </c>
    </row>
    <row r="190" spans="2:7">
      <c r="B190" s="273"/>
      <c r="C190" s="273"/>
      <c r="D190" s="283"/>
      <c r="E190" s="557"/>
      <c r="F190" s="459"/>
      <c r="G190" s="464"/>
    </row>
    <row r="191" spans="2:7">
      <c r="B191" s="275">
        <v>26</v>
      </c>
      <c r="C191" s="274" t="s">
        <v>2596</v>
      </c>
      <c r="D191" s="283" t="s">
        <v>110</v>
      </c>
      <c r="E191" s="553">
        <v>1</v>
      </c>
      <c r="F191" s="457">
        <v>0</v>
      </c>
      <c r="G191" s="465">
        <v>0</v>
      </c>
    </row>
    <row r="193" spans="1:7">
      <c r="B193" s="275">
        <v>27</v>
      </c>
      <c r="C193" s="283" t="s">
        <v>2597</v>
      </c>
      <c r="D193" s="283"/>
      <c r="E193" s="557"/>
      <c r="F193" s="459"/>
      <c r="G193" s="464"/>
    </row>
    <row r="194" spans="1:7">
      <c r="B194" s="275"/>
      <c r="C194" s="273"/>
      <c r="D194" s="283" t="s">
        <v>110</v>
      </c>
      <c r="E194" s="553">
        <v>2</v>
      </c>
      <c r="F194" s="457">
        <v>0</v>
      </c>
      <c r="G194" s="465">
        <v>0</v>
      </c>
    </row>
    <row r="196" spans="1:7" ht="13.5" thickBot="1"/>
    <row r="197" spans="1:7" ht="42.75" thickBot="1">
      <c r="A197" s="609" t="s">
        <v>9</v>
      </c>
      <c r="B197" s="614"/>
      <c r="C197" s="51" t="s">
        <v>2600</v>
      </c>
      <c r="D197" s="52"/>
      <c r="E197" s="53"/>
      <c r="F197" s="462"/>
      <c r="G197" s="307">
        <f>SUM(G86:G196)</f>
        <v>0</v>
      </c>
    </row>
  </sheetData>
  <mergeCells count="14">
    <mergeCell ref="C146:D146"/>
    <mergeCell ref="C153:D153"/>
    <mergeCell ref="C155:D155"/>
    <mergeCell ref="C121:E121"/>
    <mergeCell ref="C122:E122"/>
    <mergeCell ref="C161:D161"/>
    <mergeCell ref="C162:D162"/>
    <mergeCell ref="C156:D156"/>
    <mergeCell ref="C158:D158"/>
    <mergeCell ref="E158:F158"/>
    <mergeCell ref="C159:D159"/>
    <mergeCell ref="E159:F159"/>
    <mergeCell ref="C160:D160"/>
    <mergeCell ref="E160:F160"/>
  </mergeCells>
  <pageMargins left="0.70866141732283472" right="0.31496062992125984" top="0.74803149606299213" bottom="0.50062499999999999" header="0.31496062992125984" footer="0.31496062992125984"/>
  <pageSetup paperSize="9" scale="89" orientation="portrait" r:id="rId1"/>
  <headerFooter differentFirst="1">
    <oddHeader>&amp;L&amp;K01+041Troškovnik&amp;C&amp;"-,Podebljano"&amp;K01+041STROJARSKI PROJEKT
Sklonište&amp;R&amp;K01+041STAMBENO - POSLOVNA GRAĐEVINA, BLATO</oddHeader>
    <oddFooter>&amp;C&amp;K00-049V V - PROJEKT d.o.o. Put Supavla 1, 21000 Split, tel/fax: 021/322-249</oddFooter>
  </headerFooter>
  <rowBreaks count="1" manualBreakCount="1">
    <brk id="46" max="1638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4:G117"/>
  <sheetViews>
    <sheetView view="pageBreakPreview" topLeftCell="A106" zoomScale="130" zoomScaleNormal="100" zoomScaleSheetLayoutView="130" workbookViewId="0">
      <selection activeCell="C69" sqref="C69:F69"/>
    </sheetView>
  </sheetViews>
  <sheetFormatPr defaultColWidth="8" defaultRowHeight="12.75"/>
  <cols>
    <col min="1" max="1" width="6" style="40" customWidth="1"/>
    <col min="2" max="2" width="24.7109375" style="41" customWidth="1"/>
    <col min="3" max="3" width="61.85546875" style="56" customWidth="1"/>
    <col min="4" max="4" width="5.5703125" style="96" customWidth="1"/>
    <col min="5" max="5" width="8.7109375" style="42" customWidth="1"/>
    <col min="6" max="6" width="11.28515625" style="43" customWidth="1"/>
    <col min="7" max="7" width="16.5703125" style="56" customWidth="1"/>
    <col min="8" max="16384" width="8" style="21"/>
  </cols>
  <sheetData>
    <row r="4" spans="1:7" ht="46.5">
      <c r="A4" s="21"/>
      <c r="B4" s="21"/>
      <c r="C4" s="20" t="s">
        <v>0</v>
      </c>
      <c r="D4" s="92"/>
      <c r="E4" s="92"/>
      <c r="F4" s="294"/>
      <c r="G4" s="21"/>
    </row>
    <row r="5" spans="1:7">
      <c r="A5" s="21"/>
      <c r="B5" s="21"/>
      <c r="C5" s="22"/>
      <c r="D5" s="92"/>
      <c r="E5" s="92"/>
      <c r="F5" s="294"/>
      <c r="G5" s="21"/>
    </row>
    <row r="6" spans="1:7" ht="21">
      <c r="A6" s="21"/>
      <c r="B6" s="21"/>
      <c r="C6" s="23" t="s">
        <v>428</v>
      </c>
      <c r="D6" s="92"/>
      <c r="E6" s="92"/>
      <c r="F6" s="294"/>
      <c r="G6" s="21"/>
    </row>
    <row r="7" spans="1:7" ht="21">
      <c r="A7" s="21"/>
      <c r="B7" s="21"/>
      <c r="C7" s="24"/>
      <c r="D7" s="92"/>
      <c r="E7" s="92"/>
      <c r="F7" s="294"/>
      <c r="G7" s="21"/>
    </row>
    <row r="8" spans="1:7" ht="23.25">
      <c r="A8" s="21"/>
      <c r="B8" s="21"/>
      <c r="C8" s="25" t="s">
        <v>352</v>
      </c>
      <c r="D8" s="92"/>
      <c r="E8" s="92"/>
      <c r="F8" s="294"/>
      <c r="G8" s="21"/>
    </row>
    <row r="9" spans="1:7" ht="15.75">
      <c r="A9" s="21"/>
      <c r="B9" s="21"/>
      <c r="C9" s="611" t="s">
        <v>354</v>
      </c>
      <c r="D9" s="92"/>
      <c r="E9" s="92"/>
      <c r="F9" s="294"/>
      <c r="G9" s="21"/>
    </row>
    <row r="10" spans="1:7" ht="15.75">
      <c r="A10" s="21"/>
      <c r="B10" s="21"/>
      <c r="C10" s="27"/>
      <c r="D10" s="92"/>
      <c r="E10" s="92"/>
      <c r="F10" s="294"/>
      <c r="G10" s="21"/>
    </row>
    <row r="11" spans="1:7">
      <c r="A11" s="21"/>
      <c r="B11" s="21"/>
      <c r="C11" s="22"/>
      <c r="D11" s="92"/>
      <c r="E11" s="92"/>
      <c r="F11" s="294"/>
      <c r="G11" s="21"/>
    </row>
    <row r="12" spans="1:7">
      <c r="A12" s="21"/>
      <c r="B12" s="21"/>
      <c r="C12" s="28" t="s">
        <v>353</v>
      </c>
      <c r="D12" s="92"/>
      <c r="E12" s="92"/>
      <c r="F12" s="294"/>
      <c r="G12" s="21"/>
    </row>
    <row r="13" spans="1:7">
      <c r="C13" s="56" t="s">
        <v>355</v>
      </c>
    </row>
    <row r="14" spans="1:7" ht="15.75">
      <c r="C14" s="26"/>
    </row>
    <row r="15" spans="1:7" ht="15.75">
      <c r="C15" s="27"/>
    </row>
    <row r="16" spans="1:7" s="1" customFormat="1">
      <c r="A16" s="40"/>
      <c r="B16" s="41"/>
      <c r="C16" s="22"/>
      <c r="D16" s="96"/>
      <c r="E16" s="42"/>
      <c r="F16" s="43"/>
      <c r="G16" s="56"/>
    </row>
    <row r="17" spans="1:7" s="1" customFormat="1">
      <c r="A17" s="40"/>
      <c r="B17" s="41"/>
      <c r="C17" s="28"/>
      <c r="D17" s="96"/>
      <c r="E17" s="42"/>
      <c r="F17" s="43"/>
      <c r="G17" s="56"/>
    </row>
    <row r="57" spans="1:6" customFormat="1" ht="18.75">
      <c r="A57" s="622"/>
      <c r="B57" s="623" t="s">
        <v>2864</v>
      </c>
      <c r="D57" s="16"/>
      <c r="E57" s="16"/>
      <c r="F57" s="295"/>
    </row>
    <row r="58" spans="1:6" customFormat="1">
      <c r="D58" s="16"/>
      <c r="E58" s="16"/>
      <c r="F58" s="295"/>
    </row>
    <row r="59" spans="1:6" customFormat="1" ht="15.75">
      <c r="A59" s="671" t="s">
        <v>356</v>
      </c>
      <c r="B59" s="671"/>
      <c r="C59" s="671" t="s">
        <v>357</v>
      </c>
      <c r="D59" s="671"/>
      <c r="E59" s="671"/>
      <c r="F59" s="671"/>
    </row>
    <row r="60" spans="1:6" customFormat="1">
      <c r="A60" s="672" t="s">
        <v>358</v>
      </c>
      <c r="B60" s="672"/>
      <c r="C60" s="672" t="s">
        <v>359</v>
      </c>
      <c r="D60" s="672"/>
      <c r="E60" s="672"/>
      <c r="F60" s="672"/>
    </row>
    <row r="61" spans="1:6" customFormat="1">
      <c r="A61" s="672" t="s">
        <v>360</v>
      </c>
      <c r="B61" s="672"/>
      <c r="C61" s="672" t="s">
        <v>439</v>
      </c>
      <c r="D61" s="672"/>
      <c r="E61" s="672"/>
      <c r="F61" s="672"/>
    </row>
    <row r="62" spans="1:6" customFormat="1">
      <c r="A62" s="672" t="s">
        <v>361</v>
      </c>
      <c r="B62" s="672"/>
      <c r="C62" s="19">
        <v>630</v>
      </c>
      <c r="D62" s="672" t="s">
        <v>114</v>
      </c>
      <c r="E62" s="672"/>
      <c r="F62" s="672"/>
    </row>
    <row r="63" spans="1:6" customFormat="1">
      <c r="A63" s="672" t="s">
        <v>362</v>
      </c>
      <c r="B63" s="672"/>
      <c r="C63" s="19">
        <v>1</v>
      </c>
      <c r="D63" s="672" t="s">
        <v>363</v>
      </c>
      <c r="E63" s="672"/>
      <c r="F63" s="672"/>
    </row>
    <row r="64" spans="1:6" customFormat="1">
      <c r="A64" s="672" t="s">
        <v>364</v>
      </c>
      <c r="B64" s="672"/>
      <c r="C64" s="19">
        <v>13.6</v>
      </c>
      <c r="D64" s="672" t="s">
        <v>112</v>
      </c>
      <c r="E64" s="672"/>
      <c r="F64" s="672"/>
    </row>
    <row r="65" spans="1:6" customFormat="1">
      <c r="A65" s="672" t="s">
        <v>365</v>
      </c>
      <c r="B65" s="672"/>
      <c r="C65" s="672">
        <v>7</v>
      </c>
      <c r="D65" s="672"/>
      <c r="E65" s="672"/>
      <c r="F65" s="672"/>
    </row>
    <row r="66" spans="1:6" customFormat="1">
      <c r="A66" s="672" t="s">
        <v>366</v>
      </c>
      <c r="B66" s="672"/>
      <c r="C66" s="672" t="s">
        <v>437</v>
      </c>
      <c r="D66" s="672"/>
      <c r="E66" s="672"/>
      <c r="F66" s="672"/>
    </row>
    <row r="67" spans="1:6" customFormat="1">
      <c r="A67" s="673" t="s">
        <v>367</v>
      </c>
      <c r="B67" s="673"/>
      <c r="C67" s="673" t="s">
        <v>368</v>
      </c>
      <c r="D67" s="673"/>
      <c r="E67" s="673"/>
      <c r="F67" s="673"/>
    </row>
    <row r="68" spans="1:6" customFormat="1">
      <c r="A68" s="674"/>
      <c r="B68" s="674"/>
      <c r="C68" s="674" t="s">
        <v>369</v>
      </c>
      <c r="D68" s="674"/>
      <c r="E68" s="674"/>
      <c r="F68" s="674"/>
    </row>
    <row r="69" spans="1:6" customFormat="1">
      <c r="A69" s="673" t="s">
        <v>370</v>
      </c>
      <c r="B69" s="673"/>
      <c r="C69" s="673" t="s">
        <v>371</v>
      </c>
      <c r="D69" s="673"/>
      <c r="E69" s="673"/>
      <c r="F69" s="673"/>
    </row>
    <row r="70" spans="1:6" customFormat="1">
      <c r="A70" s="666"/>
      <c r="B70" s="666"/>
      <c r="C70" s="666" t="s">
        <v>372</v>
      </c>
      <c r="D70" s="666"/>
      <c r="E70" s="666"/>
      <c r="F70" s="666"/>
    </row>
    <row r="71" spans="1:6" customFormat="1">
      <c r="A71" s="666"/>
      <c r="B71" s="666"/>
      <c r="C71" s="666" t="s">
        <v>373</v>
      </c>
      <c r="D71" s="666"/>
      <c r="E71" s="666"/>
      <c r="F71" s="666"/>
    </row>
    <row r="72" spans="1:6" customFormat="1">
      <c r="A72" s="674"/>
      <c r="B72" s="674"/>
      <c r="C72" s="674" t="s">
        <v>374</v>
      </c>
      <c r="D72" s="674"/>
      <c r="E72" s="674"/>
      <c r="F72" s="674"/>
    </row>
    <row r="73" spans="1:6" customFormat="1">
      <c r="A73" s="673" t="s">
        <v>375</v>
      </c>
      <c r="B73" s="673"/>
      <c r="C73" s="673" t="s">
        <v>376</v>
      </c>
      <c r="D73" s="673"/>
      <c r="E73" s="673"/>
      <c r="F73" s="673"/>
    </row>
    <row r="74" spans="1:6" customFormat="1">
      <c r="A74" s="666"/>
      <c r="B74" s="666"/>
      <c r="C74" s="666" t="s">
        <v>377</v>
      </c>
      <c r="D74" s="666"/>
      <c r="E74" s="666"/>
      <c r="F74" s="666"/>
    </row>
    <row r="75" spans="1:6" customFormat="1">
      <c r="A75" s="674"/>
      <c r="B75" s="674"/>
      <c r="C75" s="674" t="s">
        <v>378</v>
      </c>
      <c r="D75" s="674"/>
      <c r="E75" s="674"/>
      <c r="F75" s="674"/>
    </row>
    <row r="76" spans="1:6" customFormat="1">
      <c r="A76" s="672" t="s">
        <v>379</v>
      </c>
      <c r="B76" s="672"/>
      <c r="C76" s="672" t="s">
        <v>380</v>
      </c>
      <c r="D76" s="672"/>
      <c r="E76" s="672"/>
      <c r="F76" s="672"/>
    </row>
    <row r="77" spans="1:6" customFormat="1">
      <c r="A77" s="672" t="s">
        <v>381</v>
      </c>
      <c r="B77" s="672"/>
      <c r="C77" s="672" t="s">
        <v>382</v>
      </c>
      <c r="D77" s="672"/>
      <c r="E77" s="672"/>
      <c r="F77" s="672"/>
    </row>
    <row r="78" spans="1:6" customFormat="1">
      <c r="A78" s="672" t="s">
        <v>383</v>
      </c>
      <c r="B78" s="672"/>
      <c r="C78" s="672" t="s">
        <v>384</v>
      </c>
      <c r="D78" s="672"/>
      <c r="E78" s="672"/>
      <c r="F78" s="672"/>
    </row>
    <row r="79" spans="1:6" customFormat="1">
      <c r="A79" s="674" t="s">
        <v>385</v>
      </c>
      <c r="B79" s="674"/>
      <c r="C79" s="674"/>
      <c r="D79" s="674"/>
      <c r="E79" s="674"/>
      <c r="F79" s="674"/>
    </row>
    <row r="80" spans="1:6" customFormat="1">
      <c r="A80" s="666"/>
      <c r="B80" s="75" t="s">
        <v>386</v>
      </c>
      <c r="C80" s="666" t="s">
        <v>387</v>
      </c>
      <c r="D80" s="666"/>
      <c r="E80" s="666"/>
      <c r="F80" s="666"/>
    </row>
    <row r="81" spans="1:6" customFormat="1">
      <c r="A81" s="666"/>
      <c r="B81" t="s">
        <v>388</v>
      </c>
      <c r="C81">
        <v>1600</v>
      </c>
      <c r="D81" s="666" t="s">
        <v>389</v>
      </c>
      <c r="E81" s="666"/>
      <c r="F81" s="666"/>
    </row>
    <row r="82" spans="1:6" customFormat="1">
      <c r="A82" s="666"/>
      <c r="B82" t="s">
        <v>390</v>
      </c>
      <c r="C82">
        <v>2080</v>
      </c>
      <c r="D82" s="666" t="s">
        <v>391</v>
      </c>
      <c r="E82" s="666"/>
      <c r="F82" s="666"/>
    </row>
    <row r="83" spans="1:6" customFormat="1">
      <c r="A83" s="666"/>
      <c r="B83" t="s">
        <v>392</v>
      </c>
      <c r="C83">
        <v>1200</v>
      </c>
      <c r="D83" s="666" t="s">
        <v>389</v>
      </c>
      <c r="E83" s="666"/>
      <c r="F83" s="666"/>
    </row>
    <row r="84" spans="1:6" customFormat="1">
      <c r="A84" s="666"/>
      <c r="B84" t="s">
        <v>393</v>
      </c>
      <c r="C84">
        <v>3600</v>
      </c>
      <c r="D84" s="666" t="s">
        <v>389</v>
      </c>
      <c r="E84" s="666"/>
      <c r="F84" s="666"/>
    </row>
    <row r="85" spans="1:6" customFormat="1">
      <c r="A85" s="674" t="s">
        <v>394</v>
      </c>
      <c r="B85" s="674"/>
      <c r="C85" s="674"/>
      <c r="D85" s="674"/>
      <c r="E85" s="674"/>
      <c r="F85" s="674"/>
    </row>
    <row r="86" spans="1:6" customFormat="1">
      <c r="A86" s="666"/>
      <c r="B86" t="s">
        <v>395</v>
      </c>
      <c r="C86" s="666" t="s">
        <v>396</v>
      </c>
      <c r="D86" s="666"/>
      <c r="E86" s="666"/>
      <c r="F86" s="666"/>
    </row>
    <row r="87" spans="1:6" customFormat="1">
      <c r="A87" s="666"/>
      <c r="B87" t="s">
        <v>388</v>
      </c>
      <c r="C87">
        <v>900</v>
      </c>
      <c r="D87" s="666" t="s">
        <v>389</v>
      </c>
      <c r="E87" s="666"/>
      <c r="F87" s="666"/>
    </row>
    <row r="88" spans="1:6" customFormat="1">
      <c r="A88" s="666"/>
      <c r="B88" t="s">
        <v>397</v>
      </c>
      <c r="C88">
        <v>2100</v>
      </c>
      <c r="D88" s="666" t="s">
        <v>389</v>
      </c>
      <c r="E88" s="666"/>
      <c r="F88" s="666"/>
    </row>
    <row r="89" spans="1:6" customFormat="1">
      <c r="A89" s="666"/>
      <c r="B89" t="s">
        <v>398</v>
      </c>
      <c r="C89" s="666" t="s">
        <v>399</v>
      </c>
      <c r="D89" s="666"/>
      <c r="E89" s="666"/>
      <c r="F89" s="666"/>
    </row>
    <row r="90" spans="1:6" customFormat="1">
      <c r="A90" s="666"/>
      <c r="B90" s="75" t="s">
        <v>400</v>
      </c>
      <c r="C90" s="666" t="s">
        <v>401</v>
      </c>
      <c r="D90" s="666"/>
      <c r="E90" s="666"/>
      <c r="F90" s="666"/>
    </row>
    <row r="91" spans="1:6" customFormat="1">
      <c r="A91" s="666"/>
      <c r="B91" t="s">
        <v>402</v>
      </c>
      <c r="C91" s="666" t="s">
        <v>438</v>
      </c>
      <c r="D91" s="666"/>
      <c r="E91" s="666"/>
      <c r="F91" s="666"/>
    </row>
    <row r="92" spans="1:6" customFormat="1">
      <c r="A92" s="674" t="s">
        <v>403</v>
      </c>
      <c r="B92" s="674"/>
      <c r="C92" s="674"/>
      <c r="D92" s="674"/>
      <c r="E92" s="674"/>
      <c r="F92" s="674"/>
    </row>
    <row r="93" spans="1:6" customFormat="1">
      <c r="B93" s="75" t="s">
        <v>388</v>
      </c>
      <c r="C93">
        <v>1100</v>
      </c>
      <c r="D93" s="666" t="s">
        <v>389</v>
      </c>
      <c r="E93" s="666"/>
      <c r="F93" s="666"/>
    </row>
    <row r="94" spans="1:6" customFormat="1">
      <c r="B94" s="75" t="s">
        <v>390</v>
      </c>
      <c r="C94">
        <v>1400</v>
      </c>
      <c r="D94" s="666" t="s">
        <v>389</v>
      </c>
      <c r="E94" s="666"/>
      <c r="F94" s="666"/>
    </row>
    <row r="95" spans="1:6" customFormat="1">
      <c r="B95" s="75" t="s">
        <v>397</v>
      </c>
      <c r="C95">
        <v>2200</v>
      </c>
      <c r="D95" s="666" t="s">
        <v>404</v>
      </c>
      <c r="E95" s="666"/>
      <c r="F95" s="666"/>
    </row>
    <row r="96" spans="1:6" customFormat="1">
      <c r="B96" s="75" t="s">
        <v>386</v>
      </c>
      <c r="C96" s="666" t="s">
        <v>405</v>
      </c>
      <c r="D96" s="666"/>
      <c r="E96" s="666"/>
      <c r="F96" s="666"/>
    </row>
    <row r="97" spans="1:6" customFormat="1">
      <c r="B97" s="75" t="s">
        <v>406</v>
      </c>
      <c r="C97" s="666" t="s">
        <v>401</v>
      </c>
      <c r="D97" s="666"/>
      <c r="E97" s="666"/>
      <c r="F97" s="666"/>
    </row>
    <row r="98" spans="1:6" customFormat="1">
      <c r="B98" s="75" t="s">
        <v>407</v>
      </c>
      <c r="C98" s="666" t="s">
        <v>408</v>
      </c>
      <c r="D98" s="666"/>
      <c r="E98" s="666"/>
      <c r="F98" s="666"/>
    </row>
    <row r="99" spans="1:6" customFormat="1">
      <c r="B99" s="75" t="s">
        <v>409</v>
      </c>
      <c r="C99" s="666" t="s">
        <v>410</v>
      </c>
      <c r="D99" s="666"/>
      <c r="E99" s="666"/>
      <c r="F99" s="666"/>
    </row>
    <row r="100" spans="1:6" customFormat="1">
      <c r="B100" s="75" t="s">
        <v>411</v>
      </c>
      <c r="C100" s="666" t="s">
        <v>412</v>
      </c>
      <c r="D100" s="666"/>
      <c r="E100" s="666"/>
      <c r="F100" s="666"/>
    </row>
    <row r="101" spans="1:6" customFormat="1">
      <c r="B101" s="75" t="s">
        <v>413</v>
      </c>
      <c r="C101" s="666" t="s">
        <v>414</v>
      </c>
      <c r="D101" s="666"/>
      <c r="E101" s="666"/>
      <c r="F101" s="666"/>
    </row>
    <row r="102" spans="1:6" customFormat="1">
      <c r="B102" s="75" t="s">
        <v>415</v>
      </c>
      <c r="C102" s="666" t="s">
        <v>416</v>
      </c>
      <c r="D102" s="666"/>
      <c r="E102" s="666"/>
      <c r="F102" s="666"/>
    </row>
    <row r="103" spans="1:6" customFormat="1">
      <c r="A103" s="674" t="s">
        <v>417</v>
      </c>
      <c r="B103" s="674"/>
      <c r="C103" s="674"/>
      <c r="D103" s="674"/>
      <c r="E103" s="674"/>
      <c r="F103" s="674"/>
    </row>
    <row r="104" spans="1:6" customFormat="1">
      <c r="A104" s="666"/>
      <c r="B104" t="s">
        <v>395</v>
      </c>
      <c r="C104" s="666" t="s">
        <v>396</v>
      </c>
      <c r="D104" s="666"/>
      <c r="E104" s="666"/>
      <c r="F104" s="666"/>
    </row>
    <row r="105" spans="1:6" customFormat="1">
      <c r="A105" s="666"/>
      <c r="B105" s="75" t="s">
        <v>418</v>
      </c>
      <c r="C105" s="666" t="s">
        <v>419</v>
      </c>
      <c r="D105" s="666"/>
      <c r="E105" s="666"/>
      <c r="F105" s="666"/>
    </row>
    <row r="106" spans="1:6" customFormat="1">
      <c r="A106" s="666"/>
      <c r="B106" t="s">
        <v>388</v>
      </c>
      <c r="C106">
        <v>900</v>
      </c>
      <c r="D106" s="666" t="s">
        <v>389</v>
      </c>
      <c r="E106" s="666"/>
      <c r="F106" s="666"/>
    </row>
    <row r="107" spans="1:6" customFormat="1">
      <c r="A107" s="666"/>
      <c r="B107" t="s">
        <v>397</v>
      </c>
      <c r="C107">
        <v>2100</v>
      </c>
      <c r="D107" s="666" t="s">
        <v>389</v>
      </c>
      <c r="E107" s="666"/>
      <c r="F107" s="666"/>
    </row>
    <row r="108" spans="1:6" customFormat="1">
      <c r="A108" s="666"/>
      <c r="B108" t="s">
        <v>398</v>
      </c>
      <c r="C108" s="666" t="s">
        <v>420</v>
      </c>
      <c r="D108" s="666"/>
      <c r="E108" s="666"/>
      <c r="F108" s="666"/>
    </row>
    <row r="109" spans="1:6" customFormat="1">
      <c r="A109" s="666"/>
      <c r="B109" s="75" t="s">
        <v>400</v>
      </c>
      <c r="C109" s="666" t="s">
        <v>421</v>
      </c>
      <c r="D109" s="666"/>
      <c r="E109" s="666"/>
      <c r="F109" s="666"/>
    </row>
    <row r="110" spans="1:6" customFormat="1">
      <c r="A110" s="666"/>
      <c r="B110" s="75" t="s">
        <v>422</v>
      </c>
      <c r="C110" s="666" t="s">
        <v>423</v>
      </c>
      <c r="D110" s="666"/>
      <c r="E110" s="666"/>
      <c r="F110" s="666"/>
    </row>
    <row r="111" spans="1:6" customFormat="1">
      <c r="A111" s="674" t="s">
        <v>424</v>
      </c>
      <c r="B111" s="674"/>
      <c r="C111" s="674" t="s">
        <v>425</v>
      </c>
      <c r="D111" s="674"/>
      <c r="E111" s="674"/>
      <c r="F111" s="674"/>
    </row>
    <row r="112" spans="1:6" customFormat="1">
      <c r="A112" s="666" t="s">
        <v>426</v>
      </c>
      <c r="B112" s="666"/>
      <c r="C112" s="666" t="s">
        <v>427</v>
      </c>
      <c r="D112" s="666"/>
      <c r="E112" s="666"/>
      <c r="F112" s="666"/>
    </row>
    <row r="113" spans="1:7" customFormat="1">
      <c r="D113" s="16"/>
      <c r="E113" s="16"/>
      <c r="F113" s="295"/>
    </row>
    <row r="114" spans="1:7" ht="18.75">
      <c r="A114" s="615"/>
      <c r="B114" s="616" t="s">
        <v>440</v>
      </c>
      <c r="C114" s="617" t="s">
        <v>110</v>
      </c>
      <c r="D114" s="618">
        <v>4</v>
      </c>
      <c r="E114" s="619"/>
      <c r="F114" s="620">
        <f>D114*E114</f>
        <v>0</v>
      </c>
      <c r="G114"/>
    </row>
    <row r="115" spans="1:7" ht="13.5" thickBot="1">
      <c r="B115" s="126" t="s">
        <v>878</v>
      </c>
      <c r="G115"/>
    </row>
    <row r="116" spans="1:7" ht="21.75" thickBot="1">
      <c r="A116" s="609" t="s">
        <v>9</v>
      </c>
      <c r="B116" s="50"/>
      <c r="C116" s="51" t="s">
        <v>2864</v>
      </c>
      <c r="D116" s="17"/>
      <c r="E116" s="53"/>
      <c r="F116" s="621">
        <f>F114</f>
        <v>0</v>
      </c>
      <c r="G116"/>
    </row>
    <row r="117" spans="1:7">
      <c r="G117"/>
    </row>
  </sheetData>
  <mergeCells count="73">
    <mergeCell ref="D93:F93"/>
    <mergeCell ref="D94:F94"/>
    <mergeCell ref="D95:F95"/>
    <mergeCell ref="C96:F96"/>
    <mergeCell ref="C97:F97"/>
    <mergeCell ref="C99:F99"/>
    <mergeCell ref="C100:F100"/>
    <mergeCell ref="C101:F101"/>
    <mergeCell ref="A111:B111"/>
    <mergeCell ref="C111:F111"/>
    <mergeCell ref="C102:F102"/>
    <mergeCell ref="C80:F80"/>
    <mergeCell ref="D81:F81"/>
    <mergeCell ref="D82:F82"/>
    <mergeCell ref="D83:F83"/>
    <mergeCell ref="A112:B112"/>
    <mergeCell ref="C112:F112"/>
    <mergeCell ref="A103:F103"/>
    <mergeCell ref="A104:A110"/>
    <mergeCell ref="C104:F104"/>
    <mergeCell ref="C105:F105"/>
    <mergeCell ref="D106:F106"/>
    <mergeCell ref="D107:F107"/>
    <mergeCell ref="C108:F108"/>
    <mergeCell ref="C109:F109"/>
    <mergeCell ref="C110:F110"/>
    <mergeCell ref="C98:F98"/>
    <mergeCell ref="A92:F92"/>
    <mergeCell ref="A77:B77"/>
    <mergeCell ref="C77:F77"/>
    <mergeCell ref="A78:B78"/>
    <mergeCell ref="C78:F78"/>
    <mergeCell ref="A79:F79"/>
    <mergeCell ref="D84:F84"/>
    <mergeCell ref="A85:F85"/>
    <mergeCell ref="A86:A91"/>
    <mergeCell ref="C86:F86"/>
    <mergeCell ref="D87:F87"/>
    <mergeCell ref="D88:F88"/>
    <mergeCell ref="C89:F89"/>
    <mergeCell ref="C90:F90"/>
    <mergeCell ref="C91:F91"/>
    <mergeCell ref="A80:A84"/>
    <mergeCell ref="A73:B75"/>
    <mergeCell ref="C73:F73"/>
    <mergeCell ref="C74:F74"/>
    <mergeCell ref="C75:F75"/>
    <mergeCell ref="A76:B76"/>
    <mergeCell ref="C76:F76"/>
    <mergeCell ref="A69:B72"/>
    <mergeCell ref="C69:F69"/>
    <mergeCell ref="C70:F70"/>
    <mergeCell ref="C71:F71"/>
    <mergeCell ref="C72:F72"/>
    <mergeCell ref="A65:B65"/>
    <mergeCell ref="C65:F65"/>
    <mergeCell ref="A66:B66"/>
    <mergeCell ref="C66:F66"/>
    <mergeCell ref="A67:B68"/>
    <mergeCell ref="C67:F67"/>
    <mergeCell ref="C68:F68"/>
    <mergeCell ref="A62:B62"/>
    <mergeCell ref="D62:F62"/>
    <mergeCell ref="A63:B63"/>
    <mergeCell ref="D63:F63"/>
    <mergeCell ref="A64:B64"/>
    <mergeCell ref="D64:F64"/>
    <mergeCell ref="A59:B59"/>
    <mergeCell ref="C59:F59"/>
    <mergeCell ref="A60:B60"/>
    <mergeCell ref="C60:F60"/>
    <mergeCell ref="A61:B61"/>
    <mergeCell ref="C61:F61"/>
  </mergeCells>
  <pageMargins left="0.70866141732283472" right="0.31496062992125984" top="0.74803149606299213" bottom="0.74803149606299213" header="0.31496062992125984" footer="0.31496062992125984"/>
  <pageSetup paperSize="9" scale="87" orientation="portrait" r:id="rId1"/>
  <headerFooter differentFirst="1">
    <oddHeader>&amp;L&amp;K01+041Troškovnik&amp;C&amp;"-,Podebljano"&amp;K01+047PROJEKT DIZALA&amp;R&amp;K01+041STAMBENO - POSLOVNA GRAĐEVINA, BLATO</oddHeader>
    <oddFooter>&amp;C&amp;K01+049V V - PROJEKT d.o.o. Put Supavla 1, 21000 Split, tel/fax: 021/322-249</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22"/>
  <sheetViews>
    <sheetView view="pageBreakPreview" zoomScale="110" zoomScaleNormal="100" zoomScaleSheetLayoutView="110" workbookViewId="0">
      <selection activeCell="A16" sqref="A16"/>
    </sheetView>
  </sheetViews>
  <sheetFormatPr defaultColWidth="2.28515625" defaultRowHeight="12.75"/>
  <cols>
    <col min="1" max="1" width="10.7109375" style="40" customWidth="1"/>
    <col min="2" max="2" width="45" style="56" customWidth="1"/>
    <col min="3" max="3" width="5.5703125" style="1" customWidth="1"/>
    <col min="4" max="6" width="7.7109375" style="96" customWidth="1"/>
    <col min="7" max="7" width="8.7109375" style="102" customWidth="1"/>
    <col min="8" max="8" width="0.42578125" style="43" customWidth="1"/>
    <col min="9" max="9" width="22.7109375" style="306" customWidth="1"/>
    <col min="10" max="16384" width="2.28515625" style="21"/>
  </cols>
  <sheetData>
    <row r="1" spans="1:9" ht="23.25">
      <c r="A1" s="610"/>
      <c r="B1" s="87" t="s">
        <v>105</v>
      </c>
      <c r="C1" s="65"/>
      <c r="D1" s="12"/>
      <c r="E1" s="12"/>
      <c r="F1" s="12"/>
      <c r="G1" s="107"/>
      <c r="H1" s="67"/>
      <c r="I1" s="308"/>
    </row>
    <row r="2" spans="1:9" ht="13.5" thickBot="1"/>
    <row r="3" spans="1:9" ht="21.75" thickBot="1">
      <c r="A3" s="68" t="s">
        <v>2902</v>
      </c>
      <c r="B3" s="114" t="s">
        <v>2601</v>
      </c>
      <c r="C3" s="71"/>
      <c r="D3" s="111"/>
      <c r="E3" s="111"/>
      <c r="F3" s="111"/>
      <c r="G3" s="108"/>
      <c r="H3" s="73"/>
      <c r="I3" s="357">
        <f>'M1(R1)-REKAPIT GO RADOVA'!I18</f>
        <v>0</v>
      </c>
    </row>
    <row r="4" spans="1:9" ht="21.75" thickBot="1">
      <c r="A4" s="68" t="s">
        <v>2828</v>
      </c>
      <c r="B4" s="675" t="s">
        <v>2830</v>
      </c>
      <c r="C4" s="675"/>
      <c r="D4" s="675"/>
      <c r="E4" s="675"/>
      <c r="F4" s="675"/>
      <c r="G4" s="108"/>
      <c r="H4" s="73"/>
      <c r="I4" s="357">
        <f>'M2-SKLONIŠTE ARHITEKTURA'!G450</f>
        <v>0</v>
      </c>
    </row>
    <row r="5" spans="1:9" ht="21.75" thickBot="1">
      <c r="A5" s="68" t="s">
        <v>2611</v>
      </c>
      <c r="B5" s="51" t="s">
        <v>2602</v>
      </c>
      <c r="C5" s="71"/>
      <c r="D5" s="111"/>
      <c r="E5" s="111"/>
      <c r="F5" s="111"/>
      <c r="G5" s="108"/>
      <c r="H5" s="73"/>
      <c r="I5" s="357">
        <f>'T-UREĐENJE TERENA'!G263</f>
        <v>0</v>
      </c>
    </row>
    <row r="6" spans="1:9" ht="21.75" thickBot="1">
      <c r="A6" s="68" t="s">
        <v>2612</v>
      </c>
      <c r="B6" s="114" t="s">
        <v>2603</v>
      </c>
      <c r="C6" s="71"/>
      <c r="D6" s="111"/>
      <c r="E6" s="111"/>
      <c r="F6" s="111"/>
      <c r="G6" s="108"/>
      <c r="H6" s="73"/>
      <c r="I6" s="357">
        <f>'M3-KONSTRUKCIJA GRAĐ RAD ZGRADA'!I339</f>
        <v>0</v>
      </c>
    </row>
    <row r="7" spans="1:9" ht="21.75" thickBot="1">
      <c r="A7" s="68" t="s">
        <v>2613</v>
      </c>
      <c r="B7" s="114" t="s">
        <v>2604</v>
      </c>
      <c r="C7" s="71"/>
      <c r="D7" s="111"/>
      <c r="E7" s="111"/>
      <c r="F7" s="111"/>
      <c r="G7" s="108"/>
      <c r="H7" s="73"/>
      <c r="I7" s="357">
        <f>'M4-KONSTRUKCIJA GR RA SKLONIŠTE'!G132</f>
        <v>0</v>
      </c>
    </row>
    <row r="8" spans="1:9" ht="21.75" thickBot="1">
      <c r="A8" s="68" t="s">
        <v>2614</v>
      </c>
      <c r="B8" s="114" t="s">
        <v>2605</v>
      </c>
      <c r="C8" s="71"/>
      <c r="D8" s="111"/>
      <c r="E8" s="111"/>
      <c r="F8" s="111"/>
      <c r="G8" s="108"/>
      <c r="H8" s="73"/>
      <c r="I8" s="357">
        <f>'M5-ELEKTROINSTALACIJE ZGRADA'!G861</f>
        <v>0</v>
      </c>
    </row>
    <row r="9" spans="1:9" ht="21.75" thickBot="1">
      <c r="A9" s="68" t="s">
        <v>2615</v>
      </c>
      <c r="B9" s="114" t="s">
        <v>2606</v>
      </c>
      <c r="C9" s="71"/>
      <c r="D9" s="111"/>
      <c r="E9" s="111"/>
      <c r="F9" s="111"/>
      <c r="G9" s="108"/>
      <c r="H9" s="73"/>
      <c r="I9" s="357">
        <f>'M6-ELEKTROINSTALACIJE SKLONIŠTE'!G241</f>
        <v>0</v>
      </c>
    </row>
    <row r="10" spans="1:9" ht="21.75" thickBot="1">
      <c r="A10" s="68" t="s">
        <v>2616</v>
      </c>
      <c r="B10" s="114" t="s">
        <v>2607</v>
      </c>
      <c r="C10" s="71"/>
      <c r="D10" s="111"/>
      <c r="E10" s="111"/>
      <c r="F10" s="111"/>
      <c r="G10" s="108"/>
      <c r="H10" s="73"/>
      <c r="I10" s="357">
        <f>'M8-STROJARSTVO TERMOINSTALACIJE'!G335</f>
        <v>0</v>
      </c>
    </row>
    <row r="11" spans="1:9" ht="21.75" thickBot="1">
      <c r="A11" s="68" t="s">
        <v>2617</v>
      </c>
      <c r="B11" s="114" t="s">
        <v>2228</v>
      </c>
      <c r="C11" s="71"/>
      <c r="D11" s="111"/>
      <c r="E11" s="111"/>
      <c r="F11" s="111"/>
      <c r="G11" s="108"/>
      <c r="H11" s="73"/>
      <c r="I11" s="357">
        <f>'M9-STROJARSTVO PLINSKE INSTALAC'!G405</f>
        <v>0</v>
      </c>
    </row>
    <row r="12" spans="1:9" ht="21.75" thickBot="1">
      <c r="A12" s="68" t="s">
        <v>2618</v>
      </c>
      <c r="B12" s="51" t="s">
        <v>2608</v>
      </c>
      <c r="C12" s="71"/>
      <c r="D12" s="111"/>
      <c r="E12" s="111"/>
      <c r="F12" s="111"/>
      <c r="G12" s="108"/>
      <c r="H12" s="73"/>
      <c r="I12" s="357">
        <f>'M7_10-ViK ZGRADA i SKLONIŠTE'!G690</f>
        <v>0</v>
      </c>
    </row>
    <row r="13" spans="1:9" ht="21.75" thickBot="1">
      <c r="A13" s="68" t="s">
        <v>2619</v>
      </c>
      <c r="B13" s="114" t="s">
        <v>2600</v>
      </c>
      <c r="C13" s="71"/>
      <c r="D13" s="111"/>
      <c r="E13" s="111"/>
      <c r="F13" s="111"/>
      <c r="G13" s="108"/>
      <c r="H13" s="73"/>
      <c r="I13" s="357">
        <f>'M11-STROJARSTVO SKLONIŠTE'!G197</f>
        <v>0</v>
      </c>
    </row>
    <row r="14" spans="1:9" ht="21.75" thickBot="1">
      <c r="A14" s="68" t="s">
        <v>2620</v>
      </c>
      <c r="B14" s="51" t="s">
        <v>2609</v>
      </c>
      <c r="C14" s="71"/>
      <c r="D14" s="111"/>
      <c r="E14" s="111"/>
      <c r="F14" s="111"/>
      <c r="G14" s="108"/>
      <c r="H14" s="73"/>
      <c r="I14" s="357">
        <f>'M12-DIZALA'!F116</f>
        <v>0</v>
      </c>
    </row>
    <row r="16" spans="1:9" ht="23.25">
      <c r="A16" s="610"/>
      <c r="B16" s="87" t="s">
        <v>107</v>
      </c>
      <c r="C16" s="65"/>
      <c r="D16" s="12"/>
      <c r="E16" s="12"/>
      <c r="F16" s="12"/>
      <c r="G16" s="107"/>
      <c r="H16" s="67"/>
      <c r="I16" s="308">
        <f>SUM(I3:I14)</f>
        <v>0</v>
      </c>
    </row>
    <row r="19" spans="1:9" ht="23.25">
      <c r="A19" s="62"/>
      <c r="B19" s="87" t="s">
        <v>2862</v>
      </c>
      <c r="C19" s="65"/>
      <c r="D19" s="12"/>
      <c r="E19" s="12"/>
      <c r="F19" s="12"/>
      <c r="G19" s="107"/>
      <c r="H19" s="67"/>
      <c r="I19" s="308">
        <f>I16*0.25</f>
        <v>0</v>
      </c>
    </row>
    <row r="22" spans="1:9" ht="23.25">
      <c r="A22" s="62"/>
      <c r="B22" s="87" t="s">
        <v>2863</v>
      </c>
      <c r="C22" s="65"/>
      <c r="D22" s="12"/>
      <c r="E22" s="12"/>
      <c r="F22" s="12"/>
      <c r="G22" s="107"/>
      <c r="H22" s="67"/>
      <c r="I22" s="308">
        <f>SUM(I16:I19)</f>
        <v>0</v>
      </c>
    </row>
  </sheetData>
  <mergeCells count="1">
    <mergeCell ref="B4:F4"/>
  </mergeCells>
  <pageMargins left="0.70866141732283472" right="0.31496062992125984" top="0.74803149606299213" bottom="0.74803149606299213" header="0.31496062992125984" footer="0.31496062992125984"/>
  <pageSetup paperSize="9" scale="87" orientation="portrait" r:id="rId1"/>
  <headerFooter differentFirst="1">
    <oddHeader>&amp;L&amp;K01+046Troškovnik&amp;C&amp;"-,Podebljano"&amp;K01+046PROJEKT ARHITEKTURE
Građevinsko - zanatski radovi&amp;R&amp;K01+046STAMBENO - POSLOVNA GRAĐEVINA, BLATO</oddHeader>
    <oddFooter>&amp;C&amp;K00-047V V - PROJEKT d.o.o. Put Supavla 1, 21000 Split, tel/fax: 021/322-249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26</vt:i4>
      </vt:variant>
    </vt:vector>
  </HeadingPairs>
  <TitlesOfParts>
    <vt:vector size="54" baseType="lpstr">
      <vt:lpstr>OPĆI UVJETI-NASELJE BLATO ZG</vt:lpstr>
      <vt:lpstr>1-GEODETSKI</vt:lpstr>
      <vt:lpstr>2-ZIDARSKI</vt:lpstr>
      <vt:lpstr>3-GIPS RADOVI</vt:lpstr>
      <vt:lpstr>4-IZOLATERSKI</vt:lpstr>
      <vt:lpstr>5-FASADERSKI</vt:lpstr>
      <vt:lpstr>6-BRAVARSKI i ČELIČNI</vt:lpstr>
      <vt:lpstr>7-ALUMINIJSKI</vt:lpstr>
      <vt:lpstr>8-LIMARSKI</vt:lpstr>
      <vt:lpstr>9-STOLARSKI</vt:lpstr>
      <vt:lpstr>10-PVC STOLARIJA i KROVNA KUPOL</vt:lpstr>
      <vt:lpstr>11-SOBOSLIKARSKI LIČILAČKI</vt:lpstr>
      <vt:lpstr>12-KERAMIČARSKI</vt:lpstr>
      <vt:lpstr>13-PODOVI PARKET</vt:lpstr>
      <vt:lpstr>14-RAZNI RADOVI</vt:lpstr>
      <vt:lpstr>M1(R1)-REKAPIT GO RADOVA</vt:lpstr>
      <vt:lpstr>M2-SKLONIŠTE ARHITEKTURA</vt:lpstr>
      <vt:lpstr>T-UREĐENJE TERENA</vt:lpstr>
      <vt:lpstr>M3-KONSTRUKCIJA GRAĐ RAD ZGRADA</vt:lpstr>
      <vt:lpstr>M4-KONSTRUKCIJA GR RA SKLONIŠTE</vt:lpstr>
      <vt:lpstr>M5-ELEKTROINSTALACIJE ZGRADA</vt:lpstr>
      <vt:lpstr>M6-ELEKTROINSTALACIJE SKLONIŠTE</vt:lpstr>
      <vt:lpstr>M8-STROJARSTVO TERMOINSTALACIJE</vt:lpstr>
      <vt:lpstr>M9-STROJARSTVO PLINSKE INSTALAC</vt:lpstr>
      <vt:lpstr>M7_10-ViK ZGRADA i SKLONIŠTE</vt:lpstr>
      <vt:lpstr>M11-STROJARSTVO SKLONIŠTE</vt:lpstr>
      <vt:lpstr>M12-DIZALA</vt:lpstr>
      <vt:lpstr>R-REKAPITULACIJA SVEUKUPNA</vt:lpstr>
      <vt:lpstr>'M2-SKLONIŠTE ARHITEKTURA'!Print_Area</vt:lpstr>
      <vt:lpstr>'OPĆI UVJETI-NASELJE BLATO ZG'!Print_Area</vt:lpstr>
      <vt:lpstr>'10-PVC STOLARIJA i KROVNA KUPOL'!Print_Titles</vt:lpstr>
      <vt:lpstr>'11-SOBOSLIKARSKI LIČILAČKI'!Print_Titles</vt:lpstr>
      <vt:lpstr>'12-KERAMIČARSKI'!Print_Titles</vt:lpstr>
      <vt:lpstr>'13-PODOVI PARKET'!Print_Titles</vt:lpstr>
      <vt:lpstr>'14-RAZNI RADOVI'!Print_Titles</vt:lpstr>
      <vt:lpstr>'1-GEODETSKI'!Print_Titles</vt:lpstr>
      <vt:lpstr>'2-ZIDARSKI'!Print_Titles</vt:lpstr>
      <vt:lpstr>'3-GIPS RADOVI'!Print_Titles</vt:lpstr>
      <vt:lpstr>'4-IZOLATERSKI'!Print_Titles</vt:lpstr>
      <vt:lpstr>'5-FASADERSKI'!Print_Titles</vt:lpstr>
      <vt:lpstr>'6-BRAVARSKI i ČELIČNI'!Print_Titles</vt:lpstr>
      <vt:lpstr>'7-ALUMINIJSKI'!Print_Titles</vt:lpstr>
      <vt:lpstr>'8-LIMARSKI'!Print_Titles</vt:lpstr>
      <vt:lpstr>'9-STOLARSKI'!Print_Titles</vt:lpstr>
      <vt:lpstr>'M11-STROJARSTVO SKLONIŠTE'!Print_Titles</vt:lpstr>
      <vt:lpstr>'M2-SKLONIŠTE ARHITEKTURA'!Print_Titles</vt:lpstr>
      <vt:lpstr>'M3-KONSTRUKCIJA GRAĐ RAD ZGRADA'!Print_Titles</vt:lpstr>
      <vt:lpstr>'M4-KONSTRUKCIJA GR RA SKLONIŠTE'!Print_Titles</vt:lpstr>
      <vt:lpstr>'M5-ELEKTROINSTALACIJE ZGRADA'!Print_Titles</vt:lpstr>
      <vt:lpstr>'M6-ELEKTROINSTALACIJE SKLONIŠTE'!Print_Titles</vt:lpstr>
      <vt:lpstr>'M7_10-ViK ZGRADA i SKLONIŠTE'!Print_Titles</vt:lpstr>
      <vt:lpstr>'M8-STROJARSTVO TERMOINSTALACIJE'!Print_Titles</vt:lpstr>
      <vt:lpstr>'M9-STROJARSTVO PLINSKE INSTALAC'!Print_Titles</vt:lpstr>
      <vt:lpstr>'T-UREĐENJE TERENA'!Print_Titles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Dobrila</dc:creator>
  <cp:lastModifiedBy>ponude@kamgrad.hr</cp:lastModifiedBy>
  <cp:lastPrinted>2025-03-25T07:13:41Z</cp:lastPrinted>
  <dcterms:created xsi:type="dcterms:W3CDTF">2023-06-13T12:12:02Z</dcterms:created>
  <dcterms:modified xsi:type="dcterms:W3CDTF">2025-03-27T07:31:16Z</dcterms:modified>
</cp:coreProperties>
</file>