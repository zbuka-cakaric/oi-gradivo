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T:\Macan Dubrava\"/>
    </mc:Choice>
  </mc:AlternateContent>
  <xr:revisionPtr revIDLastSave="0" documentId="13_ncr:1_{499522A1-D901-4C1E-A7FC-DCEBA2F2A665}" xr6:coauthVersionLast="47" xr6:coauthVersionMax="47" xr10:uidLastSave="{00000000-0000-0000-0000-000000000000}"/>
  <bookViews>
    <workbookView xWindow="24675" yWindow="1890" windowWidth="16950" windowHeight="20100" tabRatio="650" activeTab="2" xr2:uid="{00000000-000D-0000-FFFF-FFFF00000000}"/>
  </bookViews>
  <sheets>
    <sheet name="NASLOVNICA" sheetId="12" r:id="rId1"/>
    <sheet name="REKAPITULACIJA" sheetId="8" r:id="rId2"/>
    <sheet name="A.GRAĐEVINSKI RADOVI" sheetId="1" r:id="rId3"/>
    <sheet name="B.OBRTNIČKI RADOVI" sheetId="11" r:id="rId4"/>
    <sheet name="C.POTPORNI ZID I PARAPET" sheetId="13" r:id="rId5"/>
  </sheets>
  <externalReferences>
    <externalReference r:id="rId6"/>
    <externalReference r:id="rId7"/>
  </externalReferences>
  <definedNames>
    <definedName name="_xlnm._FilterDatabase" localSheetId="2" hidden="1">'A.GRAĐEVINSKI RADOVI'!$A$1:$A$427</definedName>
    <definedName name="_xlnm._FilterDatabase" localSheetId="3" hidden="1">'B.OBRTNIČKI RADOVI'!$A$1:$A$467</definedName>
    <definedName name="A">#REF!</definedName>
    <definedName name="aaa">#REF!</definedName>
    <definedName name="all">#REF!</definedName>
    <definedName name="aluminijska">#REF!</definedName>
    <definedName name="BE_Price">#REF!</definedName>
    <definedName name="betonska">#REF!</definedName>
    <definedName name="BETONSKI_I_ARM.BETONSKI_RADOVI">#REF!</definedName>
    <definedName name="BRAVARIJA_SKLONIŠTA">#REF!</definedName>
    <definedName name="Countr.">#REF!</definedName>
    <definedName name="Countr.no">#REF!</definedName>
    <definedName name="Country">#REF!</definedName>
    <definedName name="CRNA_BRAVARIJA">#REF!</definedName>
    <definedName name="ČELIČNA_KONSTRUKCIJA">#REF!</definedName>
    <definedName name="D">#REF!</definedName>
    <definedName name="Data_base_result">#REF!</definedName>
    <definedName name="_xlnm.Database">#REF!</definedName>
    <definedName name="DIMNJACI">#REF!</definedName>
    <definedName name="DIZALA">#REF!</definedName>
    <definedName name="EODB">#REF!</definedName>
    <definedName name="euro">#REF!</definedName>
    <definedName name="euronew">#REF!</definedName>
    <definedName name="FASADERSKI_RADOVI">#REF!</definedName>
    <definedName name="fizika_zgrade">#REF!</definedName>
    <definedName name="gradbena">#REF!</definedName>
    <definedName name="H">#REF!</definedName>
    <definedName name="HR">#REF!</definedName>
    <definedName name="I">#REF!</definedName>
    <definedName name="Inew">#REF!</definedName>
    <definedName name="INOX_BRAVARIJA">#REF!</definedName>
    <definedName name="IZOLATERSKI_RADOVI">#REF!</definedName>
    <definedName name="jj">[1]VIIIc.0.E!#REF!</definedName>
    <definedName name="KAMENARSKI_RADOVI">#REF!</definedName>
    <definedName name="keramicarska">#REF!</definedName>
    <definedName name="KERAMIČARSKI_RADOVI">#REF!</definedName>
    <definedName name="kljucavnicarska">#REF!</definedName>
    <definedName name="KROVOPOKRIVAČKI_RADOVI">#REF!</definedName>
    <definedName name="krovskokleparska">#REF!</definedName>
    <definedName name="Kurs">#REF!</definedName>
    <definedName name="l">#REF!</definedName>
    <definedName name="Langua.">#REF!</definedName>
    <definedName name="Langua.no">#REF!</definedName>
    <definedName name="Language">#REF!</definedName>
    <definedName name="Last_up_date">#REF!</definedName>
    <definedName name="LIMARSKI_RADOVI">#REF!</definedName>
    <definedName name="m">#REF!</definedName>
    <definedName name="mavcnokartonska">#REF!</definedName>
    <definedName name="min">#REF!</definedName>
    <definedName name="minE">#REF!</definedName>
    <definedName name="mr">#REF!</definedName>
    <definedName name="NEHRĐAJUĆA_BRAVARIJA">#REF!</definedName>
    <definedName name="Null">#REF!</definedName>
    <definedName name="obrtniska">#REF!</definedName>
    <definedName name="OSTALI_RADOVI">#REF!</definedName>
    <definedName name="p">#REF!</definedName>
    <definedName name="Partno">#REF!</definedName>
    <definedName name="PILOTI">#REF!</definedName>
    <definedName name="pn">[1]VIIIc.0.E!#REF!</definedName>
    <definedName name="PODOVI">#REF!</definedName>
    <definedName name="PREGRADNE_STIJENE">#REF!</definedName>
    <definedName name="Price_code">#REF!</definedName>
    <definedName name="_xlnm.Print_Area" localSheetId="3">'B.OBRTNIČKI RADOVI'!$A$1:$G$464</definedName>
    <definedName name="_xlnm.Print_Area" localSheetId="0">NASLOVNICA!$A$1:$C$117</definedName>
    <definedName name="_xlnm.Print_Area" localSheetId="1">REKAPITULACIJA!$A$2:$D$25</definedName>
    <definedName name="_xlnm.Print_Titles" localSheetId="3">'B.OBRTNIČKI RADOVI'!$1:$3</definedName>
    <definedName name="PROTUPOŽARNA_BRAVARIJA" localSheetId="3">#REF!</definedName>
    <definedName name="PROTUPOŽARNA_BRAVARIJA">#REF!</definedName>
    <definedName name="R_E_K_A_P_I_T_U_L_A_C_I_J_A">#REF!</definedName>
    <definedName name="reserve">#REF!</definedName>
    <definedName name="RTG_BRAVARIJA">#REF!</definedName>
    <definedName name="RUŠENJA_I_PRILAGODBE_GRAĐEVINSKIH_ELEMENATA_POSTOJEĆIH_GRAĐEVINA">#REF!</definedName>
    <definedName name="s">#REF!</definedName>
    <definedName name="sat">#REF!</definedName>
    <definedName name="satE">#REF!</definedName>
    <definedName name="Seins">#REF!</definedName>
    <definedName name="slikopleskarska">#REF!</definedName>
    <definedName name="sn">[1]VIIIc.0.E!#REF!</definedName>
    <definedName name="SOBOSLIKARSKI_RADOVI">#REF!</definedName>
    <definedName name="SPUŠTENI_STROPOVI">#REF!</definedName>
    <definedName name="tesarska">#REF!</definedName>
    <definedName name="type">#REF!</definedName>
    <definedName name="u">#REF!</definedName>
    <definedName name="UKLANJANJE_OBJEKATA_I_IZGRADNJA_PRIVREMENE_SAOBRAČAJNICE">#REF!</definedName>
    <definedName name="UNUTARNJA_ALUMINIJSKA_BRAVARIJA">#REF!</definedName>
    <definedName name="VANJSKA_ALUMINIJSKA_BRAVARIJA">#REF!</definedName>
    <definedName name="VI">#REF!</definedName>
    <definedName name="VP">#REF!</definedName>
    <definedName name="vvv">[2]Preisfindung!#REF!</definedName>
    <definedName name="Wrg">#REF!</definedName>
    <definedName name="zemeljska">#REF!</definedName>
    <definedName name="ZEMLJANI_RADOVI">#REF!</definedName>
    <definedName name="zidarska">#REF!</definedName>
    <definedName name="ZIDARSKI_RADOVI">#REF!</definedName>
  </definedNames>
  <calcPr calcId="191029" iterateDelta="1E-4" fullPrecision="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5" i="1" l="1"/>
  <c r="F393" i="1"/>
  <c r="F50" i="13"/>
  <c r="D49" i="13"/>
  <c r="F49" i="13" s="1"/>
  <c r="D47" i="13"/>
  <c r="F47" i="13" s="1"/>
  <c r="D46" i="13"/>
  <c r="D48" i="13" s="1"/>
  <c r="F44" i="13"/>
  <c r="D44" i="13"/>
  <c r="D43" i="13"/>
  <c r="D41" i="13"/>
  <c r="F41" i="13" s="1"/>
  <c r="D40" i="13"/>
  <c r="F40" i="13" s="1"/>
  <c r="F39" i="13"/>
  <c r="D39" i="13"/>
  <c r="F38" i="13"/>
  <c r="F34" i="13"/>
  <c r="F33" i="13"/>
  <c r="F31" i="13"/>
  <c r="F30" i="13"/>
  <c r="F28" i="13"/>
  <c r="F25" i="13"/>
  <c r="F24" i="13"/>
  <c r="F23" i="13"/>
  <c r="F22" i="13"/>
  <c r="F21" i="13"/>
  <c r="F20" i="13"/>
  <c r="F16" i="13"/>
  <c r="D16" i="13"/>
  <c r="D15" i="13"/>
  <c r="F15" i="13" s="1"/>
  <c r="D14" i="13"/>
  <c r="F14" i="13" s="1"/>
  <c r="F13" i="13"/>
  <c r="F12" i="13"/>
  <c r="D12" i="13"/>
  <c r="D11" i="13"/>
  <c r="F11" i="13" s="1"/>
  <c r="D10" i="13"/>
  <c r="F10" i="13" s="1"/>
  <c r="D9" i="13"/>
  <c r="F9" i="13" s="1"/>
  <c r="F8" i="13"/>
  <c r="D8" i="13"/>
  <c r="F7" i="13"/>
  <c r="D209" i="1"/>
  <c r="F43" i="13" l="1"/>
  <c r="F48" i="13"/>
  <c r="F32" i="13"/>
  <c r="F27" i="13"/>
  <c r="F46" i="13"/>
  <c r="F288" i="11"/>
  <c r="F52" i="13" l="1"/>
  <c r="F54" i="13" s="1"/>
  <c r="F56" i="13" s="1"/>
  <c r="F201" i="1"/>
  <c r="F200" i="1"/>
  <c r="F162" i="1"/>
  <c r="F161" i="1"/>
  <c r="F187" i="1"/>
  <c r="F186" i="1"/>
  <c r="F327" i="11"/>
  <c r="F280" i="11"/>
  <c r="F284" i="11"/>
  <c r="F58" i="13" l="1"/>
  <c r="F60" i="13" s="1"/>
  <c r="F154" i="11"/>
  <c r="F153" i="11"/>
  <c r="F223" i="11"/>
  <c r="F427" i="11"/>
  <c r="F345" i="1" l="1"/>
  <c r="F270" i="11"/>
  <c r="F266" i="11"/>
  <c r="A408" i="1" l="1"/>
  <c r="F410" i="1"/>
  <c r="F23" i="1" l="1"/>
  <c r="F233" i="1" l="1"/>
  <c r="A348" i="11"/>
  <c r="A327" i="1"/>
  <c r="A237" i="1"/>
  <c r="A244" i="1" l="1"/>
  <c r="A336" i="1"/>
  <c r="A341" i="1" s="1"/>
  <c r="A260" i="11"/>
  <c r="A194" i="11"/>
  <c r="A125" i="11"/>
  <c r="A134" i="11" s="1"/>
  <c r="A156" i="11" s="1"/>
  <c r="A304" i="11"/>
  <c r="A268" i="11" l="1"/>
  <c r="A274" i="11" s="1"/>
  <c r="A278" i="11" s="1"/>
  <c r="A202" i="11"/>
  <c r="A207" i="11" s="1"/>
  <c r="A251" i="1"/>
  <c r="A357" i="1"/>
  <c r="A366" i="1" s="1"/>
  <c r="A309" i="11"/>
  <c r="C20" i="8"/>
  <c r="C16" i="8"/>
  <c r="C17" i="8"/>
  <c r="C18" i="8"/>
  <c r="C19" i="8"/>
  <c r="C15" i="8"/>
  <c r="C10" i="8"/>
  <c r="F450" i="11"/>
  <c r="F439" i="11"/>
  <c r="F330" i="1"/>
  <c r="F132" i="1"/>
  <c r="F131" i="1"/>
  <c r="F153" i="1"/>
  <c r="F152" i="1"/>
  <c r="F316" i="1"/>
  <c r="F373" i="1"/>
  <c r="F388" i="11"/>
  <c r="F403" i="11"/>
  <c r="F432" i="11"/>
  <c r="F312" i="11"/>
  <c r="F317" i="11"/>
  <c r="F307" i="11"/>
  <c r="A282" i="11" l="1"/>
  <c r="A286" i="11" s="1"/>
  <c r="A213" i="11"/>
  <c r="A219" i="11" s="1"/>
  <c r="A225" i="11" s="1"/>
  <c r="A231" i="11" s="1"/>
  <c r="A262" i="1"/>
  <c r="A375" i="1"/>
  <c r="A386" i="1" s="1"/>
  <c r="A314" i="11"/>
  <c r="A321" i="11" s="1"/>
  <c r="A325" i="11" s="1"/>
  <c r="F413" i="11"/>
  <c r="F418" i="11"/>
  <c r="F383" i="11"/>
  <c r="F356" i="11"/>
  <c r="F361" i="11"/>
  <c r="F301" i="1"/>
  <c r="F242" i="11"/>
  <c r="F276" i="11"/>
  <c r="F351" i="11"/>
  <c r="F378" i="11"/>
  <c r="F393" i="11"/>
  <c r="F398" i="11"/>
  <c r="F373" i="11"/>
  <c r="F344" i="11"/>
  <c r="A240" i="11" l="1"/>
  <c r="A269" i="1"/>
  <c r="F323" i="11"/>
  <c r="B423" i="1"/>
  <c r="B11" i="8" s="1"/>
  <c r="A423" i="1"/>
  <c r="A11" i="8" s="1"/>
  <c r="F406" i="1"/>
  <c r="F412" i="1" s="1"/>
  <c r="F238" i="11"/>
  <c r="B460" i="11"/>
  <c r="B18" i="8" s="1"/>
  <c r="A460" i="11"/>
  <c r="A18" i="8" s="1"/>
  <c r="B459" i="11"/>
  <c r="B17" i="8" s="1"/>
  <c r="A459" i="11"/>
  <c r="A17" i="8" s="1"/>
  <c r="B458" i="11"/>
  <c r="B16" i="8" s="1"/>
  <c r="A458" i="11"/>
  <c r="A16" i="8" s="1"/>
  <c r="B457" i="11"/>
  <c r="B15" i="8" s="1"/>
  <c r="A457" i="11"/>
  <c r="A15" i="8" s="1"/>
  <c r="F211" i="11"/>
  <c r="F217" i="11"/>
  <c r="F170" i="11"/>
  <c r="F169" i="11"/>
  <c r="F148" i="11"/>
  <c r="F147" i="11"/>
  <c r="F139" i="11"/>
  <c r="F138" i="11"/>
  <c r="F262" i="11"/>
  <c r="F258" i="11"/>
  <c r="F227" i="11"/>
  <c r="F205" i="11"/>
  <c r="F198" i="11"/>
  <c r="F197" i="11"/>
  <c r="F192" i="11"/>
  <c r="F191" i="11"/>
  <c r="F167" i="11"/>
  <c r="F166" i="11"/>
  <c r="F164" i="11"/>
  <c r="F163" i="11"/>
  <c r="F161" i="11"/>
  <c r="F160" i="11"/>
  <c r="F151" i="11"/>
  <c r="F150" i="11"/>
  <c r="F145" i="11"/>
  <c r="F144" i="11"/>
  <c r="F142" i="11"/>
  <c r="F141" i="11"/>
  <c r="F130" i="11"/>
  <c r="F129" i="11"/>
  <c r="F123" i="11"/>
  <c r="F122" i="11"/>
  <c r="F97" i="11"/>
  <c r="F56" i="11"/>
  <c r="F172" i="11" l="1"/>
  <c r="F458" i="11" s="1"/>
  <c r="F290" i="11"/>
  <c r="F460" i="11" s="1"/>
  <c r="F423" i="1"/>
  <c r="C11" i="8" s="1"/>
  <c r="A273" i="1"/>
  <c r="F244" i="11"/>
  <c r="F459" i="11" s="1"/>
  <c r="A277" i="1" l="1"/>
  <c r="A282" i="1" s="1"/>
  <c r="A290" i="1" s="1"/>
  <c r="A299" i="1" s="1"/>
  <c r="F101" i="11"/>
  <c r="A303" i="1" l="1"/>
  <c r="A308" i="1" s="1"/>
  <c r="A314" i="1" s="1"/>
  <c r="F63" i="11"/>
  <c r="F49" i="11"/>
  <c r="F93" i="11"/>
  <c r="F87" i="11"/>
  <c r="F82" i="11"/>
  <c r="F77" i="11"/>
  <c r="F70" i="11"/>
  <c r="F42" i="11"/>
  <c r="F35" i="11"/>
  <c r="A30" i="11"/>
  <c r="F28" i="11"/>
  <c r="F306" i="1"/>
  <c r="F312" i="1"/>
  <c r="F79" i="1"/>
  <c r="F280" i="1"/>
  <c r="F297" i="1"/>
  <c r="F288" i="1"/>
  <c r="F265" i="1"/>
  <c r="F260" i="1"/>
  <c r="F259" i="1"/>
  <c r="F103" i="11" l="1"/>
  <c r="F457" i="11" s="1"/>
  <c r="F247" i="1" l="1"/>
  <c r="F242" i="1"/>
  <c r="F241" i="1"/>
  <c r="F349" i="1" l="1"/>
  <c r="B422" i="1" l="1"/>
  <c r="B10" i="8" s="1"/>
  <c r="F364" i="1"/>
  <c r="F110" i="1" l="1"/>
  <c r="A395" i="1"/>
  <c r="A422" i="1" s="1"/>
  <c r="A10" i="8" s="1"/>
  <c r="F392" i="1"/>
  <c r="F382" i="1"/>
  <c r="F347" i="1"/>
  <c r="F339" i="1"/>
  <c r="F325" i="1"/>
  <c r="F174" i="1"/>
  <c r="F173" i="1"/>
  <c r="F177" i="1"/>
  <c r="F176" i="1"/>
  <c r="F180" i="1"/>
  <c r="F179" i="1"/>
  <c r="F58" i="1"/>
  <c r="F63" i="1"/>
  <c r="F52" i="1"/>
  <c r="F422" i="1" l="1"/>
  <c r="F42" i="1" l="1"/>
  <c r="A34" i="1" l="1"/>
  <c r="A39" i="1" l="1"/>
  <c r="F232" i="1"/>
  <c r="F147" i="1" l="1"/>
  <c r="F146" i="1"/>
  <c r="A44" i="1" l="1"/>
  <c r="F408" i="11"/>
  <c r="F368" i="11"/>
  <c r="F426" i="11"/>
  <c r="F452" i="11" l="1"/>
  <c r="F329" i="11"/>
  <c r="A49" i="1"/>
  <c r="A54" i="1" s="1"/>
  <c r="F461" i="11" l="1"/>
  <c r="A60" i="1"/>
  <c r="A65" i="1" s="1"/>
  <c r="F195" i="1"/>
  <c r="F194" i="1"/>
  <c r="F462" i="11" l="1"/>
  <c r="F463" i="11" s="1"/>
  <c r="B462" i="11"/>
  <c r="B20" i="8" s="1"/>
  <c r="A462" i="11"/>
  <c r="A20" i="8" s="1"/>
  <c r="B461" i="11"/>
  <c r="B19" i="8" s="1"/>
  <c r="A461" i="11"/>
  <c r="A19" i="8" s="1"/>
  <c r="C21" i="8" l="1"/>
  <c r="A463" i="11"/>
  <c r="B418" i="1"/>
  <c r="B6" i="8" s="1"/>
  <c r="B421" i="1"/>
  <c r="B9" i="8" s="1"/>
  <c r="B420" i="1"/>
  <c r="B8" i="8" s="1"/>
  <c r="B419" i="1"/>
  <c r="B7" i="8" s="1"/>
  <c r="A424" i="1"/>
  <c r="B417" i="1" l="1"/>
  <c r="B5" i="8" s="1"/>
  <c r="A417" i="1"/>
  <c r="A5" i="8" s="1"/>
  <c r="A102" i="1"/>
  <c r="A16" i="1"/>
  <c r="A21" i="1" s="1"/>
  <c r="A107" i="1" l="1"/>
  <c r="A114" i="1" s="1"/>
  <c r="F171" i="1"/>
  <c r="F170" i="1"/>
  <c r="F14" i="1" l="1"/>
  <c r="F275" i="1"/>
  <c r="A121" i="1" l="1"/>
  <c r="A128" i="1" l="1"/>
  <c r="A136" i="1" l="1"/>
  <c r="A143" i="1" s="1"/>
  <c r="A149" i="1" s="1"/>
  <c r="A157" i="1" s="1"/>
  <c r="A318" i="1"/>
  <c r="A421" i="1" s="1"/>
  <c r="A9" i="8" s="1"/>
  <c r="F271" i="1"/>
  <c r="F318" i="1" s="1"/>
  <c r="A211" i="1"/>
  <c r="A420" i="1" s="1"/>
  <c r="A8" i="8" s="1"/>
  <c r="F209" i="1"/>
  <c r="F211" i="1" s="1"/>
  <c r="F420" i="1" s="1"/>
  <c r="A203" i="1"/>
  <c r="A419" i="1" s="1"/>
  <c r="A7" i="8" s="1"/>
  <c r="F141" i="1"/>
  <c r="F140" i="1"/>
  <c r="F126" i="1"/>
  <c r="F125" i="1"/>
  <c r="F119" i="1"/>
  <c r="F118" i="1"/>
  <c r="F105" i="1"/>
  <c r="F100" i="1"/>
  <c r="A81" i="1"/>
  <c r="A418" i="1" s="1"/>
  <c r="A6" i="8" s="1"/>
  <c r="F75" i="1"/>
  <c r="F47" i="1"/>
  <c r="F67" i="1"/>
  <c r="F37" i="1"/>
  <c r="F19" i="1"/>
  <c r="F25" i="1" l="1"/>
  <c r="F417" i="1" s="1"/>
  <c r="F203" i="1"/>
  <c r="F419" i="1" s="1"/>
  <c r="F421" i="1"/>
  <c r="C9" i="8" s="1"/>
  <c r="C8" i="8"/>
  <c r="F71" i="1"/>
  <c r="F81" i="1" s="1"/>
  <c r="F418" i="1" l="1"/>
  <c r="C7" i="8"/>
  <c r="C5" i="8"/>
  <c r="F424" i="1" l="1"/>
  <c r="C6" i="8"/>
  <c r="C12" i="8" s="1"/>
  <c r="C23" i="8" s="1"/>
  <c r="A166" i="1" l="1"/>
  <c r="A182" i="1" l="1"/>
  <c r="A191" i="1" s="1"/>
  <c r="A197" i="1" s="1"/>
  <c r="A69" i="1"/>
  <c r="A73" i="1" s="1"/>
  <c r="A353" i="11" l="1"/>
  <c r="A358" i="11" s="1"/>
  <c r="A365" i="11" l="1"/>
  <c r="A370" i="11" l="1"/>
  <c r="A375" i="11" l="1"/>
  <c r="A380" i="11" l="1"/>
  <c r="A385" i="11" l="1"/>
  <c r="A390" i="11" s="1"/>
  <c r="A395" i="11" s="1"/>
  <c r="A400" i="11" s="1"/>
  <c r="A405" i="11" s="1"/>
  <c r="A410" i="11" s="1"/>
  <c r="A415" i="11" s="1"/>
  <c r="A422" i="11" s="1"/>
  <c r="A429" i="11" s="1"/>
  <c r="A436" i="11" s="1"/>
  <c r="A441" i="11" s="1"/>
  <c r="A446" i="11" s="1"/>
  <c r="A37" i="11"/>
  <c r="A44" i="11" l="1"/>
  <c r="A51" i="11" s="1"/>
  <c r="A58" i="11" l="1"/>
  <c r="A65" i="11" s="1"/>
  <c r="A74" i="11" l="1"/>
  <c r="A79" i="11" s="1"/>
  <c r="A84" i="11" s="1"/>
  <c r="A89" i="11" s="1"/>
  <c r="A95" i="11" l="1"/>
  <c r="A99" i="11" s="1"/>
</calcChain>
</file>

<file path=xl/sharedStrings.xml><?xml version="1.0" encoding="utf-8"?>
<sst xmlns="http://schemas.openxmlformats.org/spreadsheetml/2006/main" count="1033" uniqueCount="561">
  <si>
    <t>GRAĐEVINSKI RADOVI</t>
  </si>
  <si>
    <t>A.</t>
  </si>
  <si>
    <t>r.br.</t>
  </si>
  <si>
    <t>opis stavke</t>
  </si>
  <si>
    <t>jed. mj.</t>
  </si>
  <si>
    <t>ukupno</t>
  </si>
  <si>
    <t>napomena</t>
  </si>
  <si>
    <t>A.01.</t>
  </si>
  <si>
    <t>Iskolčenje i izrada izjave o iskolčenju</t>
  </si>
  <si>
    <t>ZEMLJANI RADOVI</t>
  </si>
  <si>
    <t>BETONSKI I ARMIRANOBETONSKI RADOVI</t>
  </si>
  <si>
    <t>ARMIRAČKI RADOVI</t>
  </si>
  <si>
    <t>materijal</t>
  </si>
  <si>
    <t>Obračun po m2.</t>
  </si>
  <si>
    <t>m2</t>
  </si>
  <si>
    <t>m3</t>
  </si>
  <si>
    <t>TOPLINSKE IZOLACIJE</t>
  </si>
  <si>
    <t>Obračun po m2 izvedene toplinske izolacije.</t>
  </si>
  <si>
    <t>Obračun po m3 betonskoga elementa i m2 oplate.</t>
  </si>
  <si>
    <t>IZOLATERSKI RADOVI</t>
  </si>
  <si>
    <t>ZEMLJANI RADOVI UKUPNO:</t>
  </si>
  <si>
    <t>BETONSKI I ARMIRANOBETONSKI RADOVI UKUPNO:</t>
  </si>
  <si>
    <t>IZOLATERSKI RADOVI UKUPNO:</t>
  </si>
  <si>
    <t>PRIPREMNI I GEODETSKI RADOVI UKUPNO:</t>
  </si>
  <si>
    <t>A.02.</t>
  </si>
  <si>
    <t>A.03.</t>
  </si>
  <si>
    <t>A.04.</t>
  </si>
  <si>
    <t>A.05.</t>
  </si>
  <si>
    <t>Sve stavke građevinskih radova uključuju sav rad i materijal, radnu skelu, potreban spojni i pričvrsni materijal sukladno odabranom sistemu izvedbe i uputi proizvođača, sve izvedeno do potpune gotovosti i funkcionalnosti.</t>
  </si>
  <si>
    <t>Izjavu o provedenom iskolčenju građevine sukladno geodetskom projektu potrebno je izraditi u skladu s Zakonom o gradnji i Pravilnikom o geodetskom projektu.</t>
  </si>
  <si>
    <t>TEMELJNE, MEĐUKATNE I KROVNE PLOČE</t>
  </si>
  <si>
    <t>STUBIŠTE</t>
  </si>
  <si>
    <t>Izolacija zidova u tlu</t>
  </si>
  <si>
    <t>Sveukupna armatura objekta</t>
  </si>
  <si>
    <t>kg</t>
  </si>
  <si>
    <t>Čepasta drenažna folija</t>
  </si>
  <si>
    <t>kom</t>
  </si>
  <si>
    <t>Obračun po neto kg ugrađene armature.</t>
  </si>
  <si>
    <t>OSTALO</t>
  </si>
  <si>
    <t>AB grede</t>
  </si>
  <si>
    <t>GRAĐEVINSKI RADOVI UKUPNO:</t>
  </si>
  <si>
    <t>ARMIRAČKI RADOVI UKUPNO:</t>
  </si>
  <si>
    <t>Obračun po m3 u sraslom stanju.</t>
  </si>
  <si>
    <t>Zatrpavanje zemljom iz iskopa</t>
  </si>
  <si>
    <t>Obračun po m3 izvedenoga nasipa u sraslome stanju.</t>
  </si>
  <si>
    <t>Ispitivanje zbijenosti i izrada izvještaja o provedenom ispitivanju zbijenosti podloge izrađenog od strane ovlaštene institucije. Izvještaj obuhvaća sva potrebna ispitivanja zbijenosti svih podloga na cijeloj zoni obuhvata radova.</t>
  </si>
  <si>
    <t>REKAPITULACIJA</t>
  </si>
  <si>
    <t>Ispitivanje zbijenosti i izrada izvještaja</t>
  </si>
  <si>
    <t>Obračun za komplet.</t>
  </si>
  <si>
    <t>Obračun po kom.</t>
  </si>
  <si>
    <t>Izrada iskolčenja i izjave o provedenom iskolčenju parcele, građevine, prometnih i hodnih površina, instalacija i elemenata krajobraznog uređenja sukladno geodetskom projektu izrađenom od strane ovlaštenog geodeta. Iskolčenje objekta obuhvaća sva geodetska mjerenja kojima se podaci s projekta prenose na teren (vertikalno i horizontalno), obnavljanje i održavanje iskolčenih oznaka na terenu za sve vrijeme građenja.</t>
  </si>
  <si>
    <t>Zaštitni beton d=5 cm</t>
  </si>
  <si>
    <t>B.</t>
  </si>
  <si>
    <t>OBRTNIČKI RADOVI</t>
  </si>
  <si>
    <t>Sve stavke obrtničkih radova uključuju sav rad i materijal, radnu skelu, potreban spojni i pričvrsni materijal sukladno odabranom sistemu izvedbe i uputi proizvođača, sve izvedeno do potpune gotovosti i funkcionalnosti.</t>
  </si>
  <si>
    <t>B.01.</t>
  </si>
  <si>
    <t>GREDE</t>
  </si>
  <si>
    <t>AB zidovi, d=20 cm</t>
  </si>
  <si>
    <t xml:space="preserve">Rušenju građevine ne smije se pristupiti dok nisu izvršene sve potrebne pripreme, sva potrebna rasterećenja, te eventualno potrebna osiguranja na pojedinim mjestima. </t>
  </si>
  <si>
    <t>Obračun po kompletu.</t>
  </si>
  <si>
    <t>REKAPITULACIJA SVEUKUPNO:</t>
  </si>
  <si>
    <t>OBRTNIČKI RADOVI UKUPNO:</t>
  </si>
  <si>
    <t>Dobava, doprema i ugradnja sloja drenažne čepaste folije, debljine d=1 cm, za zaštitu izolacije.</t>
  </si>
  <si>
    <t>kpl</t>
  </si>
  <si>
    <t>Svi iskopi i nasipi moraju se izvesti prema profilima, kotama i nagibima iz projekta uz korištenje odgovarajuće mehanizacije.</t>
  </si>
  <si>
    <t>Dubina iskopa prema dimenzijama i pozicijama danim u  izvedbenom projektu, sve prema podložnim slojevima predviđenim za ugradnju. Svo temeljno tlo potrebno je urediti i pripremiti za daljnju izvedbu.</t>
  </si>
  <si>
    <t>Planiranje se izvodi na kote iz izvedbenog projekta.
Posteljica mora biti preuzeta u pogledu visina, padova i zbijenosti po nadzornom inženjeru.</t>
  </si>
  <si>
    <t>Po provedenom iskopu obaveza je izvođača da obavijesti ovlaštenog geomehaničara da pregleda temeljno tlo prije nastavka radova i da izda potvrdu o stanju tla, sukladno uvjetima iz projekta što se upisuje u građevni dnevnik od strane geomehaničara.</t>
  </si>
  <si>
    <t>Sve spojeve i preklope izolacije izvesti sukladno uvjetima proizvođača te projektnim detaljima, što je uključeno u jediničnu cijenu stavke.
Postavu izolacije sa svim potrebnim radnjama i spojnim sredstvima prema uputama proizvođača i projektnim detaljima.</t>
  </si>
  <si>
    <t>U jediničnu cijenu uračunata i obrada svih prodora i brtvljenja do kompletne vodonepropusnosti. Obrada detalja kroz prodor hidroizolacije prema uputama proizvođača odabranog sustava. Obradu izvesti na način da se postigne vodotjednost pomoću pričvrsnica i brtvila, sve izolirati prema uputama proizvođača.
Jedinična cijena hidroizolacije uključuje sve opšavne limove, hidroizolaciju atike, odzrake, prodore, klinove, razna brtvljenja.</t>
  </si>
  <si>
    <t>Nakon postave hidroizolacije ispitivanjem dokazati njenu vodonepropusnost što je uključeno u cijenu.</t>
  </si>
  <si>
    <t>STOLARSKI RADOVI</t>
  </si>
  <si>
    <t>STOLARSKI RADOVI UKUPNO:</t>
  </si>
  <si>
    <t>BRAVARSKI RADOVI</t>
  </si>
  <si>
    <t>BRAVARSKI RADOVI UKUPNO:</t>
  </si>
  <si>
    <t>količina</t>
  </si>
  <si>
    <t>jed. cijena</t>
  </si>
  <si>
    <t>Podložni beton d=8 cm</t>
  </si>
  <si>
    <t>Dobava, doprema i ugradnja betona za nearmirani sloj podložnoga betona d=8 cm, razreda tlačne čvrstoće C12/15. U cijenu je uključena potrebna oplata i svi pripremni radovi za izvođenje betonske podloge. Podložni beton se izvodi na uređeno temeljno tlo, a gornja površina se izvodi fino zaglađena za postavu slojeva hidroizolacije.</t>
  </si>
  <si>
    <t>Dobava, doprema i ugradnja sloja betona razreda tlačne čvrstoće C12/15 za zaštitu hidroizolacije ispod temeljne ploče, d=5 cm. Sloj se izvodi prije postavljanja armature za temeljnu ploču. U cijenu je uključena oplata i svi pripremni radovi za izvođenje betonske podloge.</t>
  </si>
  <si>
    <t>beton</t>
  </si>
  <si>
    <t>oplata</t>
  </si>
  <si>
    <t>Dobava, doprema materijala i betoniranje armiranobetonskih zidova u dvostranoj, glatkoj oplati, debljine d=20 cm, betonom razreda tlačne čvrstoće C25/30, XC1. Prilikom ugradnje beton vibrirati, a zatim beton pravilno njegovati.</t>
  </si>
  <si>
    <t>Dobava, doprema materijala i betoniranje armiranobetonskog stubišta u glatkoj oplati, betonom razreda tlačne čvrstoće C25/30, XC1. Prilikom ugradnje beton vibrirati, a zatim beton pravilno njegovati. Površina gornje strane (gazišta), treba biti ravna i zaglađena tako da je pogodna za ugradnju završne podne obloge.</t>
  </si>
  <si>
    <t>Za sve stavke stolarskih radova horizontalni i vertikalni transport, te zbrinjavanje otpada je u obvezi izvođača.</t>
  </si>
  <si>
    <t>Ugradnja prema RAL smjernicama, s parnim branama i vodonepropusnim spojnim elementima, bez toplinskih mostova.</t>
  </si>
  <si>
    <t>Jedinične cijene stavke uključuju ugradnju okova, brave, kvake, ostakljenja, brtve i ostale opreme, dobavu i ugradnju svog pričvrsnog materijala i potkonstrukcije potrebne za montažu. Sav okov i brtvljenje protupožarnih vrata mora zadovoljavati zahtjeve protupožarnosti.</t>
  </si>
  <si>
    <t>Sav potreban rad i materijal, sve završne obrade, kao i sve dodatne radove i materijale potrebne da se izradi kompletna stavka kao oblikovna i funkcionalna cjelina, te pribavljanje svih potrebnih atesta. Prilikom izvođenja radova potrebno je usklađenje sa svim izvođačima kontaktnih stavki.
Izrada, zaštita i montaža eventualno potrebnog slijepog okvira uračunata u cijenu, uključivo sav potreban dodatno materijal do potpune funkcionalne i estetske gotovosti.</t>
  </si>
  <si>
    <t>Prilikom izvedbe stolarskih radova te za korištenje i ispitivanje materijala opisanih u troškovniku izvođač radova se mora pridržavati uvjeta i opisa iz projektne dokumentacije kao i važećih propisa i normi.</t>
  </si>
  <si>
    <t>OPĆI UVJETI ZA IZVOĐENJE</t>
  </si>
  <si>
    <t>PROTUPOŽARNA VRATA</t>
  </si>
  <si>
    <t>PROZORI</t>
  </si>
  <si>
    <t>STAKLENE STIJENE</t>
  </si>
  <si>
    <t>PODLOŽNI I ZAŠTITNI BETONI</t>
  </si>
  <si>
    <t>AB parapet ravnog krova, d=20 cm</t>
  </si>
  <si>
    <t>Prilikom izvedbe bravarskih radova te za korištenje i ispitivanje materijala opisanih u troškovniku izvođač radova mora se pridržavati uvjeta i opisa iz projektne dokumentacije kao i važećih propisa i normi.</t>
  </si>
  <si>
    <t>Jedinične cijene stavki uključuju:
- Sav potreban rad i materijal, sve završne obrade, kao i sve dodatne radove i materijale potrebne da se izradi kompletna stavka kao oblikovna i funkcionalna cjelina, te pribavljanje svih potrebnih atesta. Prilikom izvođenja radova potrebno je usklađenje sa svim izvođačima kontaktnih stavki.
- sve potrebne potkonstrukcije, okov, brave, ručke, kvake, ostakljenja
- dvokratni osnovni premaz prema uvjetima antikorozivne zaštite u radionici, popravak antikorozivne zaštite iza montaže te kompletnu zaštitu sa završnom obradom ličenjem, plastificiranjem ili eloksiranjem ako je to u stavci određeno
- svi potrebni opšavi za spojeve sa okolnim konstrukcijama i brtve
- slijepe okvire potrebne za montažu elemenata
- zaštitu dijelova fasade i ostalih elemenata pri transportu i ugradnji
- suradnja sa ostalim izvođačima, posebice kod kontaktnih stavki, uključivo i suradnja sa električarima i izvedba rupa za kabele bez naknadnog bušenja
- svu potrebnu izolaciju opisanu u okviru bravarske stavke</t>
  </si>
  <si>
    <t>Za sve stavke bravarskih radova horizontalni i vertikalni transport, te zbrinjavanje otpada je u obvezi izvođača.</t>
  </si>
  <si>
    <t>Investitor:</t>
  </si>
  <si>
    <t>Projekt:</t>
  </si>
  <si>
    <t>Lokacija:</t>
  </si>
  <si>
    <r>
      <t>TROŠKOVNIK GRAĐEVINSKO</t>
    </r>
    <r>
      <rPr>
        <b/>
        <sz val="8"/>
        <rFont val="Arial"/>
        <family val="2"/>
      </rPr>
      <t>-OBRTNIČKIH</t>
    </r>
    <r>
      <rPr>
        <b/>
        <sz val="8"/>
        <color theme="1"/>
        <rFont val="Arial"/>
        <family val="2"/>
      </rPr>
      <t xml:space="preserve"> RADOVA</t>
    </r>
  </si>
  <si>
    <t>B.02.</t>
  </si>
  <si>
    <t xml:space="preserve">Odvoz viška zemlje </t>
  </si>
  <si>
    <t>Strojni utovar i odvoz na propisno odlagalište zemlje iz iskopa.
Predočiti potvrdu o propisno zbrinutom materijalu.</t>
  </si>
  <si>
    <t>Zatrpavanje zemljom iz iskopa, kontrolirano na pripremljeno, čišćeno i zbijeno temeljno tlo do kota predviđenih projektnom dokumentacijom.</t>
  </si>
  <si>
    <t xml:space="preserve">Dobava, doprema materijala i betoniranje armiranobetonskih greda, betonom razreda tlačne čvrstoće C25/30, XC1. Prilikom ugradnje beton vibrirati, a zatim beton pravilno njegovati. </t>
  </si>
  <si>
    <t>PRIPREMNI I GEODETSKI RADOVI</t>
  </si>
  <si>
    <t>Stavke uključuju potrebnu količinu za potrebne preklope, obradu oko prodora, klinove i razna brtvljenja te sve radnje i materijale za izvedbu neprekinutog spoja sa ostalim izolacijama na objektu. Komplet pripremu površine za postavu izolacije prema uputama proizvođača odabranog sustava. Sva potrebna dizanja hidroizolacije na AB zidove prema projektnim detaljima.</t>
  </si>
  <si>
    <t>Prilikom izvedbe betonskih i armiranobetonskih radova te za korištenje i ispitivanje materijala opisanih u troškovniku izvođač radova se mora pridržavati uvjeta i opisa iz projektne dokumentacije, Pravilniku o tehničkim mjerama 
za beton i armirani beton, kao i ostalih važećih propisa i normi.</t>
  </si>
  <si>
    <t>Izvođač je dužan sustavno pratiti izvedbu konstrukcije geodetskom kontrolom vertikalnosti i horizontalnosti elemenata te ponašanje konstrukcije glede slegavanja, a o svim pojavama koje nisu u skladu sa predviđanjima projekta dužan je hitno obavijestiti odgovornog projektanta i nadzornog inženjera.</t>
  </si>
  <si>
    <t>Za sve betonske radove mora biti pripremljena tehnologija koja osigurava dobivanje betona u skladu sa projektom i zahtijevanim svojstvima propisanim Tehničkim propisom za građevinske konstrukcije i normama. 
Za izradu pojedine vrste betona upotrijebiti istu vrstu cementa i granulirani agregat.
Za izradu betona predviđa se prirodno granulirani šljunak ili drobljeni agregat. Kameni agregat mora imati propisani granulometrijski sastav, mora biti dovoljno čvrst i postojan, ne smije sadržavati zemljanih i organskih sastojaka, niti drugih primjesa štetnih za beton i armaturu.
Voda koja se koristi prilikom pripreme betona mora imati tehnička svojstva i druge zahtjeve, te potvrđivanje prikladnosti vode prema zahtjevima i norme.</t>
  </si>
  <si>
    <t>Izrada projekta betona i ispitivanja betona je u obvezi izvođača. Izvođač treba angažirati tehnologa za armiranobetonske konstrukcije, koji treba izraditi projekt betona i tehnologiju ugradnje betona koji trebaju biti usklađeni sa projektom konstrukcije i sa arhitektonskim zahtjevima za beton.</t>
  </si>
  <si>
    <t xml:space="preserve">Izvođač je dužan izvesti sve otvore i prodore u AB konstrukcijama sukladno planovima oplate i nacrtima instalacija, što je uključeno u jediničnu cijenu rada. </t>
  </si>
  <si>
    <t>S ugradnjom betona može se započeti tek kada je oplata i armatura definitivno postavljena i učvršćena te postoje zadovoljavajući klimatski uvjeti. Prije ugradnje betona oplata i armatura moraju biti pregledane i odobrene od strane nadzornog inzenjera za konstrukciju a podaci uneseni u građ. dnevnik.</t>
  </si>
  <si>
    <t>Obračun betona u m3 i oplate u m2. Svi otvori se odbijaju bez obzira na veličinu.</t>
  </si>
  <si>
    <t>Obrada gornjih površina treba biti ravno zaglađena. Površina betonskih horizontalnih i vertikalnih elemenata mora biti izvedena na način da bude pripremljena za izvedbu završnih slojeva kao što su glet masa, premazi i boje za beton te sloj hidroizolacije. Nije dopušteno postavljati provizorne daske umjesto oplata niti su dopušteni neuredni spojevi oplatnih ploča sa vidljivim naborima od curenja cementnog mlijeka i slične neuredne izvedbe, međusobni spojevi oplate moraju biti zabrtvljeni.
Sve visine pri izradi oplate određivati, a nakon betoniranja kontrolirati instrumentom. Armirano-betonski elementi moraju imati potpuno ravne i glatke površine i izvode se u glatkoj velikoplošnoj oplati. Prilikom betoniranja naročito treba paziti da armatura ostane u položaju predviđenom statičkim proračunom i nacrtom.</t>
  </si>
  <si>
    <t>HIDROIZOLACIJE U ZEMLJI</t>
  </si>
  <si>
    <t xml:space="preserve">Unutarnja vrata </t>
  </si>
  <si>
    <t>Jednokrilni prozor</t>
  </si>
  <si>
    <t xml:space="preserve">Garažna vrata </t>
  </si>
  <si>
    <t>MACAN d.o.o.</t>
  </si>
  <si>
    <t xml:space="preserve">Rekonstrukcija postojeće poluugrađene poslovne građevine u stambeno-poslovnu polugrađenu građevinu </t>
  </si>
  <si>
    <t>k.č.br. 4139/1</t>
  </si>
  <si>
    <t xml:space="preserve">Široki iskop za temeljenje građevine </t>
  </si>
  <si>
    <t>Iskop za uređenje okoliša</t>
  </si>
  <si>
    <t>Obračun po m2 ugrađenoga geotekstila.</t>
  </si>
  <si>
    <t>Nosivi sloj od cementom stabiliziranog drobljenog kamenog materijala</t>
  </si>
  <si>
    <t>Nasip od nabijenoga krupnog šljunka</t>
  </si>
  <si>
    <t>Oznaka sloja: P1, P2</t>
  </si>
  <si>
    <t xml:space="preserve">Nosivi sloj od mehanički zbijenog zrnatog kamenog materijala bez veziva </t>
  </si>
  <si>
    <t>Nosivi sloj od zrnatog kamenog materijala može se raditi kada nadzorni inženjer preuzme posteljicu te odobri početak rada. Nadzorni inženjer provjerava: ravnost od +/- 1cm, projektiranje nagiba, pravilno izvedenu odvodnju, položaj i tražene uvjete kakvoće.
Traženi modul stišljivosti na prometnim površinama kolnika Ms≥100 MN/m², mjereno metodom kružne ploče prema normi HRN U.B1.046.</t>
  </si>
  <si>
    <t>Obračun po m3.</t>
  </si>
  <si>
    <t>Stavkom je obuhvaćena dobava, dovoz i ugradnja zrnatog kamenog materijala vibracijskim sredstvom za nabijanje d=25 cm, granulacije 0-63 mm u nosivi sloj kolničke konstrukcije prema projektu.</t>
  </si>
  <si>
    <t>Izrada nosivog sloja od cementom stabiliziranog drobljenog kamenog materijala d=15 cm, maksimalne krupnoće zrna od 8 do 32 mm, stabilizacija - Portlandski cement 100 kg/m3 šljunka. U cijenu je uključena nabava prethodno proizvedene stabilizacijske mješavine, utovar, prijevoz i ugradnja (strojno razastiranje, planiranje i zbijanje do traženog stupnja zbijenosti).</t>
  </si>
  <si>
    <t>Temeljna ploča d=40 cm</t>
  </si>
  <si>
    <t>Međukatna i krovne ploče d=22 cm</t>
  </si>
  <si>
    <t xml:space="preserve">ZIDOVI </t>
  </si>
  <si>
    <t>AB unutarnje stubište</t>
  </si>
  <si>
    <t xml:space="preserve">a) Dimenzija: 20/70 cm </t>
  </si>
  <si>
    <t xml:space="preserve">b) Dimenzija: 20/80 cm </t>
  </si>
  <si>
    <t xml:space="preserve">c) Dimenzija: 25/100 cm </t>
  </si>
  <si>
    <t xml:space="preserve">d) Dimenzija: 20/108 cm </t>
  </si>
  <si>
    <t>Oznaka slojeva: P1, P2</t>
  </si>
  <si>
    <t>a) PES filc, geotekstil u svrhu razdjelnog sloja, d=0,3 cm</t>
  </si>
  <si>
    <t>c) PES filc, geotekstil u svrhu razdjelnog sloja, d=0,3 cm</t>
  </si>
  <si>
    <t>ZIDARSKO - FASADERSKI RADOVI</t>
  </si>
  <si>
    <t>ESTRIH</t>
  </si>
  <si>
    <t>Stavke uključuju potrebnu oplatu.</t>
  </si>
  <si>
    <t>Prije izvedbe estriha potrebno je postaviti rubnu traku (stavka obračunata u sklopu izolaterskih radova).</t>
  </si>
  <si>
    <t>FASADNI SUSTAVI</t>
  </si>
  <si>
    <t xml:space="preserve">Jedinična cijena uključuje: </t>
  </si>
  <si>
    <t>Pripremu podloge  - podloga mora biti suha, čista, bez nataloženih slojeva, prljavštine, prašine ili masnoće, ravna i nosiva.
Obavezna je zaštita bravarije, stolarije, klupčica i okapa.</t>
  </si>
  <si>
    <t>Stavke uključuju sav potreban rad i materijal te sve potrebne pripremne radnje za izvedbu fasadnog sustava do potpune gotovosti i funkcionalnosti.</t>
  </si>
  <si>
    <t>Dobava, doprema i izrada klasificiranog ETICS fasadnog sustava sa završnom dekorativnom tehnikom prema uputama proizvođača.</t>
  </si>
  <si>
    <t xml:space="preserve">Stavka uključuje:
.
</t>
  </si>
  <si>
    <t>Obračun po m2 izvedenoga pročelja.</t>
  </si>
  <si>
    <t>SKELA</t>
  </si>
  <si>
    <t>Fasadna skela</t>
  </si>
  <si>
    <t xml:space="preserve">Doprema potrebnih elementa te izvedba fasadne skele za izvedbu svih fasadnih sustava na objektu. Stavka uključuje sve zaštitne (ogradne) elemente, dovoz i montažu te demontažu i odvoz skele nakon dovršetka radova.  </t>
  </si>
  <si>
    <t>Skelu u svemu izvesti i zaštititi u skladu sa važećim pravilnicima i propisima. Stavka se odnosi samo na fasadnu skelu, radna skela za izvođenje ostalih radova obračunava se u jediničnoj cijeni stavke.</t>
  </si>
  <si>
    <t>Skela mora biti montirana na način da ne oštećuje izvedenu konstrukciju.</t>
  </si>
  <si>
    <t>Za skelu je potrebno dostaviti projekt skele i sve važeće ateste što je uključeno u jediničnu cijenu stavke. Cijenu stavke ponuditi za ukupno vrijeme trajanja izvedbe radova.</t>
  </si>
  <si>
    <t>Obračun po m2 projektirane površine fasade.</t>
  </si>
  <si>
    <t>ZIDARSKO - FASADERSKI RADOVI UKUPNO:</t>
  </si>
  <si>
    <t>A.06.</t>
  </si>
  <si>
    <t>Lagani beton za pad na krovu d=4-6 cm</t>
  </si>
  <si>
    <t>Oznaka slojeva: K1, K2</t>
  </si>
  <si>
    <t>Oznaka slojeva: ZV2</t>
  </si>
  <si>
    <t>c) odgovarajuća završna fasadna žbuka za ETICS sustave, d=0,3 cm, RAL prema odabiru projektanta</t>
  </si>
  <si>
    <t>Oznaka sloja: ZV1, ZV2, Z1, Z2, Z3</t>
  </si>
  <si>
    <t>Oznaka slojeva: S1</t>
  </si>
  <si>
    <t xml:space="preserve">a) d=4 cm </t>
  </si>
  <si>
    <t xml:space="preserve">b) d=5 cm </t>
  </si>
  <si>
    <t>Oznaka slojeva: K1</t>
  </si>
  <si>
    <t>POLIMERCEMENTNI PREMAZI</t>
  </si>
  <si>
    <t>Polimercementna izolacija mokrih prostora</t>
  </si>
  <si>
    <t>Pozicija: sanitarije</t>
  </si>
  <si>
    <t>a) pod + holker</t>
  </si>
  <si>
    <t>b) zid</t>
  </si>
  <si>
    <t>Polimercementna izolacija terase</t>
  </si>
  <si>
    <t>HIDROIZOLACIJA KROVA</t>
  </si>
  <si>
    <t>a) izolacija</t>
  </si>
  <si>
    <t>b) PVC lim</t>
  </si>
  <si>
    <t xml:space="preserve">Parna brana </t>
  </si>
  <si>
    <t>Dobava, doprema, transport i ugradnja parne brane, polimerbitumenske trake za zavarivanje s uloškom od aluminijske folije, d= 0,5 cm, polagana vrućim zavarivanjem na podlogu na hladni bitumenski prednamaz što je uključeno u cijenu stavke.
U stavku su uključena i potrebna vertikalna dizanja izolacije na AB zidove, sve uključeno u cijenu.</t>
  </si>
  <si>
    <t>Obračun po m.</t>
  </si>
  <si>
    <t>m</t>
  </si>
  <si>
    <t>Izolacija plivajućeg poda međukatnih konstrukcija</t>
  </si>
  <si>
    <t xml:space="preserve">Dobava, doprema i ugradnja slojeva izolacije ispod cementne glazure. Izvode se sljedeći slojevi: </t>
  </si>
  <si>
    <t>Izolacija plivajućeg poda na tlu</t>
  </si>
  <si>
    <t>b) toplinska izolacija - EPS (25 kg/m3), s λ ≤ 0,036 W/m2K, d= 8 cm</t>
  </si>
  <si>
    <t>a) polietilenska folija, pričvršćena metalnim spojnicama, podignuta vertikalno do visine cementne glazure, d=0,02 cm</t>
  </si>
  <si>
    <t>b) polietilenska folija, pričvršćena metalnim spojnicama, podignuta vertikalno do visine cementne glazure, d=0,02 cm</t>
  </si>
  <si>
    <r>
      <t xml:space="preserve">c) toplinska izolacija - EPS-T </t>
    </r>
    <r>
      <rPr>
        <sz val="8"/>
        <rFont val="Arial"/>
        <family val="2"/>
      </rPr>
      <t xml:space="preserve">(15 kg/m3), s λ </t>
    </r>
    <r>
      <rPr>
        <sz val="8"/>
        <rFont val="Calibri"/>
        <family val="2"/>
      </rPr>
      <t>≤</t>
    </r>
    <r>
      <rPr>
        <sz val="8"/>
        <rFont val="Arial"/>
        <family val="2"/>
      </rPr>
      <t xml:space="preserve"> 0,035 W/m2K u dva sloja</t>
    </r>
    <r>
      <rPr>
        <sz val="8"/>
        <rFont val="Arial"/>
        <family val="2"/>
        <charset val="238"/>
      </rPr>
      <t>, d=2+1 cm</t>
    </r>
  </si>
  <si>
    <r>
      <t xml:space="preserve">d) toplinska izolacija - EPS </t>
    </r>
    <r>
      <rPr>
        <sz val="8"/>
        <rFont val="Arial"/>
        <family val="2"/>
      </rPr>
      <t xml:space="preserve">(15 kg/m3), s λ </t>
    </r>
    <r>
      <rPr>
        <sz val="8"/>
        <rFont val="Calibri"/>
        <family val="2"/>
      </rPr>
      <t>≤</t>
    </r>
    <r>
      <rPr>
        <sz val="8"/>
        <rFont val="Arial"/>
        <family val="2"/>
      </rPr>
      <t xml:space="preserve"> 0,035 W/m2K</t>
    </r>
    <r>
      <rPr>
        <sz val="8"/>
        <rFont val="Arial"/>
        <family val="2"/>
        <charset val="238"/>
      </rPr>
      <t>, u dva sloja, d=2 cm</t>
    </r>
  </si>
  <si>
    <t>c) toplinska izolacija - EPS (25 kg/m3), s λ ≤ 0,036 W/m2K, d=2 cm</t>
  </si>
  <si>
    <t>a) toplinska izolacija - EPS podni elementi za podno grijanje (20 kg/m3), s λ ≤ 0,036 W/m2K, d=2 cm</t>
  </si>
  <si>
    <t>Oznaka slojeva: Z1</t>
  </si>
  <si>
    <t>Šljunak na ravnom neprohodnom krovu</t>
  </si>
  <si>
    <t>Dobava, doprema i ugradnja sloja šljunka granulacije 8-16 mm, za ravne neprohodne krovove. U cijenu je uključena ugradnja šljunka na visini te razastiranje i planiranje u sloju debljine 7 cm.</t>
  </si>
  <si>
    <t>Dobava, doprema materijala i betoniranje armirano betonske ploče debljine d=22 cm, razreda tlačne čvrstoće C25/30, XC1. Prilikom ugradnje beton vibrirati, a zatim beton pravilno njegovati. U jediničnu cijenu stavke uključena sva potrebna podupiranja konstrukcije, sve dok se ne postigne projektirana nosivost.</t>
  </si>
  <si>
    <t>Sintetska hidroizolacija ravnog krova i terase 1. kata</t>
  </si>
  <si>
    <t>b) Sintetska hidroizolacijska traka na bazi TPO/FPO (1600 kg/m3), λ=0,26 W/mK, d=0,2 cm</t>
  </si>
  <si>
    <t>Izolacija ravnog neprohodnog krova</t>
  </si>
  <si>
    <t>Izolacija ravnog prohodnog krova - terasa 1. kata</t>
  </si>
  <si>
    <t>ZAVRŠNO MONTAŽERSKI RADOVI</t>
  </si>
  <si>
    <t>Sve stavke uključuju premaz za izjednačavanje upojnosti podloge, prema sustavu proizvođača.</t>
  </si>
  <si>
    <t>U cijenu uključena obrada spojeva završnog drugog sloja ploča u kvaliteti Q2 (Uniflott) + obavezno zapunjavanje spojeva prvog sloja ploča.
Ostvaruje se osnovnom obradom spojeva ploča i naknadnim dodatnim zaglađivanjem područja spoja kako bi se izradio ravan prijelaz prema površini ploče. Drugi sloj ploča mora biti izveden iz ploča velikog formata (bez nastavljanja po visini) bez horizontalnih spojeva. Obavezno zapunjavanje spojeva svih slojeva ploča sa  ugradnjom bandažne trake. Uključuje izradu sa završnim al.profilima, gletanje, bandažiranje, silikoniranje kutova i spojeva do potpune gotovosti kao priprema za bojanje.</t>
  </si>
  <si>
    <t xml:space="preserve">Sve izvesti u skladu sa uputama proizvođača. </t>
  </si>
  <si>
    <t>Zabilježiti s vanjske strane osi potkonstrukcije stropova pozicije rasvjete, stropne ventilacije, strojarske i elektroopreme, sprinklera, ogledala/gotove opreme, zbog bušenja otvora u stropu. Bušenja svih otvora te obrade nakon ugradnje navedene opreme je potrebno ukalkulirati u jediničnu cijenu jer se neće posebno obračunavati.</t>
  </si>
  <si>
    <t>Potkonstrukciju izvoditi s metalnim vilicama podloženima s plastičnim trakama za prekid toplinskog mosta</t>
  </si>
  <si>
    <t>Za spuštene stropove na međukatnu konstrukciju postavlja se potkonstrukcija na ovjesu (razred nosivosti prema DIN 18168 dio 2) rastera 75/100 cm.
Potkonstrukcija se sastoji od tipskih CD/UD profila iz pocinčanog lima debljine 0,6 mm nosivi CD profili i montažni CD profili postavljeni su na rasteru 100/50 cm. Postavu potkonstrukcije i ploča izvesti u svemu prema uputama proizvođača. U cijenu uključeno bandažiranje i gletanje spojeva te gletanje stropa kao priprema za bojanje.</t>
  </si>
  <si>
    <t xml:space="preserve">Sav ovjesni i pomoćni pribor je dio svake stavke. U cijenu svih stavki je uključena i izrada dilatacija u pregradnim zidovima i stropovima. Dilatacije se izvode na maksimalnom razmaku 15 m, te kod konstruktivnih dilatacija objekta, u svemu prema uputama proizvođača. Također dilataciju u stropu je potrebno izvesti kod prelasku iz užeg u širi prostor sukladno uputama proizvođača. Izradu otvora te ojačanja oko otvora instalacija kroz suhomontažne sustave te nakon završetka obradu izvodi izvođač suhomontažnih radova, što je uključeno u cijenu. Obavezna koordinacija između podizvođača instalacija i suhomontažnih radova.   </t>
  </si>
  <si>
    <t>Obrada spojeva vrši se specijalnom glet masom, prema preporuci proizvođača sustava, i u ovisnosti o mjestu ugradnje (suhe / važne prostorije). Izrada prema smjernicama i uputama proizvođača. 
Spojeve između ploča ispunjavaju se također pripadajućim ispunjačem (kod impregniranih gips kartonskih ploča koristiti impregnirani Uniflott ili impregnirani Fugenfuller) i ojačavaju perforiranom papirnatom trakom za spojnice, a izložene ivice ojačavaju se aluminijskim perforiranim Al profilima.
Kvaliteta završne obrade spojeva i površine prvog sloja prema kvaliteti Q1, a kvaliteta završne obrade drugog sloja prema kvaliteti obrade površine Q2.</t>
  </si>
  <si>
    <t>Izvođači GK radova dužni su pregledati podloge instalacija te se koordinirati i uskladiti sa izvođačima instalacija vezano za pozicije te raspored instalacija u zidovima, oblogama i stropovima te potkonstrukciju izvesti. Naknadno rezanje profila potkonstrukcije nije dozvoljeno. Sva rezanja za prodore za instalaterske radove te obrada oko prodora nakon izvedbe instalacija, prema projektnim zahtjevima i uvjetima proizvođača uključena su u jediničnu cijenu stavki rada.</t>
  </si>
  <si>
    <t>U cijenu uključena sva bušenja, tiplanja, rezanja, pripasivanja i otpad materijala, kao i izrezivanje otvora sa ugradbom potrebnih ojačanja, izradu sa završnim al.profilima, gletanje, bandažiranje, silikoniranje kutova i spojeva do potpune gotovosti.</t>
  </si>
  <si>
    <t>PREGRADNI ZIDOVI I ZIDNE OBLOGE</t>
  </si>
  <si>
    <t>Pregradni zid sa izolacijom, d=10 cm, GK-GK</t>
  </si>
  <si>
    <t>Dobava, doprema materijala i izrada lake pregradne stijene od dvostrukih gipskartonskih ploča na metalnoj potkonstrukciji.
Sastav zida je:</t>
  </si>
  <si>
    <r>
      <t xml:space="preserve">b) potkonstrukcija od limenih CW/UW 50 profila, u </t>
    </r>
    <r>
      <rPr>
        <sz val="8"/>
        <rFont val="Arial"/>
        <family val="2"/>
      </rPr>
      <t xml:space="preserve">međuprostoru meka mineralna vuna </t>
    </r>
    <r>
      <rPr>
        <sz val="8"/>
        <rFont val="Arial"/>
        <family val="2"/>
        <charset val="238"/>
      </rPr>
      <t>za ispune potkonstrukcija lakih pregrada, d=5 cm</t>
    </r>
  </si>
  <si>
    <t>Pregradni zid sa izolacijom, d=10 cm, GK-GKI</t>
  </si>
  <si>
    <t>Pregradni zid sa izolacijom, d=10 cm, GKI-GKI</t>
  </si>
  <si>
    <r>
      <t>b) potkonstrukcija od limenih CW/UW 50 profila, u</t>
    </r>
    <r>
      <rPr>
        <sz val="8"/>
        <rFont val="Arial"/>
        <family val="2"/>
      </rPr>
      <t xml:space="preserve"> međuprostoru meka mineralna vuna </t>
    </r>
    <r>
      <rPr>
        <sz val="8"/>
        <rFont val="Arial"/>
        <family val="2"/>
        <charset val="238"/>
      </rPr>
      <t>za ispune potkonstrukcija lakih pregrada, d=5 cm.</t>
    </r>
  </si>
  <si>
    <t>Obloga ugradbenog vodokotlića</t>
  </si>
  <si>
    <t>Dobava, doprema materijala i izrada zidne obloge ugradbenog vodokotlića.
Sastav obloge je:</t>
  </si>
  <si>
    <t>b) potkonstrukcija od limenih CW/UW 50 profila, d=5 cm</t>
  </si>
  <si>
    <t>c) zračni sloj potkonstrukcije</t>
  </si>
  <si>
    <t>Ojačanje za umivaonik</t>
  </si>
  <si>
    <t>Ojačanje za podžbukne instalacije</t>
  </si>
  <si>
    <t>Dobava, doprema i ugradnja ojačanja za podžbukne instalacije - miješalica tuša i umivaonika. Izvodi se ojačanje vodootpornom šperpločom sa učvršćivačima profila. Obavezno usklađenje sa potkonstrukcijom GK zida i pozicijama instalacija te odabranim proizvođačem podžbukne instalacije.</t>
  </si>
  <si>
    <t xml:space="preserve">UA profili kod otvora vrata </t>
  </si>
  <si>
    <t>UA čelični pocinčani profili debljine 2 mm. UA profili se postavljaju u utične kutnike koji su pričvršćeni za međukatnu konstrukciju, što je uključeno u cijenu stavke. Visina ugradnje od vrha AB podne ploče do nosive konstrukcije.</t>
  </si>
  <si>
    <t>Pozicija: hodnik</t>
  </si>
  <si>
    <t>ZAVRŠNO MONTAŽERSKI RADOVI UKUPNO:</t>
  </si>
  <si>
    <t>Pregradni zid sa izolacijom, d=15 cm, GK-GKI</t>
  </si>
  <si>
    <t>Pregradni zid sa izolacijom, d=20 cm, GK-GKI</t>
  </si>
  <si>
    <t xml:space="preserve">Sistem nosača za WC školjku </t>
  </si>
  <si>
    <t>Dobava, doprema i ugradnja polimercementnog premaza d=0,2 cm u mokrim prostorima. Na rubovima poda sanitarija izvodi se vertikalna hidroizolacija u visini od h=15 cm, a na zidove uz tuš/kadu u visini h=220 cm.</t>
  </si>
  <si>
    <t>Dobava, doprema i ugradnja polimercementnog premaza d=0,2 cm na terasi 1. kata.  Na rubovima poda izvodi se vertikalna hidroizolacija u visini od h=20 cm.</t>
  </si>
  <si>
    <t>GK 'I' maske</t>
  </si>
  <si>
    <t>Dobava, doprema materijala te izrada jednostranih GK maski 'I' forme, 1xGK pločom, bandažirano i gletano do Q2 kvalitete. 
Stavka uključuje i postavu aluminijske šine kao ojačanja rubova. Stavka uključuje sav rad i materijal do potpune gotovosti i funkcionalnosti.</t>
  </si>
  <si>
    <t>Obračun za m.</t>
  </si>
  <si>
    <t>Pregradni zid sa izolacijom, d=15 cm, DF-DF</t>
  </si>
  <si>
    <t>b) potkonstrukcija od limenih CW/UW 75 profila, u međuprostoru meka mineralna vuna (40 kg/m3) za ispune potkonstrukcija lakih pregrada, d=10 cm.</t>
  </si>
  <si>
    <t>Izvedba kazete za klizna vrata</t>
  </si>
  <si>
    <t>Obračun za komad.</t>
  </si>
  <si>
    <t>KERAMIČARSKI RADOVI</t>
  </si>
  <si>
    <t>Količina za otpadni materijal, obzirom na oblik prostorije i slaganje opločenja sukladno shemama.</t>
  </si>
  <si>
    <t>Sva potrebna izrezivanja, potrebne završne obrade i brušenja, čišćenje i usklađivanje detalja.</t>
  </si>
  <si>
    <t>Stavke uključuje silikoniranje spoja svih vertikalnih i horizontalnih opločenih površina.</t>
  </si>
  <si>
    <t>Sve mjere ugradbe kontrolirati u naravi. Izvođač je dužan osigurati ugradnju elemenata bez oštećenja.</t>
  </si>
  <si>
    <t>Sav rad i materijal te radnu skelu za izvršenje radova.</t>
  </si>
  <si>
    <t>ZIDOVI</t>
  </si>
  <si>
    <t xml:space="preserve">Opločenje zidova sanitarnih čvorova </t>
  </si>
  <si>
    <t>Stavka uključuje i izvedbu kutnih profila, prema odabiru projektanta i konačno odabranom tipu keramike.</t>
  </si>
  <si>
    <t xml:space="preserve">rad </t>
  </si>
  <si>
    <t>Opločenje zidova kuhinje</t>
  </si>
  <si>
    <t>PODOVI</t>
  </si>
  <si>
    <t>Opločenje podova</t>
  </si>
  <si>
    <t xml:space="preserve">b) kuhinja </t>
  </si>
  <si>
    <t>Keramički sokl</t>
  </si>
  <si>
    <t>Dobava, doprema i izvedba keramičkog sokla. Sokl izvesti u svemu prema projektnim detaljima i izboru projektanta.</t>
  </si>
  <si>
    <t>KERAMIČARSKI RADOVI UKUPNO:</t>
  </si>
  <si>
    <t>B.03.</t>
  </si>
  <si>
    <t>PODOPOLAGAČKI RADOVI</t>
  </si>
  <si>
    <t>DRVENE PODNE OBLOGE</t>
  </si>
  <si>
    <t xml:space="preserve">Parket </t>
  </si>
  <si>
    <t>Dobava, doprema i polaganje gotovog lakiranog parketa, materijal, boja i dimenzije prema izboru projektanta. Parket se postavlja na dobro očišćenu podnu površinu lijepljenjem dvokomponentnim ljepilom.</t>
  </si>
  <si>
    <t>Sokl</t>
  </si>
  <si>
    <t>Dobava, doprema i izvedba ravnog nadgradnog sokla. Sokl izvesti u svemu prema projektnim detaljima i izboru projektanta.</t>
  </si>
  <si>
    <t>Epoxy pod</t>
  </si>
  <si>
    <t>Dobava, doprema svih potrebnih materijala i izvedba epoxy poda, boje prema izboru projektanta, izveden na cementnu glazuru.
U jediničnoj cijeni stavke obračunate sve radnje pripreme površine, čišćenje, dobave svog potrebnog materijala i rada do konačne izvedbe poda.</t>
  </si>
  <si>
    <t>Izvedba u svemu prema uputama proizvođača izabranog sustava.</t>
  </si>
  <si>
    <t>Razdjelni podni profil</t>
  </si>
  <si>
    <t>Dobava, doprema i ugradnja razdjelnog aluminijskog L profila prema odabiru projektanta na spoju različitih vrsta podnih obloga. Profil izvesti u razini završnih podnih obloga. Stavka uključuje sav potreban pričvrsni materijal.</t>
  </si>
  <si>
    <t>PODOPOLAGAČKI RADOVI UKUPNO:</t>
  </si>
  <si>
    <t>B.04.</t>
  </si>
  <si>
    <t>SOBOSLIKARSKO LIČILAČKI RADOVI</t>
  </si>
  <si>
    <t>PRIPREMA POVRŠINA</t>
  </si>
  <si>
    <t>Dobava potrebnog materijala i gletanje AB stropova. Prije nanošenja novih slojeva podlogu pripremiti odgovarajućim mehaničkim postupkom. Nanijeti grebani sloj kako bi se ispravile eventualne nejednolikosti podloge te u još mokri sloj nanijeti fini polimercementni mort u debljini sloja od 1-3 mm kao priprema za završne obrade.</t>
  </si>
  <si>
    <t>BOJANJA</t>
  </si>
  <si>
    <t>Bojanje stropova</t>
  </si>
  <si>
    <t xml:space="preserve">Bojanje zidova </t>
  </si>
  <si>
    <t>SOBOSLIKARSKO LIČILAČKI RADOVI UKUPNO:</t>
  </si>
  <si>
    <t>a) hodnik</t>
  </si>
  <si>
    <t>b) sanitarije</t>
  </si>
  <si>
    <t xml:space="preserve">c) kuhinja </t>
  </si>
  <si>
    <t>d) spremište</t>
  </si>
  <si>
    <t>c) spremište</t>
  </si>
  <si>
    <t>Pozicija: soba, dnevni boravak</t>
  </si>
  <si>
    <t>B.05.</t>
  </si>
  <si>
    <t>Izrada nosivo-habajućeg sloja kolnika od asfaltbetona</t>
  </si>
  <si>
    <t>Dobava, doprema i izvedba habajućeg sloja asfalta AC 16 SURF 50/70, d=7 cm.</t>
  </si>
  <si>
    <t>Izradi nosivo-habajućeg sloja smije se pristupiti tek nakon što je nadzorni inženjer primio prethodni sloj u pogledu sastava, zbijenosti, ravnosti i podudarnosti s projektom.</t>
  </si>
  <si>
    <t>Materijali za izradu ovog sloja moraju zadovoljavati važećim standardima.</t>
  </si>
  <si>
    <t>Ugrađeni nosivo-habajući sloj ocjenjuje i preuzima nadzorni inženjer na temelju rezultata provedenih tekućih i kontrolnih ispitivanja. Udio bitumena, granulometrijski sastav kamene smjese, te fizičko-mehanička svojstva asfaltne mješavine određena na uzorcima asfaltne mješavine u okviru provedenih tekućih i kontrolnih ispitivanja moraju zadovoljavati uvjete dane u Razradi tehničkih svojstava i zahtjeva za građevne proizvode za proizvodnju asfaltnih mješavina i za asfaltne slojeve kolnika.</t>
  </si>
  <si>
    <t>U cijeni su sadržani svi troškovi nabave materijala, proizvodnje i ugradnje asfaltne mješavine, prijevoz, oprema i sve ostalo što je potrebno za izvođenje radova.</t>
  </si>
  <si>
    <t>A.07.</t>
  </si>
  <si>
    <t>LIMARSKI RADOVI</t>
  </si>
  <si>
    <t>LIMARSKI RADOVI UKUPNO:</t>
  </si>
  <si>
    <t>Opšav atike</t>
  </si>
  <si>
    <t>Prilikom izvedbe limarskih radova te za korištenje i ispitivanje materijala opisanih u troškovniku izvođač radova se mora pridržavati uvjeta i opisa iz projektne dokumentacije kao i važećih propisa i normi.</t>
  </si>
  <si>
    <t>Dimenzije: 110/220 cm</t>
  </si>
  <si>
    <t>Dimenzije: 70/220 cm</t>
  </si>
  <si>
    <t>Dimenzije: 100/220 cm</t>
  </si>
  <si>
    <t>Unutarnja stepenica</t>
  </si>
  <si>
    <t>Dimenzije: 300/272  cm</t>
  </si>
  <si>
    <t>Dimenzije: 60/60 cm</t>
  </si>
  <si>
    <t>Dimenzije: 60/120 cm</t>
  </si>
  <si>
    <t>Dimenzije: 60/270 cm</t>
  </si>
  <si>
    <t>Dimenzije: 60/260 cm</t>
  </si>
  <si>
    <t>Dimenzije: 100/260 cm</t>
  </si>
  <si>
    <t>Dimenzije: 230/260 cm</t>
  </si>
  <si>
    <t>Dimenzije: 80/180 cm</t>
  </si>
  <si>
    <t>VRATA</t>
  </si>
  <si>
    <t>Betonski rubnjak</t>
  </si>
  <si>
    <t>Dobava, doprema materijala i ugradnja sloja toplinske izolacije pločama mineralne vune (MW), 30 kg/m3, λ=0,035 W/m2K, d=20 cm. Ploče se postavljaju na parnu branu u svemu prema uputama proizvođača.</t>
  </si>
  <si>
    <t>Dobava, doprema materijala i ugradnja sloja toplinske izolacije pločama mineralne vune (MW), 30 kg/m3, λ=0,036 W/m2K, d=5 cm. Na izolaciji se izvodi sloj polimercementne podložne žbuke, uklučeno u jediničnu cijenu stavke.</t>
  </si>
  <si>
    <t>Izolacija stubišta</t>
  </si>
  <si>
    <r>
      <t>Izolacija zida</t>
    </r>
    <r>
      <rPr>
        <b/>
        <sz val="8"/>
        <rFont val="Arial"/>
        <family val="2"/>
      </rPr>
      <t xml:space="preserve"> između grijanog i negrijanog prostora</t>
    </r>
  </si>
  <si>
    <t xml:space="preserve">Ulazna vrata </t>
  </si>
  <si>
    <t>Dimenzije: 120/260 cm</t>
  </si>
  <si>
    <t>Dimenzije: 250/260 cm</t>
  </si>
  <si>
    <t>Višedijelni prozor</t>
  </si>
  <si>
    <t>Dimenzije: 495/60 cm</t>
  </si>
  <si>
    <t>Dimenzije: 300/120 cm</t>
  </si>
  <si>
    <t>Dimenzije: 570/250 cm</t>
  </si>
  <si>
    <t>Konstrukcija stubišta</t>
  </si>
  <si>
    <t>Obračun po kg.</t>
  </si>
  <si>
    <t>ASFALT I RUBNJACI</t>
  </si>
  <si>
    <t>Pozicija: poslovni prostor, graža</t>
  </si>
  <si>
    <t xml:space="preserve">Dobava, čišćenje, ispravljanje, sječenje, savijanje, postavljanje i vezivanje sveukupne armature građevine (glavna, pomoćna, jahači, podlošci i sl.). Elementi su armirani armaturom kvalitete B500 B u svemu prema nacrtima armature i statičkom proračunu.  </t>
  </si>
  <si>
    <t>Pergola</t>
  </si>
  <si>
    <t>Izrada, dobava i ugradnja drvene stepenice s konstrukcijom za izlaz na terasu 1.kata u svemu prema projektnoj dokumentaciji. Stavka uključuje sav potreban spojni i pričvrsni materijal.</t>
  </si>
  <si>
    <t xml:space="preserve">a) dvostruka gipskartonska ploča (900 kg/m3) na potkonstrukciji d=2x1,25 cm </t>
  </si>
  <si>
    <t xml:space="preserve">c) dvostruka gipskartonska ploča (900 kg/m3) na potkonstrukciji d=2x1,25 cm </t>
  </si>
  <si>
    <r>
      <t xml:space="preserve">b) potkonstrukcija od limenih CW/UW 100 profila, u </t>
    </r>
    <r>
      <rPr>
        <sz val="8"/>
        <rFont val="Arial"/>
        <family val="2"/>
      </rPr>
      <t xml:space="preserve">međuprostoru meka mineralna vuna </t>
    </r>
    <r>
      <rPr>
        <sz val="8"/>
        <rFont val="Arial"/>
        <family val="2"/>
        <charset val="238"/>
      </rPr>
      <t>za ispune potkonstrukcija lakih pregrada, d=10 cm</t>
    </r>
  </si>
  <si>
    <r>
      <t xml:space="preserve">b) potkonstrukcija od limenih CW/UW 150 profila, u </t>
    </r>
    <r>
      <rPr>
        <sz val="8"/>
        <rFont val="Arial"/>
        <family val="2"/>
      </rPr>
      <t xml:space="preserve">međuprostoru meka mineralna vuna </t>
    </r>
    <r>
      <rPr>
        <sz val="8"/>
        <rFont val="Arial"/>
        <family val="2"/>
        <charset val="238"/>
      </rPr>
      <t>za ispune potkonstrukcija lakih pregrada, d=15 cm</t>
    </r>
  </si>
  <si>
    <t xml:space="preserve">a) dvostruka gipskartonska ploča (900 kg/m3) na potkonstrukciji d=2 x1,25 cm </t>
  </si>
  <si>
    <t xml:space="preserve">a) dvostruka protupožarna gipskartonska ploča ( 900 kg/m3) na potkonstrukciji d=2x1,25 cm </t>
  </si>
  <si>
    <t xml:space="preserve">c) dvostruka protupožarna gipskartonska ploča ( 900 kg/m3) na potkonstrukciji d=2x1,25 cm </t>
  </si>
  <si>
    <t xml:space="preserve">a) dvostruka impregnirana gipskartonska ploča (900 kg/m3) na potkonstrukciji, d=2x1,25 cm </t>
  </si>
  <si>
    <t>Dobava, doprema i montaža ovjesa za wc školjku koji se postavlja između potkonstrukcije pregradnog zida, na mjestu ugradnje obavezno postavljanje 2 UA profila (sa svake stane 1) na utične kutnike. Ovjes je pocinčan, ima mogućnost podešavanja nosivih vijaka i dolazi sa pripadajućim setom za montažu. Pri izradi držati se smjernica i uputa proizvođača. Obavezno usklađenje sa potkonstrukcijom GK zida i pozicijama instalacija i elemenata za koje je potrebno ojačanje te odabranim proizvođačem instalacije.</t>
  </si>
  <si>
    <t>Dobava, doprema i montaža ovjesa za umivaonik koji se postavlja između potkonstrukcije pregradnog zida, na mjestu ugradnje obavezno postavljanje 2 UA profila (sa svake stane 1) na utične kutnike. Ovjes je pocinčan, ima mogućnost podešavanja nosivih vijaka i dolazi sa pripadajućim setom za montažu. Pri izradi držati se smjernica i uputa proizvođača. Obavezno usklađenje sa potkonstrukcijom GK zida i pozicijama instalacija i elemenata za koje je potrebno ojačanje te odabranim proizvođačem instalacije.</t>
  </si>
  <si>
    <t>Fortelock PVC pod</t>
  </si>
  <si>
    <t>Dobava, doprema svih potrebnih materijala i izvedba fortelock PVC poda, boje prema izboru projektanta, izveden na cementnu glazuru.
U jediničnoj cijeni stavke obračunate sve radnje pripreme površine, čišćenje, dobave svog potrebnog materijala i rada do konačne izvedbe poda.</t>
  </si>
  <si>
    <t>Obračun po m rubnjaka.</t>
  </si>
  <si>
    <t>Dobava, doprema i montaža betonskog rubnjaka. Ugradba na prethodno pripremljenu betonsku podlogu, što je uključeno u cijenu. Rubnjaci se ugrađuju na svim rubovima pristupnog puta i parkinga prema uređenim površinama planiranim za izgradnju odnosno zaravnatom terenu, a postavljaju se tako da gornji rub rubnjaka bude ravan sa zelenom površinom  i opločenjem. Stavka uključuje dobavu, dopremu, utovar, istovar, ugradnju, pripasivanje, usklađivanje detalja te vezni materijal i fugiranje.</t>
  </si>
  <si>
    <t>Dobava potrebnog materijala i gletanje AB zidova. Prije nanošenja novih slojeva podlogu pripremiti odgovarajućim mehaničkim postupkom. Nanijeti grebani sloj kako bi se ispravile eventualne nejednolikosti podloge te u još mokri sloj nanijeti fini polimercementni mort u debljini sloja od 1-3 mm kao priprema za završne obrade.</t>
  </si>
  <si>
    <t>Ulazna vrata stana</t>
  </si>
  <si>
    <t>Dimenzije: 200/260+120 cm</t>
  </si>
  <si>
    <t xml:space="preserve">Višedijelna stijena </t>
  </si>
  <si>
    <t xml:space="preserve">Četverodijelna stijena </t>
  </si>
  <si>
    <t>Dimenzije: 200/270+80 cm</t>
  </si>
  <si>
    <t>Dimenzije: 100/270 cm</t>
  </si>
  <si>
    <t>Izolacija atike krova</t>
  </si>
  <si>
    <t>Dobava, doprema i ugradnja toplinske izolacije pločama XPS-a ( 30 kg/m3), λ ≤ 0,035 W/m2K, d= 2-4 cm, horizontalno na atiku ravnog krova, u svemu prema uputama proizvođača (lijepljene i prema potrebi dodatno mehaničko pričvršćene).</t>
  </si>
  <si>
    <t>Oznaka slojeva: K2</t>
  </si>
  <si>
    <t>Iskop zemlje B kategorije za uređenje okoliša.
Materijal iz iskopa odložiti na gradilištu i iskoristiti za nasipavanje (obračun u zasebnoj stavci). U jediničnu stavku cijene je uključeno planiranje dna sa zbijanjem površine na točnost +/- 2 cm.</t>
  </si>
  <si>
    <t>AB zidovi bazena, d=20 cm</t>
  </si>
  <si>
    <t>Dobava, doprema materijala i betoniranje armiranobetonskih zidova bazena u dvostranoj, glatkoj oplati, debljine d=20 cm, betonom razreda tlačne čvrstoće C25/30, XC1. Prilikom ugradnje beton vibrirati, a zatim beton pravilno njegovati.</t>
  </si>
  <si>
    <t>Ploča bazena d=20 cm</t>
  </si>
  <si>
    <t>Pozicija: terasa 1. kata</t>
  </si>
  <si>
    <t>Fasada vanjskih zidova, MW d=5 cm</t>
  </si>
  <si>
    <r>
      <t>Dobava, doprema i izvedba opšava krovnog nadozida od pocinčanog bojanog lima s okapom s obje strane, d= 2 mm. Plastificirano u boju prema izboru projektanta. Stavka uključuje i nosač opšava - čelični pocinčani profil. Sva pričvršćenja, nosač opšava i opšav prema projektnim detaljima uključena u cijenu. Ra</t>
    </r>
    <r>
      <rPr>
        <sz val="8"/>
        <rFont val="Arial"/>
        <family val="2"/>
      </rPr>
      <t>zvijena širina cca 62 cm.</t>
    </r>
  </si>
  <si>
    <t>Decking obloga</t>
  </si>
  <si>
    <t xml:space="preserve">Dobava, doprema materijala i betoniranje armirano betonske temeljne ploče debljine d=40 cm, razreda tlačne čvrstoće C30/37, XC2. Prilikom ugradnje beton vibrirati, a zatim beton pravilno njegovati. </t>
  </si>
  <si>
    <t>B.06.</t>
  </si>
  <si>
    <t>Uklanjanje postojeće građevine ukupne tlocrtne površine cca P=99,00 m2. Potrebno je ukloniti sve elemente konstrukcije sa oblogama, pokrovom, prozorima, vratima itd. te postojeće opločenje u okolišu. Uklanjanje elemenata koji se nalaze neposredno uz susjednu građevinu izvesti pažljivo i po potrebi ručno ukloniti.</t>
  </si>
  <si>
    <t>Uklanjanje postojeće građevine</t>
  </si>
  <si>
    <t>Široki iskop zemlje B kategorije u svrhu formiranja građevinske jame za izvedbu temeljne ploče.
Materijal iz iskopa odložiti na gradilištu i iskoristiti za nasipavanje (obračun u zasebnoj stavci). U jediničnu stavku cijene je uključeno planiranje dna jame ispod temeljne ploče sa zbijanjem površine na točnost +/- 2 cm.</t>
  </si>
  <si>
    <t>Dobava, doprema materijala i zasipavanje nasipa od krupnog šljunka d=30 cm, granulacije prema projektu. Potrebna zbijenost zamjenskog sloja je 30 MPa što se dokazuje potrebnim ispitivanjima tla. Nakon iskopa na kotu podložnog betona ispitati će se temeljno tlo, te nakon toga pristupiti eventualnoj zamjeni materijala.
Stavka obuhvaća dobavu, dopremu kamenog materijala, razastiranje i valjanje u kompaktni sloj i sve ostalo potrebno za potpuno dovršenje rada. Ovaj sloj se može izvoditi tek nakon što je nadzorni inženjer primio posteljicu.</t>
  </si>
  <si>
    <t>Dobava, doprema i ugradnja geotekstila 300g/m2 pod sloj nabijenoga kamenog materijala bez veziva.
U jediničnu cijenu stavke uključeni svi preklopi, te sav potreban rad te spojni i pričvrsni materijal.</t>
  </si>
  <si>
    <r>
      <t xml:space="preserve">Dobava, doprema i izvedba laganog betona za pad na krovu d=4-6 cm, (2400kg/m3), </t>
    </r>
    <r>
      <rPr>
        <sz val="8"/>
        <rFont val="Arial"/>
        <family val="2"/>
      </rPr>
      <t xml:space="preserve">razreda tlačne čvrstoće C12/15, u nagibu </t>
    </r>
    <r>
      <rPr>
        <sz val="8"/>
        <rFont val="Calibri"/>
        <family val="2"/>
      </rPr>
      <t>≥</t>
    </r>
    <r>
      <rPr>
        <sz val="8"/>
        <rFont val="Arial"/>
        <family val="2"/>
        <charset val="238"/>
      </rPr>
      <t xml:space="preserve"> 2,0% prema slivniku. U cijenu je uključena potrebna oplata i svi pripremni radovi za izvođenje betonske podloge. </t>
    </r>
  </si>
  <si>
    <t>Oznaka slojeva: K1, K2, S1</t>
  </si>
  <si>
    <t>Oznaka slojeva: ZV1, ZV2, Z1, Z2, Z3</t>
  </si>
  <si>
    <t>Dobava, doprema materijala i betoniranje armiranobetonskog parapeta ravnog krova u dvostranoj, glatkoj oplati, debljine d= 20 cm, betonom razreda tlačne čvrstoće C25/30, XC1. Prilikom ugradnje beton vibrirati, a zatim beton pravilno njegovati.</t>
  </si>
  <si>
    <t xml:space="preserve">Geotekstil 300g/m2 </t>
  </si>
  <si>
    <t>Dobava, doprema materijala i betoniranje armirano betonske ploče bazena debljine d=20 cm, razreda tlačne čvrstoće C25/30. Prilikom ugradnje beton vibrirati, a zatim beton pravilno njegovati. U jediničnu cijenu stavke uključena sva potrebna podupiranja konstrukcije, sve dok se ne postigne projektirana nosivost.</t>
  </si>
  <si>
    <t>Dobava, doprema i ugradnja toplinske izolacije pločama XPS-a (30 kg/m3), λ= 0,035 W/m2K, d=7 cm. Ploče se postavljaju prema uputama proizvođača (lijepljene i prema potrebi dodatno mehaničko pričvršćene).</t>
  </si>
  <si>
    <r>
      <t>Dobava, doprema i ugradnja toplinske izolacije pločama mineralne vune - ploče za kontaktne sustave</t>
    </r>
    <r>
      <rPr>
        <sz val="8"/>
        <rFont val="Arial"/>
        <family val="2"/>
      </rPr>
      <t xml:space="preserve"> (30 kg/m3), λ= 0,036 W/m2K, debljina d=8 cm. Ploč</t>
    </r>
    <r>
      <rPr>
        <sz val="8"/>
        <rFont val="Arial"/>
        <family val="2"/>
        <charset val="238"/>
      </rPr>
      <t>e se postavljaju prema uputama proizvođača (lijepljene i prema potrebi dodatno mehaničko pričvršćene). Na izolaciji se izvodi sloj polimercementne podložne žbuke, uključeno u jediničnu cijenu stavke.</t>
    </r>
  </si>
  <si>
    <t>Oznaka sloja: K1, K2, S1</t>
  </si>
  <si>
    <t>b) polimercementna žbuka armirana staklenom mrežicom (1100 kg/m3), d=0,5 cm</t>
  </si>
  <si>
    <t>Dobava, doprema i izvedba sustava za izvedbu kliznih vrata unutar gipskartonskog zida. Kazeta se izvodi unutar zida debljine 15 cm prema projektnim detaljima. Prema potrebi i detalju proizvođača, izvesti prilagodbu potkonstrukcije, dodatno ojačanje i ovjese na poziciji ugradnje te završna obrada prema uputama i sistemu proizvođača.
U jediničnu cijenu stavke je uključena i obrada rubova kazete. Špalete se obrađuju sa jednostrukom GK pločom debljine d=12,5 mm, zatim se postavlja aluminijska kutna šina za ojačanje ruba, sve obostrano bandažirano i gletano do Q2 kvalitete.</t>
  </si>
  <si>
    <t>Dobava, doprema materijala i bojanje stropova uključivo i bojanje svih maski, bojom prema izboru projektanta.</t>
  </si>
  <si>
    <t>Trodijelni prozor</t>
  </si>
  <si>
    <t xml:space="preserve">Pozicija: bazen </t>
  </si>
  <si>
    <t>Dobava i doprema materijala te opločenje podova pločicama u svemu prema projektnim detaljima i izboru projektanta.</t>
  </si>
  <si>
    <t>Dobava i doprema materijala, te opločenje zidova kuhinje keramičkim pločicama u svemu prema projektnim detaljima i izboru projektanta, između elemenata u visini h=70 cm.</t>
  </si>
  <si>
    <t>Dobava i doprema materijala, te opločenje zidova sanitarija keramičkim pločicama, u svemu prema projektnim detaljima i izboru projektanta.</t>
  </si>
  <si>
    <t>Dobava, dostava i montaža UA 50 profila na utičnim kutnicima na mjestima otvora vrata za sustav zida.</t>
  </si>
  <si>
    <r>
      <t>Dobava, doprema materijala i izrada lake pregradne stijene od dvostrukih gipskartonskih ploča na metalnoj potkonstrukciji</t>
    </r>
    <r>
      <rPr>
        <sz val="8"/>
        <color rgb="FFFF0000"/>
        <rFont val="Arial"/>
        <family val="2"/>
      </rPr>
      <t>.</t>
    </r>
    <r>
      <rPr>
        <sz val="8"/>
        <rFont val="Arial"/>
        <family val="2"/>
        <charset val="238"/>
      </rPr>
      <t xml:space="preserve">
Sastav zida je:</t>
    </r>
  </si>
  <si>
    <t xml:space="preserve">c) dvostruka vodootporna gipskartonska ploča (900 kg/m3) na potkonstrukciji d=2x1,25 cm </t>
  </si>
  <si>
    <t xml:space="preserve">a) dvostruka vodootporna gipskartonska ploča (900 kg/m3) na potkonstrukciji d=2x1,25 cm </t>
  </si>
  <si>
    <r>
      <rPr>
        <sz val="8"/>
        <rFont val="Arial"/>
        <family val="2"/>
      </rPr>
      <t>a) toplinsku izolaciju pločama mineralne vune za ETICS fasade, dodatno učvršćene građevinskim ljepilom i pričvrsnicama,</t>
    </r>
    <r>
      <rPr>
        <sz val="8"/>
        <color rgb="FFFF0000"/>
        <rFont val="Arial"/>
        <family val="2"/>
        <charset val="238"/>
      </rPr>
      <t xml:space="preserve"> </t>
    </r>
    <r>
      <rPr>
        <sz val="8"/>
        <rFont val="Arial"/>
        <family val="2"/>
        <charset val="238"/>
      </rPr>
      <t xml:space="preserve">sve prema uputama i preporukama proizvođača i pravilima za izvedbu ETICS fasada, λ </t>
    </r>
    <r>
      <rPr>
        <sz val="8"/>
        <rFont val="Calibri"/>
        <family val="2"/>
      </rPr>
      <t>≤</t>
    </r>
    <r>
      <rPr>
        <sz val="8"/>
        <rFont val="Arial"/>
        <family val="2"/>
        <charset val="238"/>
      </rPr>
      <t xml:space="preserve"> 0,036 W/mK, d=5 cm</t>
    </r>
  </si>
  <si>
    <t xml:space="preserve">Sintetska hidroizolacija temelja </t>
  </si>
  <si>
    <t>U jediničnu cijenu treba uračunati i:
- izradu radionikih nacrta
- sva savijanja potrebna da se ostvari traženi oblik materijala pogodan za ugradnju
- sva lemljenja i ostale veze potrebne za kvalitetno povezivanje materijala
- sva potrebna cinčanja, bojanja, zaštite, plastifikacije i sl. prema zahtjevima projekta</t>
  </si>
  <si>
    <t>U cijenu je uračunato i čišćenje zone izgradnje prije izvođenja radova (sakupljanje svog otpadnog materijala i sječenje grmlja, šiblja sa uklanjanjem korijena, te utovar u kamion i odvoz na gradsku deponiju, uključivo i naknada za deponiranje).</t>
  </si>
  <si>
    <t>Završno čišćenje</t>
  </si>
  <si>
    <t xml:space="preserve">Generalno fino završno čišćenje zgrada nakon tehničkog pregleda, a prije konačne primopredaje i otklanjanja svih nedostataka građevine uključivo i komplet sva potrebna čišćenja interijera zgrade. </t>
  </si>
  <si>
    <t>Obračun po m2 bruto površine prostora.</t>
  </si>
  <si>
    <t>NAPOMENA: Izolacija bazena će se definirati naknadno u dogovoru s Izvođačem!</t>
  </si>
  <si>
    <t>Dobava, doprema, transport i ugradnja sintetske hidroizolacijske folije. Prema projektnim detaljima izvesti potrebna vertikalna dizanja izolacije do sokla, sve uključeno u cijenu. Rubovi folija se međusobno preklapaju 10cm i zavaruju vrućim zrakom kako bi se postigao potpuno homogen spoj.  Izvode se slojevi:</t>
  </si>
  <si>
    <t>Stavka uključuje rubno učvrščenje folije koje se izvodi  mehaničkim pričvršćenjem kaširanim TPO limom te brtvi trajnoelastičnim kitom.</t>
  </si>
  <si>
    <t>Dobava, doprema, transport i ugradnja krovne sintetske hidroizolacijske folije. Prema projektnim detaljima izvesti potrebna vertikalna dizanja izolacije, sve uključeno u cijenu. Rubovi folija se međusobno preklapaju 10cm i zavaruju vrućim zrakom kako bi se postigao potpuno homogen spoj.  Izvode se slojevi:</t>
  </si>
  <si>
    <t>Izvedbu elastificiranog ekspandiranog polistirena na spoju poda sa zidom (rubno uza zid) debljine d=1 cm. Područje dodira podnog sustava potrebno je odvojiti/dilatirati od bočnih zidova trakom iz elastificiranog ekspandiranog polistirena do visine gotovog poda. Traku je potrebno postaviti prije početka ugradnje cementne glazure.</t>
  </si>
  <si>
    <t>Izvođač je dužan provjeriti sve dimenzije na licu mjesta, bilo kakva pogreška, propust ili neslaganja između nacrta arhitekture i eventualnih dodatnih nacrta i projektnih detalja moraju se prijaviti voditelju projekta, nadzornom inženjeru i projektantu.
U slučaju neslaganja između nacrta, mjerodavan je detaljniji nacrt.
Prije početka izvedbe stolarskih elemenata sve potrebne radioničke nacrte izrađuje izvođač stolarskih radova te s predloženim okovom dostavlja ih na usuglašavanje projektantu-investitoru, što je uključeno u jediničnu cijenu stavke. Svi detalji potrebni za radionički nacrt dogovaraju se s glavnim projektantom, a ugradnja slijedi nakon što projektant odobri radioničke nacrte, a izvođač točno provjeri sve dimenzije na licu mjesta.
Svi pripremni radionički nacrti izvođača moraju se predati projektantu na odobrenje prije izrade stavke. Za svaki element je potrebno izraditi uzorak u detaljnom mjerilu, kojega odobrava projektant prije narudžbe materijala.
Na zahtjev projektanta ili odgovorne osobe izvođač je dužan testirati određene detalje sa prototipovima, a prije same izvedbe.</t>
  </si>
  <si>
    <t>Izrada, dobava i ugradnja punih drvenih jednokrilnih zaokretnih vrata sanitarija i garderobe u AB zid prema shemi. Vrata u svemu prema izboru projektanta.</t>
  </si>
  <si>
    <t>Svi detalji potrebni za radionički nacrt dogovaraju se s glavnim projektantom i stručnim nadzorom. Radionički nacrt izrađuje izvođač, a ugradnja slijedi nakon što glavni projektant odobri radioničke nacrte, što je uključeno u jediničnu cijenu stavke.
Na zahtjev projektanta ili odgovorne osobe izvođač je dužan testirati određene detalje sa prototipovima, a prije same izvedbe.
Izvođač radova dužan je dobaviti i montirati te u cijenu ukalkulirati sav potreban okov za besprijekornu upotrebu pojedinog bravarskog elementa bez obzira da li je u pojedinim stavkama sve iskazano.
Izvođač bravarskih radova treba biti u kooperaciji sa izvođačem ličilačkih, stolarskih, staklorezačkih i sl. radova, a on je pred investitorom nosilac posla i odgovoran za kvalitetu ukupnog rada svake bravarske stavke. Sastavni dio bravarskih radova u tom slučaju su uvjeti staklorezačkih, stolarskih i ličilačkih radova.
Stavke moraju ispunjavati sve zahtjeve protupožarnosti sukladno projektu zaštite od požara.</t>
  </si>
  <si>
    <t>Stavka uključuje izvedbu sustava zaštite od korozije.</t>
  </si>
  <si>
    <t>Izrada, dobava i ugradnja lagane metalne konstrukcije stubišta bazena u svemu prema projektnoj dokumentaciji. Stavka uključuje sav potreban spojni i pričvrsni materijal. S izvođenjem konstrukcije smije se započeti isključivo nakon ovjere radioničke dokumentacije (izrađene od strane Izvođača).</t>
  </si>
  <si>
    <t>Izrada, dobava i ugradnja punih drvenih jednokrilnih zaokretnih vrata sanitarija, garderobe i spremišta u GK zid prema shemi. Vrata u svemu prema izboru projektanta.</t>
  </si>
  <si>
    <t>Izrada, dobava i ugradnja punih drvenih jednokrilnih zaokretnih vrata sanitarija s prestrujnom rešetkom u GK zid prema shemi. Vrata u svemu prema izboru projektanta.</t>
  </si>
  <si>
    <t xml:space="preserve">Izrada, dobava i ugradnja protupožarnih punih glatkih jednokrilnih zaokretnih ulaznih vrata prema shemi. Vrata u svemu prema izboru projektanta.
</t>
  </si>
  <si>
    <t>Izrada, dobava i ugradnja četverodijelne stijene od Alu profila s prekinutim toplinskim mostom, završno obrađenim plastificiranjem u svemu prema izboru projektanta.</t>
  </si>
  <si>
    <t>Izrada, dobava i ugradnja trodijelnog prozora s maskom od Alu profila s prekinutim toplinskim mostom, završno obrađenim plastificiranjem u svemu prema izboru projektanta.</t>
  </si>
  <si>
    <t>Izrada, dobava i ugradnja višedijelnog prozora s armiranim staklom i maskom od Alu profila s prekinutim toplinskim mostom, završno obrađenim plastificiranjem u svemu prema izboru projektanta.</t>
  </si>
  <si>
    <t>Izrada, dobava i ugradnja trodijelnog prozora od Alu profila s prekinutim toplinskim mostom, završno obrađenim plastificiranjem u svemu prema izboru projektanta.</t>
  </si>
  <si>
    <t>Izrada, dobava i ugradnja jednokrilnog prozora od Alu profila s prekinutim toplinskim mostom, završno obrađenim plastificiranjem u svemu prema izboru projektanta.</t>
  </si>
  <si>
    <t>Izrada, dobava i ugradnja jednokrilnog prozora s armiranim staklom i nadsvjetlom od Alu profila s prekinutim toplinskim mostom, završno obrađenim plastificiranjem u svemu prema izboru projektanta.</t>
  </si>
  <si>
    <t>Izrada, dobava i ugradnja jednokrilnog prozora s nadsvjetlom od Alu profila s prekinutim toplinskim mostom, završno obrađenim plastificiranjem u svemu prema izboru projektanta.</t>
  </si>
  <si>
    <t>Izrada, dobava i ugradnja jednokrilnog prozora s armiranim staklom od Alu profila s prekinutim toplinskim mostom, završno obrađenim plastificiranjem u svemu prema izboru projektanta.</t>
  </si>
  <si>
    <t xml:space="preserve">Izrada, dobava i ugradnja jednokrilnih ulaznih vrata s nadsvjetlom od Alu profila s prekinutim toplinskim mostom, završno obrađenim plastificiranjem u svemu prema izboru projektanta. </t>
  </si>
  <si>
    <t>Izrada, dobava i ugradnja dvokrilnih ulaznih vrata s nadsvjetlom i armiranim staklom od Alu profila s prekinutim toplinskim mostom, završno obrađenim plastificiranjem u svemu prema izboru projektanta.</t>
  </si>
  <si>
    <t xml:space="preserve">Izrada, dobava i ugradnja dvokrilinih ulaznih vrata s nadsvjetlom, armiranim staklom i maskom od Alu profila s prekinutim toplinskim mostom, završno obrađenim plastificiranjem u svemu prema izboru projektanta.
</t>
  </si>
  <si>
    <t>Izrada, dobava i ugradnja višedijelne stijene s armiranim staklom i maskom od Alu profila s prekinutim toplinskim mostom, završno obrađenim plastificiranjem u svemu prema izboru projektanta.</t>
  </si>
  <si>
    <t>Izrada, dobava i ugradnja garažnih vrata od Alu profila s prekinutim toplinskim mostom, završno obrađenim plastificiranjem u svemu prema izboru projektanta.</t>
  </si>
  <si>
    <t>Obračun po m2 izolacije i m lima.</t>
  </si>
  <si>
    <t>Izvođač je obavezan koristiti limove u debljinama prema projektu, a ukoliko isto nije naznačeno, debljinu treba potvrditi projektant.
Izvođač radova dužan je prije izvedbe limarije uzeti sve izmjere u naravi te izraditi radoioničke nacrte uz suglasnost projektatna, također je dužan prije početka montaže ispitati sve dijelove gdje se imaju izvesti limarski radovi, te na eventualne neispravnosti istih upozoriti nadzornog inženjera, jer će se u protivnom naknadni popravci izvršiti na račun izvođača.
Pričvršćenje lima vrši se mehaničkim alatima, vijcima, plastičnim čepovima i drugim nosačima (čeličnim pocinčanim nosačima).
Sav spojni materijal (čavli, zakovice) mora biti iz istog materijala kao i lim.
Sastav i učvršćenja moraju biti tako izvedeni da elementi pri temperaturnim promjenama mogu nesmetano dilatirati, a da pri tom ostanu nepropusni. 
Za sva rezanja na gradilištu, treba upotrebljavati alate koje propisuje proizvođač, odnosno dodatno antikorozivno zaštiti elemente na mjestu eventualnog oštećenja.
Sve spojeve izvoditi standardnim preklopima ili po zahtjevu lemiti.</t>
  </si>
  <si>
    <t>Opšav parapeta terase</t>
  </si>
  <si>
    <r>
      <t>Dobava, doprema i izvedba opšava parapeta terase od pocinčanog bojanog lima s okapom s obje strane, d= 2 mm. Plastificirano u boju prema izboru projektanta. Stavka uključuje i nosač opšava - čelični pocinčani profil. Sva pričvršćenja, nosač opšava i opšav prema projektnim detaljima uključena u cijenu. Ra</t>
    </r>
    <r>
      <rPr>
        <sz val="8"/>
        <rFont val="Arial"/>
        <family val="2"/>
      </rPr>
      <t>zvijena širina cca 62 cm.</t>
    </r>
  </si>
  <si>
    <t>Estrih</t>
  </si>
  <si>
    <t>Dobava, doprema potrebnog materijala i izvedba lagano armirane betonske podloge (2000 kg/m3). Estrih se izvodi elastično dilatirana od podloge i obodnih pregrada, fino zaglađena u izvedbi kao podloga za završne slojeve poda.</t>
  </si>
  <si>
    <t>Estrih u padu (podno grijanje)</t>
  </si>
  <si>
    <t>Dobava, doprema potrebnog materijala i izvedba lagano armirane betonske podloge (2000 kg/m3) u padu 4-5 cm. Izvođač je dužan izvesti estrih s dodatkom aditiva za grijani estrih (aditiv obračunat u stavkama strojarskih radova). Estrih se izvodi elastično dilatirana od podloge i obodnih pregrada, fino zaglađena u izvedbi kao podloga za završne slojeve poda.</t>
  </si>
  <si>
    <t>Vrijedi za sve stavke ove grupe radova:
U jediničnu cijenu svih stavaka treba uključiti sljedeće:</t>
  </si>
  <si>
    <t>NAPOMENA: Obloga bazena će se definirati naknadno u dogovoru s izvođačem!</t>
  </si>
  <si>
    <t xml:space="preserve">Pripremu podloge te dobavu i ugradnju građevinskog ljepila kao i fug masu i silikoniranje. Polaganje pločica punoplošnim lijepljenjem na podlogu pomoću poboljšanog, visoko fleksibilnog građevinskog ljepila, sve prema uputama proizvođača. Fugiranje poboljšanom cementnom brzovezujućom i brzosušećom fugirnom masom za fuge širine prema odabiru projektanta. Brtvljenje dilatacijskih spojeva pomoću silikonske mase za brtvljenje. Na radnim reškama ugraditi trajnoelastično poliuretansko brtvilo na neutralnoj bazi. Boja prema odabiru projektanta. Svi proizvodi u sustavu istog proizvođača materijala.  </t>
  </si>
  <si>
    <t>Izvedbu prema projektnim detaljima i uputama proizvođača.</t>
  </si>
  <si>
    <t>U cijenu uključena pažljiva izvedba i zaštita kontaktnih stavaka (pragova, kutova i drugih materijala) prilikom postave završnih podnih obloga.</t>
  </si>
  <si>
    <t>Sav rad i materijal potreban za postavu, pričvršćivanje i montažu (ljepila, tiple, brtvene mase i sl.) Sve podložne i kontaktne slojeve za prianjanje završnih slojeva za podlogu, iz sustava proizvođača.</t>
  </si>
  <si>
    <t>Kompletnu pripremu površine prema uputama proizvođača završne podne obloge (uklanjanje nečistoća, otprašivanje). Podloga mora biti nosiva, stabilna, čvrsta, bez labavih dijelova, prašine, ulja, masnoća, tragova guma i drugih supstanci koje djeluju razdvajajuće. Labaviji slojevi i nakupine suspenzije moraju se ukloniti. Podloge moraju odreagirati i postići dovoljnu nosivost prema zahtjevima proizvođača podne obloge prije postave.</t>
  </si>
  <si>
    <t>Izvedba i brtvljenje dilatacija prema uputama proizvođača uključeno u cijenu.</t>
  </si>
  <si>
    <t>Izvesti uredan detalj spoja sa zidom na pozicijama gdje se ne izvodi sokl.</t>
  </si>
  <si>
    <t>Obračun po neto površini, sav otpadni materijal nastao zbog oblika prostora i dimenzija materijala uključen u jedinične cijene.</t>
  </si>
  <si>
    <t xml:space="preserve">Radna skela uključena u cijenu. </t>
  </si>
  <si>
    <t>Pripremu podloge i sve podložne i kontaktne slojeve za prianjanje završnih slojeva za podlogu kao i impregnaciju površine, sve iz sustava proizvođača. Nanošenje odgovarajućeg temeljnog premaza iz sustava proizvođača završne boje.</t>
  </si>
  <si>
    <t>Temeljni premazi i završna boja moraju biti kompatibilni.</t>
  </si>
  <si>
    <t>Izvedbu akrila u svim uglovima te dodatno oko bravarskih i stolarskih stavki.</t>
  </si>
  <si>
    <t xml:space="preserve">Izrada, dobava i ugradnja Alu pergole. Elementi pergole su stupovi 100x100x10 mm na razmaku 40-90 cm, horizontalno pridržanim na AB parapetu i grede 100x300x10 mm na razmaku 40-90 cm, na krajevima međusobno povezane Alu profilom 40x40x4 mm, profil pridržan na AB zidu 1. kata u svemu prema projektnim detaljima i radioničkoj dokumentaciji. Stavka uključuje sav potreban spojni i pričvrsni materijal. </t>
  </si>
  <si>
    <t>Pozicija: hodna i kolna površina</t>
  </si>
  <si>
    <t>Ljubljanska 52, 10000 Zagreb</t>
  </si>
  <si>
    <t>OIB: 66000671692</t>
  </si>
  <si>
    <t xml:space="preserve">Zastupano po direktoru: Božidar Macan </t>
  </si>
  <si>
    <r>
      <t xml:space="preserve">Gletanje AB zidnih elemenata </t>
    </r>
    <r>
      <rPr>
        <b/>
        <sz val="8"/>
        <color rgb="FFFF0000"/>
        <rFont val="Arial"/>
        <family val="2"/>
      </rPr>
      <t>(stambeni prostor)</t>
    </r>
  </si>
  <si>
    <r>
      <t xml:space="preserve">Gletanje AB stropova i podgleda stubišta </t>
    </r>
    <r>
      <rPr>
        <b/>
        <sz val="8"/>
        <color rgb="FFFF0000"/>
        <rFont val="Arial"/>
        <family val="2"/>
      </rPr>
      <t>(stambeni prostor)</t>
    </r>
  </si>
  <si>
    <r>
      <t xml:space="preserve">Žbukanje zidova </t>
    </r>
    <r>
      <rPr>
        <b/>
        <sz val="8"/>
        <color rgb="FFFF0000"/>
        <rFont val="Arial"/>
        <family val="2"/>
      </rPr>
      <t>(stambeni prostor)</t>
    </r>
  </si>
  <si>
    <r>
      <t xml:space="preserve">Žbukanje stropova </t>
    </r>
    <r>
      <rPr>
        <b/>
        <sz val="8"/>
        <color rgb="FFFF0000"/>
        <rFont val="Arial"/>
        <family val="2"/>
      </rPr>
      <t>(stambeni prostor)</t>
    </r>
  </si>
  <si>
    <t xml:space="preserve">Dobava potrebnog materijala i obrada AB vertikalnih elemenata kao priprema za završne dekorativne obrade.
Prije nanošenja novih slojeva podlogu pripremiti odgovarajućim mehaničkim postupkom. Izvodi se punoplošn pregletavanje upotrebom građevinskog ljepila, armaturne mrežice kako bi podloga bila spremna za nanošenje završnih dekorativnih obloga. </t>
  </si>
  <si>
    <t>Obrada AB zidnih elemenata (poslovni prostor)</t>
  </si>
  <si>
    <t>Obrada AB stropova (poslovni prostor)</t>
  </si>
  <si>
    <r>
      <t>Dobava, doprema materijala i žbukanje ploha zidova cementnom žbukom. Žbuka se nanosi na zidove strojno u sloju debljine ukupno cca 15 mm</t>
    </r>
    <r>
      <rPr>
        <sz val="8"/>
        <rFont val="Arial"/>
        <family val="2"/>
      </rPr>
      <t xml:space="preserve">. Bridovi moraju biti ravni, oštri i ojačani pocinčanim kutnim profilima. Površina i struktura pripremljena za izvedbu završnih soboslikarskih radova. Pripremu podloge i postupak izvedbe strojne žbuke potrebno je prilagoditi proizvođaču i podlozi za žbukanje.
</t>
    </r>
  </si>
  <si>
    <t>Dobava, doprema materijala i žbukanje ploha stropova cementnom žbukom. Žbuka se nanosi na stropove strojno u sloju debljine ukupno cca 15 mm. Bridovi moraju biti ravni, oštri i ojačani pocinčanim kutnim profilima. Površina i struktura pripremljena za izvedbu završnih soboslikarskih radova. Pripremu podloge i postupak izvedbe strojne žbuke potrebno je prilagoditi proizvođaču i podlozi za žbukanje.</t>
  </si>
  <si>
    <r>
      <t xml:space="preserve">Fasada vanjskih zidova, MW </t>
    </r>
    <r>
      <rPr>
        <b/>
        <sz val="8"/>
        <color rgb="FFFF0000"/>
        <rFont val="Arial"/>
        <family val="2"/>
      </rPr>
      <t>d=16 cm</t>
    </r>
  </si>
  <si>
    <r>
      <rPr>
        <sz val="8"/>
        <rFont val="Arial"/>
        <family val="2"/>
      </rPr>
      <t>a) toplinsku izolaciju pločama mineralne vune za ETICS fasade, dodatno učvršćene građevinskim ljepilom i pričvrsnicama,</t>
    </r>
    <r>
      <rPr>
        <sz val="8"/>
        <color rgb="FFFF0000"/>
        <rFont val="Arial"/>
        <family val="2"/>
        <charset val="238"/>
      </rPr>
      <t xml:space="preserve"> </t>
    </r>
    <r>
      <rPr>
        <sz val="8"/>
        <rFont val="Arial"/>
        <family val="2"/>
        <charset val="238"/>
      </rPr>
      <t xml:space="preserve">sve prema uputama i preporukama proizvođača i pravilima za izvedbu ETICS fasada, λ </t>
    </r>
    <r>
      <rPr>
        <sz val="8"/>
        <rFont val="Calibri"/>
        <family val="2"/>
      </rPr>
      <t>≤</t>
    </r>
    <r>
      <rPr>
        <sz val="8"/>
        <rFont val="Arial"/>
        <family val="2"/>
        <charset val="238"/>
      </rPr>
      <t xml:space="preserve"> 0,036 W/mK,</t>
    </r>
    <r>
      <rPr>
        <sz val="8"/>
        <color rgb="FFFF0000"/>
        <rFont val="Arial"/>
        <family val="2"/>
      </rPr>
      <t xml:space="preserve"> d=16 cm</t>
    </r>
  </si>
  <si>
    <t xml:space="preserve">a) d=3,5 cm </t>
  </si>
  <si>
    <t>Oznaka slojeva: P2</t>
  </si>
  <si>
    <r>
      <t xml:space="preserve">Oznaka slojeva: </t>
    </r>
    <r>
      <rPr>
        <sz val="8"/>
        <color rgb="FFFF0000"/>
        <rFont val="Arial"/>
        <family val="2"/>
      </rPr>
      <t>K1, K3, K4, K5</t>
    </r>
  </si>
  <si>
    <r>
      <t xml:space="preserve">Oznaka slojeva: </t>
    </r>
    <r>
      <rPr>
        <sz val="8"/>
        <color rgb="FFFF0000"/>
        <rFont val="Arial"/>
        <family val="2"/>
      </rPr>
      <t>P1</t>
    </r>
  </si>
  <si>
    <r>
      <t xml:space="preserve">Oznaka slojeva: </t>
    </r>
    <r>
      <rPr>
        <strike/>
        <sz val="8"/>
        <color rgb="FFFF0000"/>
        <rFont val="Arial"/>
        <family val="2"/>
      </rPr>
      <t>K1,</t>
    </r>
    <r>
      <rPr>
        <sz val="8"/>
        <rFont val="Arial"/>
        <family val="2"/>
        <charset val="238"/>
      </rPr>
      <t xml:space="preserve"> K2</t>
    </r>
  </si>
  <si>
    <r>
      <t>Oznaka slojeva: K1,</t>
    </r>
    <r>
      <rPr>
        <sz val="8"/>
        <color rgb="FFFF0000"/>
        <rFont val="Arial"/>
        <family val="2"/>
      </rPr>
      <t xml:space="preserve"> K3, K4, K5</t>
    </r>
  </si>
  <si>
    <r>
      <t xml:space="preserve">Dobava, doprema materijala i ugradnja sloja toplinske izolacije pločama XPS-a (30 kg/m3) </t>
    </r>
    <r>
      <rPr>
        <sz val="8"/>
        <color rgb="FFFF0000"/>
        <rFont val="Arial"/>
        <family val="2"/>
      </rPr>
      <t>u padu</t>
    </r>
    <r>
      <rPr>
        <sz val="8"/>
        <rFont val="Arial"/>
        <family val="2"/>
      </rPr>
      <t xml:space="preserve"> s preklopom, λ ≤ 0,035 W/m2K, debljine d=15 -17 cm. Ploče se postavljaju na parnu branu u svemu prema uputama proizvođača.</t>
    </r>
  </si>
  <si>
    <t xml:space="preserve">Obračun po komadu staklene stijene. </t>
  </si>
  <si>
    <t>Obračun po kg ojačanja.</t>
  </si>
  <si>
    <t>Ojačanje stijene izvesti između dnevnog boravka i sobe, kvadratnim čeličnim profilom dimanzija 100x100 mm, d= 5 mm.</t>
  </si>
  <si>
    <t>Dobava, doprema svih potrebnih materijala i izvedba decking obloge od drvo - polimernih profila (WPC) . Diletacijska fuga na uzdužnim spojevima 3,5 mm/m, žljebasta površina s gornje strane, donja strana nazubljena, protukliznost - razred R11, boje prema izboru projektanta. 
U jediničnoj cijeni stavke obračunate sve radnje pripreme površine, čišćenje, dobave svog potrebnog materijala i rada do konačne izvedbe poda.</t>
  </si>
  <si>
    <t>Umjetna trava</t>
  </si>
  <si>
    <t>Dobava, doprema svih potrebnih materijala i ugradnja umjetna trave. 
U jediničnoj cijeni stavke obračunate sve radnje pripreme površine, čišćenje, dobave svog potrebnog materijala i rada do konačne izvedbe poda.</t>
  </si>
  <si>
    <t>Oznaka slojeva: K3</t>
  </si>
  <si>
    <t>f) stepenice ispred bazena</t>
  </si>
  <si>
    <r>
      <rPr>
        <sz val="8"/>
        <rFont val="Arial"/>
        <family val="2"/>
      </rPr>
      <t xml:space="preserve">d) </t>
    </r>
    <r>
      <rPr>
        <sz val="8"/>
        <color rgb="FFFF0000"/>
        <rFont val="Arial"/>
        <family val="2"/>
      </rPr>
      <t>strojarnica</t>
    </r>
  </si>
  <si>
    <r>
      <rPr>
        <sz val="8"/>
        <rFont val="Arial"/>
        <family val="2"/>
      </rPr>
      <t xml:space="preserve">e) </t>
    </r>
    <r>
      <rPr>
        <sz val="8"/>
        <color rgb="FFFF0000"/>
        <rFont val="Arial"/>
        <family val="2"/>
      </rPr>
      <t>strojarnica</t>
    </r>
  </si>
  <si>
    <t>Bojanje zidova perivom bojom</t>
  </si>
  <si>
    <t>Vrata strojarnice</t>
  </si>
  <si>
    <t>Izrada, dobava i ugradnja drvenih vrata strojarnice na terasi 1.kata u svemu prema projektnoj dokumentaciji. Stavka uključuje sav potreban spojni i pričvrsni materijal.</t>
  </si>
  <si>
    <t>AB grede pergole</t>
  </si>
  <si>
    <t>STUPOVI</t>
  </si>
  <si>
    <t>AB stupovi pergole</t>
  </si>
  <si>
    <t xml:space="preserve">Dimenzija: 20/30 cm </t>
  </si>
  <si>
    <t xml:space="preserve">Dimenzija: 20/20 cm </t>
  </si>
  <si>
    <t>Dobava, doprema materijala i betoniranje armiranobetonskih greda pergole, betonom razreda tlačne čvrstoće C25/30, XC1. Prilikom ugradnje beton vibrirati, a zatim beton pravilno njegovati. Grede se izvode u vidljivom arhitektonskom betonu.</t>
  </si>
  <si>
    <t>Za izradu vidljivih betonskih površina mora se koristiti oplatni sustav bez otiska okvira, a ploče moraju biti neoštećene, glatke i ravne. Prilikom spajanja oplate na svim spojevima mora se koristiti sustav brtvljenja za vidljive betone koje preporuča proizvođač oplatnog sustava (brtvena traka, specijalni akrilni kit...)
Svi rubovi oštri, bez korištenja trokutaste letvice. S preciznom izradom i brtvljenjem oplatnih ploča potrebno je osigurati nepropusnost oplate – mora biti tako zatvorena da je spriječeno svako curenje cementnog mlijeka na kontaktu između dvije oplate ili na kontaktu oplate i betona.
Vidljivo lice betona obrađuje se mehanički pjeskarenjem, a prije same obrade beton mora postići min 70% projektirane čvrstoće.
Nakon završene mehaničke obrade potrebno je ujednačiti teksturu betona strojnim četkanjem abrazivnim četkama u tri uzastopna koraka sa sve finijom granulacijom.
Završna zaštita betona izvodi se hidrofobnim premazom prema uputama proizvođača.</t>
  </si>
  <si>
    <t>Dobava, doprema materijala i betoniranje armiranobetonskih stupova pergole, betonom razreda tlačne čvrstoće C25/30, XC1. Prilikom ugradnje beton vibrirati, a zatim beton pravilno njegovati. Stupovi se izvode u vidljivom arhitektonskom betonu.</t>
  </si>
  <si>
    <t>AB stubište bazena i strojarnica</t>
  </si>
  <si>
    <t>Dobava, doprema materijala i betoniranje armiranobetonskog stubišta bazena i strojarnice u glatkoj oplati, betonom razreda tlačne čvrstoće C25/30, XC1. Prilikom ugradnje beton vibrirati, a zatim beton pravilno njegovati. Površina gornje strane (gazišta), treba biti ravna i zaglađena tako da je pogodna za ugradnju završne podne obloge.</t>
  </si>
  <si>
    <t>Ptotuprašni premaz</t>
  </si>
  <si>
    <t>Dobava, doprema materijala i bojanje zidova kupaonice poslovnog protora, perivom bojom prema izboru projektanta.</t>
  </si>
  <si>
    <t>Dobava, doprema materijala i bojanje zidova i obloga stanova, stubišta i hodnika, bojom prema izboru projektanta.</t>
  </si>
  <si>
    <t xml:space="preserve">Dobava, doprema materijala i ugradnja protuprašnog premaza na zidove poslovnog protora i garaže. </t>
  </si>
  <si>
    <t>Dobava, doprama potrebnog materijala i obrada neravnina AB stropova nakon uklanjanja oplate.</t>
  </si>
  <si>
    <t>k.o. Dubrava, Ljubijska 52, 10000 Zagreb</t>
  </si>
  <si>
    <t>Ispod kanalice gdje je XPS manji od 12 cm, kao zamjenski sloj ugraditi pur pjenu.</t>
  </si>
  <si>
    <t>1.</t>
  </si>
  <si>
    <t>Iskolčenje potpornog zida</t>
  </si>
  <si>
    <t>2.</t>
  </si>
  <si>
    <t>Rušenje postojećeg zida do visine za izradu vanjskog uređenja.</t>
  </si>
  <si>
    <t>3.</t>
  </si>
  <si>
    <t>Rušenje postojećeg betonskog poda za izradu novog zida.</t>
  </si>
  <si>
    <t>4.</t>
  </si>
  <si>
    <t>5.</t>
  </si>
  <si>
    <t>Dobava i ugradnja betona C25/30 u temelje.</t>
  </si>
  <si>
    <t>6.</t>
  </si>
  <si>
    <t>Oplata temelja zida, oplata temelja se izvodi u ravnim segmentima.</t>
  </si>
  <si>
    <t>7.</t>
  </si>
  <si>
    <t>Dobava i ugradnja betona C25/30 u potporni zid</t>
  </si>
  <si>
    <t>8.</t>
  </si>
  <si>
    <t>Oplata zida izvedena u lukovima prema projektu</t>
  </si>
  <si>
    <t>9.</t>
  </si>
  <si>
    <t>10.</t>
  </si>
  <si>
    <t>kom.</t>
  </si>
  <si>
    <t>Iskoličenje parcelne granice i novog zida</t>
  </si>
  <si>
    <t>iskop za temeljenje zidu</t>
  </si>
  <si>
    <t>Geotekstil 300g/m2, dobava i ugradnja</t>
  </si>
  <si>
    <t xml:space="preserve">AB temelj zida 0,50 x 0,30 x 24,00 (Š x V x L) </t>
  </si>
  <si>
    <t>AB zid, 0,20 x 0,75 x 22,00 (Š x V x L)</t>
  </si>
  <si>
    <t>11.</t>
  </si>
  <si>
    <t>12.</t>
  </si>
  <si>
    <t>13.</t>
  </si>
  <si>
    <t>Dobava i ugradnja armature</t>
  </si>
  <si>
    <t>14.</t>
  </si>
  <si>
    <t>m1</t>
  </si>
  <si>
    <t>15.</t>
  </si>
  <si>
    <t>PARAPETNI ZID ZA MONTAŽU PANELNE OGRADE</t>
  </si>
  <si>
    <t xml:space="preserve">AB temelj zida 0,50 x 1,2 (Š x V) </t>
  </si>
  <si>
    <t>AB zid, 1,35 x 0,20 (Š x V)</t>
  </si>
  <si>
    <t>UKUPNO</t>
  </si>
  <si>
    <t>Nepredviđeni radovi</t>
  </si>
  <si>
    <t>%</t>
  </si>
  <si>
    <t>AB POTPORNI ZID – POSTOJEĆA ZGRADA</t>
  </si>
  <si>
    <t>Iskop za temelje, sa utovarom i odvozom na deponiju.</t>
  </si>
  <si>
    <t>Doba i ugradnja armature prema projektu</t>
  </si>
  <si>
    <t>Zatrpavanje sa kamenim materijalom.</t>
  </si>
  <si>
    <t>RUŠENJE I PONOVA IZGRADNJA PARAPETNOG ZIDA SA UKLANJANJEM I MONTAŽU POSTOJEĆE OGRADE</t>
  </si>
  <si>
    <t>Uklanjanje postojeće ograde</t>
  </si>
  <si>
    <t>Rušenje postojećega zida, odvoz materijala na trajnu deponiju</t>
  </si>
  <si>
    <t>Nosivni sloj od mehanički zbijenog zrnatog kamenog materijala 0/32, d=20cm</t>
  </si>
  <si>
    <t>Izvedba drenažne cjevi uz dno AB zida, posip sa šljunkom i umotano u filc</t>
  </si>
  <si>
    <t>Izvedba revizijskog okna i spajanje drenaže na odvodni kanal</t>
  </si>
  <si>
    <t>Iskop za temeljenje zidu</t>
  </si>
  <si>
    <t>Zatrpavanje sa iskopnim materijalom do potrebne visine.</t>
  </si>
  <si>
    <t>PDV</t>
  </si>
  <si>
    <t>SVEUKUPNO S PDV</t>
  </si>
  <si>
    <t>Napomena: PPO</t>
  </si>
  <si>
    <r>
      <t xml:space="preserve">Fasada vanjskih zidova </t>
    </r>
    <r>
      <rPr>
        <b/>
        <sz val="8"/>
        <color rgb="FFFF0000"/>
        <rFont val="Arial"/>
        <family val="2"/>
      </rPr>
      <t>GRUBO ZRNO 6 mm</t>
    </r>
    <r>
      <rPr>
        <b/>
        <sz val="8"/>
        <rFont val="Arial"/>
        <family val="2"/>
        <charset val="238"/>
      </rPr>
      <t xml:space="preserve">, MW </t>
    </r>
    <r>
      <rPr>
        <b/>
        <sz val="8"/>
        <color rgb="FFFF0000"/>
        <rFont val="Arial"/>
        <family val="2"/>
      </rPr>
      <t>d=16 cm</t>
    </r>
  </si>
  <si>
    <r>
      <t xml:space="preserve">c) odgovarajuća završna fasadna žbuka za ETICS sustave, d=0,3 cm, RAL prema odabiru projektanta, </t>
    </r>
    <r>
      <rPr>
        <b/>
        <sz val="8"/>
        <color rgb="FFFF0000"/>
        <rFont val="Arial"/>
        <family val="2"/>
      </rPr>
      <t>bojanje zaštitnom bojom</t>
    </r>
  </si>
  <si>
    <t>VTR</t>
  </si>
  <si>
    <t>m'</t>
  </si>
  <si>
    <t>Obrada stupova sa XPS 2-5cm, armaturni sloj sa profilima, impregnacija i završni sloj 1,5mm (HBW iznad 25, C1 ton). Uključena skela</t>
  </si>
  <si>
    <t>Nudimo dobavu i ugradnju STO Mineral sustava d=16cm sa udarnim tiplama, StoLevel Uni armaturni sloj, završna Stolit K 1,5 mm  (HBW iznad 25, C1 ton)</t>
  </si>
  <si>
    <t>Nudimo dobavu i ugradnju STO Mineral sustava d=16cm sa udarnim tiplama, StoLevel Uni armaturni sloj, završna Stolit K 6 mm i prebojavanje sa Lotusan G (HBW iznad 25, C1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</si>
</sst>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_-* #,##0.00\ [$kn-41A]_-;\-* #,##0.00\ [$kn-41A]_-;_-* &quot;-&quot;??\ [$kn-41A]_-;_-@"/>
    <numFmt numFmtId="165" formatCode="#,##0.00\ &quot;kn&quot;"/>
    <numFmt numFmtId="166" formatCode="\A&quot;.&quot;0\2&quot;.&quot;#,#0#&quot;.&quot;"/>
    <numFmt numFmtId="167" formatCode="0\1&quot;.&quot;#,#0#&quot;.&quot;"/>
    <numFmt numFmtId="168" formatCode="\A&quot;.&quot;0\1&quot;.&quot;#,#0#&quot;.&quot;"/>
    <numFmt numFmtId="169" formatCode="\B&quot;.&quot;0\1&quot;.&quot;#,#0#&quot;.&quot;"/>
    <numFmt numFmtId="170" formatCode="\C&quot;.&quot;0\1&quot;.&quot;#,#0#&quot;.&quot;"/>
    <numFmt numFmtId="171" formatCode="\C&quot;.&quot;0\2&quot;.&quot;#,#0#&quot;.&quot;"/>
    <numFmt numFmtId="172" formatCode="\C&quot;.&quot;0\3&quot;.&quot;#,#0#&quot;.&quot;"/>
    <numFmt numFmtId="173" formatCode="\C&quot;.&quot;0\4&quot;.&quot;#,#0#&quot;.&quot;"/>
    <numFmt numFmtId="174" formatCode="\C&quot;.&quot;0\5&quot;.&quot;#,#0#&quot;.&quot;"/>
    <numFmt numFmtId="175" formatCode="\C&quot;.&quot;0\6&quot;.&quot;#,#0#&quot;.&quot;"/>
    <numFmt numFmtId="176" formatCode="0\4&quot;.&quot;#,#0#&quot;.&quot;"/>
    <numFmt numFmtId="177" formatCode="0\5&quot;.&quot;#,#0#&quot;.&quot;"/>
    <numFmt numFmtId="178" formatCode="\A&quot;.&quot;0\3&quot;.&quot;#,#0#&quot;.&quot;"/>
    <numFmt numFmtId="179" formatCode="\A&quot;.&quot;0\6&quot;.&quot;#,#0#&quot;.&quot;"/>
    <numFmt numFmtId="180" formatCode="\A&quot;.&quot;0\5&quot;.&quot;#,#0#&quot;.&quot;"/>
    <numFmt numFmtId="181" formatCode="\A&quot;.&quot;0\4&quot;.&quot;#,#0#&quot;.&quot;"/>
    <numFmt numFmtId="182" formatCode="\B&quot;.&quot;0\2&quot;.&quot;#,#0#&quot;.&quot;"/>
    <numFmt numFmtId="183" formatCode="0\6&quot;.&quot;#,#0#&quot;.&quot;"/>
    <numFmt numFmtId="184" formatCode="_-* #,##0.00\ [$€-1]_-;\-* #,##0.00\ [$€-1]_-;_-* &quot;-&quot;??\ [$€-1]_-;_-@_-"/>
    <numFmt numFmtId="185" formatCode="#\ ##0.00"/>
    <numFmt numFmtId="186" formatCode="0\2&quot;.&quot;#,#0#&quot;.&quot;"/>
    <numFmt numFmtId="187" formatCode="0\3&quot;.&quot;#,#0#&quot;.&quot;"/>
    <numFmt numFmtId="188" formatCode="\B&quot;.&quot;0\3&quot;.&quot;#,#0#&quot;.&quot;"/>
    <numFmt numFmtId="189" formatCode="\B&quot;.&quot;0\4&quot;.&quot;#,#0#&quot;.&quot;"/>
    <numFmt numFmtId="190" formatCode="\A&quot;.&quot;0\7&quot;.&quot;#,#0#&quot;.&quot;"/>
    <numFmt numFmtId="191" formatCode="\B&quot;.&quot;0\6&quot;.&quot;#,#0#&quot;.&quot;"/>
    <numFmt numFmtId="192" formatCode="\B&quot;.&quot;0\5&quot;.&quot;#,#0#&quot;.&quot;"/>
    <numFmt numFmtId="193" formatCode="#,##0.00\ [$€-424];[Red]\-#,##0.00\ [$€-424]"/>
    <numFmt numFmtId="194" formatCode="#,##0.00\ [$€-424];\-#,##0.00\ [$€-424]"/>
    <numFmt numFmtId="195" formatCode="0.00\ %"/>
  </numFmts>
  <fonts count="52">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color rgb="FF000000"/>
      <name val="Arial"/>
      <family val="2"/>
      <charset val="238"/>
    </font>
    <font>
      <sz val="10"/>
      <color rgb="FF000000"/>
      <name val="Arial"/>
      <family val="2"/>
      <charset val="238"/>
    </font>
    <font>
      <sz val="10"/>
      <name val="Arial"/>
      <family val="2"/>
      <charset val="238"/>
    </font>
    <font>
      <b/>
      <sz val="8"/>
      <name val="Arial"/>
      <family val="2"/>
    </font>
    <font>
      <sz val="8"/>
      <name val="Arial"/>
      <family val="2"/>
    </font>
    <font>
      <sz val="8"/>
      <color rgb="FFFF0000"/>
      <name val="Arial"/>
      <family val="2"/>
    </font>
    <font>
      <sz val="10"/>
      <name val="Arial"/>
      <family val="2"/>
    </font>
    <font>
      <sz val="10"/>
      <name val="Arial"/>
      <family val="2"/>
    </font>
    <font>
      <b/>
      <sz val="8"/>
      <color theme="1"/>
      <name val="Arial"/>
      <family val="2"/>
    </font>
    <font>
      <sz val="11"/>
      <name val="Arial CE"/>
      <charset val="238"/>
    </font>
    <font>
      <sz val="8"/>
      <color theme="1"/>
      <name val="Arial"/>
      <family val="2"/>
    </font>
    <font>
      <sz val="10"/>
      <name val="Arial CE"/>
      <charset val="238"/>
    </font>
    <font>
      <sz val="11"/>
      <color rgb="FF9C0006"/>
      <name val="Calibri"/>
      <family val="2"/>
      <charset val="238"/>
      <scheme val="minor"/>
    </font>
    <font>
      <sz val="8"/>
      <name val="Calibri"/>
      <family val="2"/>
      <scheme val="minor"/>
    </font>
    <font>
      <b/>
      <sz val="8"/>
      <name val="Arial"/>
      <family val="2"/>
      <charset val="238"/>
    </font>
    <font>
      <sz val="8"/>
      <name val="Arial"/>
      <family val="2"/>
      <charset val="238"/>
    </font>
    <font>
      <i/>
      <sz val="8"/>
      <name val="Arial"/>
      <family val="2"/>
    </font>
    <font>
      <sz val="11"/>
      <color theme="1"/>
      <name val="Calibri"/>
      <family val="2"/>
      <scheme val="minor"/>
    </font>
    <font>
      <sz val="11"/>
      <name val="Arial"/>
      <family val="2"/>
    </font>
    <font>
      <b/>
      <strike/>
      <sz val="8"/>
      <name val="Arial"/>
      <family val="2"/>
    </font>
    <font>
      <strike/>
      <sz val="8"/>
      <name val="Arial"/>
      <family val="2"/>
    </font>
    <font>
      <sz val="11"/>
      <name val="Calibri"/>
      <family val="2"/>
      <scheme val="minor"/>
    </font>
    <font>
      <b/>
      <sz val="8"/>
      <color rgb="FFFF0000"/>
      <name val="Arial"/>
      <family val="2"/>
    </font>
    <font>
      <sz val="8"/>
      <color rgb="FFFF0000"/>
      <name val="Arial"/>
      <family val="2"/>
      <charset val="238"/>
    </font>
    <font>
      <sz val="8"/>
      <color theme="1"/>
      <name val="Calibri"/>
      <family val="2"/>
      <scheme val="minor"/>
    </font>
    <font>
      <sz val="8"/>
      <color rgb="FF9C0006"/>
      <name val="Calibri"/>
      <family val="2"/>
      <charset val="238"/>
      <scheme val="minor"/>
    </font>
    <font>
      <sz val="8"/>
      <color theme="1"/>
      <name val="Arial"/>
      <family val="2"/>
      <charset val="238"/>
    </font>
    <font>
      <sz val="8"/>
      <color rgb="FFFF0000"/>
      <name val="Calibri"/>
      <family val="2"/>
      <scheme val="minor"/>
    </font>
    <font>
      <b/>
      <sz val="8"/>
      <color rgb="FFFF0000"/>
      <name val="Arial"/>
      <family val="2"/>
      <charset val="238"/>
    </font>
    <font>
      <sz val="8"/>
      <name val="Calibri"/>
      <family val="2"/>
    </font>
    <font>
      <b/>
      <sz val="8"/>
      <color rgb="FF00B050"/>
      <name val="Arial"/>
      <family val="2"/>
      <charset val="238"/>
    </font>
    <font>
      <sz val="8"/>
      <color rgb="FF00B050"/>
      <name val="Arial"/>
      <family val="2"/>
      <charset val="238"/>
    </font>
    <font>
      <b/>
      <sz val="8"/>
      <color theme="1"/>
      <name val="Arial"/>
      <family val="2"/>
      <charset val="238"/>
    </font>
    <font>
      <strike/>
      <sz val="8"/>
      <color rgb="FFFF0000"/>
      <name val="Arial"/>
      <family val="2"/>
    </font>
    <font>
      <i/>
      <sz val="8"/>
      <color theme="1"/>
      <name val="Arial"/>
      <family val="2"/>
    </font>
    <font>
      <sz val="11"/>
      <color rgb="FFFF0000"/>
      <name val="Arial"/>
      <family val="2"/>
    </font>
    <font>
      <b/>
      <strike/>
      <sz val="8"/>
      <color rgb="FFFF0000"/>
      <name val="Arial"/>
      <family val="2"/>
    </font>
    <font>
      <strike/>
      <sz val="11"/>
      <color rgb="FFFF0000"/>
      <name val="Arial"/>
      <family val="2"/>
    </font>
    <font>
      <b/>
      <sz val="12"/>
      <color theme="1"/>
      <name val="Swis721 BT"/>
      <family val="2"/>
      <charset val="238"/>
    </font>
    <font>
      <sz val="12"/>
      <color theme="1"/>
      <name val="Swis721 BT"/>
      <family val="2"/>
      <charset val="238"/>
    </font>
    <font>
      <b/>
      <sz val="11"/>
      <color theme="1"/>
      <name val="Calibri"/>
      <family val="2"/>
      <charset val="1"/>
    </font>
    <font>
      <b/>
      <u/>
      <sz val="8"/>
      <color rgb="FFFF0000"/>
      <name val="Arial"/>
      <family val="2"/>
      <charset val="238"/>
    </font>
  </fonts>
  <fills count="15">
    <fill>
      <patternFill patternType="none"/>
    </fill>
    <fill>
      <patternFill patternType="gray125"/>
    </fill>
    <fill>
      <patternFill patternType="solid">
        <fgColor rgb="FFD8D8D8"/>
        <bgColor rgb="FFD8D8D8"/>
      </patternFill>
    </fill>
    <fill>
      <patternFill patternType="solid">
        <fgColor rgb="FFCCFFFF"/>
        <bgColor rgb="FFCCFFFF"/>
      </patternFill>
    </fill>
    <fill>
      <patternFill patternType="solid">
        <fgColor rgb="FFFBE4D5"/>
        <bgColor rgb="FFFBE4D5"/>
      </patternFill>
    </fill>
    <fill>
      <patternFill patternType="solid">
        <fgColor theme="0" tint="-0.14999847407452621"/>
        <bgColor indexed="64"/>
      </patternFill>
    </fill>
    <fill>
      <patternFill patternType="solid">
        <fgColor theme="0" tint="-0.14999847407452621"/>
        <bgColor rgb="FFBFBFBF"/>
      </patternFill>
    </fill>
    <fill>
      <patternFill patternType="solid">
        <fgColor theme="0" tint="-0.14999847407452621"/>
        <bgColor rgb="FFD8D8D8"/>
      </patternFill>
    </fill>
    <fill>
      <patternFill patternType="solid">
        <fgColor rgb="FFFFC7CE"/>
      </patternFill>
    </fill>
    <fill>
      <patternFill patternType="solid">
        <fgColor indexed="41"/>
        <bgColor indexed="64"/>
      </patternFill>
    </fill>
    <fill>
      <patternFill patternType="solid">
        <fgColor indexed="27"/>
        <bgColor indexed="41"/>
      </patternFill>
    </fill>
    <fill>
      <patternFill patternType="solid">
        <fgColor rgb="FFFEF2CB"/>
        <bgColor rgb="FFFEF2CB"/>
      </patternFill>
    </fill>
    <fill>
      <patternFill patternType="solid">
        <fgColor theme="7" tint="0.59999389629810485"/>
        <bgColor indexed="64"/>
      </patternFill>
    </fill>
    <fill>
      <patternFill patternType="solid">
        <fgColor theme="0" tint="-0.249977111117893"/>
        <bgColor indexed="64"/>
      </patternFill>
    </fill>
    <fill>
      <patternFill patternType="solid">
        <fgColor theme="0"/>
        <bgColor indexed="64"/>
      </patternFill>
    </fill>
  </fills>
  <borders count="6">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rgb="FFD4AA00"/>
      </top>
      <bottom style="thin">
        <color rgb="FFD4AA00"/>
      </bottom>
      <diagonal/>
    </border>
    <border>
      <left/>
      <right/>
      <top style="thin">
        <color rgb="FFD4AA00"/>
      </top>
      <bottom/>
      <diagonal/>
    </border>
    <border>
      <left/>
      <right/>
      <top style="thin">
        <color rgb="FFD4AA00"/>
      </top>
      <bottom style="double">
        <color rgb="FFD4AA00"/>
      </bottom>
      <diagonal/>
    </border>
  </borders>
  <cellStyleXfs count="43">
    <xf numFmtId="0" fontId="0" fillId="0" borderId="0"/>
    <xf numFmtId="0" fontId="10" fillId="0" borderId="0"/>
    <xf numFmtId="0" fontId="11" fillId="0" borderId="0"/>
    <xf numFmtId="0" fontId="9" fillId="0" borderId="0"/>
    <xf numFmtId="0" fontId="9" fillId="0" borderId="0"/>
    <xf numFmtId="0" fontId="8" fillId="0" borderId="0"/>
    <xf numFmtId="0" fontId="8" fillId="0" borderId="0"/>
    <xf numFmtId="0" fontId="8" fillId="0" borderId="0"/>
    <xf numFmtId="0" fontId="16" fillId="0" borderId="0"/>
    <xf numFmtId="0" fontId="8" fillId="0" borderId="0"/>
    <xf numFmtId="0" fontId="17" fillId="0" borderId="0"/>
    <xf numFmtId="0" fontId="12" fillId="0" borderId="0"/>
    <xf numFmtId="0" fontId="7" fillId="0" borderId="0"/>
    <xf numFmtId="0" fontId="7" fillId="0" borderId="0"/>
    <xf numFmtId="0" fontId="7" fillId="0" borderId="0"/>
    <xf numFmtId="0" fontId="6" fillId="0" borderId="0"/>
    <xf numFmtId="0" fontId="5" fillId="0" borderId="0"/>
    <xf numFmtId="0" fontId="4" fillId="0" borderId="0"/>
    <xf numFmtId="49" fontId="19" fillId="0" borderId="0">
      <alignment horizontal="justify" vertical="justify" wrapText="1"/>
      <protection locked="0"/>
    </xf>
    <xf numFmtId="0" fontId="21" fillId="0" borderId="0"/>
    <xf numFmtId="0" fontId="4" fillId="0" borderId="0"/>
    <xf numFmtId="0" fontId="10" fillId="0" borderId="0"/>
    <xf numFmtId="0" fontId="4" fillId="0" borderId="0"/>
    <xf numFmtId="0" fontId="16" fillId="0" borderId="0"/>
    <xf numFmtId="0" fontId="4" fillId="0" borderId="0"/>
    <xf numFmtId="0" fontId="4" fillId="0" borderId="0"/>
    <xf numFmtId="0" fontId="4" fillId="0" borderId="0"/>
    <xf numFmtId="0" fontId="4" fillId="0" borderId="0"/>
    <xf numFmtId="0" fontId="4" fillId="0" borderId="0"/>
    <xf numFmtId="0" fontId="22" fillId="8" borderId="0" applyNumberFormat="0" applyBorder="0" applyAlignment="0" applyProtection="0"/>
    <xf numFmtId="0" fontId="12" fillId="0" borderId="0"/>
    <xf numFmtId="0" fontId="4" fillId="0" borderId="0"/>
    <xf numFmtId="0" fontId="4" fillId="0" borderId="0"/>
    <xf numFmtId="0" fontId="3" fillId="0" borderId="0"/>
    <xf numFmtId="0" fontId="27" fillId="0" borderId="0"/>
    <xf numFmtId="0" fontId="22" fillId="8" borderId="0" applyNumberFormat="0" applyBorder="0" applyAlignment="0" applyProtection="0"/>
    <xf numFmtId="0" fontId="2" fillId="0" borderId="0"/>
    <xf numFmtId="0" fontId="27" fillId="0" borderId="0"/>
    <xf numFmtId="0" fontId="1" fillId="0" borderId="0"/>
    <xf numFmtId="0" fontId="1" fillId="0" borderId="0"/>
    <xf numFmtId="0" fontId="1" fillId="0" borderId="0"/>
    <xf numFmtId="0" fontId="21" fillId="0" borderId="0"/>
    <xf numFmtId="0" fontId="1" fillId="0" borderId="0"/>
  </cellStyleXfs>
  <cellXfs count="812">
    <xf numFmtId="0" fontId="0" fillId="0" borderId="0" xfId="0"/>
    <xf numFmtId="0" fontId="13" fillId="5" borderId="1" xfId="17" applyFont="1" applyFill="1" applyBorder="1" applyAlignment="1">
      <alignment horizontal="left" vertical="center"/>
    </xf>
    <xf numFmtId="0" fontId="18" fillId="5" borderId="1" xfId="17" applyFont="1" applyFill="1" applyBorder="1" applyAlignment="1">
      <alignment horizontal="left" vertical="center"/>
    </xf>
    <xf numFmtId="4" fontId="14" fillId="0" borderId="1" xfId="15" applyNumberFormat="1" applyFont="1" applyBorder="1" applyAlignment="1">
      <alignment horizontal="left" vertical="center"/>
    </xf>
    <xf numFmtId="0" fontId="0" fillId="12" borderId="0" xfId="0" applyFill="1"/>
    <xf numFmtId="0" fontId="18" fillId="12" borderId="0" xfId="0" applyFont="1" applyFill="1"/>
    <xf numFmtId="10" fontId="0" fillId="0" borderId="0" xfId="0" applyNumberFormat="1"/>
    <xf numFmtId="184" fontId="0" fillId="0" borderId="0" xfId="0" applyNumberFormat="1"/>
    <xf numFmtId="184" fontId="18" fillId="5" borderId="1" xfId="17" applyNumberFormat="1" applyFont="1" applyFill="1" applyBorder="1" applyAlignment="1">
      <alignment horizontal="right" vertical="center"/>
    </xf>
    <xf numFmtId="184" fontId="14" fillId="0" borderId="1" xfId="15" applyNumberFormat="1" applyFont="1" applyBorder="1" applyAlignment="1">
      <alignment horizontal="right" vertical="center"/>
    </xf>
    <xf numFmtId="184" fontId="20" fillId="0" borderId="0" xfId="0" applyNumberFormat="1" applyFont="1" applyAlignment="1">
      <alignment horizontal="right"/>
    </xf>
    <xf numFmtId="184" fontId="18" fillId="12" borderId="0" xfId="0" applyNumberFormat="1" applyFont="1" applyFill="1" applyAlignment="1">
      <alignment horizontal="right"/>
    </xf>
    <xf numFmtId="0" fontId="13" fillId="0" borderId="1" xfId="0" applyFont="1" applyBorder="1"/>
    <xf numFmtId="0" fontId="13" fillId="0" borderId="1" xfId="10" applyFont="1" applyBorder="1" applyAlignment="1">
      <alignment vertical="top"/>
    </xf>
    <xf numFmtId="4" fontId="14" fillId="0" borderId="1" xfId="0" applyNumberFormat="1" applyFont="1" applyBorder="1" applyAlignment="1">
      <alignment horizontal="center" vertical="center"/>
    </xf>
    <xf numFmtId="0" fontId="14" fillId="0" borderId="1" xfId="5" applyFont="1" applyBorder="1" applyAlignment="1">
      <alignment vertical="top" wrapText="1"/>
    </xf>
    <xf numFmtId="4" fontId="14" fillId="0" borderId="1" xfId="0" applyNumberFormat="1" applyFont="1" applyBorder="1" applyAlignment="1">
      <alignment horizontal="center" vertical="center" wrapText="1"/>
    </xf>
    <xf numFmtId="0" fontId="14" fillId="0" borderId="1" xfId="0" applyFont="1" applyBorder="1" applyAlignment="1">
      <alignment vertical="top" wrapText="1"/>
    </xf>
    <xf numFmtId="176" fontId="13" fillId="0" borderId="1" xfId="5" applyNumberFormat="1" applyFont="1" applyBorder="1" applyAlignment="1">
      <alignment horizontal="left" vertical="top"/>
    </xf>
    <xf numFmtId="49" fontId="13" fillId="0" borderId="1" xfId="5" applyNumberFormat="1" applyFont="1" applyBorder="1" applyAlignment="1">
      <alignment vertical="top" wrapText="1"/>
    </xf>
    <xf numFmtId="49" fontId="14" fillId="0" borderId="1" xfId="5" applyNumberFormat="1" applyFont="1" applyBorder="1" applyAlignment="1">
      <alignment horizontal="center" vertical="top"/>
    </xf>
    <xf numFmtId="4" fontId="14" fillId="0" borderId="1" xfId="5" applyNumberFormat="1" applyFont="1" applyBorder="1" applyAlignment="1">
      <alignment horizontal="center" vertical="center"/>
    </xf>
    <xf numFmtId="49" fontId="14" fillId="0" borderId="1" xfId="5" applyNumberFormat="1" applyFont="1" applyBorder="1" applyAlignment="1">
      <alignment vertical="top" wrapText="1"/>
    </xf>
    <xf numFmtId="0" fontId="13" fillId="5" borderId="1" xfId="22" applyFont="1" applyFill="1" applyBorder="1" applyAlignment="1">
      <alignment horizontal="left" vertical="top" wrapText="1"/>
    </xf>
    <xf numFmtId="0" fontId="13" fillId="5" borderId="1" xfId="22" applyFont="1" applyFill="1" applyBorder="1" applyAlignment="1">
      <alignment horizontal="right" vertical="top" wrapText="1"/>
    </xf>
    <xf numFmtId="0" fontId="13" fillId="5" borderId="1" xfId="22" applyFont="1" applyFill="1" applyBorder="1" applyAlignment="1">
      <alignment horizontal="center" vertical="top" wrapText="1"/>
    </xf>
    <xf numFmtId="4" fontId="14" fillId="5" borderId="1" xfId="22" applyNumberFormat="1" applyFont="1" applyFill="1" applyBorder="1" applyAlignment="1">
      <alignment horizontal="center" vertical="center" wrapText="1"/>
    </xf>
    <xf numFmtId="0" fontId="13" fillId="0" borderId="0" xfId="22" applyFont="1" applyAlignment="1">
      <alignment vertical="top" wrapText="1"/>
    </xf>
    <xf numFmtId="0" fontId="14" fillId="0" borderId="0" xfId="17" applyFont="1" applyAlignment="1">
      <alignment vertical="top"/>
    </xf>
    <xf numFmtId="0" fontId="13" fillId="5" borderId="1" xfId="22" applyFont="1" applyFill="1" applyBorder="1" applyAlignment="1">
      <alignment vertical="top" wrapText="1"/>
    </xf>
    <xf numFmtId="183" fontId="13" fillId="0" borderId="1" xfId="17" applyNumberFormat="1" applyFont="1" applyBorder="1" applyAlignment="1">
      <alignment horizontal="left" vertical="top"/>
    </xf>
    <xf numFmtId="0" fontId="14" fillId="0" borderId="1" xfId="8" applyFont="1" applyBorder="1" applyAlignment="1">
      <alignment vertical="top" wrapText="1"/>
    </xf>
    <xf numFmtId="0" fontId="14" fillId="0" borderId="1" xfId="17" applyFont="1" applyBorder="1" applyAlignment="1">
      <alignment horizontal="center" vertical="top"/>
    </xf>
    <xf numFmtId="4" fontId="14" fillId="0" borderId="1" xfId="17" applyNumberFormat="1" applyFont="1" applyBorder="1" applyAlignment="1">
      <alignment horizontal="center" vertical="center"/>
    </xf>
    <xf numFmtId="0" fontId="26" fillId="0" borderId="1" xfId="21" applyFont="1" applyBorder="1" applyAlignment="1">
      <alignment vertical="top" wrapText="1"/>
    </xf>
    <xf numFmtId="0" fontId="14" fillId="0" borderId="1" xfId="21" applyFont="1" applyBorder="1" applyAlignment="1">
      <alignment vertical="top" wrapText="1"/>
    </xf>
    <xf numFmtId="0" fontId="14" fillId="0" borderId="0" xfId="17" applyFont="1" applyAlignment="1">
      <alignment horizontal="center" vertical="center"/>
    </xf>
    <xf numFmtId="0" fontId="14" fillId="0" borderId="1" xfId="17" applyFont="1" applyBorder="1" applyAlignment="1">
      <alignment horizontal="left" vertical="top" wrapText="1"/>
    </xf>
    <xf numFmtId="0" fontId="14" fillId="0" borderId="1" xfId="17" applyFont="1" applyBorder="1" applyAlignment="1">
      <alignment vertical="top" wrapText="1"/>
    </xf>
    <xf numFmtId="0" fontId="14" fillId="0" borderId="1" xfId="17" applyFont="1" applyBorder="1" applyAlignment="1">
      <alignment horizontal="center" vertical="top" wrapText="1"/>
    </xf>
    <xf numFmtId="4" fontId="14" fillId="0" borderId="1" xfId="17" applyNumberFormat="1" applyFont="1" applyBorder="1" applyAlignment="1">
      <alignment horizontal="center" vertical="center" wrapText="1"/>
    </xf>
    <xf numFmtId="0" fontId="14" fillId="0" borderId="0" xfId="17" applyFont="1" applyAlignment="1">
      <alignment vertical="top" wrapText="1"/>
    </xf>
    <xf numFmtId="0" fontId="13" fillId="4" borderId="1" xfId="0" applyFont="1" applyFill="1" applyBorder="1" applyAlignment="1">
      <alignment horizontal="left" vertical="top" wrapText="1"/>
    </xf>
    <xf numFmtId="0" fontId="13" fillId="4" borderId="1" xfId="0" applyFont="1" applyFill="1" applyBorder="1" applyAlignment="1">
      <alignment vertical="top" wrapText="1"/>
    </xf>
    <xf numFmtId="0" fontId="13" fillId="4" borderId="1" xfId="0" applyFont="1" applyFill="1" applyBorder="1" applyAlignment="1">
      <alignment horizontal="center" vertical="center" wrapText="1"/>
    </xf>
    <xf numFmtId="4" fontId="13" fillId="4" borderId="1" xfId="0" applyNumberFormat="1" applyFont="1" applyFill="1" applyBorder="1" applyAlignment="1">
      <alignment horizontal="center" vertical="center" wrapText="1"/>
    </xf>
    <xf numFmtId="4" fontId="13" fillId="4" borderId="1" xfId="0" applyNumberFormat="1" applyFont="1" applyFill="1" applyBorder="1" applyAlignment="1">
      <alignment vertical="center"/>
    </xf>
    <xf numFmtId="165" fontId="13" fillId="4" borderId="1" xfId="0" applyNumberFormat="1" applyFont="1" applyFill="1" applyBorder="1" applyAlignment="1">
      <alignment horizontal="center" vertical="top" wrapText="1"/>
    </xf>
    <xf numFmtId="4" fontId="14" fillId="0" borderId="1" xfId="0" applyNumberFormat="1" applyFont="1" applyBorder="1" applyAlignment="1">
      <alignment horizontal="left" vertical="top" wrapText="1"/>
    </xf>
    <xf numFmtId="4" fontId="13" fillId="0" borderId="1" xfId="0" applyNumberFormat="1" applyFont="1" applyBorder="1" applyAlignment="1">
      <alignment horizontal="left" vertical="top" wrapText="1"/>
    </xf>
    <xf numFmtId="166" fontId="13" fillId="6" borderId="1" xfId="2" applyNumberFormat="1" applyFont="1" applyFill="1" applyBorder="1" applyAlignment="1">
      <alignment horizontal="left" vertical="top"/>
    </xf>
    <xf numFmtId="0" fontId="14" fillId="6" borderId="1" xfId="2" applyFont="1" applyFill="1" applyBorder="1" applyAlignment="1">
      <alignment horizontal="center" vertical="center" wrapText="1"/>
    </xf>
    <xf numFmtId="4" fontId="14" fillId="6" borderId="1" xfId="2" applyNumberFormat="1" applyFont="1" applyFill="1" applyBorder="1" applyAlignment="1">
      <alignment horizontal="center" vertical="center"/>
    </xf>
    <xf numFmtId="164" fontId="14" fillId="6" borderId="1" xfId="2" applyNumberFormat="1" applyFont="1" applyFill="1" applyBorder="1" applyAlignment="1">
      <alignment horizontal="center" vertical="center"/>
    </xf>
    <xf numFmtId="164" fontId="14" fillId="6" borderId="1" xfId="2" applyNumberFormat="1" applyFont="1" applyFill="1" applyBorder="1" applyAlignment="1">
      <alignment vertical="center"/>
    </xf>
    <xf numFmtId="4" fontId="14" fillId="6" borderId="1" xfId="2" applyNumberFormat="1" applyFont="1" applyFill="1" applyBorder="1" applyAlignment="1">
      <alignment horizontal="center" vertical="center" wrapText="1"/>
    </xf>
    <xf numFmtId="2" fontId="14" fillId="0" borderId="0" xfId="2" applyNumberFormat="1" applyFont="1"/>
    <xf numFmtId="0" fontId="14" fillId="0" borderId="0" xfId="2" applyFont="1"/>
    <xf numFmtId="168" fontId="13" fillId="0" borderId="1" xfId="21" applyNumberFormat="1" applyFont="1" applyBorder="1" applyAlignment="1">
      <alignment horizontal="left" vertical="top"/>
    </xf>
    <xf numFmtId="0" fontId="14" fillId="0" borderId="1" xfId="0" applyFont="1" applyBorder="1" applyAlignment="1">
      <alignment vertical="center"/>
    </xf>
    <xf numFmtId="0" fontId="14" fillId="0" borderId="1" xfId="21" applyFont="1" applyBorder="1" applyAlignment="1">
      <alignment horizontal="center" vertical="center" wrapText="1"/>
    </xf>
    <xf numFmtId="4" fontId="14" fillId="0" borderId="1" xfId="21" applyNumberFormat="1" applyFont="1" applyBorder="1" applyAlignment="1">
      <alignment horizontal="center" vertical="center" wrapText="1"/>
    </xf>
    <xf numFmtId="4" fontId="14" fillId="0" borderId="1" xfId="0" applyNumberFormat="1" applyFont="1" applyBorder="1" applyAlignment="1">
      <alignment vertical="center"/>
    </xf>
    <xf numFmtId="0" fontId="14" fillId="0" borderId="1" xfId="21" applyFont="1" applyBorder="1" applyAlignment="1">
      <alignment horizontal="right" wrapText="1"/>
    </xf>
    <xf numFmtId="2" fontId="14" fillId="0" borderId="0" xfId="21" applyNumberFormat="1" applyFont="1" applyAlignment="1">
      <alignment vertical="top" wrapText="1"/>
    </xf>
    <xf numFmtId="0" fontId="14" fillId="0" borderId="0" xfId="21" applyFont="1" applyAlignment="1">
      <alignment vertical="top" wrapText="1"/>
    </xf>
    <xf numFmtId="0" fontId="14" fillId="0" borderId="0" xfId="21" applyFont="1"/>
    <xf numFmtId="4" fontId="13" fillId="6" borderId="1" xfId="0" applyNumberFormat="1" applyFont="1" applyFill="1" applyBorder="1" applyAlignment="1">
      <alignment vertical="center"/>
    </xf>
    <xf numFmtId="4" fontId="13" fillId="0" borderId="1" xfId="0" applyNumberFormat="1" applyFont="1" applyBorder="1" applyAlignment="1">
      <alignment vertical="center"/>
    </xf>
    <xf numFmtId="4" fontId="13" fillId="5" borderId="1" xfId="0" applyNumberFormat="1" applyFont="1" applyFill="1" applyBorder="1" applyAlignment="1">
      <alignment vertical="center"/>
    </xf>
    <xf numFmtId="4" fontId="14" fillId="0" borderId="1" xfId="5" applyNumberFormat="1" applyFont="1" applyBorder="1" applyAlignment="1">
      <alignment vertical="center"/>
    </xf>
    <xf numFmtId="4" fontId="14" fillId="0" borderId="1" xfId="22" applyNumberFormat="1" applyFont="1" applyBorder="1" applyAlignment="1">
      <alignment vertical="center"/>
    </xf>
    <xf numFmtId="4" fontId="13" fillId="7" borderId="1" xfId="0" applyNumberFormat="1" applyFont="1" applyFill="1" applyBorder="1" applyAlignment="1">
      <alignment vertical="center"/>
    </xf>
    <xf numFmtId="4" fontId="14" fillId="11" borderId="1" xfId="0" applyNumberFormat="1" applyFont="1" applyFill="1" applyBorder="1" applyAlignment="1">
      <alignment horizontal="right" vertical="center"/>
    </xf>
    <xf numFmtId="4" fontId="14" fillId="0" borderId="1" xfId="0" applyNumberFormat="1" applyFont="1" applyBorder="1" applyAlignment="1">
      <alignment horizontal="right" vertical="center"/>
    </xf>
    <xf numFmtId="4" fontId="14" fillId="2" borderId="1" xfId="0" applyNumberFormat="1" applyFont="1" applyFill="1" applyBorder="1" applyAlignment="1">
      <alignment horizontal="right" vertical="center"/>
    </xf>
    <xf numFmtId="4" fontId="13" fillId="0" borderId="1" xfId="0" applyNumberFormat="1" applyFont="1" applyBorder="1" applyAlignment="1">
      <alignment horizontal="center" vertical="center" wrapText="1"/>
    </xf>
    <xf numFmtId="0" fontId="14" fillId="0" borderId="1" xfId="0" applyFont="1" applyBorder="1" applyAlignment="1">
      <alignment horizontal="right" wrapText="1"/>
    </xf>
    <xf numFmtId="173" fontId="13" fillId="11" borderId="1" xfId="0" applyNumberFormat="1" applyFont="1" applyFill="1" applyBorder="1" applyAlignment="1">
      <alignment horizontal="left" vertical="top"/>
    </xf>
    <xf numFmtId="4" fontId="13" fillId="11" borderId="1" xfId="0" applyNumberFormat="1" applyFont="1" applyFill="1" applyBorder="1" applyAlignment="1">
      <alignment vertical="top" wrapText="1"/>
    </xf>
    <xf numFmtId="4" fontId="13" fillId="11" borderId="1" xfId="0" applyNumberFormat="1" applyFont="1" applyFill="1" applyBorder="1" applyAlignment="1">
      <alignment horizontal="center" vertical="center" wrapText="1"/>
    </xf>
    <xf numFmtId="4" fontId="14" fillId="11" borderId="1" xfId="0" applyNumberFormat="1" applyFont="1" applyFill="1" applyBorder="1" applyAlignment="1">
      <alignment horizontal="center" vertical="center"/>
    </xf>
    <xf numFmtId="173" fontId="13" fillId="0" borderId="1" xfId="0" applyNumberFormat="1" applyFont="1" applyBorder="1" applyAlignment="1">
      <alignment horizontal="left" vertical="top"/>
    </xf>
    <xf numFmtId="4" fontId="13" fillId="0" borderId="1" xfId="0" applyNumberFormat="1" applyFont="1" applyBorder="1" applyAlignment="1">
      <alignment vertical="top" wrapText="1"/>
    </xf>
    <xf numFmtId="173" fontId="13" fillId="2" borderId="1" xfId="0" applyNumberFormat="1" applyFont="1" applyFill="1" applyBorder="1" applyAlignment="1">
      <alignment horizontal="left" vertical="top"/>
    </xf>
    <xf numFmtId="4" fontId="13" fillId="2" borderId="1" xfId="0" applyNumberFormat="1" applyFont="1" applyFill="1" applyBorder="1" applyAlignment="1">
      <alignment vertical="top" wrapText="1"/>
    </xf>
    <xf numFmtId="4" fontId="13" fillId="2" borderId="1" xfId="0" applyNumberFormat="1" applyFont="1" applyFill="1" applyBorder="1" applyAlignment="1">
      <alignment horizontal="center" vertical="center" wrapText="1"/>
    </xf>
    <xf numFmtId="4" fontId="14" fillId="2" borderId="1" xfId="0" applyNumberFormat="1" applyFont="1" applyFill="1" applyBorder="1" applyAlignment="1">
      <alignment horizontal="center" vertical="center"/>
    </xf>
    <xf numFmtId="4" fontId="13" fillId="0" borderId="1" xfId="0" applyNumberFormat="1" applyFont="1" applyBorder="1"/>
    <xf numFmtId="4" fontId="13" fillId="0" borderId="1" xfId="0" applyNumberFormat="1" applyFont="1" applyBorder="1" applyAlignment="1">
      <alignment vertical="top"/>
    </xf>
    <xf numFmtId="0" fontId="13" fillId="0" borderId="1" xfId="0" applyFont="1" applyBorder="1" applyAlignment="1">
      <alignment horizontal="center" vertical="center"/>
    </xf>
    <xf numFmtId="4" fontId="13" fillId="0" borderId="1" xfId="0" applyNumberFormat="1" applyFont="1" applyBorder="1" applyAlignment="1">
      <alignment horizontal="center" vertical="center"/>
    </xf>
    <xf numFmtId="166" fontId="13" fillId="0" borderId="1" xfId="0" applyNumberFormat="1" applyFont="1" applyBorder="1"/>
    <xf numFmtId="0" fontId="13" fillId="0" borderId="1" xfId="0" applyFont="1" applyBorder="1" applyAlignment="1">
      <alignment vertical="top"/>
    </xf>
    <xf numFmtId="173" fontId="13" fillId="5" borderId="1" xfId="0" applyNumberFormat="1" applyFont="1" applyFill="1" applyBorder="1"/>
    <xf numFmtId="4" fontId="13" fillId="5" borderId="1" xfId="0" applyNumberFormat="1" applyFont="1" applyFill="1" applyBorder="1"/>
    <xf numFmtId="0" fontId="13" fillId="5" borderId="1" xfId="0" applyFont="1" applyFill="1" applyBorder="1" applyAlignment="1">
      <alignment horizontal="center" vertical="center"/>
    </xf>
    <xf numFmtId="4" fontId="13" fillId="5" borderId="1" xfId="0" applyNumberFormat="1" applyFont="1" applyFill="1" applyBorder="1" applyAlignment="1">
      <alignment horizontal="center" vertical="center"/>
    </xf>
    <xf numFmtId="0" fontId="13" fillId="5" borderId="1" xfId="0" applyFont="1" applyFill="1" applyBorder="1"/>
    <xf numFmtId="4" fontId="14" fillId="0" borderId="1" xfId="0" applyNumberFormat="1"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horizontal="left" vertical="top" wrapText="1"/>
    </xf>
    <xf numFmtId="0" fontId="13" fillId="0" borderId="1" xfId="17" applyFont="1" applyBorder="1" applyAlignment="1">
      <alignment horizontal="left" vertical="top"/>
    </xf>
    <xf numFmtId="0" fontId="13" fillId="0" borderId="1" xfId="17" applyFont="1" applyBorder="1" applyAlignment="1">
      <alignment horizontal="center" vertical="top"/>
    </xf>
    <xf numFmtId="4" fontId="13" fillId="0" borderId="1" xfId="17" applyNumberFormat="1" applyFont="1" applyBorder="1" applyAlignment="1">
      <alignment horizontal="center" vertical="center"/>
    </xf>
    <xf numFmtId="173" fontId="13" fillId="5" borderId="1" xfId="17" applyNumberFormat="1" applyFont="1" applyFill="1" applyBorder="1" applyAlignment="1">
      <alignment horizontal="left" vertical="top"/>
    </xf>
    <xf numFmtId="4" fontId="13" fillId="5" borderId="1" xfId="17" applyNumberFormat="1" applyFont="1" applyFill="1" applyBorder="1" applyAlignment="1">
      <alignment vertical="top"/>
    </xf>
    <xf numFmtId="0" fontId="13" fillId="5" borderId="1" xfId="17" applyFont="1" applyFill="1" applyBorder="1" applyAlignment="1">
      <alignment horizontal="center" vertical="top"/>
    </xf>
    <xf numFmtId="4" fontId="13" fillId="5" borderId="1" xfId="17" applyNumberFormat="1" applyFont="1" applyFill="1" applyBorder="1" applyAlignment="1">
      <alignment horizontal="center" vertical="center"/>
    </xf>
    <xf numFmtId="4" fontId="13" fillId="0" borderId="1" xfId="31" applyNumberFormat="1" applyFont="1" applyBorder="1" applyAlignment="1">
      <alignment horizontal="left" vertical="center"/>
    </xf>
    <xf numFmtId="0" fontId="20" fillId="0" borderId="0" xfId="0" applyFont="1"/>
    <xf numFmtId="0" fontId="18" fillId="0" borderId="0" xfId="0" applyFont="1"/>
    <xf numFmtId="0" fontId="13" fillId="0" borderId="0" xfId="0" applyFont="1" applyAlignment="1">
      <alignment horizontal="left"/>
    </xf>
    <xf numFmtId="0" fontId="14" fillId="0" borderId="0" xfId="0" applyFont="1" applyAlignment="1">
      <alignment horizontal="left"/>
    </xf>
    <xf numFmtId="0" fontId="20" fillId="0" borderId="0" xfId="0" applyFont="1" applyAlignment="1">
      <alignment wrapText="1"/>
    </xf>
    <xf numFmtId="0" fontId="20" fillId="0" borderId="0" xfId="0" applyFont="1" applyAlignment="1">
      <alignment horizontal="left" vertical="center" wrapText="1"/>
    </xf>
    <xf numFmtId="0" fontId="18" fillId="0" borderId="0" xfId="0" applyFont="1" applyAlignment="1">
      <alignment horizontal="left" vertical="center" wrapText="1"/>
    </xf>
    <xf numFmtId="49" fontId="20" fillId="0" borderId="0" xfId="0" applyNumberFormat="1" applyFont="1" applyAlignment="1">
      <alignment horizontal="left" vertical="center" wrapText="1"/>
    </xf>
    <xf numFmtId="49" fontId="20" fillId="0" borderId="0" xfId="0" applyNumberFormat="1" applyFont="1" applyAlignment="1">
      <alignment horizontal="left" wrapText="1"/>
    </xf>
    <xf numFmtId="49" fontId="20" fillId="0" borderId="0" xfId="0" applyNumberFormat="1" applyFont="1" applyAlignment="1">
      <alignment wrapText="1"/>
    </xf>
    <xf numFmtId="0" fontId="20" fillId="0" borderId="0" xfId="0" applyFont="1" applyAlignment="1">
      <alignment horizontal="left" wrapText="1"/>
    </xf>
    <xf numFmtId="49" fontId="20" fillId="0" borderId="0" xfId="0" applyNumberFormat="1" applyFont="1"/>
    <xf numFmtId="0" fontId="13" fillId="5" borderId="1" xfId="5" applyFont="1" applyFill="1" applyBorder="1" applyAlignment="1">
      <alignment horizontal="left" vertical="top" wrapText="1"/>
    </xf>
    <xf numFmtId="4" fontId="13" fillId="6" borderId="1" xfId="0" applyNumberFormat="1" applyFont="1" applyFill="1" applyBorder="1" applyAlignment="1">
      <alignment horizontal="center" vertical="center" wrapText="1"/>
    </xf>
    <xf numFmtId="4" fontId="14" fillId="7" borderId="1" xfId="0" applyNumberFormat="1" applyFont="1" applyFill="1" applyBorder="1" applyAlignment="1">
      <alignment horizontal="center" vertical="center"/>
    </xf>
    <xf numFmtId="4" fontId="14" fillId="0" borderId="1" xfId="0" applyNumberFormat="1" applyFont="1" applyBorder="1" applyAlignment="1">
      <alignment vertical="center" wrapText="1"/>
    </xf>
    <xf numFmtId="164" fontId="13" fillId="6" borderId="1" xfId="2" applyNumberFormat="1" applyFont="1" applyFill="1" applyBorder="1" applyAlignment="1">
      <alignment horizontal="center" vertical="center"/>
    </xf>
    <xf numFmtId="2" fontId="14" fillId="0" borderId="0" xfId="0" applyNumberFormat="1" applyFont="1"/>
    <xf numFmtId="0" fontId="14" fillId="0" borderId="0" xfId="0" applyFont="1"/>
    <xf numFmtId="167" fontId="13" fillId="0" borderId="1" xfId="0" applyNumberFormat="1" applyFont="1" applyBorder="1" applyAlignment="1">
      <alignment horizontal="left" vertical="top"/>
    </xf>
    <xf numFmtId="0" fontId="14" fillId="0" borderId="1" xfId="0" applyFont="1" applyBorder="1" applyAlignment="1">
      <alignment horizontal="center" vertical="center" wrapText="1"/>
    </xf>
    <xf numFmtId="0" fontId="13" fillId="0" borderId="1" xfId="0" applyFont="1" applyBorder="1" applyAlignment="1">
      <alignment horizontal="left" vertical="top" wrapText="1"/>
    </xf>
    <xf numFmtId="0" fontId="13" fillId="0" borderId="1" xfId="0" applyFont="1" applyBorder="1" applyAlignment="1">
      <alignment horizontal="center" vertical="center" wrapText="1"/>
    </xf>
    <xf numFmtId="165" fontId="13" fillId="0" borderId="1" xfId="0" applyNumberFormat="1" applyFont="1" applyBorder="1" applyAlignment="1">
      <alignment horizontal="center" vertical="top" wrapText="1"/>
    </xf>
    <xf numFmtId="0" fontId="14" fillId="0" borderId="1" xfId="5" applyFont="1" applyBorder="1" applyAlignment="1">
      <alignment horizontal="left" vertical="top" wrapText="1"/>
    </xf>
    <xf numFmtId="0" fontId="14" fillId="0" borderId="1" xfId="5" applyFont="1" applyBorder="1" applyAlignment="1">
      <alignment horizontal="center" vertical="top" wrapText="1"/>
    </xf>
    <xf numFmtId="4" fontId="14" fillId="0" borderId="1" xfId="5" applyNumberFormat="1" applyFont="1" applyBorder="1" applyAlignment="1">
      <alignment horizontal="center" vertical="center" wrapText="1"/>
    </xf>
    <xf numFmtId="4" fontId="14" fillId="0" borderId="1" xfId="5" applyNumberFormat="1" applyFont="1" applyBorder="1" applyAlignment="1">
      <alignment horizontal="center" wrapText="1"/>
    </xf>
    <xf numFmtId="4" fontId="14" fillId="0" borderId="1" xfId="5" applyNumberFormat="1" applyFont="1" applyBorder="1" applyAlignment="1" applyProtection="1">
      <alignment horizontal="right" vertical="top" wrapText="1"/>
      <protection locked="0"/>
    </xf>
    <xf numFmtId="2" fontId="14" fillId="0" borderId="0" xfId="5" applyNumberFormat="1" applyFont="1" applyAlignment="1">
      <alignment vertical="top" wrapText="1"/>
    </xf>
    <xf numFmtId="0" fontId="14" fillId="0" borderId="0" xfId="5" applyFont="1" applyAlignment="1">
      <alignment vertical="top"/>
    </xf>
    <xf numFmtId="4" fontId="14" fillId="0" borderId="1" xfId="2" applyNumberFormat="1" applyFont="1" applyBorder="1" applyAlignment="1">
      <alignment horizontal="center" vertical="center" wrapText="1"/>
    </xf>
    <xf numFmtId="4" fontId="14" fillId="6" borderId="1" xfId="0" applyNumberFormat="1" applyFont="1" applyFill="1" applyBorder="1" applyAlignment="1">
      <alignment horizontal="center" vertical="center"/>
    </xf>
    <xf numFmtId="4" fontId="14" fillId="6" borderId="1" xfId="0" applyNumberFormat="1" applyFont="1" applyFill="1" applyBorder="1" applyAlignment="1">
      <alignment vertical="center"/>
    </xf>
    <xf numFmtId="166" fontId="13" fillId="0" borderId="1" xfId="2" applyNumberFormat="1" applyFont="1" applyBorder="1" applyAlignment="1">
      <alignment horizontal="left" vertical="top"/>
    </xf>
    <xf numFmtId="170" fontId="13" fillId="0" borderId="1" xfId="0" applyNumberFormat="1" applyFont="1" applyBorder="1" applyAlignment="1">
      <alignment horizontal="left" vertical="top"/>
    </xf>
    <xf numFmtId="0" fontId="14" fillId="0" borderId="1" xfId="0" applyFont="1" applyBorder="1"/>
    <xf numFmtId="0" fontId="14" fillId="0" borderId="1" xfId="16" applyFont="1" applyBorder="1" applyAlignment="1">
      <alignment horizontal="center" vertical="center" wrapText="1"/>
    </xf>
    <xf numFmtId="4" fontId="14" fillId="0" borderId="1" xfId="15" applyNumberFormat="1" applyFont="1" applyBorder="1" applyAlignment="1">
      <alignment horizontal="center" vertical="center" wrapText="1"/>
    </xf>
    <xf numFmtId="4" fontId="14" fillId="0" borderId="1" xfId="15" applyNumberFormat="1" applyFont="1" applyBorder="1" applyAlignment="1">
      <alignment vertical="center"/>
    </xf>
    <xf numFmtId="171" fontId="13" fillId="0" borderId="1" xfId="0" applyNumberFormat="1" applyFont="1" applyBorder="1" applyAlignment="1">
      <alignment horizontal="left" vertical="top"/>
    </xf>
    <xf numFmtId="178" fontId="13" fillId="0" borderId="1" xfId="2" applyNumberFormat="1" applyFont="1" applyBorder="1" applyAlignment="1">
      <alignment horizontal="left" vertical="top"/>
    </xf>
    <xf numFmtId="174" fontId="13" fillId="0" borderId="1" xfId="0" applyNumberFormat="1" applyFont="1" applyBorder="1" applyAlignment="1">
      <alignment horizontal="left" vertical="top"/>
    </xf>
    <xf numFmtId="0" fontId="14" fillId="0" borderId="1" xfId="0" applyFont="1" applyBorder="1" applyAlignment="1">
      <alignment horizontal="center"/>
    </xf>
    <xf numFmtId="0" fontId="14" fillId="0" borderId="1" xfId="0" applyFont="1" applyBorder="1" applyAlignment="1">
      <alignment horizontal="center" vertical="center"/>
    </xf>
    <xf numFmtId="166" fontId="13" fillId="7" borderId="1" xfId="0" applyNumberFormat="1" applyFont="1" applyFill="1" applyBorder="1" applyAlignment="1">
      <alignment horizontal="left" vertical="top"/>
    </xf>
    <xf numFmtId="0" fontId="13" fillId="7" borderId="1" xfId="0" applyFont="1" applyFill="1" applyBorder="1" applyAlignment="1">
      <alignment horizontal="right" vertical="top"/>
    </xf>
    <xf numFmtId="0" fontId="14" fillId="7" borderId="1" xfId="0" applyFont="1" applyFill="1" applyBorder="1" applyAlignment="1">
      <alignment horizontal="center" vertical="center" wrapText="1"/>
    </xf>
    <xf numFmtId="4" fontId="13" fillId="7" borderId="1" xfId="0" applyNumberFormat="1" applyFont="1" applyFill="1" applyBorder="1" applyAlignment="1">
      <alignment horizontal="right" vertical="center"/>
    </xf>
    <xf numFmtId="4" fontId="13" fillId="0" borderId="1" xfId="15" applyNumberFormat="1" applyFont="1" applyBorder="1" applyAlignment="1">
      <alignment horizontal="center" vertical="top" wrapText="1"/>
    </xf>
    <xf numFmtId="4" fontId="13" fillId="0" borderId="1" xfId="15" applyNumberFormat="1" applyFont="1" applyBorder="1" applyAlignment="1">
      <alignment vertical="center" wrapText="1"/>
    </xf>
    <xf numFmtId="4" fontId="14" fillId="0" borderId="0" xfId="0" applyNumberFormat="1" applyFont="1" applyAlignment="1">
      <alignment horizontal="center" vertical="center"/>
    </xf>
    <xf numFmtId="4" fontId="14" fillId="0" borderId="0" xfId="0" applyNumberFormat="1" applyFont="1" applyAlignment="1">
      <alignment vertical="center"/>
    </xf>
    <xf numFmtId="185" fontId="14" fillId="0" borderId="1" xfId="0" applyNumberFormat="1" applyFont="1" applyBorder="1" applyAlignment="1">
      <alignment horizontal="right" vertical="center"/>
    </xf>
    <xf numFmtId="0" fontId="28" fillId="0" borderId="0" xfId="0" applyFont="1"/>
    <xf numFmtId="0" fontId="28" fillId="0" borderId="1" xfId="0" applyFont="1" applyBorder="1"/>
    <xf numFmtId="0" fontId="28" fillId="0" borderId="1" xfId="0" applyFont="1" applyBorder="1" applyAlignment="1">
      <alignment vertical="center"/>
    </xf>
    <xf numFmtId="0" fontId="14" fillId="0" borderId="0" xfId="5" applyFont="1" applyAlignment="1">
      <alignment vertical="top" wrapText="1"/>
    </xf>
    <xf numFmtId="0" fontId="14" fillId="0" borderId="2" xfId="0" applyFont="1" applyBorder="1" applyAlignment="1">
      <alignment horizontal="right" wrapText="1"/>
    </xf>
    <xf numFmtId="4" fontId="14" fillId="0" borderId="1" xfId="27" applyNumberFormat="1" applyFont="1" applyBorder="1" applyAlignment="1">
      <alignment vertical="top" wrapText="1"/>
    </xf>
    <xf numFmtId="0" fontId="13" fillId="6" borderId="1" xfId="2" applyFont="1" applyFill="1" applyBorder="1" applyAlignment="1">
      <alignment horizontal="left" vertical="center" wrapText="1"/>
    </xf>
    <xf numFmtId="4" fontId="25" fillId="0" borderId="1" xfId="0" applyNumberFormat="1" applyFont="1" applyBorder="1" applyAlignment="1">
      <alignment horizontal="center" vertical="center"/>
    </xf>
    <xf numFmtId="4" fontId="25" fillId="0" borderId="1" xfId="0" applyNumberFormat="1" applyFont="1" applyBorder="1" applyAlignment="1">
      <alignment vertical="center"/>
    </xf>
    <xf numFmtId="0" fontId="25" fillId="0" borderId="0" xfId="23" applyFont="1" applyAlignment="1">
      <alignment vertical="top" wrapText="1"/>
    </xf>
    <xf numFmtId="0" fontId="25" fillId="0" borderId="0" xfId="23" applyFont="1" applyAlignment="1">
      <alignment vertical="top"/>
    </xf>
    <xf numFmtId="4" fontId="13" fillId="6" borderId="1" xfId="0" applyNumberFormat="1" applyFont="1" applyFill="1" applyBorder="1" applyAlignment="1">
      <alignment horizontal="center" vertical="center"/>
    </xf>
    <xf numFmtId="4" fontId="14" fillId="0" borderId="1" xfId="15" applyNumberFormat="1" applyFont="1" applyBorder="1" applyAlignment="1">
      <alignment horizontal="center" wrapText="1"/>
    </xf>
    <xf numFmtId="164" fontId="13" fillId="6" borderId="1" xfId="2" applyNumberFormat="1" applyFont="1" applyFill="1" applyBorder="1" applyAlignment="1">
      <alignment horizontal="right" vertical="center"/>
    </xf>
    <xf numFmtId="4" fontId="14" fillId="0" borderId="1" xfId="23" applyNumberFormat="1" applyFont="1" applyBorder="1" applyAlignment="1">
      <alignment horizontal="center"/>
    </xf>
    <xf numFmtId="4" fontId="13" fillId="0" borderId="1" xfId="15" applyNumberFormat="1" applyFont="1" applyBorder="1" applyAlignment="1">
      <alignment horizontal="center" wrapText="1"/>
    </xf>
    <xf numFmtId="0" fontId="14" fillId="0" borderId="1" xfId="2" applyFont="1" applyBorder="1" applyAlignment="1">
      <alignment horizontal="center" vertical="center" wrapText="1"/>
    </xf>
    <xf numFmtId="4" fontId="13" fillId="6" borderId="1" xfId="0" applyNumberFormat="1" applyFont="1" applyFill="1" applyBorder="1" applyAlignment="1">
      <alignment horizontal="right" vertical="center"/>
    </xf>
    <xf numFmtId="4" fontId="13" fillId="0" borderId="1" xfId="0" applyNumberFormat="1" applyFont="1" applyBorder="1" applyAlignment="1">
      <alignment horizontal="right" vertical="center"/>
    </xf>
    <xf numFmtId="0" fontId="14" fillId="6" borderId="1" xfId="0" applyFont="1" applyFill="1" applyBorder="1" applyAlignment="1">
      <alignment horizontal="center" vertical="center" wrapText="1"/>
    </xf>
    <xf numFmtId="0" fontId="14" fillId="0" borderId="1" xfId="15" applyFont="1" applyBorder="1" applyAlignment="1">
      <alignment horizontal="center" vertical="top"/>
    </xf>
    <xf numFmtId="0" fontId="14" fillId="0" borderId="1" xfId="23" applyFont="1" applyBorder="1" applyAlignment="1">
      <alignment horizontal="center" vertical="top" wrapText="1"/>
    </xf>
    <xf numFmtId="4" fontId="14" fillId="0" borderId="1" xfId="23" applyNumberFormat="1" applyFont="1" applyBorder="1" applyAlignment="1">
      <alignment horizontal="center" vertical="center"/>
    </xf>
    <xf numFmtId="0" fontId="13" fillId="0" borderId="1" xfId="15" applyFont="1" applyBorder="1" applyAlignment="1">
      <alignment horizontal="center" vertical="top" wrapText="1"/>
    </xf>
    <xf numFmtId="0" fontId="14" fillId="0" borderId="0" xfId="0" applyFont="1" applyAlignment="1">
      <alignment horizontal="center" vertical="center"/>
    </xf>
    <xf numFmtId="0" fontId="14" fillId="0" borderId="1" xfId="2" applyFont="1" applyBorder="1" applyAlignment="1">
      <alignment horizontal="right" wrapText="1"/>
    </xf>
    <xf numFmtId="4" fontId="14" fillId="6" borderId="1" xfId="0" applyNumberFormat="1" applyFont="1" applyFill="1" applyBorder="1" applyAlignment="1">
      <alignment horizontal="center" vertical="center" wrapText="1"/>
    </xf>
    <xf numFmtId="4" fontId="14" fillId="0" borderId="1" xfId="15" applyNumberFormat="1" applyFont="1" applyBorder="1" applyAlignment="1" applyProtection="1">
      <alignment horizontal="center" vertical="top" wrapText="1"/>
      <protection locked="0"/>
    </xf>
    <xf numFmtId="164" fontId="14" fillId="6" borderId="1" xfId="2" applyNumberFormat="1" applyFont="1" applyFill="1" applyBorder="1" applyAlignment="1">
      <alignment horizontal="right" vertical="center"/>
    </xf>
    <xf numFmtId="4" fontId="14" fillId="0" borderId="1" xfId="23" applyNumberFormat="1" applyFont="1" applyBorder="1" applyAlignment="1">
      <alignment vertical="center"/>
    </xf>
    <xf numFmtId="4" fontId="14" fillId="0" borderId="1" xfId="23" applyNumberFormat="1" applyFont="1" applyBorder="1" applyAlignment="1" applyProtection="1">
      <alignment horizontal="center" vertical="top" wrapText="1"/>
      <protection locked="0"/>
    </xf>
    <xf numFmtId="0" fontId="14" fillId="0" borderId="1" xfId="0" applyFont="1" applyBorder="1" applyAlignment="1">
      <alignment horizontal="left"/>
    </xf>
    <xf numFmtId="169" fontId="13" fillId="0" borderId="1" xfId="21" applyNumberFormat="1" applyFont="1" applyBorder="1" applyAlignment="1">
      <alignment horizontal="left" vertical="top"/>
    </xf>
    <xf numFmtId="168" fontId="13" fillId="0" borderId="1" xfId="2" applyNumberFormat="1" applyFont="1" applyBorder="1" applyAlignment="1">
      <alignment horizontal="left" vertical="top"/>
    </xf>
    <xf numFmtId="169" fontId="13" fillId="0" borderId="1" xfId="2" applyNumberFormat="1" applyFont="1" applyBorder="1" applyAlignment="1">
      <alignment horizontal="left" vertical="top"/>
    </xf>
    <xf numFmtId="4" fontId="13" fillId="6" borderId="1" xfId="0" applyNumberFormat="1" applyFont="1" applyFill="1" applyBorder="1" applyAlignment="1">
      <alignment horizontal="left" vertical="top"/>
    </xf>
    <xf numFmtId="4" fontId="13" fillId="0" borderId="1" xfId="0" applyNumberFormat="1" applyFont="1" applyBorder="1" applyAlignment="1">
      <alignment horizontal="left" vertical="top"/>
    </xf>
    <xf numFmtId="166" fontId="13" fillId="6" borderId="1" xfId="0" applyNumberFormat="1" applyFont="1" applyFill="1" applyBorder="1" applyAlignment="1">
      <alignment horizontal="left" vertical="top"/>
    </xf>
    <xf numFmtId="177" fontId="13" fillId="0" borderId="1" xfId="15" applyNumberFormat="1" applyFont="1" applyBorder="1" applyAlignment="1">
      <alignment horizontal="left" vertical="top"/>
    </xf>
    <xf numFmtId="164" fontId="13" fillId="6" borderId="1" xfId="2" applyNumberFormat="1" applyFont="1" applyFill="1" applyBorder="1" applyAlignment="1">
      <alignment horizontal="left" vertical="top"/>
    </xf>
    <xf numFmtId="166" fontId="13" fillId="0" borderId="1" xfId="23" applyNumberFormat="1" applyFont="1" applyBorder="1" applyAlignment="1">
      <alignment horizontal="left" vertical="top"/>
    </xf>
    <xf numFmtId="172" fontId="13" fillId="0" borderId="1" xfId="0" applyNumberFormat="1" applyFont="1" applyBorder="1" applyAlignment="1">
      <alignment horizontal="left" vertical="top"/>
    </xf>
    <xf numFmtId="181" fontId="13" fillId="0" borderId="1" xfId="2" applyNumberFormat="1" applyFont="1" applyBorder="1" applyAlignment="1">
      <alignment horizontal="left" vertical="top"/>
    </xf>
    <xf numFmtId="179" fontId="13" fillId="0" borderId="1" xfId="21" applyNumberFormat="1" applyFont="1" applyBorder="1" applyAlignment="1">
      <alignment horizontal="left" vertical="top"/>
    </xf>
    <xf numFmtId="0" fontId="13" fillId="0" borderId="1" xfId="15" applyFont="1" applyBorder="1" applyAlignment="1">
      <alignment horizontal="left" vertical="top" wrapText="1"/>
    </xf>
    <xf numFmtId="0" fontId="14" fillId="0" borderId="1" xfId="23" applyFont="1" applyBorder="1" applyAlignment="1">
      <alignment vertical="top" wrapText="1"/>
    </xf>
    <xf numFmtId="0" fontId="13" fillId="6" borderId="1" xfId="0" applyFont="1" applyFill="1" applyBorder="1" applyAlignment="1">
      <alignment horizontal="right" vertical="top" wrapText="1"/>
    </xf>
    <xf numFmtId="0" fontId="13" fillId="6" borderId="1" xfId="0" applyFont="1" applyFill="1" applyBorder="1" applyAlignment="1">
      <alignment vertical="top" wrapText="1"/>
    </xf>
    <xf numFmtId="0" fontId="13" fillId="0" borderId="1" xfId="15" applyFont="1" applyBorder="1" applyAlignment="1">
      <alignment vertical="top" wrapText="1"/>
    </xf>
    <xf numFmtId="12" fontId="14" fillId="0" borderId="1" xfId="0" applyNumberFormat="1" applyFont="1" applyBorder="1" applyAlignment="1">
      <alignment vertical="top" wrapText="1"/>
    </xf>
    <xf numFmtId="177" fontId="13" fillId="0" borderId="1" xfId="7" applyNumberFormat="1" applyFont="1" applyBorder="1" applyAlignment="1">
      <alignment horizontal="left" vertical="top"/>
    </xf>
    <xf numFmtId="0" fontId="14" fillId="0" borderId="1" xfId="7" applyFont="1" applyBorder="1" applyAlignment="1">
      <alignment horizontal="center" vertical="top"/>
    </xf>
    <xf numFmtId="4" fontId="14" fillId="0" borderId="1" xfId="7" applyNumberFormat="1" applyFont="1" applyBorder="1" applyAlignment="1">
      <alignment horizontal="center" vertical="center"/>
    </xf>
    <xf numFmtId="0" fontId="14" fillId="0" borderId="0" xfId="7" applyFont="1" applyAlignment="1">
      <alignment vertical="top"/>
    </xf>
    <xf numFmtId="0" fontId="14" fillId="0" borderId="1" xfId="7" applyFont="1" applyBorder="1" applyAlignment="1">
      <alignment vertical="top" wrapText="1"/>
    </xf>
    <xf numFmtId="182" fontId="13" fillId="0" borderId="1" xfId="2" applyNumberFormat="1" applyFont="1" applyBorder="1" applyAlignment="1">
      <alignment horizontal="left" vertical="top"/>
    </xf>
    <xf numFmtId="175" fontId="29" fillId="0" borderId="1" xfId="5" applyNumberFormat="1" applyFont="1" applyBorder="1" applyAlignment="1">
      <alignment horizontal="left" vertical="top"/>
    </xf>
    <xf numFmtId="0" fontId="30" fillId="0" borderId="1" xfId="8" applyFont="1" applyBorder="1" applyAlignment="1">
      <alignment vertical="top" wrapText="1"/>
    </xf>
    <xf numFmtId="0" fontId="30" fillId="0" borderId="1" xfId="5" applyFont="1" applyBorder="1" applyAlignment="1">
      <alignment horizontal="center" vertical="top"/>
    </xf>
    <xf numFmtId="4" fontId="30" fillId="0" borderId="1" xfId="5" applyNumberFormat="1" applyFont="1" applyBorder="1" applyAlignment="1">
      <alignment horizontal="center" vertical="center"/>
    </xf>
    <xf numFmtId="0" fontId="14" fillId="0" borderId="1" xfId="17" applyFont="1" applyBorder="1" applyAlignment="1">
      <alignment vertical="top"/>
    </xf>
    <xf numFmtId="4" fontId="24" fillId="0" borderId="1" xfId="0" applyNumberFormat="1" applyFont="1" applyBorder="1" applyAlignment="1">
      <alignment horizontal="center" vertical="center" wrapText="1"/>
    </xf>
    <xf numFmtId="0" fontId="13" fillId="0" borderId="0" xfId="17" applyFont="1" applyAlignment="1">
      <alignment horizontal="left" vertical="top"/>
    </xf>
    <xf numFmtId="0" fontId="14" fillId="0" borderId="0" xfId="17" applyFont="1" applyAlignment="1">
      <alignment horizontal="center" vertical="top"/>
    </xf>
    <xf numFmtId="4" fontId="14" fillId="0" borderId="0" xfId="17" applyNumberFormat="1" applyFont="1" applyAlignment="1">
      <alignment horizontal="center" vertical="center"/>
    </xf>
    <xf numFmtId="4" fontId="14" fillId="0" borderId="0" xfId="17" applyNumberFormat="1" applyFont="1" applyAlignment="1" applyProtection="1">
      <alignment horizontal="right" vertical="top" wrapText="1"/>
      <protection locked="0"/>
    </xf>
    <xf numFmtId="0" fontId="14" fillId="0" borderId="0" xfId="2" applyFont="1" applyAlignment="1">
      <alignment vertical="top" wrapText="1"/>
    </xf>
    <xf numFmtId="0" fontId="13" fillId="0" borderId="1" xfId="2" applyFont="1" applyBorder="1" applyAlignment="1">
      <alignment vertical="top" wrapText="1"/>
    </xf>
    <xf numFmtId="0" fontId="14" fillId="0" borderId="1" xfId="2" applyFont="1" applyBorder="1" applyAlignment="1">
      <alignment vertical="top" wrapText="1"/>
    </xf>
    <xf numFmtId="0" fontId="13" fillId="0" borderId="0" xfId="2" applyFont="1" applyAlignment="1">
      <alignment vertical="top"/>
    </xf>
    <xf numFmtId="0" fontId="14" fillId="0" borderId="1" xfId="15" applyFont="1" applyBorder="1" applyAlignment="1">
      <alignment vertical="top" wrapText="1"/>
    </xf>
    <xf numFmtId="0" fontId="14" fillId="0" borderId="0" xfId="15" applyFont="1" applyAlignment="1">
      <alignment vertical="top" wrapText="1"/>
    </xf>
    <xf numFmtId="0" fontId="31" fillId="0" borderId="0" xfId="0" applyFont="1"/>
    <xf numFmtId="174" fontId="24" fillId="0" borderId="1" xfId="0" applyNumberFormat="1" applyFont="1" applyBorder="1" applyAlignment="1">
      <alignment horizontal="left" vertical="top"/>
    </xf>
    <xf numFmtId="4" fontId="24" fillId="0" borderId="1" xfId="0" applyNumberFormat="1" applyFont="1" applyBorder="1" applyAlignment="1">
      <alignment vertical="top" wrapText="1"/>
    </xf>
    <xf numFmtId="4" fontId="25" fillId="0" borderId="1" xfId="0" applyNumberFormat="1" applyFont="1" applyBorder="1" applyAlignment="1">
      <alignment horizontal="right" vertical="center"/>
    </xf>
    <xf numFmtId="0" fontId="14" fillId="0" borderId="0" xfId="0" applyFont="1" applyAlignment="1">
      <alignment horizontal="left" wrapText="1"/>
    </xf>
    <xf numFmtId="4" fontId="18" fillId="0" borderId="1" xfId="0" applyNumberFormat="1" applyFont="1" applyBorder="1" applyAlignment="1">
      <alignment vertical="top" wrapText="1"/>
    </xf>
    <xf numFmtId="4" fontId="18" fillId="0" borderId="1" xfId="0" applyNumberFormat="1" applyFont="1" applyBorder="1" applyAlignment="1">
      <alignment horizontal="center" vertical="center" wrapText="1"/>
    </xf>
    <xf numFmtId="4" fontId="20" fillId="0" borderId="1" xfId="0" applyNumberFormat="1" applyFont="1" applyBorder="1" applyAlignment="1">
      <alignment horizontal="center" vertical="center"/>
    </xf>
    <xf numFmtId="4" fontId="20" fillId="0" borderId="1" xfId="0" applyNumberFormat="1" applyFont="1" applyBorder="1" applyAlignment="1">
      <alignment horizontal="right" vertical="center"/>
    </xf>
    <xf numFmtId="0" fontId="34" fillId="0" borderId="0" xfId="0" applyFont="1"/>
    <xf numFmtId="170" fontId="18" fillId="0" borderId="1" xfId="0" applyNumberFormat="1" applyFont="1" applyBorder="1" applyAlignment="1">
      <alignment horizontal="left" vertical="top"/>
    </xf>
    <xf numFmtId="4" fontId="25" fillId="0" borderId="1" xfId="0" applyNumberFormat="1" applyFont="1" applyBorder="1" applyAlignment="1">
      <alignment vertical="top" wrapText="1"/>
    </xf>
    <xf numFmtId="4" fontId="35" fillId="0" borderId="1" xfId="35" applyNumberFormat="1" applyFont="1" applyFill="1" applyBorder="1" applyAlignment="1">
      <alignment horizontal="right" vertical="center" wrapText="1"/>
    </xf>
    <xf numFmtId="0" fontId="20" fillId="0" borderId="1" xfId="0" applyFont="1" applyBorder="1" applyAlignment="1">
      <alignment horizontal="left" vertical="top" wrapText="1"/>
    </xf>
    <xf numFmtId="4" fontId="36" fillId="0" borderId="1" xfId="0" applyNumberFormat="1" applyFont="1" applyBorder="1" applyAlignment="1">
      <alignment horizontal="center" vertical="center" wrapText="1"/>
    </xf>
    <xf numFmtId="4" fontId="25" fillId="0" borderId="1" xfId="7" applyNumberFormat="1" applyFont="1" applyBorder="1" applyAlignment="1">
      <alignment horizontal="right" vertical="center"/>
    </xf>
    <xf numFmtId="177" fontId="24" fillId="0" borderId="1" xfId="15" applyNumberFormat="1" applyFont="1" applyBorder="1" applyAlignment="1">
      <alignment horizontal="left" vertical="top"/>
    </xf>
    <xf numFmtId="0" fontId="33" fillId="0" borderId="1" xfId="15" applyFont="1" applyBorder="1" applyAlignment="1">
      <alignment vertical="top" wrapText="1"/>
    </xf>
    <xf numFmtId="0" fontId="33" fillId="0" borderId="1" xfId="15" applyFont="1" applyBorder="1" applyAlignment="1">
      <alignment horizontal="center" vertical="top"/>
    </xf>
    <xf numFmtId="4" fontId="33" fillId="0" borderId="1" xfId="15" applyNumberFormat="1" applyFont="1" applyBorder="1" applyAlignment="1">
      <alignment horizontal="center" vertical="center" wrapText="1"/>
    </xf>
    <xf numFmtId="4" fontId="33" fillId="0" borderId="1" xfId="15" applyNumberFormat="1" applyFont="1" applyBorder="1" applyAlignment="1">
      <alignment horizontal="center" wrapText="1"/>
    </xf>
    <xf numFmtId="2" fontId="33" fillId="0" borderId="0" xfId="21" applyNumberFormat="1" applyFont="1" applyAlignment="1">
      <alignment vertical="top" wrapText="1"/>
    </xf>
    <xf numFmtId="0" fontId="33" fillId="0" borderId="0" xfId="15" applyFont="1" applyAlignment="1">
      <alignment vertical="top" wrapText="1"/>
    </xf>
    <xf numFmtId="4" fontId="24" fillId="0" borderId="1" xfId="0" applyNumberFormat="1" applyFont="1" applyBorder="1" applyAlignment="1">
      <alignment vertical="top"/>
    </xf>
    <xf numFmtId="0" fontId="37" fillId="0" borderId="0" xfId="0" applyFont="1"/>
    <xf numFmtId="170" fontId="24" fillId="0" borderId="1" xfId="0" applyNumberFormat="1" applyFont="1" applyBorder="1" applyAlignment="1">
      <alignment horizontal="left" vertical="top"/>
    </xf>
    <xf numFmtId="4" fontId="38" fillId="0" borderId="1" xfId="0" applyNumberFormat="1" applyFont="1" applyBorder="1" applyAlignment="1">
      <alignment horizontal="center" vertical="center" wrapText="1"/>
    </xf>
    <xf numFmtId="4" fontId="33" fillId="0" borderId="1" xfId="0" applyNumberFormat="1" applyFont="1" applyBorder="1" applyAlignment="1">
      <alignment horizontal="center" vertical="center"/>
    </xf>
    <xf numFmtId="4" fontId="33" fillId="0" borderId="1" xfId="0" applyNumberFormat="1" applyFont="1" applyBorder="1" applyAlignment="1">
      <alignment horizontal="right" vertical="center"/>
    </xf>
    <xf numFmtId="0" fontId="15" fillId="0" borderId="0" xfId="0" applyFont="1" applyAlignment="1">
      <alignment horizontal="right" wrapText="1"/>
    </xf>
    <xf numFmtId="4" fontId="35" fillId="0" borderId="2" xfId="35" applyNumberFormat="1" applyFont="1" applyFill="1" applyBorder="1" applyAlignment="1">
      <alignment horizontal="right" vertical="center" wrapText="1"/>
    </xf>
    <xf numFmtId="4" fontId="20" fillId="0" borderId="2" xfId="0" applyNumberFormat="1" applyFont="1" applyBorder="1" applyAlignment="1">
      <alignment horizontal="right" vertical="center"/>
    </xf>
    <xf numFmtId="4" fontId="33" fillId="0" borderId="2" xfId="15" applyNumberFormat="1" applyFont="1" applyBorder="1" applyAlignment="1">
      <alignment vertical="center"/>
    </xf>
    <xf numFmtId="4" fontId="14" fillId="0" borderId="2" xfId="0" applyNumberFormat="1" applyFont="1" applyBorder="1" applyAlignment="1">
      <alignment vertical="center"/>
    </xf>
    <xf numFmtId="4" fontId="25" fillId="0" borderId="2" xfId="0" applyNumberFormat="1" applyFont="1" applyBorder="1" applyAlignment="1">
      <alignment horizontal="right" vertical="center"/>
    </xf>
    <xf numFmtId="4" fontId="15" fillId="0" borderId="0" xfId="15" applyNumberFormat="1" applyFont="1" applyAlignment="1" applyProtection="1">
      <alignment horizontal="center" vertical="top" wrapText="1"/>
      <protection locked="0"/>
    </xf>
    <xf numFmtId="0" fontId="15" fillId="0" borderId="0" xfId="0" applyFont="1"/>
    <xf numFmtId="4" fontId="33" fillId="0" borderId="2" xfId="0" applyNumberFormat="1" applyFont="1" applyBorder="1" applyAlignment="1">
      <alignment horizontal="right" vertical="center"/>
    </xf>
    <xf numFmtId="167" fontId="38" fillId="0" borderId="1" xfId="0" applyNumberFormat="1" applyFont="1" applyBorder="1" applyAlignment="1">
      <alignment horizontal="left" vertical="top"/>
    </xf>
    <xf numFmtId="0" fontId="33" fillId="0" borderId="1" xfId="0" applyFont="1" applyBorder="1" applyAlignment="1">
      <alignment vertical="top" wrapText="1"/>
    </xf>
    <xf numFmtId="0" fontId="33" fillId="0" borderId="1" xfId="0" applyFont="1" applyBorder="1" applyAlignment="1">
      <alignment horizontal="center" vertical="center" wrapText="1"/>
    </xf>
    <xf numFmtId="4" fontId="33" fillId="0" borderId="1" xfId="0" applyNumberFormat="1" applyFont="1" applyBorder="1" applyAlignment="1">
      <alignment horizontal="center" vertical="center" wrapText="1"/>
    </xf>
    <xf numFmtId="4" fontId="33" fillId="0" borderId="1" xfId="0" applyNumberFormat="1" applyFont="1" applyBorder="1" applyAlignment="1">
      <alignment vertical="center"/>
    </xf>
    <xf numFmtId="0" fontId="33" fillId="0" borderId="1" xfId="0" applyFont="1" applyBorder="1" applyAlignment="1">
      <alignment horizontal="right" wrapText="1"/>
    </xf>
    <xf numFmtId="166" fontId="24" fillId="6" borderId="1" xfId="0" applyNumberFormat="1" applyFont="1" applyFill="1" applyBorder="1" applyAlignment="1">
      <alignment horizontal="left" vertical="top"/>
    </xf>
    <xf numFmtId="0" fontId="24" fillId="6" borderId="1" xfId="0" applyFont="1" applyFill="1" applyBorder="1" applyAlignment="1">
      <alignment vertical="top" wrapText="1"/>
    </xf>
    <xf numFmtId="0" fontId="25" fillId="6" borderId="1" xfId="0" applyFont="1" applyFill="1" applyBorder="1" applyAlignment="1">
      <alignment horizontal="center" vertical="center" wrapText="1"/>
    </xf>
    <xf numFmtId="4" fontId="25" fillId="6" borderId="1" xfId="0" applyNumberFormat="1" applyFont="1" applyFill="1" applyBorder="1" applyAlignment="1">
      <alignment horizontal="center" vertical="center"/>
    </xf>
    <xf numFmtId="4" fontId="25" fillId="6" borderId="1" xfId="0" applyNumberFormat="1" applyFont="1" applyFill="1" applyBorder="1" applyAlignment="1">
      <alignment vertical="center"/>
    </xf>
    <xf numFmtId="4" fontId="25" fillId="6" borderId="1" xfId="0" applyNumberFormat="1" applyFont="1" applyFill="1" applyBorder="1" applyAlignment="1">
      <alignment horizontal="center" vertical="center" wrapText="1"/>
    </xf>
    <xf numFmtId="2" fontId="25" fillId="0" borderId="0" xfId="21" applyNumberFormat="1" applyFont="1" applyAlignment="1">
      <alignment vertical="top" wrapText="1"/>
    </xf>
    <xf numFmtId="0" fontId="23" fillId="0" borderId="0" xfId="0" applyFont="1"/>
    <xf numFmtId="173" fontId="24" fillId="0" borderId="1" xfId="0" applyNumberFormat="1" applyFont="1" applyBorder="1" applyAlignment="1">
      <alignment horizontal="left" vertical="top"/>
    </xf>
    <xf numFmtId="175" fontId="24" fillId="0" borderId="1" xfId="0" applyNumberFormat="1" applyFont="1" applyBorder="1" applyAlignment="1">
      <alignment horizontal="left" vertical="top"/>
    </xf>
    <xf numFmtId="4" fontId="25" fillId="0" borderId="1" xfId="0" applyNumberFormat="1" applyFont="1" applyBorder="1" applyAlignment="1">
      <alignment horizontal="left" vertical="top" wrapText="1"/>
    </xf>
    <xf numFmtId="4" fontId="25" fillId="0" borderId="1" xfId="0" applyNumberFormat="1" applyFont="1" applyBorder="1" applyAlignment="1">
      <alignment horizontal="center" vertical="center" wrapText="1"/>
    </xf>
    <xf numFmtId="0" fontId="25" fillId="0" borderId="1" xfId="0" applyFont="1" applyBorder="1" applyAlignment="1">
      <alignment horizontal="right" wrapText="1"/>
    </xf>
    <xf numFmtId="173" fontId="38" fillId="0" borderId="1" xfId="0" applyNumberFormat="1" applyFont="1" applyBorder="1" applyAlignment="1">
      <alignment horizontal="left" vertical="top"/>
    </xf>
    <xf numFmtId="4" fontId="38" fillId="0" borderId="1" xfId="0" applyNumberFormat="1" applyFont="1" applyBorder="1" applyAlignment="1">
      <alignment vertical="top" wrapText="1"/>
    </xf>
    <xf numFmtId="175" fontId="38" fillId="0" borderId="1" xfId="0" applyNumberFormat="1" applyFont="1" applyBorder="1" applyAlignment="1">
      <alignment horizontal="left" vertical="top"/>
    </xf>
    <xf numFmtId="0" fontId="37" fillId="0" borderId="1" xfId="0" applyFont="1" applyBorder="1"/>
    <xf numFmtId="0" fontId="25" fillId="0" borderId="1" xfId="0" applyFont="1" applyBorder="1" applyAlignment="1">
      <alignment vertical="top" wrapText="1"/>
    </xf>
    <xf numFmtId="0" fontId="25" fillId="0" borderId="1" xfId="0" applyFont="1" applyBorder="1" applyAlignment="1">
      <alignment horizontal="center" vertical="center" wrapText="1"/>
    </xf>
    <xf numFmtId="4" fontId="33" fillId="0" borderId="1" xfId="0" applyNumberFormat="1" applyFont="1" applyBorder="1" applyAlignment="1">
      <alignment horizontal="left" vertical="top" wrapText="1"/>
    </xf>
    <xf numFmtId="0" fontId="24" fillId="0" borderId="1" xfId="36" applyFont="1" applyBorder="1" applyAlignment="1">
      <alignment vertical="top"/>
    </xf>
    <xf numFmtId="0" fontId="25" fillId="0" borderId="1" xfId="36" applyFont="1" applyBorder="1" applyAlignment="1">
      <alignment horizontal="center" vertical="center"/>
    </xf>
    <xf numFmtId="4" fontId="25" fillId="0" borderId="1" xfId="36" applyNumberFormat="1" applyFont="1" applyBorder="1" applyAlignment="1">
      <alignment horizontal="center" vertical="center" wrapText="1"/>
    </xf>
    <xf numFmtId="4" fontId="25" fillId="0" borderId="1" xfId="36" applyNumberFormat="1" applyFont="1" applyBorder="1" applyAlignment="1">
      <alignment vertical="center"/>
    </xf>
    <xf numFmtId="4" fontId="25" fillId="0" borderId="1" xfId="36" applyNumberFormat="1" applyFont="1" applyBorder="1" applyAlignment="1" applyProtection="1">
      <alignment horizontal="center" vertical="top" wrapText="1"/>
      <protection locked="0"/>
    </xf>
    <xf numFmtId="177" fontId="24" fillId="0" borderId="1" xfId="36" applyNumberFormat="1" applyFont="1" applyBorder="1" applyAlignment="1">
      <alignment horizontal="left" vertical="top"/>
    </xf>
    <xf numFmtId="0" fontId="25" fillId="0" borderId="1" xfId="36" applyFont="1" applyBorder="1" applyAlignment="1">
      <alignment vertical="top" wrapText="1"/>
    </xf>
    <xf numFmtId="4" fontId="24" fillId="0" borderId="1" xfId="0" applyNumberFormat="1" applyFont="1" applyBorder="1" applyAlignment="1">
      <alignment horizontal="left" vertical="top" wrapText="1"/>
    </xf>
    <xf numFmtId="166" fontId="24" fillId="2" borderId="1" xfId="0" applyNumberFormat="1" applyFont="1" applyFill="1" applyBorder="1" applyAlignment="1">
      <alignment horizontal="left" vertical="top"/>
    </xf>
    <xf numFmtId="0" fontId="24" fillId="2" borderId="1" xfId="0" applyFont="1" applyFill="1" applyBorder="1" applyAlignment="1">
      <alignment horizontal="right" vertical="center"/>
    </xf>
    <xf numFmtId="0" fontId="25" fillId="2" borderId="1" xfId="0" applyFont="1" applyFill="1" applyBorder="1" applyAlignment="1">
      <alignment horizontal="center" vertical="center" wrapText="1"/>
    </xf>
    <xf numFmtId="4" fontId="25" fillId="2" borderId="1" xfId="0" applyNumberFormat="1" applyFont="1" applyFill="1" applyBorder="1" applyAlignment="1">
      <alignment horizontal="center" vertical="center"/>
    </xf>
    <xf numFmtId="4" fontId="24" fillId="2" borderId="1" xfId="0" applyNumberFormat="1" applyFont="1" applyFill="1" applyBorder="1" applyAlignment="1">
      <alignment vertical="center"/>
    </xf>
    <xf numFmtId="4" fontId="24" fillId="2" borderId="1" xfId="0" applyNumberFormat="1" applyFont="1" applyFill="1" applyBorder="1" applyAlignment="1">
      <alignment horizontal="right" vertical="center"/>
    </xf>
    <xf numFmtId="179" fontId="24" fillId="0" borderId="1" xfId="21" applyNumberFormat="1" applyFont="1" applyBorder="1" applyAlignment="1">
      <alignment horizontal="left" vertical="top"/>
    </xf>
    <xf numFmtId="174" fontId="38" fillId="0" borderId="1" xfId="0" applyNumberFormat="1" applyFont="1" applyBorder="1" applyAlignment="1">
      <alignment horizontal="left" vertical="top"/>
    </xf>
    <xf numFmtId="0" fontId="33" fillId="0" borderId="1" xfId="0" applyFont="1" applyBorder="1" applyAlignment="1">
      <alignment horizontal="center" wrapText="1"/>
    </xf>
    <xf numFmtId="4" fontId="36" fillId="0" borderId="1" xfId="0" applyNumberFormat="1" applyFont="1" applyBorder="1" applyAlignment="1">
      <alignment horizontal="left" vertical="top" wrapText="1"/>
    </xf>
    <xf numFmtId="179" fontId="13" fillId="0" borderId="1" xfId="2" applyNumberFormat="1" applyFont="1" applyBorder="1" applyAlignment="1">
      <alignment horizontal="left" vertical="top"/>
    </xf>
    <xf numFmtId="0" fontId="23" fillId="0" borderId="1" xfId="0" applyFont="1" applyBorder="1"/>
    <xf numFmtId="4" fontId="25" fillId="0" borderId="0" xfId="0" applyNumberFormat="1" applyFont="1" applyAlignment="1">
      <alignment horizontal="center" vertical="center"/>
    </xf>
    <xf numFmtId="4" fontId="25" fillId="0" borderId="0" xfId="0" applyNumberFormat="1" applyFont="1" applyAlignment="1">
      <alignment vertical="center"/>
    </xf>
    <xf numFmtId="0" fontId="25" fillId="0" borderId="1" xfId="0" applyFont="1" applyBorder="1" applyAlignment="1">
      <alignment horizontal="left" vertical="top" wrapText="1"/>
    </xf>
    <xf numFmtId="180" fontId="24" fillId="0" borderId="1" xfId="21" applyNumberFormat="1" applyFont="1" applyBorder="1" applyAlignment="1">
      <alignment horizontal="left" vertical="top"/>
    </xf>
    <xf numFmtId="0" fontId="24" fillId="0" borderId="1" xfId="0" applyFont="1" applyBorder="1" applyAlignment="1">
      <alignment vertical="top"/>
    </xf>
    <xf numFmtId="4" fontId="25" fillId="0" borderId="1" xfId="0" applyNumberFormat="1" applyFont="1" applyBorder="1" applyAlignment="1">
      <alignment vertical="center" wrapText="1"/>
    </xf>
    <xf numFmtId="0" fontId="31" fillId="0" borderId="1" xfId="0" applyFont="1" applyBorder="1"/>
    <xf numFmtId="0" fontId="33" fillId="0" borderId="0" xfId="0" applyFont="1" applyAlignment="1">
      <alignment vertical="top" wrapText="1"/>
    </xf>
    <xf numFmtId="174" fontId="40" fillId="0" borderId="1" xfId="0" applyNumberFormat="1" applyFont="1" applyBorder="1" applyAlignment="1">
      <alignment horizontal="left" vertical="top"/>
    </xf>
    <xf numFmtId="0" fontId="41" fillId="0" borderId="1" xfId="0" applyFont="1" applyBorder="1" applyAlignment="1">
      <alignment vertical="top" wrapText="1"/>
    </xf>
    <xf numFmtId="0" fontId="41" fillId="0" borderId="1" xfId="0" applyFont="1" applyBorder="1" applyAlignment="1">
      <alignment horizontal="center" vertical="center" wrapText="1"/>
    </xf>
    <xf numFmtId="4" fontId="41" fillId="0" borderId="1" xfId="0" applyNumberFormat="1" applyFont="1" applyBorder="1" applyAlignment="1">
      <alignment horizontal="center" vertical="center" wrapText="1"/>
    </xf>
    <xf numFmtId="4" fontId="41" fillId="0" borderId="1" xfId="0" applyNumberFormat="1" applyFont="1" applyBorder="1" applyAlignment="1">
      <alignment vertical="center"/>
    </xf>
    <xf numFmtId="0" fontId="41" fillId="0" borderId="1" xfId="0" applyFont="1" applyBorder="1" applyAlignment="1">
      <alignment horizontal="right" wrapText="1"/>
    </xf>
    <xf numFmtId="174" fontId="32" fillId="0" borderId="1" xfId="0" applyNumberFormat="1" applyFont="1" applyBorder="1" applyAlignment="1">
      <alignment horizontal="left" vertical="top"/>
    </xf>
    <xf numFmtId="0" fontId="15" fillId="0" borderId="1" xfId="0" applyFont="1" applyBorder="1" applyAlignment="1">
      <alignment vertical="top" wrapText="1"/>
    </xf>
    <xf numFmtId="0" fontId="18" fillId="0" borderId="1" xfId="0" applyFont="1" applyBorder="1" applyAlignment="1">
      <alignment vertical="top"/>
    </xf>
    <xf numFmtId="174" fontId="18" fillId="0" borderId="1" xfId="0" applyNumberFormat="1" applyFont="1" applyBorder="1" applyAlignment="1">
      <alignment horizontal="left" vertical="top"/>
    </xf>
    <xf numFmtId="0" fontId="20" fillId="0" borderId="1" xfId="0" applyFont="1" applyBorder="1" applyAlignment="1">
      <alignment vertical="top" wrapText="1"/>
    </xf>
    <xf numFmtId="4" fontId="20" fillId="0" borderId="1" xfId="0" applyNumberFormat="1" applyFont="1" applyBorder="1" applyAlignment="1">
      <alignment horizontal="left" vertical="top" wrapText="1"/>
    </xf>
    <xf numFmtId="4" fontId="42" fillId="0" borderId="1" xfId="0" applyNumberFormat="1" applyFont="1" applyBorder="1" applyAlignment="1">
      <alignment horizontal="center" vertical="center" wrapText="1"/>
    </xf>
    <xf numFmtId="4" fontId="36" fillId="0" borderId="1" xfId="0" applyNumberFormat="1" applyFont="1" applyBorder="1" applyAlignment="1">
      <alignment horizontal="center" vertical="center"/>
    </xf>
    <xf numFmtId="4" fontId="36" fillId="0" borderId="1" xfId="0" applyNumberFormat="1" applyFont="1" applyBorder="1" applyAlignment="1">
      <alignment vertical="center"/>
    </xf>
    <xf numFmtId="0" fontId="36" fillId="0" borderId="1" xfId="0" applyFont="1" applyBorder="1" applyAlignment="1">
      <alignment horizontal="right" wrapText="1"/>
    </xf>
    <xf numFmtId="4" fontId="36" fillId="0" borderId="1" xfId="0" applyNumberFormat="1" applyFont="1" applyBorder="1" applyAlignment="1">
      <alignment horizontal="right" vertical="center"/>
    </xf>
    <xf numFmtId="4" fontId="20" fillId="0" borderId="1" xfId="0" applyNumberFormat="1" applyFont="1" applyBorder="1" applyAlignment="1">
      <alignment horizontal="center" vertical="center" wrapText="1"/>
    </xf>
    <xf numFmtId="4" fontId="20" fillId="0" borderId="1" xfId="5" applyNumberFormat="1" applyFont="1" applyBorder="1" applyAlignment="1">
      <alignment vertical="center"/>
    </xf>
    <xf numFmtId="0" fontId="36" fillId="0" borderId="1" xfId="0" applyFont="1" applyBorder="1" applyAlignment="1">
      <alignment horizontal="center" vertical="center" wrapText="1"/>
    </xf>
    <xf numFmtId="0" fontId="23" fillId="0" borderId="1" xfId="0" applyFont="1" applyBorder="1" applyAlignment="1">
      <alignment horizontal="center" vertical="center"/>
    </xf>
    <xf numFmtId="4" fontId="23" fillId="0" borderId="1" xfId="0" applyNumberFormat="1" applyFont="1" applyBorder="1" applyAlignment="1">
      <alignment vertical="center"/>
    </xf>
    <xf numFmtId="4" fontId="23" fillId="0" borderId="1" xfId="0" applyNumberFormat="1" applyFont="1" applyBorder="1" applyAlignment="1">
      <alignment horizontal="center" vertical="center"/>
    </xf>
    <xf numFmtId="177" fontId="38" fillId="0" borderId="1" xfId="15" applyNumberFormat="1" applyFont="1" applyBorder="1" applyAlignment="1">
      <alignment horizontal="left" vertical="top"/>
    </xf>
    <xf numFmtId="0" fontId="25" fillId="0" borderId="1" xfId="15" applyFont="1" applyBorder="1" applyAlignment="1">
      <alignment horizontal="center" vertical="top"/>
    </xf>
    <xf numFmtId="4" fontId="25" fillId="0" borderId="1" xfId="15" applyNumberFormat="1" applyFont="1" applyBorder="1" applyAlignment="1">
      <alignment horizontal="center" vertical="center" wrapText="1"/>
    </xf>
    <xf numFmtId="4" fontId="25" fillId="0" borderId="1" xfId="15" applyNumberFormat="1" applyFont="1" applyBorder="1" applyAlignment="1">
      <alignment horizontal="center" wrapText="1"/>
    </xf>
    <xf numFmtId="4" fontId="25" fillId="0" borderId="1" xfId="15" applyNumberFormat="1" applyFont="1" applyBorder="1" applyAlignment="1">
      <alignment vertical="center"/>
    </xf>
    <xf numFmtId="4" fontId="33" fillId="0" borderId="1" xfId="15" applyNumberFormat="1" applyFont="1" applyBorder="1" applyAlignment="1" applyProtection="1">
      <alignment horizontal="center" vertical="top" wrapText="1"/>
      <protection locked="0"/>
    </xf>
    <xf numFmtId="166" fontId="42" fillId="0" borderId="1" xfId="21" applyNumberFormat="1" applyFont="1" applyBorder="1" applyAlignment="1">
      <alignment horizontal="left" vertical="top"/>
    </xf>
    <xf numFmtId="0" fontId="42" fillId="0" borderId="1" xfId="0" applyFont="1" applyBorder="1" applyAlignment="1">
      <alignment vertical="top" wrapText="1"/>
    </xf>
    <xf numFmtId="170" fontId="42" fillId="0" borderId="1" xfId="0" applyNumberFormat="1" applyFont="1" applyBorder="1" applyAlignment="1">
      <alignment horizontal="left" vertical="top"/>
    </xf>
    <xf numFmtId="0" fontId="36" fillId="0" borderId="1" xfId="0" applyFont="1" applyBorder="1" applyAlignment="1">
      <alignment vertical="top" wrapText="1"/>
    </xf>
    <xf numFmtId="0" fontId="25" fillId="0" borderId="1" xfId="16" applyFont="1" applyBorder="1" applyAlignment="1">
      <alignment horizontal="center" vertical="center" wrapText="1"/>
    </xf>
    <xf numFmtId="0" fontId="33" fillId="0" borderId="0" xfId="17" applyFont="1" applyAlignment="1">
      <alignment vertical="top"/>
    </xf>
    <xf numFmtId="0" fontId="13" fillId="13" borderId="1" xfId="17" applyFont="1" applyFill="1" applyBorder="1" applyAlignment="1">
      <alignment horizontal="left" vertical="top" wrapText="1"/>
    </xf>
    <xf numFmtId="0" fontId="13" fillId="13" borderId="1" xfId="17" applyFont="1" applyFill="1" applyBorder="1" applyAlignment="1">
      <alignment vertical="top" wrapText="1"/>
    </xf>
    <xf numFmtId="0" fontId="14" fillId="13" borderId="1" xfId="17" applyFont="1" applyFill="1" applyBorder="1" applyAlignment="1">
      <alignment horizontal="center" vertical="top" wrapText="1"/>
    </xf>
    <xf numFmtId="4" fontId="14" fillId="13" borderId="1" xfId="17" applyNumberFormat="1" applyFont="1" applyFill="1" applyBorder="1" applyAlignment="1">
      <alignment horizontal="center" vertical="center" wrapText="1"/>
    </xf>
    <xf numFmtId="0" fontId="33" fillId="0" borderId="0" xfId="17" applyFont="1" applyAlignment="1">
      <alignment vertical="top" wrapText="1"/>
    </xf>
    <xf numFmtId="0" fontId="32" fillId="0" borderId="1" xfId="17" applyFont="1" applyBorder="1" applyAlignment="1">
      <alignment horizontal="left" vertical="top" wrapText="1"/>
    </xf>
    <xf numFmtId="0" fontId="15" fillId="0" borderId="1" xfId="17" applyFont="1" applyBorder="1" applyAlignment="1">
      <alignment vertical="top" wrapText="1"/>
    </xf>
    <xf numFmtId="0" fontId="32" fillId="0" borderId="1" xfId="17" applyFont="1" applyBorder="1" applyAlignment="1">
      <alignment horizontal="center" vertical="top" wrapText="1"/>
    </xf>
    <xf numFmtId="4" fontId="15" fillId="0" borderId="1" xfId="17" applyNumberFormat="1" applyFont="1" applyBorder="1" applyAlignment="1">
      <alignment horizontal="center" vertical="center" wrapText="1"/>
    </xf>
    <xf numFmtId="4" fontId="25" fillId="0" borderId="1" xfId="22" applyNumberFormat="1" applyFont="1" applyBorder="1" applyAlignment="1">
      <alignment vertical="top" wrapText="1"/>
    </xf>
    <xf numFmtId="4" fontId="25" fillId="0" borderId="1" xfId="24" applyNumberFormat="1" applyFont="1" applyBorder="1" applyAlignment="1">
      <alignment horizontal="left" vertical="top" wrapText="1"/>
    </xf>
    <xf numFmtId="4" fontId="25" fillId="14" borderId="1" xfId="24" applyNumberFormat="1" applyFont="1" applyFill="1" applyBorder="1" applyAlignment="1">
      <alignment vertical="top" wrapText="1"/>
    </xf>
    <xf numFmtId="4" fontId="25" fillId="0" borderId="1" xfId="11" applyNumberFormat="1" applyFont="1" applyBorder="1" applyAlignment="1">
      <alignment vertical="top" wrapText="1"/>
    </xf>
    <xf numFmtId="0" fontId="14" fillId="0" borderId="1" xfId="33" applyFont="1" applyBorder="1" applyAlignment="1">
      <alignment vertical="top" wrapText="1"/>
    </xf>
    <xf numFmtId="0" fontId="13" fillId="0" borderId="1" xfId="17" applyFont="1" applyBorder="1" applyAlignment="1">
      <alignment horizontal="left" vertical="top" wrapText="1"/>
    </xf>
    <xf numFmtId="0" fontId="13" fillId="0" borderId="1" xfId="17" applyFont="1" applyBorder="1" applyAlignment="1">
      <alignment vertical="top" wrapText="1"/>
    </xf>
    <xf numFmtId="0" fontId="13" fillId="0" borderId="1" xfId="17" applyFont="1" applyBorder="1" applyAlignment="1">
      <alignment horizontal="center" vertical="top" wrapText="1"/>
    </xf>
    <xf numFmtId="169" fontId="24" fillId="0" borderId="1" xfId="24" applyNumberFormat="1" applyFont="1" applyBorder="1" applyAlignment="1">
      <alignment horizontal="left" vertical="top"/>
    </xf>
    <xf numFmtId="0" fontId="24" fillId="0" borderId="1" xfId="17" applyFont="1" applyBorder="1" applyAlignment="1">
      <alignment vertical="top" wrapText="1"/>
    </xf>
    <xf numFmtId="0" fontId="24" fillId="0" borderId="1" xfId="17" applyFont="1" applyBorder="1" applyAlignment="1">
      <alignment horizontal="center" vertical="top" wrapText="1"/>
    </xf>
    <xf numFmtId="4" fontId="25" fillId="0" borderId="1" xfId="17" applyNumberFormat="1" applyFont="1" applyBorder="1" applyAlignment="1">
      <alignment horizontal="center" vertical="center" wrapText="1"/>
    </xf>
    <xf numFmtId="167" fontId="24" fillId="0" borderId="1" xfId="17" applyNumberFormat="1" applyFont="1" applyBorder="1" applyAlignment="1">
      <alignment horizontal="left" vertical="top"/>
    </xf>
    <xf numFmtId="0" fontId="25" fillId="0" borderId="1" xfId="17" applyFont="1" applyBorder="1" applyAlignment="1">
      <alignment vertical="top" wrapText="1"/>
    </xf>
    <xf numFmtId="0" fontId="25" fillId="0" borderId="1" xfId="17" applyFont="1" applyBorder="1" applyAlignment="1">
      <alignment horizontal="center" vertical="top" wrapText="1"/>
    </xf>
    <xf numFmtId="0" fontId="25" fillId="0" borderId="1" xfId="17" quotePrefix="1" applyFont="1" applyBorder="1" applyAlignment="1">
      <alignment vertical="top" wrapText="1"/>
    </xf>
    <xf numFmtId="167" fontId="32" fillId="0" borderId="1" xfId="17" applyNumberFormat="1" applyFont="1" applyBorder="1" applyAlignment="1">
      <alignment horizontal="left" vertical="top"/>
    </xf>
    <xf numFmtId="0" fontId="15" fillId="0" borderId="1" xfId="17" applyFont="1" applyBorder="1" applyAlignment="1">
      <alignment horizontal="center" vertical="top" wrapText="1"/>
    </xf>
    <xf numFmtId="167" fontId="13" fillId="0" borderId="1" xfId="17" applyNumberFormat="1" applyFont="1" applyBorder="1" applyAlignment="1">
      <alignment horizontal="left" vertical="top"/>
    </xf>
    <xf numFmtId="0" fontId="14" fillId="0" borderId="1" xfId="17" quotePrefix="1" applyFont="1" applyBorder="1" applyAlignment="1">
      <alignment vertical="top" wrapText="1"/>
    </xf>
    <xf numFmtId="0" fontId="38" fillId="0" borderId="0" xfId="24" applyFont="1" applyAlignment="1">
      <alignment vertical="top"/>
    </xf>
    <xf numFmtId="0" fontId="13" fillId="0" borderId="1" xfId="20" applyFont="1" applyBorder="1" applyAlignment="1">
      <alignment vertical="top" wrapText="1"/>
    </xf>
    <xf numFmtId="0" fontId="33" fillId="0" borderId="0" xfId="22" applyFont="1" applyAlignment="1">
      <alignment vertical="top"/>
    </xf>
    <xf numFmtId="0" fontId="14" fillId="0" borderId="1" xfId="20" applyFont="1" applyBorder="1" applyAlignment="1">
      <alignment vertical="top" wrapText="1"/>
    </xf>
    <xf numFmtId="0" fontId="33" fillId="0" borderId="0" xfId="24" applyFont="1" applyAlignment="1">
      <alignment vertical="top"/>
    </xf>
    <xf numFmtId="0" fontId="24" fillId="0" borderId="1" xfId="24" applyFont="1" applyBorder="1" applyAlignment="1">
      <alignment horizontal="left" vertical="top" wrapText="1"/>
    </xf>
    <xf numFmtId="0" fontId="25" fillId="0" borderId="1" xfId="24" applyFont="1" applyBorder="1" applyAlignment="1">
      <alignment horizontal="center" vertical="center"/>
    </xf>
    <xf numFmtId="4" fontId="25" fillId="0" borderId="1" xfId="24" applyNumberFormat="1" applyFont="1" applyBorder="1" applyAlignment="1">
      <alignment horizontal="center" vertical="center"/>
    </xf>
    <xf numFmtId="4" fontId="25" fillId="0" borderId="1" xfId="24" applyNumberFormat="1" applyFont="1" applyBorder="1" applyAlignment="1" applyProtection="1">
      <alignment horizontal="center" vertical="center"/>
      <protection locked="0"/>
    </xf>
    <xf numFmtId="0" fontId="25" fillId="0" borderId="1" xfId="24" applyFont="1" applyBorder="1" applyAlignment="1">
      <alignment horizontal="left" vertical="top" wrapText="1"/>
    </xf>
    <xf numFmtId="0" fontId="24" fillId="0" borderId="1" xfId="24" applyFont="1" applyBorder="1" applyAlignment="1">
      <alignment vertical="top"/>
    </xf>
    <xf numFmtId="0" fontId="25" fillId="14" borderId="1" xfId="24" applyFont="1" applyFill="1" applyBorder="1" applyAlignment="1">
      <alignment vertical="top" wrapText="1"/>
    </xf>
    <xf numFmtId="0" fontId="25" fillId="0" borderId="1" xfId="24" applyFont="1" applyBorder="1" applyAlignment="1">
      <alignment horizontal="center" vertical="center" wrapText="1"/>
    </xf>
    <xf numFmtId="4" fontId="25" fillId="0" borderId="1" xfId="24" applyNumberFormat="1" applyFont="1" applyBorder="1" applyAlignment="1">
      <alignment horizontal="center" vertical="center" wrapText="1"/>
    </xf>
    <xf numFmtId="4" fontId="25" fillId="0" borderId="1" xfId="24" applyNumberFormat="1" applyFont="1" applyBorder="1" applyAlignment="1" applyProtection="1">
      <alignment horizontal="center" vertical="center" wrapText="1"/>
      <protection locked="0"/>
    </xf>
    <xf numFmtId="167" fontId="15" fillId="0" borderId="1" xfId="22" applyNumberFormat="1" applyFont="1" applyBorder="1" applyAlignment="1">
      <alignment horizontal="left" vertical="top"/>
    </xf>
    <xf numFmtId="0" fontId="15" fillId="0" borderId="1" xfId="22" applyFont="1" applyBorder="1" applyAlignment="1">
      <alignment vertical="top" wrapText="1"/>
    </xf>
    <xf numFmtId="0" fontId="15" fillId="0" borderId="1" xfId="22" applyFont="1" applyBorder="1" applyAlignment="1">
      <alignment horizontal="center" vertical="top" wrapText="1"/>
    </xf>
    <xf numFmtId="4" fontId="15" fillId="0" borderId="1" xfId="22" applyNumberFormat="1" applyFont="1" applyBorder="1" applyAlignment="1">
      <alignment horizontal="center" vertical="center" wrapText="1"/>
    </xf>
    <xf numFmtId="0" fontId="13" fillId="0" borderId="1" xfId="24" applyFont="1" applyBorder="1" applyAlignment="1">
      <alignment vertical="top"/>
    </xf>
    <xf numFmtId="0" fontId="14" fillId="0" borderId="1" xfId="24" applyFont="1" applyBorder="1" applyAlignment="1">
      <alignment horizontal="center" vertical="center"/>
    </xf>
    <xf numFmtId="4" fontId="14" fillId="0" borderId="1" xfId="24" applyNumberFormat="1" applyFont="1" applyBorder="1" applyAlignment="1">
      <alignment horizontal="center" vertical="center"/>
    </xf>
    <xf numFmtId="4" fontId="14" fillId="0" borderId="1" xfId="24" applyNumberFormat="1" applyFont="1" applyBorder="1" applyAlignment="1" applyProtection="1">
      <alignment horizontal="center" vertical="center"/>
      <protection locked="0"/>
    </xf>
    <xf numFmtId="169" fontId="13" fillId="0" borderId="1" xfId="24" applyNumberFormat="1" applyFont="1" applyBorder="1" applyAlignment="1">
      <alignment horizontal="left" vertical="top"/>
    </xf>
    <xf numFmtId="0" fontId="14" fillId="14" borderId="1" xfId="24" applyFont="1" applyFill="1" applyBorder="1" applyAlignment="1">
      <alignment vertical="top" wrapText="1"/>
    </xf>
    <xf numFmtId="0" fontId="14" fillId="0" borderId="1" xfId="24" applyFont="1" applyBorder="1" applyAlignment="1">
      <alignment horizontal="center" vertical="center" wrapText="1"/>
    </xf>
    <xf numFmtId="4" fontId="14" fillId="0" borderId="1" xfId="24" applyNumberFormat="1" applyFont="1" applyBorder="1" applyAlignment="1">
      <alignment horizontal="center" vertical="center" wrapText="1"/>
    </xf>
    <xf numFmtId="4" fontId="14" fillId="0" borderId="1" xfId="24" applyNumberFormat="1" applyFont="1" applyBorder="1" applyAlignment="1" applyProtection="1">
      <alignment horizontal="center" vertical="center" wrapText="1"/>
      <protection locked="0"/>
    </xf>
    <xf numFmtId="167" fontId="14" fillId="0" borderId="1" xfId="22" applyNumberFormat="1" applyFont="1" applyBorder="1" applyAlignment="1">
      <alignment horizontal="left" vertical="top"/>
    </xf>
    <xf numFmtId="0" fontId="14" fillId="0" borderId="1" xfId="22" applyFont="1" applyBorder="1" applyAlignment="1">
      <alignment vertical="top" wrapText="1"/>
    </xf>
    <xf numFmtId="0" fontId="14" fillId="0" borderId="1" xfId="22" applyFont="1" applyBorder="1" applyAlignment="1">
      <alignment horizontal="center" vertical="top" wrapText="1"/>
    </xf>
    <xf numFmtId="4" fontId="14" fillId="0" borderId="1" xfId="22" applyNumberFormat="1" applyFont="1" applyBorder="1" applyAlignment="1">
      <alignment horizontal="center" vertical="center" wrapText="1"/>
    </xf>
    <xf numFmtId="0" fontId="13" fillId="5" borderId="1" xfId="17" applyFont="1" applyFill="1" applyBorder="1" applyAlignment="1">
      <alignment horizontal="left" vertical="top" wrapText="1"/>
    </xf>
    <xf numFmtId="0" fontId="13" fillId="5" borderId="1" xfId="17" applyFont="1" applyFill="1" applyBorder="1" applyAlignment="1">
      <alignment horizontal="right" vertical="top" wrapText="1"/>
    </xf>
    <xf numFmtId="0" fontId="13" fillId="5" borderId="1" xfId="17" applyFont="1" applyFill="1" applyBorder="1" applyAlignment="1">
      <alignment horizontal="center" vertical="top" wrapText="1"/>
    </xf>
    <xf numFmtId="4" fontId="14" fillId="5" borderId="1" xfId="17" applyNumberFormat="1" applyFont="1" applyFill="1" applyBorder="1" applyAlignment="1">
      <alignment horizontal="center" vertical="center" wrapText="1"/>
    </xf>
    <xf numFmtId="167" fontId="14" fillId="0" borderId="1" xfId="38" applyNumberFormat="1" applyFont="1" applyBorder="1" applyAlignment="1">
      <alignment horizontal="left" vertical="top"/>
    </xf>
    <xf numFmtId="0" fontId="14" fillId="0" borderId="1" xfId="38" applyFont="1" applyBorder="1" applyAlignment="1">
      <alignment vertical="top" wrapText="1"/>
    </xf>
    <xf numFmtId="0" fontId="14" fillId="0" borderId="1" xfId="38" applyFont="1" applyBorder="1" applyAlignment="1">
      <alignment horizontal="center" vertical="top" wrapText="1"/>
    </xf>
    <xf numFmtId="4" fontId="14" fillId="0" borderId="1" xfId="38" applyNumberFormat="1" applyFont="1" applyBorder="1" applyAlignment="1">
      <alignment horizontal="center" vertical="center" wrapText="1"/>
    </xf>
    <xf numFmtId="0" fontId="33" fillId="0" borderId="0" xfId="40" applyFont="1" applyAlignment="1">
      <alignment vertical="top"/>
    </xf>
    <xf numFmtId="0" fontId="24" fillId="0" borderId="1" xfId="40" applyFont="1" applyBorder="1" applyAlignment="1">
      <alignment horizontal="left" vertical="top" wrapText="1"/>
    </xf>
    <xf numFmtId="0" fontId="25" fillId="0" borderId="1" xfId="40" applyFont="1" applyBorder="1" applyAlignment="1">
      <alignment horizontal="center" vertical="center"/>
    </xf>
    <xf numFmtId="4" fontId="25" fillId="0" borderId="1" xfId="40" applyNumberFormat="1" applyFont="1" applyBorder="1" applyAlignment="1">
      <alignment horizontal="center" vertical="center"/>
    </xf>
    <xf numFmtId="0" fontId="38" fillId="0" borderId="0" xfId="40" applyFont="1" applyAlignment="1">
      <alignment vertical="top"/>
    </xf>
    <xf numFmtId="169" fontId="24" fillId="0" borderId="1" xfId="40" applyNumberFormat="1" applyFont="1" applyBorder="1" applyAlignment="1">
      <alignment horizontal="left" vertical="top"/>
    </xf>
    <xf numFmtId="0" fontId="25" fillId="0" borderId="1" xfId="40" applyFont="1" applyBorder="1" applyAlignment="1">
      <alignment horizontal="left" vertical="top" wrapText="1"/>
    </xf>
    <xf numFmtId="0" fontId="33" fillId="0" borderId="0" xfId="38" applyFont="1" applyAlignment="1">
      <alignment vertical="top"/>
    </xf>
    <xf numFmtId="0" fontId="24" fillId="0" borderId="1" xfId="40" applyFont="1" applyBorder="1" applyAlignment="1">
      <alignment vertical="top"/>
    </xf>
    <xf numFmtId="0" fontId="25" fillId="0" borderId="1" xfId="40" applyFont="1" applyBorder="1" applyAlignment="1">
      <alignment vertical="top" wrapText="1"/>
    </xf>
    <xf numFmtId="0" fontId="25" fillId="0" borderId="1" xfId="40" applyFont="1" applyBorder="1" applyAlignment="1">
      <alignment horizontal="center" vertical="center" wrapText="1"/>
    </xf>
    <xf numFmtId="4" fontId="25" fillId="0" borderId="1" xfId="40" applyNumberFormat="1" applyFont="1" applyBorder="1" applyAlignment="1">
      <alignment horizontal="center" vertical="center" wrapText="1"/>
    </xf>
    <xf numFmtId="4" fontId="25" fillId="0" borderId="1" xfId="40" applyNumberFormat="1" applyFont="1" applyBorder="1" applyAlignment="1" applyProtection="1">
      <alignment horizontal="center" vertical="center" wrapText="1"/>
      <protection locked="0"/>
    </xf>
    <xf numFmtId="4" fontId="25" fillId="0" borderId="1" xfId="39" applyNumberFormat="1" applyFont="1" applyBorder="1" applyAlignment="1">
      <alignment horizontal="right" vertical="center"/>
    </xf>
    <xf numFmtId="4" fontId="25" fillId="0" borderId="2" xfId="24" applyNumberFormat="1" applyFont="1" applyBorder="1" applyAlignment="1" applyProtection="1">
      <alignment horizontal="center" vertical="center"/>
      <protection locked="0"/>
    </xf>
    <xf numFmtId="4" fontId="30" fillId="0" borderId="2" xfId="38" applyNumberFormat="1" applyFont="1" applyBorder="1" applyAlignment="1">
      <alignment horizontal="right" vertical="center"/>
    </xf>
    <xf numFmtId="4" fontId="25" fillId="0" borderId="2" xfId="40" applyNumberFormat="1" applyFont="1" applyBorder="1" applyAlignment="1">
      <alignment horizontal="right" vertical="center"/>
    </xf>
    <xf numFmtId="4" fontId="25" fillId="0" borderId="2" xfId="39" applyNumberFormat="1" applyFont="1" applyBorder="1" applyAlignment="1">
      <alignment horizontal="right" vertical="center"/>
    </xf>
    <xf numFmtId="4" fontId="14" fillId="0" borderId="2" xfId="24" applyNumberFormat="1" applyFont="1" applyBorder="1" applyAlignment="1" applyProtection="1">
      <alignment horizontal="center" vertical="center"/>
      <protection locked="0"/>
    </xf>
    <xf numFmtId="167" fontId="32" fillId="0" borderId="1" xfId="38" applyNumberFormat="1" applyFont="1" applyBorder="1" applyAlignment="1">
      <alignment horizontal="left" vertical="top"/>
    </xf>
    <xf numFmtId="0" fontId="15" fillId="0" borderId="1" xfId="38" applyFont="1" applyBorder="1" applyAlignment="1">
      <alignment vertical="top" wrapText="1"/>
    </xf>
    <xf numFmtId="0" fontId="15" fillId="0" borderId="1" xfId="38" applyFont="1" applyBorder="1" applyAlignment="1">
      <alignment horizontal="center" vertical="top" wrapText="1"/>
    </xf>
    <xf numFmtId="4" fontId="15" fillId="14" borderId="1" xfId="38" applyNumberFormat="1" applyFont="1" applyFill="1" applyBorder="1" applyAlignment="1">
      <alignment horizontal="center" vertical="center" wrapText="1"/>
    </xf>
    <xf numFmtId="4" fontId="15" fillId="0" borderId="1" xfId="38" applyNumberFormat="1" applyFont="1" applyBorder="1" applyAlignment="1">
      <alignment horizontal="center" vertical="center" wrapText="1"/>
    </xf>
    <xf numFmtId="0" fontId="33" fillId="0" borderId="0" xfId="38" applyFont="1" applyAlignment="1">
      <alignment vertical="top" wrapText="1"/>
    </xf>
    <xf numFmtId="0" fontId="24" fillId="0" borderId="1" xfId="38" applyFont="1" applyBorder="1" applyAlignment="1">
      <alignment vertical="top" wrapText="1"/>
    </xf>
    <xf numFmtId="0" fontId="24" fillId="0" borderId="1" xfId="38" applyFont="1" applyBorder="1" applyAlignment="1">
      <alignment horizontal="center" vertical="top" wrapText="1"/>
    </xf>
    <xf numFmtId="4" fontId="25" fillId="0" borderId="1" xfId="38" applyNumberFormat="1" applyFont="1" applyBorder="1" applyAlignment="1">
      <alignment horizontal="center" vertical="center" wrapText="1"/>
    </xf>
    <xf numFmtId="4" fontId="25" fillId="0" borderId="1" xfId="38" applyNumberFormat="1" applyFont="1" applyBorder="1" applyAlignment="1">
      <alignment horizontal="right" vertical="center"/>
    </xf>
    <xf numFmtId="167" fontId="24" fillId="0" borderId="1" xfId="38" applyNumberFormat="1" applyFont="1" applyBorder="1" applyAlignment="1">
      <alignment horizontal="left" vertical="top"/>
    </xf>
    <xf numFmtId="0" fontId="25" fillId="0" borderId="1" xfId="38" applyFont="1" applyBorder="1" applyAlignment="1">
      <alignment vertical="top" wrapText="1"/>
    </xf>
    <xf numFmtId="0" fontId="25" fillId="0" borderId="1" xfId="38" applyFont="1" applyBorder="1" applyAlignment="1">
      <alignment horizontal="center" vertical="top" wrapText="1"/>
    </xf>
    <xf numFmtId="0" fontId="25" fillId="0" borderId="1" xfId="38" quotePrefix="1" applyFont="1" applyBorder="1" applyAlignment="1">
      <alignment vertical="top" wrapText="1"/>
    </xf>
    <xf numFmtId="4" fontId="25" fillId="14" borderId="1" xfId="38" applyNumberFormat="1" applyFont="1" applyFill="1" applyBorder="1" applyAlignment="1">
      <alignment horizontal="center" vertical="center" wrapText="1"/>
    </xf>
    <xf numFmtId="0" fontId="33" fillId="0" borderId="1" xfId="38" applyFont="1" applyBorder="1" applyAlignment="1">
      <alignment vertical="top" wrapText="1"/>
    </xf>
    <xf numFmtId="4" fontId="24" fillId="0" borderId="1" xfId="38" applyNumberFormat="1" applyFont="1" applyBorder="1" applyAlignment="1">
      <alignment vertical="top" wrapText="1"/>
    </xf>
    <xf numFmtId="0" fontId="13" fillId="5" borderId="1" xfId="39" applyFont="1" applyFill="1" applyBorder="1" applyAlignment="1">
      <alignment horizontal="left" vertical="top" wrapText="1"/>
    </xf>
    <xf numFmtId="0" fontId="13" fillId="5" borderId="1" xfId="39" applyFont="1" applyFill="1" applyBorder="1" applyAlignment="1">
      <alignment vertical="top" wrapText="1"/>
    </xf>
    <xf numFmtId="0" fontId="13" fillId="5" borderId="1" xfId="39" applyFont="1" applyFill="1" applyBorder="1" applyAlignment="1">
      <alignment horizontal="center" vertical="top" wrapText="1"/>
    </xf>
    <xf numFmtId="4" fontId="14" fillId="5" borderId="1" xfId="39" applyNumberFormat="1" applyFont="1" applyFill="1" applyBorder="1" applyAlignment="1">
      <alignment horizontal="center" vertical="center" wrapText="1"/>
    </xf>
    <xf numFmtId="0" fontId="33" fillId="0" borderId="0" xfId="39" applyFont="1" applyAlignment="1">
      <alignment vertical="top"/>
    </xf>
    <xf numFmtId="0" fontId="32" fillId="0" borderId="1" xfId="20" applyFont="1" applyBorder="1" applyAlignment="1">
      <alignment horizontal="left" vertical="top" wrapText="1"/>
    </xf>
    <xf numFmtId="0" fontId="33" fillId="0" borderId="1" xfId="20" applyFont="1" applyBorder="1" applyAlignment="1">
      <alignment vertical="top" wrapText="1"/>
    </xf>
    <xf numFmtId="0" fontId="32" fillId="0" borderId="1" xfId="20" applyFont="1" applyBorder="1" applyAlignment="1">
      <alignment horizontal="center" vertical="top" wrapText="1"/>
    </xf>
    <xf numFmtId="4" fontId="15" fillId="0" borderId="1" xfId="20" applyNumberFormat="1" applyFont="1" applyBorder="1" applyAlignment="1">
      <alignment horizontal="center" vertical="center" wrapText="1"/>
    </xf>
    <xf numFmtId="0" fontId="15" fillId="0" borderId="1" xfId="20" applyFont="1" applyBorder="1" applyAlignment="1">
      <alignment vertical="top" wrapText="1"/>
    </xf>
    <xf numFmtId="0" fontId="14" fillId="0" borderId="1" xfId="20" applyFont="1" applyBorder="1" applyAlignment="1">
      <alignment horizontal="left" vertical="top" wrapText="1"/>
    </xf>
    <xf numFmtId="0" fontId="14" fillId="0" borderId="1" xfId="20" applyFont="1" applyBorder="1" applyAlignment="1">
      <alignment horizontal="center" vertical="top" wrapText="1"/>
    </xf>
    <xf numFmtId="4" fontId="14" fillId="0" borderId="1" xfId="20" applyNumberFormat="1" applyFont="1" applyBorder="1" applyAlignment="1">
      <alignment horizontal="center" vertical="center" wrapText="1"/>
    </xf>
    <xf numFmtId="4" fontId="14" fillId="0" borderId="1" xfId="20" applyNumberFormat="1" applyFont="1" applyBorder="1" applyAlignment="1">
      <alignment horizontal="right" vertical="center"/>
    </xf>
    <xf numFmtId="182" fontId="13" fillId="0" borderId="1" xfId="40" applyNumberFormat="1" applyFont="1" applyBorder="1" applyAlignment="1">
      <alignment horizontal="left" vertical="top"/>
    </xf>
    <xf numFmtId="186" fontId="14" fillId="0" borderId="1" xfId="20" applyNumberFormat="1" applyFont="1" applyBorder="1" applyAlignment="1">
      <alignment horizontal="left" vertical="top"/>
    </xf>
    <xf numFmtId="0" fontId="14" fillId="0" borderId="1" xfId="20" applyFont="1" applyBorder="1" applyAlignment="1">
      <alignment vertical="center" wrapText="1"/>
    </xf>
    <xf numFmtId="0" fontId="14" fillId="0" borderId="1" xfId="20" applyFont="1" applyBorder="1" applyAlignment="1">
      <alignment horizontal="center" vertical="center" wrapText="1"/>
    </xf>
    <xf numFmtId="0" fontId="14" fillId="0" borderId="1" xfId="40" applyFont="1" applyBorder="1" applyAlignment="1">
      <alignment vertical="top" wrapText="1"/>
    </xf>
    <xf numFmtId="186" fontId="15" fillId="0" borderId="1" xfId="20" applyNumberFormat="1" applyFont="1" applyBorder="1" applyAlignment="1">
      <alignment horizontal="left" vertical="top"/>
    </xf>
    <xf numFmtId="0" fontId="15" fillId="0" borderId="1" xfId="20" applyFont="1" applyBorder="1" applyAlignment="1">
      <alignment horizontal="center" vertical="top" wrapText="1"/>
    </xf>
    <xf numFmtId="186" fontId="13" fillId="0" borderId="1" xfId="20" applyNumberFormat="1" applyFont="1" applyBorder="1" applyAlignment="1">
      <alignment horizontal="left" vertical="top"/>
    </xf>
    <xf numFmtId="0" fontId="14" fillId="0" borderId="1" xfId="39" applyFont="1" applyBorder="1" applyAlignment="1">
      <alignment vertical="top"/>
    </xf>
    <xf numFmtId="0" fontId="14" fillId="0" borderId="1" xfId="39" applyFont="1" applyBorder="1" applyAlignment="1">
      <alignment vertical="top" wrapText="1"/>
    </xf>
    <xf numFmtId="0" fontId="14" fillId="0" borderId="1" xfId="39" applyFont="1" applyBorder="1" applyAlignment="1">
      <alignment horizontal="center" vertical="top" wrapText="1"/>
    </xf>
    <xf numFmtId="4" fontId="14" fillId="0" borderId="1" xfId="39" applyNumberFormat="1" applyFont="1" applyBorder="1" applyAlignment="1">
      <alignment horizontal="center" vertical="center" wrapText="1"/>
    </xf>
    <xf numFmtId="0" fontId="13" fillId="0" borderId="1" xfId="39" applyFont="1" applyBorder="1" applyAlignment="1">
      <alignment horizontal="left" vertical="top"/>
    </xf>
    <xf numFmtId="0" fontId="14" fillId="0" borderId="1" xfId="39" applyFont="1" applyBorder="1" applyAlignment="1">
      <alignment horizontal="center" vertical="top"/>
    </xf>
    <xf numFmtId="4" fontId="14" fillId="0" borderId="1" xfId="39" applyNumberFormat="1" applyFont="1" applyBorder="1" applyAlignment="1">
      <alignment horizontal="center" vertical="center"/>
    </xf>
    <xf numFmtId="0" fontId="13" fillId="5" borderId="1" xfId="20" applyFont="1" applyFill="1" applyBorder="1" applyAlignment="1">
      <alignment horizontal="left" vertical="top" wrapText="1"/>
    </xf>
    <xf numFmtId="0" fontId="13" fillId="5" borderId="1" xfId="20" applyFont="1" applyFill="1" applyBorder="1" applyAlignment="1">
      <alignment horizontal="right" vertical="top" wrapText="1"/>
    </xf>
    <xf numFmtId="0" fontId="13" fillId="5" borderId="1" xfId="20" applyFont="1" applyFill="1" applyBorder="1" applyAlignment="1">
      <alignment horizontal="center" vertical="top" wrapText="1"/>
    </xf>
    <xf numFmtId="4" fontId="14" fillId="5" borderId="1" xfId="20" applyNumberFormat="1" applyFont="1" applyFill="1" applyBorder="1" applyAlignment="1">
      <alignment horizontal="center" vertical="center" wrapText="1"/>
    </xf>
    <xf numFmtId="0" fontId="32" fillId="0" borderId="1" xfId="39" applyFont="1" applyBorder="1" applyAlignment="1">
      <alignment horizontal="left" vertical="top" wrapText="1"/>
    </xf>
    <xf numFmtId="0" fontId="15" fillId="0" borderId="1" xfId="39" applyFont="1" applyBorder="1" applyAlignment="1">
      <alignment vertical="top" wrapText="1"/>
    </xf>
    <xf numFmtId="0" fontId="15" fillId="0" borderId="1" xfId="39" applyFont="1" applyBorder="1" applyAlignment="1">
      <alignment horizontal="center" vertical="top" wrapText="1"/>
    </xf>
    <xf numFmtId="4" fontId="15" fillId="0" borderId="1" xfId="39" applyNumberFormat="1" applyFont="1" applyBorder="1" applyAlignment="1">
      <alignment horizontal="center" vertical="center" wrapText="1"/>
    </xf>
    <xf numFmtId="187" fontId="13" fillId="0" borderId="1" xfId="39" applyNumberFormat="1" applyFont="1" applyBorder="1" applyAlignment="1">
      <alignment horizontal="left" vertical="top"/>
    </xf>
    <xf numFmtId="0" fontId="13" fillId="0" borderId="1" xfId="39" applyFont="1" applyBorder="1" applyAlignment="1">
      <alignment vertical="top" wrapText="1"/>
    </xf>
    <xf numFmtId="187" fontId="32" fillId="0" borderId="1" xfId="39" applyNumberFormat="1" applyFont="1" applyBorder="1" applyAlignment="1">
      <alignment horizontal="left" vertical="top"/>
    </xf>
    <xf numFmtId="188" fontId="13" fillId="0" borderId="1" xfId="40" applyNumberFormat="1" applyFont="1" applyBorder="1" applyAlignment="1">
      <alignment horizontal="left" vertical="top"/>
    </xf>
    <xf numFmtId="12" fontId="13" fillId="0" borderId="1" xfId="0" applyNumberFormat="1" applyFont="1" applyBorder="1" applyAlignment="1">
      <alignment vertical="top"/>
    </xf>
    <xf numFmtId="172" fontId="13" fillId="0" borderId="1" xfId="39" applyNumberFormat="1" applyFont="1" applyBorder="1" applyAlignment="1">
      <alignment horizontal="left" vertical="top"/>
    </xf>
    <xf numFmtId="4" fontId="25" fillId="0" borderId="1" xfId="38" applyNumberFormat="1" applyFont="1" applyBorder="1" applyAlignment="1">
      <alignment vertical="center"/>
    </xf>
    <xf numFmtId="0" fontId="13" fillId="5" borderId="1" xfId="39" applyFont="1" applyFill="1" applyBorder="1" applyAlignment="1">
      <alignment horizontal="right" vertical="top" wrapText="1"/>
    </xf>
    <xf numFmtId="0" fontId="32" fillId="0" borderId="1" xfId="39" applyFont="1" applyBorder="1" applyAlignment="1">
      <alignment vertical="top" wrapText="1"/>
    </xf>
    <xf numFmtId="4" fontId="13" fillId="5" borderId="1" xfId="39" applyNumberFormat="1" applyFont="1" applyFill="1" applyBorder="1" applyAlignment="1">
      <alignment horizontal="center" vertical="center" wrapText="1"/>
    </xf>
    <xf numFmtId="167" fontId="13" fillId="0" borderId="1" xfId="25" applyNumberFormat="1" applyFont="1" applyBorder="1" applyAlignment="1">
      <alignment horizontal="left" vertical="top"/>
    </xf>
    <xf numFmtId="4" fontId="14" fillId="0" borderId="1" xfId="26" applyNumberFormat="1" applyFont="1" applyBorder="1" applyAlignment="1">
      <alignment horizontal="left" vertical="top" wrapText="1"/>
    </xf>
    <xf numFmtId="4" fontId="14" fillId="0" borderId="1" xfId="27" applyNumberFormat="1" applyFont="1" applyBorder="1" applyAlignment="1">
      <alignment horizontal="center" vertical="center"/>
    </xf>
    <xf numFmtId="4" fontId="14" fillId="0" borderId="1" xfId="26" applyNumberFormat="1" applyFont="1" applyBorder="1" applyAlignment="1">
      <alignment horizontal="center" vertical="center"/>
    </xf>
    <xf numFmtId="183" fontId="13" fillId="0" borderId="1" xfId="39" applyNumberFormat="1" applyFont="1" applyBorder="1" applyAlignment="1">
      <alignment horizontal="left" vertical="top"/>
    </xf>
    <xf numFmtId="0" fontId="13" fillId="0" borderId="1" xfId="8" applyFont="1" applyBorder="1" applyAlignment="1">
      <alignment vertical="top" wrapText="1"/>
    </xf>
    <xf numFmtId="189" fontId="13" fillId="0" borderId="1" xfId="40" applyNumberFormat="1" applyFont="1" applyBorder="1" applyAlignment="1">
      <alignment horizontal="left" vertical="top"/>
    </xf>
    <xf numFmtId="0" fontId="14" fillId="0" borderId="0" xfId="39" applyFont="1" applyAlignment="1">
      <alignment vertical="top"/>
    </xf>
    <xf numFmtId="0" fontId="14" fillId="0" borderId="1" xfId="28" applyFont="1" applyBorder="1" applyAlignment="1">
      <alignment horizontal="left" vertical="top" wrapText="1"/>
    </xf>
    <xf numFmtId="175" fontId="13" fillId="0" borderId="1" xfId="39" applyNumberFormat="1" applyFont="1" applyBorder="1" applyAlignment="1">
      <alignment horizontal="left" vertical="top"/>
    </xf>
    <xf numFmtId="4" fontId="13" fillId="0" borderId="1" xfId="27" applyNumberFormat="1" applyFont="1" applyBorder="1" applyAlignment="1">
      <alignment vertical="top" wrapText="1"/>
    </xf>
    <xf numFmtId="4" fontId="14" fillId="0" borderId="1" xfId="17" applyNumberFormat="1" applyFont="1" applyBorder="1" applyAlignment="1">
      <alignment vertical="center"/>
    </xf>
    <xf numFmtId="4" fontId="14" fillId="13" borderId="1" xfId="17" applyNumberFormat="1" applyFont="1" applyFill="1" applyBorder="1" applyAlignment="1">
      <alignment vertical="center"/>
    </xf>
    <xf numFmtId="4" fontId="15" fillId="0" borderId="1" xfId="17" applyNumberFormat="1" applyFont="1" applyBorder="1" applyAlignment="1">
      <alignment vertical="center"/>
    </xf>
    <xf numFmtId="4" fontId="25" fillId="0" borderId="1" xfId="17" applyNumberFormat="1" applyFont="1" applyBorder="1" applyAlignment="1">
      <alignment vertical="center"/>
    </xf>
    <xf numFmtId="4" fontId="15" fillId="0" borderId="1" xfId="38" applyNumberFormat="1" applyFont="1" applyBorder="1" applyAlignment="1">
      <alignment vertical="center"/>
    </xf>
    <xf numFmtId="4" fontId="25" fillId="0" borderId="1" xfId="24" applyNumberFormat="1" applyFont="1" applyBorder="1" applyAlignment="1">
      <alignment vertical="center"/>
    </xf>
    <xf numFmtId="4" fontId="43" fillId="0" borderId="1" xfId="22" applyNumberFormat="1" applyFont="1" applyBorder="1" applyAlignment="1">
      <alignment vertical="center"/>
    </xf>
    <xf numFmtId="4" fontId="25" fillId="0" borderId="1" xfId="40" applyNumberFormat="1" applyFont="1" applyBorder="1" applyAlignment="1" applyProtection="1">
      <alignment vertical="center" wrapText="1"/>
      <protection locked="0"/>
    </xf>
    <xf numFmtId="4" fontId="14" fillId="0" borderId="1" xfId="24" applyNumberFormat="1" applyFont="1" applyBorder="1" applyAlignment="1">
      <alignment vertical="center"/>
    </xf>
    <xf numFmtId="4" fontId="30" fillId="0" borderId="1" xfId="22" applyNumberFormat="1" applyFont="1" applyBorder="1" applyAlignment="1">
      <alignment vertical="center"/>
    </xf>
    <xf numFmtId="4" fontId="25" fillId="0" borderId="1" xfId="40" applyNumberFormat="1" applyFont="1" applyBorder="1" applyAlignment="1" applyProtection="1">
      <alignment vertical="center"/>
      <protection locked="0"/>
    </xf>
    <xf numFmtId="4" fontId="25" fillId="0" borderId="1" xfId="39" applyNumberFormat="1" applyFont="1" applyBorder="1" applyAlignment="1">
      <alignment vertical="center"/>
    </xf>
    <xf numFmtId="4" fontId="14" fillId="0" borderId="1" xfId="38" applyNumberFormat="1" applyFont="1" applyBorder="1" applyAlignment="1">
      <alignment vertical="center" wrapText="1"/>
    </xf>
    <xf numFmtId="4" fontId="13" fillId="5" borderId="1" xfId="17" applyNumberFormat="1" applyFont="1" applyFill="1" applyBorder="1" applyAlignment="1">
      <alignment vertical="center"/>
    </xf>
    <xf numFmtId="4" fontId="14" fillId="5" borderId="1" xfId="39" applyNumberFormat="1" applyFont="1" applyFill="1" applyBorder="1" applyAlignment="1">
      <alignment vertical="center"/>
    </xf>
    <xf numFmtId="4" fontId="15" fillId="0" borderId="1" xfId="20" applyNumberFormat="1" applyFont="1" applyBorder="1" applyAlignment="1">
      <alignment vertical="center"/>
    </xf>
    <xf numFmtId="4" fontId="14" fillId="0" borderId="1" xfId="20" applyNumberFormat="1" applyFont="1" applyBorder="1" applyAlignment="1">
      <alignment vertical="center"/>
    </xf>
    <xf numFmtId="4" fontId="14" fillId="0" borderId="1" xfId="20" applyNumberFormat="1" applyFont="1" applyBorder="1" applyAlignment="1">
      <alignment vertical="center" wrapText="1"/>
    </xf>
    <xf numFmtId="4" fontId="14" fillId="0" borderId="1" xfId="39" applyNumberFormat="1" applyFont="1" applyBorder="1" applyAlignment="1">
      <alignment vertical="center" wrapText="1"/>
    </xf>
    <xf numFmtId="4" fontId="14" fillId="0" borderId="1" xfId="39" applyNumberFormat="1" applyFont="1" applyBorder="1" applyAlignment="1">
      <alignment vertical="center"/>
    </xf>
    <xf numFmtId="4" fontId="13" fillId="5" borderId="1" xfId="20" applyNumberFormat="1" applyFont="1" applyFill="1" applyBorder="1" applyAlignment="1">
      <alignment vertical="center"/>
    </xf>
    <xf numFmtId="4" fontId="15" fillId="0" borderId="1" xfId="39" applyNumberFormat="1" applyFont="1" applyBorder="1" applyAlignment="1">
      <alignment vertical="center"/>
    </xf>
    <xf numFmtId="4" fontId="13" fillId="5" borderId="1" xfId="39" applyNumberFormat="1" applyFont="1" applyFill="1" applyBorder="1" applyAlignment="1">
      <alignment vertical="center"/>
    </xf>
    <xf numFmtId="4" fontId="14" fillId="5" borderId="1" xfId="39" applyNumberFormat="1" applyFont="1" applyFill="1" applyBorder="1" applyAlignment="1">
      <alignment vertical="center" wrapText="1"/>
    </xf>
    <xf numFmtId="4" fontId="13" fillId="5" borderId="1" xfId="39" applyNumberFormat="1" applyFont="1" applyFill="1" applyBorder="1" applyAlignment="1">
      <alignment vertical="center" wrapText="1"/>
    </xf>
    <xf numFmtId="4" fontId="14" fillId="5" borderId="1" xfId="22" applyNumberFormat="1" applyFont="1" applyFill="1" applyBorder="1" applyAlignment="1">
      <alignment vertical="center"/>
    </xf>
    <xf numFmtId="185" fontId="14" fillId="0" borderId="1" xfId="0" applyNumberFormat="1" applyFont="1" applyBorder="1" applyAlignment="1">
      <alignment vertical="center"/>
    </xf>
    <xf numFmtId="49" fontId="14" fillId="0" borderId="1" xfId="5" applyNumberFormat="1" applyFont="1" applyBorder="1" applyAlignment="1" applyProtection="1">
      <alignment vertical="center" wrapText="1"/>
      <protection locked="0"/>
    </xf>
    <xf numFmtId="4" fontId="14" fillId="0" borderId="1" xfId="7" applyNumberFormat="1" applyFont="1" applyBorder="1" applyAlignment="1">
      <alignment vertical="center"/>
    </xf>
    <xf numFmtId="4" fontId="30" fillId="0" borderId="1" xfId="5" applyNumberFormat="1" applyFont="1" applyBorder="1" applyAlignment="1">
      <alignment vertical="center"/>
    </xf>
    <xf numFmtId="4" fontId="14" fillId="11" borderId="1" xfId="0" applyNumberFormat="1" applyFont="1" applyFill="1" applyBorder="1" applyAlignment="1">
      <alignment vertical="center"/>
    </xf>
    <xf numFmtId="4" fontId="14" fillId="2" borderId="1" xfId="0" applyNumberFormat="1" applyFont="1" applyFill="1" applyBorder="1" applyAlignment="1">
      <alignment vertical="center"/>
    </xf>
    <xf numFmtId="4" fontId="13" fillId="0" borderId="1" xfId="17" applyNumberFormat="1" applyFont="1" applyBorder="1" applyAlignment="1">
      <alignment vertical="top"/>
    </xf>
    <xf numFmtId="4" fontId="13" fillId="0" borderId="1" xfId="17" applyNumberFormat="1" applyFont="1" applyBorder="1" applyAlignment="1">
      <alignment vertical="center"/>
    </xf>
    <xf numFmtId="4" fontId="14" fillId="0" borderId="0" xfId="17" applyNumberFormat="1" applyFont="1" applyAlignment="1">
      <alignment vertical="center"/>
    </xf>
    <xf numFmtId="4" fontId="24" fillId="0" borderId="1" xfId="41" applyNumberFormat="1" applyFont="1" applyBorder="1" applyAlignment="1">
      <alignment horizontal="left" vertical="top" wrapText="1"/>
    </xf>
    <xf numFmtId="0" fontId="15" fillId="0" borderId="0" xfId="38" applyFont="1" applyAlignment="1">
      <alignment vertical="top" wrapText="1"/>
    </xf>
    <xf numFmtId="0" fontId="25" fillId="0" borderId="1" xfId="38" applyFont="1" applyBorder="1" applyAlignment="1">
      <alignment vertical="top"/>
    </xf>
    <xf numFmtId="4" fontId="25" fillId="0" borderId="1" xfId="41" applyNumberFormat="1" applyFont="1" applyBorder="1" applyAlignment="1">
      <alignment horizontal="left" vertical="top" wrapText="1"/>
    </xf>
    <xf numFmtId="186" fontId="24" fillId="0" borderId="1" xfId="38" applyNumberFormat="1" applyFont="1" applyBorder="1" applyAlignment="1">
      <alignment horizontal="left" vertical="top"/>
    </xf>
    <xf numFmtId="0" fontId="25" fillId="0" borderId="1" xfId="38" applyFont="1" applyBorder="1" applyAlignment="1">
      <alignment vertical="center" wrapText="1"/>
    </xf>
    <xf numFmtId="0" fontId="25" fillId="0" borderId="1" xfId="38" applyFont="1" applyBorder="1" applyAlignment="1">
      <alignment horizontal="center" vertical="center" wrapText="1"/>
    </xf>
    <xf numFmtId="0" fontId="24" fillId="5" borderId="1" xfId="38" applyFont="1" applyFill="1" applyBorder="1" applyAlignment="1">
      <alignment horizontal="left" vertical="top" wrapText="1"/>
    </xf>
    <xf numFmtId="0" fontId="24" fillId="5" borderId="1" xfId="38" applyFont="1" applyFill="1" applyBorder="1" applyAlignment="1">
      <alignment vertical="top" wrapText="1"/>
    </xf>
    <xf numFmtId="0" fontId="24" fillId="5" borderId="1" xfId="38" applyFont="1" applyFill="1" applyBorder="1" applyAlignment="1">
      <alignment horizontal="center" vertical="top" wrapText="1"/>
    </xf>
    <xf numFmtId="4" fontId="24" fillId="5" borderId="1" xfId="38" applyNumberFormat="1" applyFont="1" applyFill="1" applyBorder="1" applyAlignment="1">
      <alignment horizontal="center" vertical="top" wrapText="1"/>
    </xf>
    <xf numFmtId="4" fontId="24" fillId="5" borderId="1" xfId="38" applyNumberFormat="1" applyFont="1" applyFill="1" applyBorder="1" applyAlignment="1">
      <alignment horizontal="center" wrapText="1"/>
    </xf>
    <xf numFmtId="4" fontId="24" fillId="5" borderId="1" xfId="38" applyNumberFormat="1" applyFont="1" applyFill="1" applyBorder="1" applyAlignment="1">
      <alignment vertical="center" wrapText="1"/>
    </xf>
    <xf numFmtId="0" fontId="24" fillId="0" borderId="1" xfId="38" applyFont="1" applyBorder="1" applyAlignment="1">
      <alignment horizontal="left" vertical="top" wrapText="1"/>
    </xf>
    <xf numFmtId="0" fontId="25" fillId="0" borderId="1" xfId="38" applyFont="1" applyBorder="1" applyAlignment="1">
      <alignment horizontal="center" vertical="top"/>
    </xf>
    <xf numFmtId="4" fontId="25" fillId="0" borderId="1" xfId="38" applyNumberFormat="1" applyFont="1" applyBorder="1" applyAlignment="1">
      <alignment horizontal="center" vertical="top" wrapText="1"/>
    </xf>
    <xf numFmtId="4" fontId="25" fillId="0" borderId="1" xfId="38" applyNumberFormat="1" applyFont="1" applyBorder="1" applyAlignment="1">
      <alignment horizontal="center" wrapText="1"/>
    </xf>
    <xf numFmtId="4" fontId="25" fillId="0" borderId="1" xfId="38" applyNumberFormat="1" applyFont="1" applyBorder="1" applyAlignment="1" applyProtection="1">
      <alignment horizontal="center" vertical="top" wrapText="1"/>
      <protection locked="0"/>
    </xf>
    <xf numFmtId="190" fontId="24" fillId="0" borderId="1" xfId="21" applyNumberFormat="1" applyFont="1" applyBorder="1" applyAlignment="1">
      <alignment horizontal="left" vertical="top"/>
    </xf>
    <xf numFmtId="4" fontId="24" fillId="0" borderId="1" xfId="38" applyNumberFormat="1" applyFont="1" applyBorder="1" applyAlignment="1">
      <alignment horizontal="left" vertical="top" wrapText="1"/>
    </xf>
    <xf numFmtId="4" fontId="25" fillId="0" borderId="1" xfId="38" applyNumberFormat="1" applyFont="1" applyBorder="1" applyAlignment="1">
      <alignment horizontal="center" vertical="top"/>
    </xf>
    <xf numFmtId="4" fontId="25" fillId="0" borderId="1" xfId="38" applyNumberFormat="1" applyFont="1" applyBorder="1" applyAlignment="1">
      <alignment horizontal="right"/>
    </xf>
    <xf numFmtId="4" fontId="13" fillId="0" borderId="1" xfId="38" applyNumberFormat="1" applyFont="1" applyBorder="1" applyAlignment="1">
      <alignment horizontal="left" vertical="top"/>
    </xf>
    <xf numFmtId="4" fontId="25" fillId="0" borderId="1" xfId="38" applyNumberFormat="1" applyFont="1" applyBorder="1" applyAlignment="1">
      <alignment horizontal="left" vertical="top" wrapText="1"/>
    </xf>
    <xf numFmtId="177" fontId="38" fillId="0" borderId="1" xfId="38" applyNumberFormat="1" applyFont="1" applyBorder="1" applyAlignment="1">
      <alignment horizontal="left" vertical="top"/>
    </xf>
    <xf numFmtId="0" fontId="33" fillId="0" borderId="1" xfId="38" applyFont="1" applyBorder="1" applyAlignment="1">
      <alignment horizontal="center" vertical="top"/>
    </xf>
    <xf numFmtId="4" fontId="33" fillId="0" borderId="1" xfId="38" applyNumberFormat="1" applyFont="1" applyBorder="1" applyAlignment="1">
      <alignment horizontal="center" vertical="top" wrapText="1"/>
    </xf>
    <xf numFmtId="4" fontId="33" fillId="0" borderId="1" xfId="38" applyNumberFormat="1" applyFont="1" applyBorder="1" applyAlignment="1">
      <alignment horizontal="center" wrapText="1"/>
    </xf>
    <xf numFmtId="4" fontId="33" fillId="0" borderId="1" xfId="38" applyNumberFormat="1" applyFont="1" applyBorder="1" applyAlignment="1">
      <alignment vertical="center"/>
    </xf>
    <xf numFmtId="4" fontId="33" fillId="0" borderId="1" xfId="38" applyNumberFormat="1" applyFont="1" applyBorder="1" applyAlignment="1" applyProtection="1">
      <alignment horizontal="center" vertical="top" wrapText="1"/>
      <protection locked="0"/>
    </xf>
    <xf numFmtId="4" fontId="14" fillId="0" borderId="1" xfId="38" applyNumberFormat="1" applyFont="1" applyBorder="1" applyAlignment="1">
      <alignment horizontal="left" vertical="top" wrapText="1"/>
    </xf>
    <xf numFmtId="4" fontId="14" fillId="0" borderId="1" xfId="38" applyNumberFormat="1" applyFont="1" applyBorder="1" applyAlignment="1">
      <alignment horizontal="center" vertical="top"/>
    </xf>
    <xf numFmtId="4" fontId="14" fillId="0" borderId="1" xfId="38" applyNumberFormat="1" applyFont="1" applyBorder="1" applyAlignment="1">
      <alignment horizontal="center" vertical="top" wrapText="1"/>
    </xf>
    <xf numFmtId="4" fontId="14" fillId="0" borderId="1" xfId="38" applyNumberFormat="1" applyFont="1" applyBorder="1" applyAlignment="1">
      <alignment horizontal="right"/>
    </xf>
    <xf numFmtId="4" fontId="15" fillId="0" borderId="1" xfId="38" applyNumberFormat="1" applyFont="1" applyBorder="1" applyAlignment="1" applyProtection="1">
      <alignment horizontal="center" vertical="top" wrapText="1"/>
      <protection locked="0"/>
    </xf>
    <xf numFmtId="4" fontId="14" fillId="0" borderId="0" xfId="38" applyNumberFormat="1" applyFont="1" applyAlignment="1">
      <alignment vertical="top"/>
    </xf>
    <xf numFmtId="4" fontId="38" fillId="0" borderId="1" xfId="38" applyNumberFormat="1" applyFont="1" applyBorder="1" applyAlignment="1" applyProtection="1">
      <alignment horizontal="center" vertical="top" wrapText="1"/>
      <protection locked="0"/>
    </xf>
    <xf numFmtId="4" fontId="25" fillId="0" borderId="0" xfId="38" applyNumberFormat="1" applyFont="1" applyAlignment="1">
      <alignment vertical="top"/>
    </xf>
    <xf numFmtId="4" fontId="38" fillId="0" borderId="1" xfId="38" applyNumberFormat="1" applyFont="1" applyBorder="1" applyAlignment="1" applyProtection="1">
      <alignment horizontal="left" vertical="top" wrapText="1"/>
      <protection locked="0"/>
    </xf>
    <xf numFmtId="0" fontId="44" fillId="0" borderId="1" xfId="21" applyFont="1" applyBorder="1" applyAlignment="1">
      <alignment vertical="top" wrapText="1"/>
    </xf>
    <xf numFmtId="0" fontId="25" fillId="0" borderId="0" xfId="38" applyFont="1" applyAlignment="1">
      <alignment vertical="top" wrapText="1"/>
    </xf>
    <xf numFmtId="4" fontId="14" fillId="0" borderId="1" xfId="38" applyNumberFormat="1" applyFont="1" applyBorder="1" applyAlignment="1">
      <alignment horizontal="right" vertical="center"/>
    </xf>
    <xf numFmtId="0" fontId="13" fillId="0" borderId="1" xfId="42" applyFont="1" applyBorder="1" applyAlignment="1">
      <alignment vertical="top" wrapText="1"/>
    </xf>
    <xf numFmtId="0" fontId="13" fillId="0" borderId="1" xfId="42" applyFont="1" applyBorder="1" applyAlignment="1">
      <alignment horizontal="left" vertical="top" wrapText="1"/>
    </xf>
    <xf numFmtId="0" fontId="14" fillId="0" borderId="1" xfId="42" applyFont="1" applyBorder="1" applyAlignment="1">
      <alignment horizontal="center" vertical="top" wrapText="1"/>
    </xf>
    <xf numFmtId="4" fontId="14" fillId="0" borderId="1" xfId="42" applyNumberFormat="1" applyFont="1" applyBorder="1" applyAlignment="1">
      <alignment horizontal="center" vertical="center" wrapText="1"/>
    </xf>
    <xf numFmtId="0" fontId="14" fillId="0" borderId="1" xfId="42" applyFont="1" applyBorder="1" applyAlignment="1">
      <alignment vertical="top" wrapText="1"/>
    </xf>
    <xf numFmtId="186" fontId="13" fillId="0" borderId="1" xfId="42" applyNumberFormat="1" applyFont="1" applyBorder="1" applyAlignment="1">
      <alignment horizontal="left" vertical="top"/>
    </xf>
    <xf numFmtId="0" fontId="25" fillId="0" borderId="2" xfId="38" applyFont="1" applyBorder="1" applyAlignment="1">
      <alignment vertical="top" wrapText="1"/>
    </xf>
    <xf numFmtId="4" fontId="14" fillId="0" borderId="2" xfId="42" applyNumberFormat="1" applyFont="1" applyBorder="1" applyAlignment="1">
      <alignment horizontal="right" vertical="center"/>
    </xf>
    <xf numFmtId="4" fontId="14" fillId="0" borderId="2" xfId="39" applyNumberFormat="1" applyFont="1" applyBorder="1" applyAlignment="1" applyProtection="1">
      <alignment vertical="top" wrapText="1"/>
      <protection locked="0"/>
    </xf>
    <xf numFmtId="165" fontId="14" fillId="5" borderId="2" xfId="39" applyNumberFormat="1" applyFont="1" applyFill="1" applyBorder="1" applyAlignment="1">
      <alignment horizontal="right" vertical="top" wrapText="1"/>
    </xf>
    <xf numFmtId="4" fontId="15" fillId="0" borderId="2" xfId="39" applyNumberFormat="1" applyFont="1" applyBorder="1" applyAlignment="1" applyProtection="1">
      <alignment vertical="top" wrapText="1"/>
      <protection locked="0"/>
    </xf>
    <xf numFmtId="4" fontId="15" fillId="0" borderId="1" xfId="0" applyNumberFormat="1" applyFont="1" applyBorder="1" applyAlignment="1">
      <alignment horizontal="center" vertical="center" wrapText="1"/>
    </xf>
    <xf numFmtId="0" fontId="14" fillId="0" borderId="2" xfId="20" applyFont="1" applyBorder="1" applyAlignment="1">
      <alignment vertical="top" wrapText="1"/>
    </xf>
    <xf numFmtId="4" fontId="15" fillId="0" borderId="2" xfId="39" applyNumberFormat="1" applyFont="1" applyBorder="1" applyAlignment="1">
      <alignment horizontal="right" vertical="center"/>
    </xf>
    <xf numFmtId="4" fontId="14" fillId="0" borderId="2" xfId="39" applyNumberFormat="1" applyFont="1" applyBorder="1" applyAlignment="1">
      <alignment horizontal="right" vertical="center"/>
    </xf>
    <xf numFmtId="166" fontId="24" fillId="0" borderId="1" xfId="0" applyNumberFormat="1" applyFont="1" applyBorder="1" applyAlignment="1">
      <alignment horizontal="left" vertical="top"/>
    </xf>
    <xf numFmtId="0" fontId="24" fillId="0" borderId="1" xfId="0" applyFont="1" applyBorder="1" applyAlignment="1">
      <alignment horizontal="right" vertical="center"/>
    </xf>
    <xf numFmtId="4" fontId="24" fillId="0" borderId="1" xfId="0" applyNumberFormat="1" applyFont="1" applyBorder="1" applyAlignment="1">
      <alignment vertical="center"/>
    </xf>
    <xf numFmtId="4" fontId="24" fillId="0" borderId="1" xfId="0" applyNumberFormat="1" applyFont="1" applyBorder="1" applyAlignment="1">
      <alignment horizontal="right" vertical="center"/>
    </xf>
    <xf numFmtId="0" fontId="20" fillId="0" borderId="1" xfId="42" applyFont="1" applyBorder="1" applyAlignment="1">
      <alignment vertical="top" wrapText="1"/>
    </xf>
    <xf numFmtId="4" fontId="15" fillId="0" borderId="1" xfId="0" applyNumberFormat="1" applyFont="1" applyBorder="1" applyAlignment="1">
      <alignment horizontal="right" vertical="center" wrapText="1"/>
    </xf>
    <xf numFmtId="191" fontId="24" fillId="0" borderId="1" xfId="3" applyNumberFormat="1" applyFont="1" applyBorder="1" applyAlignment="1">
      <alignment horizontal="left" vertical="top"/>
    </xf>
    <xf numFmtId="191" fontId="13" fillId="0" borderId="1" xfId="2" applyNumberFormat="1" applyFont="1" applyBorder="1" applyAlignment="1">
      <alignment horizontal="left" vertical="top"/>
    </xf>
    <xf numFmtId="192" fontId="13" fillId="0" borderId="1" xfId="2" applyNumberFormat="1" applyFont="1" applyBorder="1" applyAlignment="1">
      <alignment horizontal="left" vertical="top"/>
    </xf>
    <xf numFmtId="188" fontId="13" fillId="0" borderId="1" xfId="2" applyNumberFormat="1" applyFont="1" applyBorder="1" applyAlignment="1">
      <alignment horizontal="left" vertical="top"/>
    </xf>
    <xf numFmtId="189" fontId="13" fillId="0" borderId="1" xfId="2" applyNumberFormat="1" applyFont="1" applyBorder="1" applyAlignment="1">
      <alignment horizontal="left" vertical="top"/>
    </xf>
    <xf numFmtId="180" fontId="13" fillId="0" borderId="1" xfId="2" applyNumberFormat="1" applyFont="1" applyBorder="1" applyAlignment="1">
      <alignment horizontal="left" vertical="top"/>
    </xf>
    <xf numFmtId="4" fontId="25" fillId="0" borderId="1" xfId="38" applyNumberFormat="1" applyFont="1" applyBorder="1" applyAlignment="1">
      <alignment vertical="top" wrapText="1"/>
    </xf>
    <xf numFmtId="4" fontId="13" fillId="5" borderId="1" xfId="22" applyNumberFormat="1" applyFont="1" applyFill="1" applyBorder="1" applyAlignment="1">
      <alignment vertical="center"/>
    </xf>
    <xf numFmtId="49" fontId="25" fillId="0" borderId="1" xfId="0" applyNumberFormat="1" applyFont="1" applyBorder="1" applyAlignment="1">
      <alignment horizontal="left" vertical="top" wrapText="1"/>
    </xf>
    <xf numFmtId="0" fontId="20" fillId="0" borderId="0" xfId="34" applyFont="1"/>
    <xf numFmtId="190" fontId="13" fillId="0" borderId="1" xfId="2" applyNumberFormat="1" applyFont="1" applyBorder="1" applyAlignment="1">
      <alignment horizontal="left" vertical="top"/>
    </xf>
    <xf numFmtId="0" fontId="25" fillId="0" borderId="1" xfId="42" applyFont="1" applyBorder="1" applyAlignment="1">
      <alignment vertical="top" wrapText="1"/>
    </xf>
    <xf numFmtId="0" fontId="13" fillId="0" borderId="1" xfId="39" applyFont="1" applyBorder="1" applyAlignment="1">
      <alignment horizontal="center" vertical="top" wrapText="1"/>
    </xf>
    <xf numFmtId="165" fontId="14" fillId="0" borderId="0" xfId="39" applyNumberFormat="1" applyFont="1" applyAlignment="1">
      <alignment horizontal="right" vertical="top" wrapText="1"/>
    </xf>
    <xf numFmtId="183" fontId="32" fillId="0" borderId="1" xfId="39" applyNumberFormat="1" applyFont="1" applyBorder="1" applyAlignment="1">
      <alignment horizontal="left" vertical="top"/>
    </xf>
    <xf numFmtId="0" fontId="15" fillId="0" borderId="1" xfId="8" applyFont="1" applyBorder="1" applyAlignment="1">
      <alignment vertical="top" wrapText="1"/>
    </xf>
    <xf numFmtId="0" fontId="15" fillId="0" borderId="1" xfId="39" applyFont="1" applyBorder="1" applyAlignment="1">
      <alignment horizontal="center" vertical="top"/>
    </xf>
    <xf numFmtId="4" fontId="15" fillId="0" borderId="1" xfId="39" applyNumberFormat="1" applyFont="1" applyBorder="1" applyAlignment="1">
      <alignment horizontal="center" vertical="center"/>
    </xf>
    <xf numFmtId="4" fontId="15" fillId="0" borderId="0" xfId="39" applyNumberFormat="1" applyFont="1" applyAlignment="1" applyProtection="1">
      <alignment horizontal="right" vertical="top" wrapText="1"/>
      <protection locked="0"/>
    </xf>
    <xf numFmtId="0" fontId="33" fillId="0" borderId="2" xfId="25" applyFont="1" applyBorder="1" applyAlignment="1">
      <alignment horizontal="right" wrapText="1"/>
    </xf>
    <xf numFmtId="4" fontId="15" fillId="0" borderId="2" xfId="39" applyNumberFormat="1" applyFont="1" applyBorder="1" applyAlignment="1" applyProtection="1">
      <alignment horizontal="right" vertical="top" wrapText="1"/>
      <protection locked="0"/>
    </xf>
    <xf numFmtId="4" fontId="14" fillId="0" borderId="2" xfId="39" applyNumberFormat="1" applyFont="1" applyBorder="1" applyAlignment="1" applyProtection="1">
      <alignment horizontal="right" vertical="top" wrapText="1"/>
      <protection locked="0"/>
    </xf>
    <xf numFmtId="2" fontId="33" fillId="0" borderId="0" xfId="39" applyNumberFormat="1" applyFont="1" applyAlignment="1">
      <alignment vertical="top" wrapText="1"/>
    </xf>
    <xf numFmtId="4" fontId="14" fillId="0" borderId="2" xfId="19" applyNumberFormat="1" applyFont="1" applyBorder="1" applyAlignment="1" applyProtection="1">
      <alignment horizontal="right" vertical="top" wrapText="1"/>
      <protection locked="0"/>
    </xf>
    <xf numFmtId="165" fontId="13" fillId="4" borderId="2" xfId="0" applyNumberFormat="1" applyFont="1" applyFill="1" applyBorder="1" applyAlignment="1">
      <alignment horizontal="center" vertical="top" wrapText="1"/>
    </xf>
    <xf numFmtId="4" fontId="14" fillId="0" borderId="2" xfId="17" applyNumberFormat="1" applyFont="1" applyBorder="1" applyAlignment="1" applyProtection="1">
      <alignment horizontal="right" vertical="top" wrapText="1"/>
      <protection locked="0"/>
    </xf>
    <xf numFmtId="165" fontId="14" fillId="13" borderId="2" xfId="17" applyNumberFormat="1" applyFont="1" applyFill="1" applyBorder="1" applyAlignment="1">
      <alignment horizontal="right" vertical="top" wrapText="1"/>
    </xf>
    <xf numFmtId="4" fontId="15" fillId="0" borderId="2" xfId="17" applyNumberFormat="1" applyFont="1" applyBorder="1" applyAlignment="1" applyProtection="1">
      <alignment horizontal="right" vertical="top" wrapText="1"/>
      <protection locked="0"/>
    </xf>
    <xf numFmtId="4" fontId="25" fillId="0" borderId="2" xfId="17" applyNumberFormat="1" applyFont="1" applyBorder="1" applyAlignment="1" applyProtection="1">
      <alignment horizontal="right" vertical="top" wrapText="1"/>
      <protection locked="0"/>
    </xf>
    <xf numFmtId="4" fontId="15" fillId="0" borderId="2" xfId="38" applyNumberFormat="1" applyFont="1" applyBorder="1" applyAlignment="1" applyProtection="1">
      <alignment horizontal="right" vertical="top" wrapText="1"/>
      <protection locked="0"/>
    </xf>
    <xf numFmtId="4" fontId="25" fillId="0" borderId="2" xfId="38" applyNumberFormat="1" applyFont="1" applyBorder="1" applyAlignment="1" applyProtection="1">
      <alignment horizontal="right" vertical="top" wrapText="1"/>
      <protection locked="0"/>
    </xf>
    <xf numFmtId="4" fontId="15" fillId="0" borderId="2" xfId="22" applyNumberFormat="1" applyFont="1" applyBorder="1" applyAlignment="1" applyProtection="1">
      <alignment horizontal="right" vertical="top" wrapText="1"/>
      <protection locked="0"/>
    </xf>
    <xf numFmtId="4" fontId="14" fillId="0" borderId="2" xfId="22" applyNumberFormat="1" applyFont="1" applyBorder="1" applyAlignment="1" applyProtection="1">
      <alignment horizontal="right" vertical="top" wrapText="1"/>
      <protection locked="0"/>
    </xf>
    <xf numFmtId="165" fontId="14" fillId="5" borderId="2" xfId="17" applyNumberFormat="1" applyFont="1" applyFill="1" applyBorder="1" applyAlignment="1">
      <alignment horizontal="right" vertical="top" wrapText="1"/>
    </xf>
    <xf numFmtId="0" fontId="15" fillId="0" borderId="2" xfId="20" applyFont="1" applyBorder="1" applyAlignment="1">
      <alignment vertical="top" wrapText="1"/>
    </xf>
    <xf numFmtId="4" fontId="14" fillId="0" borderId="2" xfId="20" applyNumberFormat="1" applyFont="1" applyBorder="1" applyAlignment="1">
      <alignment horizontal="center" vertical="center" wrapText="1"/>
    </xf>
    <xf numFmtId="4" fontId="14" fillId="0" borderId="2" xfId="39" applyNumberFormat="1" applyFont="1" applyBorder="1" applyAlignment="1">
      <alignment horizontal="center" vertical="center" wrapText="1"/>
    </xf>
    <xf numFmtId="0" fontId="14" fillId="0" borderId="2" xfId="39" applyFont="1" applyBorder="1" applyAlignment="1">
      <alignment vertical="top" wrapText="1"/>
    </xf>
    <xf numFmtId="4" fontId="25" fillId="0" borderId="2" xfId="38" applyNumberFormat="1" applyFont="1" applyBorder="1" applyAlignment="1" applyProtection="1">
      <alignment vertical="top" wrapText="1"/>
      <protection locked="0"/>
    </xf>
    <xf numFmtId="0" fontId="32" fillId="5" borderId="2" xfId="39" applyFont="1" applyFill="1" applyBorder="1" applyAlignment="1">
      <alignment horizontal="left" vertical="top" wrapText="1"/>
    </xf>
    <xf numFmtId="4" fontId="33" fillId="0" borderId="2" xfId="39" applyNumberFormat="1" applyFont="1" applyBorder="1" applyAlignment="1" applyProtection="1">
      <alignment horizontal="right" vertical="top" wrapText="1"/>
      <protection locked="0"/>
    </xf>
    <xf numFmtId="0" fontId="13" fillId="5" borderId="2" xfId="39" applyFont="1" applyFill="1" applyBorder="1" applyAlignment="1">
      <alignment horizontal="left" vertical="top" wrapText="1"/>
    </xf>
    <xf numFmtId="165" fontId="14" fillId="5" borderId="2" xfId="22" applyNumberFormat="1" applyFont="1" applyFill="1" applyBorder="1" applyAlignment="1">
      <alignment horizontal="right" vertical="top" wrapText="1"/>
    </xf>
    <xf numFmtId="0" fontId="28" fillId="0" borderId="2" xfId="0" applyFont="1" applyBorder="1"/>
    <xf numFmtId="49" fontId="14" fillId="0" borderId="2" xfId="5" applyNumberFormat="1" applyFont="1" applyBorder="1" applyAlignment="1">
      <alignment horizontal="right" vertical="top"/>
    </xf>
    <xf numFmtId="4" fontId="14" fillId="0" borderId="2" xfId="0" applyNumberFormat="1" applyFont="1" applyBorder="1" applyAlignment="1">
      <alignment horizontal="right" vertical="center"/>
    </xf>
    <xf numFmtId="0" fontId="14" fillId="0" borderId="2" xfId="0" applyFont="1" applyBorder="1" applyAlignment="1">
      <alignment wrapText="1"/>
    </xf>
    <xf numFmtId="4" fontId="14" fillId="0" borderId="2" xfId="7" applyNumberFormat="1" applyFont="1" applyBorder="1" applyAlignment="1" applyProtection="1">
      <alignment horizontal="center" vertical="top" wrapText="1"/>
      <protection locked="0"/>
    </xf>
    <xf numFmtId="4" fontId="30" fillId="0" borderId="2" xfId="5" applyNumberFormat="1" applyFont="1" applyBorder="1" applyAlignment="1" applyProtection="1">
      <alignment horizontal="right" vertical="top" wrapText="1"/>
      <protection locked="0"/>
    </xf>
    <xf numFmtId="4" fontId="14" fillId="11" borderId="2" xfId="0" applyNumberFormat="1" applyFont="1" applyFill="1" applyBorder="1" applyAlignment="1">
      <alignment horizontal="right" vertical="center"/>
    </xf>
    <xf numFmtId="4" fontId="14" fillId="2" borderId="2" xfId="0" applyNumberFormat="1" applyFont="1" applyFill="1" applyBorder="1" applyAlignment="1">
      <alignment horizontal="right" vertical="center"/>
    </xf>
    <xf numFmtId="0" fontId="13" fillId="0" borderId="2" xfId="17" applyFont="1" applyBorder="1" applyAlignment="1">
      <alignment horizontal="left" vertical="top"/>
    </xf>
    <xf numFmtId="4" fontId="13" fillId="0" borderId="2" xfId="17" applyNumberFormat="1" applyFont="1" applyBorder="1" applyAlignment="1" applyProtection="1">
      <alignment horizontal="right" vertical="top" wrapText="1"/>
      <protection locked="0"/>
    </xf>
    <xf numFmtId="4" fontId="13" fillId="5" borderId="2" xfId="17" applyNumberFormat="1" applyFont="1" applyFill="1" applyBorder="1" applyAlignment="1" applyProtection="1">
      <alignment horizontal="right" vertical="top" wrapText="1"/>
      <protection locked="0"/>
    </xf>
    <xf numFmtId="2" fontId="14" fillId="0" borderId="0" xfId="17" applyNumberFormat="1" applyFont="1" applyAlignment="1">
      <alignment vertical="top" wrapText="1"/>
    </xf>
    <xf numFmtId="2" fontId="14" fillId="0" borderId="0" xfId="17" applyNumberFormat="1" applyFont="1" applyAlignment="1">
      <alignment horizontal="center" vertical="center" wrapText="1"/>
    </xf>
    <xf numFmtId="2" fontId="33" fillId="0" borderId="0" xfId="17" applyNumberFormat="1" applyFont="1" applyAlignment="1">
      <alignment vertical="top" wrapText="1"/>
    </xf>
    <xf numFmtId="4" fontId="33" fillId="0" borderId="0" xfId="17" applyNumberFormat="1" applyFont="1" applyAlignment="1">
      <alignment vertical="top"/>
    </xf>
    <xf numFmtId="4" fontId="25" fillId="0" borderId="0" xfId="40" applyNumberFormat="1" applyFont="1" applyAlignment="1" applyProtection="1">
      <alignment horizontal="center" vertical="center"/>
      <protection locked="0"/>
    </xf>
    <xf numFmtId="4" fontId="14" fillId="0" borderId="0" xfId="38" applyNumberFormat="1" applyFont="1" applyAlignment="1" applyProtection="1">
      <alignment horizontal="right" vertical="top" wrapText="1"/>
      <protection locked="0"/>
    </xf>
    <xf numFmtId="4" fontId="15" fillId="0" borderId="0" xfId="39" applyNumberFormat="1" applyFont="1" applyAlignment="1" applyProtection="1">
      <alignment vertical="top" wrapText="1"/>
      <protection locked="0"/>
    </xf>
    <xf numFmtId="4" fontId="14" fillId="0" borderId="0" xfId="39" applyNumberFormat="1" applyFont="1" applyAlignment="1" applyProtection="1">
      <alignment vertical="top" wrapText="1"/>
      <protection locked="0"/>
    </xf>
    <xf numFmtId="0" fontId="14" fillId="0" borderId="0" xfId="42" applyFont="1" applyAlignment="1">
      <alignment vertical="top" wrapText="1"/>
    </xf>
    <xf numFmtId="0" fontId="14" fillId="0" borderId="0" xfId="7" applyFont="1" applyAlignment="1">
      <alignment vertical="top" wrapText="1"/>
    </xf>
    <xf numFmtId="0" fontId="14" fillId="0" borderId="0" xfId="38" applyFont="1" applyAlignment="1">
      <alignment vertical="top" wrapText="1"/>
    </xf>
    <xf numFmtId="2" fontId="28" fillId="0" borderId="0" xfId="0" applyNumberFormat="1" applyFont="1"/>
    <xf numFmtId="2" fontId="13" fillId="0" borderId="0" xfId="17" applyNumberFormat="1" applyFont="1" applyAlignment="1">
      <alignment horizontal="left" vertical="top"/>
    </xf>
    <xf numFmtId="0" fontId="32" fillId="0" borderId="1" xfId="8" applyFont="1" applyBorder="1" applyAlignment="1">
      <alignment vertical="top" wrapText="1"/>
    </xf>
    <xf numFmtId="2" fontId="15" fillId="0" borderId="0" xfId="39" applyNumberFormat="1" applyFont="1" applyAlignment="1">
      <alignment vertical="top" wrapText="1"/>
    </xf>
    <xf numFmtId="0" fontId="15" fillId="0" borderId="0" xfId="39" applyFont="1" applyAlignment="1">
      <alignment vertical="top"/>
    </xf>
    <xf numFmtId="0" fontId="15" fillId="0" borderId="1" xfId="28" applyFont="1" applyBorder="1" applyAlignment="1">
      <alignment horizontal="left" vertical="top" wrapText="1"/>
    </xf>
    <xf numFmtId="175" fontId="32" fillId="0" borderId="1" xfId="39" applyNumberFormat="1" applyFont="1" applyBorder="1" applyAlignment="1">
      <alignment horizontal="left" vertical="top"/>
    </xf>
    <xf numFmtId="189" fontId="32" fillId="0" borderId="1" xfId="2" applyNumberFormat="1" applyFont="1" applyBorder="1" applyAlignment="1">
      <alignment horizontal="left" vertical="top"/>
    </xf>
    <xf numFmtId="4" fontId="32" fillId="0" borderId="1" xfId="27" applyNumberFormat="1" applyFont="1" applyBorder="1" applyAlignment="1">
      <alignment vertical="top" wrapText="1"/>
    </xf>
    <xf numFmtId="4" fontId="33" fillId="0" borderId="0" xfId="0" applyNumberFormat="1" applyFont="1" applyAlignment="1">
      <alignment horizontal="center" vertical="center"/>
    </xf>
    <xf numFmtId="4" fontId="33" fillId="0" borderId="0" xfId="0" applyNumberFormat="1" applyFont="1" applyAlignment="1">
      <alignment vertical="center"/>
    </xf>
    <xf numFmtId="4" fontId="15" fillId="0" borderId="1" xfId="0" applyNumberFormat="1" applyFont="1" applyBorder="1" applyAlignment="1">
      <alignment horizontal="center" vertical="center"/>
    </xf>
    <xf numFmtId="4" fontId="15" fillId="0" borderId="1" xfId="5" applyNumberFormat="1" applyFont="1" applyBorder="1" applyAlignment="1">
      <alignment vertical="center"/>
    </xf>
    <xf numFmtId="0" fontId="15" fillId="0" borderId="1" xfId="0" applyFont="1" applyBorder="1" applyAlignment="1">
      <alignment horizontal="right" wrapText="1"/>
    </xf>
    <xf numFmtId="4" fontId="15" fillId="0" borderId="1" xfId="0" applyNumberFormat="1" applyFont="1" applyBorder="1" applyAlignment="1">
      <alignment horizontal="left" vertical="top" wrapText="1"/>
    </xf>
    <xf numFmtId="0" fontId="15" fillId="0" borderId="1" xfId="0" applyFont="1" applyBorder="1" applyAlignment="1">
      <alignment horizontal="center" vertical="center" wrapText="1"/>
    </xf>
    <xf numFmtId="4" fontId="32" fillId="0" borderId="1" xfId="0" applyNumberFormat="1" applyFont="1" applyBorder="1" applyAlignment="1">
      <alignment vertical="top"/>
    </xf>
    <xf numFmtId="4" fontId="32" fillId="0" borderId="1" xfId="0" applyNumberFormat="1" applyFont="1" applyBorder="1" applyAlignment="1">
      <alignment horizontal="center" vertical="center" wrapText="1"/>
    </xf>
    <xf numFmtId="185" fontId="15" fillId="0" borderId="1" xfId="0" applyNumberFormat="1" applyFont="1" applyBorder="1" applyAlignment="1">
      <alignment vertical="center"/>
    </xf>
    <xf numFmtId="0" fontId="45" fillId="0" borderId="2" xfId="0" applyFont="1" applyBorder="1"/>
    <xf numFmtId="0" fontId="45" fillId="0" borderId="1" xfId="0" applyFont="1" applyBorder="1"/>
    <xf numFmtId="191" fontId="46" fillId="0" borderId="1" xfId="2" applyNumberFormat="1" applyFont="1" applyBorder="1" applyAlignment="1">
      <alignment horizontal="left" vertical="top"/>
    </xf>
    <xf numFmtId="4" fontId="46" fillId="0" borderId="1" xfId="0" applyNumberFormat="1" applyFont="1" applyBorder="1" applyAlignment="1">
      <alignment vertical="top"/>
    </xf>
    <xf numFmtId="4" fontId="46" fillId="0" borderId="1" xfId="0" applyNumberFormat="1" applyFont="1" applyBorder="1" applyAlignment="1">
      <alignment horizontal="center" vertical="center" wrapText="1"/>
    </xf>
    <xf numFmtId="4" fontId="43" fillId="0" borderId="1" xfId="0" applyNumberFormat="1" applyFont="1" applyBorder="1" applyAlignment="1">
      <alignment horizontal="center" vertical="center"/>
    </xf>
    <xf numFmtId="185" fontId="43" fillId="0" borderId="1" xfId="0" applyNumberFormat="1" applyFont="1" applyBorder="1" applyAlignment="1">
      <alignment vertical="center"/>
    </xf>
    <xf numFmtId="0" fontId="47" fillId="0" borderId="2" xfId="0" applyFont="1" applyBorder="1"/>
    <xf numFmtId="174" fontId="46" fillId="0" borderId="1" xfId="0" applyNumberFormat="1" applyFont="1" applyBorder="1" applyAlignment="1">
      <alignment horizontal="left" vertical="top"/>
    </xf>
    <xf numFmtId="0" fontId="43" fillId="0" borderId="1" xfId="0" applyFont="1" applyBorder="1" applyAlignment="1">
      <alignment vertical="top" wrapText="1"/>
    </xf>
    <xf numFmtId="0" fontId="43" fillId="0" borderId="1" xfId="0" applyFont="1" applyBorder="1" applyAlignment="1">
      <alignment horizontal="center" vertical="center" wrapText="1"/>
    </xf>
    <xf numFmtId="4" fontId="43" fillId="0" borderId="1" xfId="0" applyNumberFormat="1" applyFont="1" applyBorder="1" applyAlignment="1">
      <alignment horizontal="center" vertical="center" wrapText="1"/>
    </xf>
    <xf numFmtId="187" fontId="46" fillId="0" borderId="1" xfId="39" applyNumberFormat="1" applyFont="1" applyBorder="1" applyAlignment="1">
      <alignment horizontal="left" vertical="top"/>
    </xf>
    <xf numFmtId="0" fontId="43" fillId="0" borderId="1" xfId="39" applyFont="1" applyBorder="1" applyAlignment="1">
      <alignment vertical="top" wrapText="1"/>
    </xf>
    <xf numFmtId="0" fontId="43" fillId="0" borderId="1" xfId="39" applyFont="1" applyBorder="1" applyAlignment="1">
      <alignment horizontal="center" vertical="top" wrapText="1"/>
    </xf>
    <xf numFmtId="4" fontId="43" fillId="0" borderId="1" xfId="39" applyNumberFormat="1" applyFont="1" applyBorder="1" applyAlignment="1">
      <alignment horizontal="center" vertical="center" wrapText="1"/>
    </xf>
    <xf numFmtId="4" fontId="43" fillId="0" borderId="1" xfId="39" applyNumberFormat="1" applyFont="1" applyBorder="1" applyAlignment="1">
      <alignment vertical="center"/>
    </xf>
    <xf numFmtId="4" fontId="43" fillId="0" borderId="2" xfId="39" applyNumberFormat="1" applyFont="1" applyBorder="1" applyAlignment="1" applyProtection="1">
      <alignment vertical="top" wrapText="1"/>
      <protection locked="0"/>
    </xf>
    <xf numFmtId="0" fontId="47" fillId="0" borderId="1" xfId="0" applyFont="1" applyBorder="1"/>
    <xf numFmtId="4" fontId="43" fillId="0" borderId="1" xfId="0" applyNumberFormat="1" applyFont="1" applyBorder="1" applyAlignment="1">
      <alignment horizontal="left" vertical="top" wrapText="1"/>
    </xf>
    <xf numFmtId="4" fontId="43" fillId="0" borderId="1" xfId="5" applyNumberFormat="1" applyFont="1" applyBorder="1" applyAlignment="1">
      <alignment vertical="center"/>
    </xf>
    <xf numFmtId="0" fontId="43" fillId="0" borderId="1" xfId="34" applyFont="1" applyBorder="1" applyAlignment="1">
      <alignment horizontal="left" vertical="top" wrapText="1" readingOrder="1"/>
    </xf>
    <xf numFmtId="0" fontId="43" fillId="0" borderId="1" xfId="34" applyFont="1" applyBorder="1" applyAlignment="1">
      <alignment horizontal="right" vertical="top" wrapText="1" readingOrder="1"/>
    </xf>
    <xf numFmtId="4" fontId="43" fillId="0" borderId="1" xfId="34" applyNumberFormat="1" applyFont="1" applyBorder="1" applyAlignment="1">
      <alignment horizontal="right" vertical="top" wrapText="1"/>
    </xf>
    <xf numFmtId="4" fontId="43" fillId="0" borderId="1" xfId="34" applyNumberFormat="1" applyFont="1" applyBorder="1" applyAlignment="1">
      <alignment horizontal="right" vertical="top" wrapText="1" readingOrder="1"/>
    </xf>
    <xf numFmtId="0" fontId="43" fillId="0" borderId="2" xfId="34" applyFont="1" applyBorder="1"/>
    <xf numFmtId="188" fontId="32" fillId="0" borderId="1" xfId="2" applyNumberFormat="1" applyFont="1" applyBorder="1" applyAlignment="1">
      <alignment horizontal="left" vertical="top"/>
    </xf>
    <xf numFmtId="0" fontId="32" fillId="0" borderId="1" xfId="20" applyFont="1" applyBorder="1" applyAlignment="1">
      <alignment vertical="top" wrapText="1"/>
    </xf>
    <xf numFmtId="0" fontId="15" fillId="0" borderId="1" xfId="39" applyFont="1" applyBorder="1" applyAlignment="1">
      <alignment vertical="top"/>
    </xf>
    <xf numFmtId="186" fontId="32" fillId="0" borderId="1" xfId="20" applyNumberFormat="1" applyFont="1" applyBorder="1" applyAlignment="1">
      <alignment horizontal="left" vertical="top"/>
    </xf>
    <xf numFmtId="188" fontId="46" fillId="0" borderId="1" xfId="2" applyNumberFormat="1" applyFont="1" applyBorder="1" applyAlignment="1">
      <alignment horizontal="left" vertical="top"/>
    </xf>
    <xf numFmtId="0" fontId="46" fillId="0" borderId="1" xfId="20" applyFont="1" applyBorder="1" applyAlignment="1">
      <alignment vertical="top" wrapText="1"/>
    </xf>
    <xf numFmtId="0" fontId="43" fillId="0" borderId="1" xfId="20" applyFont="1" applyBorder="1" applyAlignment="1">
      <alignment horizontal="center" vertical="top" wrapText="1"/>
    </xf>
    <xf numFmtId="4" fontId="43" fillId="0" borderId="1" xfId="20" applyNumberFormat="1" applyFont="1" applyBorder="1" applyAlignment="1">
      <alignment horizontal="center" vertical="center" wrapText="1"/>
    </xf>
    <xf numFmtId="4" fontId="43" fillId="0" borderId="1" xfId="20" applyNumberFormat="1" applyFont="1" applyBorder="1" applyAlignment="1">
      <alignment vertical="center"/>
    </xf>
    <xf numFmtId="0" fontId="43" fillId="0" borderId="2" xfId="20" applyFont="1" applyBorder="1" applyAlignment="1">
      <alignment vertical="top" wrapText="1"/>
    </xf>
    <xf numFmtId="0" fontId="43" fillId="0" borderId="1" xfId="39" applyFont="1" applyBorder="1" applyAlignment="1">
      <alignment vertical="top"/>
    </xf>
    <xf numFmtId="186" fontId="46" fillId="0" borderId="1" xfId="20" applyNumberFormat="1" applyFont="1" applyBorder="1" applyAlignment="1">
      <alignment horizontal="left" vertical="top"/>
    </xf>
    <xf numFmtId="0" fontId="43" fillId="0" borderId="1" xfId="20" applyFont="1" applyBorder="1" applyAlignment="1">
      <alignment vertical="top" wrapText="1"/>
    </xf>
    <xf numFmtId="0" fontId="15" fillId="0" borderId="1" xfId="40" applyFont="1" applyBorder="1" applyAlignment="1">
      <alignment vertical="top" wrapText="1"/>
    </xf>
    <xf numFmtId="192" fontId="32" fillId="0" borderId="1" xfId="2" applyNumberFormat="1" applyFont="1" applyBorder="1" applyAlignment="1">
      <alignment horizontal="left" vertical="top"/>
    </xf>
    <xf numFmtId="4" fontId="15" fillId="0" borderId="2" xfId="0" applyNumberFormat="1" applyFont="1" applyBorder="1" applyAlignment="1">
      <alignment horizontal="right" vertical="center"/>
    </xf>
    <xf numFmtId="0" fontId="15" fillId="0" borderId="2" xfId="0" applyFont="1" applyBorder="1" applyAlignment="1">
      <alignment wrapText="1"/>
    </xf>
    <xf numFmtId="178" fontId="32" fillId="0" borderId="1" xfId="2" applyNumberFormat="1" applyFont="1" applyBorder="1" applyAlignment="1">
      <alignment horizontal="left" vertical="top"/>
    </xf>
    <xf numFmtId="171" fontId="32" fillId="0" borderId="1" xfId="0" applyNumberFormat="1" applyFont="1" applyBorder="1" applyAlignment="1">
      <alignment horizontal="left" vertical="top"/>
    </xf>
    <xf numFmtId="12" fontId="15" fillId="0" borderId="1" xfId="0" applyNumberFormat="1" applyFont="1" applyBorder="1" applyAlignment="1">
      <alignment vertical="top" wrapText="1"/>
    </xf>
    <xf numFmtId="4" fontId="15" fillId="0" borderId="1" xfId="0" applyNumberFormat="1" applyFont="1" applyBorder="1" applyAlignment="1">
      <alignment vertical="top" wrapText="1"/>
    </xf>
    <xf numFmtId="0" fontId="15" fillId="0" borderId="1" xfId="0" applyFont="1" applyBorder="1" applyAlignment="1">
      <alignment horizontal="left"/>
    </xf>
    <xf numFmtId="4" fontId="32" fillId="0" borderId="1" xfId="0" applyNumberFormat="1" applyFont="1" applyBorder="1" applyAlignment="1">
      <alignment vertical="top" wrapText="1"/>
    </xf>
    <xf numFmtId="0" fontId="32" fillId="0" borderId="1" xfId="10" applyFont="1" applyBorder="1" applyAlignment="1">
      <alignment vertical="top"/>
    </xf>
    <xf numFmtId="0" fontId="15" fillId="0" borderId="1" xfId="23" applyFont="1" applyBorder="1" applyAlignment="1">
      <alignment vertical="top" wrapText="1"/>
    </xf>
    <xf numFmtId="4" fontId="25" fillId="0" borderId="1" xfId="5" applyNumberFormat="1" applyFont="1" applyBorder="1" applyAlignment="1">
      <alignment vertical="center"/>
    </xf>
    <xf numFmtId="12" fontId="33" fillId="0" borderId="1" xfId="0" applyNumberFormat="1" applyFont="1" applyBorder="1" applyAlignment="1">
      <alignment vertical="top" wrapText="1"/>
    </xf>
    <xf numFmtId="189" fontId="46" fillId="0" borderId="1" xfId="40" applyNumberFormat="1" applyFont="1" applyBorder="1" applyAlignment="1">
      <alignment horizontal="left" vertical="top"/>
    </xf>
    <xf numFmtId="0" fontId="46" fillId="0" borderId="1" xfId="8" applyFont="1" applyBorder="1" applyAlignment="1">
      <alignment vertical="top" wrapText="1"/>
    </xf>
    <xf numFmtId="0" fontId="43" fillId="0" borderId="1" xfId="39" applyFont="1" applyBorder="1" applyAlignment="1">
      <alignment horizontal="center" vertical="top"/>
    </xf>
    <xf numFmtId="4" fontId="43" fillId="0" borderId="2" xfId="39" applyNumberFormat="1" applyFont="1" applyBorder="1" applyAlignment="1" applyProtection="1">
      <alignment horizontal="right" vertical="top" wrapText="1"/>
      <protection locked="0"/>
    </xf>
    <xf numFmtId="183" fontId="46" fillId="0" borderId="1" xfId="39" applyNumberFormat="1" applyFont="1" applyBorder="1" applyAlignment="1">
      <alignment horizontal="left" vertical="top"/>
    </xf>
    <xf numFmtId="0" fontId="43" fillId="0" borderId="1" xfId="28" applyFont="1" applyBorder="1" applyAlignment="1">
      <alignment horizontal="left" vertical="top" wrapText="1"/>
    </xf>
    <xf numFmtId="175" fontId="46" fillId="0" borderId="1" xfId="39" applyNumberFormat="1" applyFont="1" applyBorder="1" applyAlignment="1">
      <alignment horizontal="left" vertical="top"/>
    </xf>
    <xf numFmtId="0" fontId="43" fillId="0" borderId="1" xfId="8" applyFont="1" applyBorder="1" applyAlignment="1">
      <alignment vertical="top" wrapText="1"/>
    </xf>
    <xf numFmtId="4" fontId="43" fillId="0" borderId="1" xfId="39" applyNumberFormat="1" applyFont="1" applyBorder="1" applyAlignment="1">
      <alignment horizontal="center" vertical="center"/>
    </xf>
    <xf numFmtId="0" fontId="48" fillId="0" borderId="4" xfId="0" applyFont="1" applyBorder="1" applyAlignment="1">
      <alignment horizontal="center" vertical="top"/>
    </xf>
    <xf numFmtId="0" fontId="48" fillId="0" borderId="4" xfId="0" applyFont="1" applyBorder="1" applyAlignment="1">
      <alignment horizontal="center"/>
    </xf>
    <xf numFmtId="4" fontId="48" fillId="0" borderId="4" xfId="0" applyNumberFormat="1" applyFont="1" applyBorder="1" applyAlignment="1">
      <alignment horizontal="center"/>
    </xf>
    <xf numFmtId="193" fontId="48" fillId="0" borderId="4" xfId="0" applyNumberFormat="1" applyFont="1" applyBorder="1" applyAlignment="1">
      <alignment horizontal="center"/>
    </xf>
    <xf numFmtId="194" fontId="48" fillId="0" borderId="4" xfId="0" applyNumberFormat="1" applyFont="1" applyBorder="1" applyAlignment="1">
      <alignment horizontal="center"/>
    </xf>
    <xf numFmtId="0" fontId="48" fillId="0" borderId="4" xfId="0" applyFont="1" applyBorder="1" applyAlignment="1">
      <alignment horizontal="left" vertical="top" wrapText="1"/>
    </xf>
    <xf numFmtId="0" fontId="49" fillId="0" borderId="0" xfId="0" applyFont="1" applyAlignment="1">
      <alignment horizontal="right" vertical="top"/>
    </xf>
    <xf numFmtId="0" fontId="49" fillId="0" borderId="0" xfId="0" applyFont="1" applyAlignment="1">
      <alignment vertical="top" wrapText="1"/>
    </xf>
    <xf numFmtId="0" fontId="49" fillId="0" borderId="0" xfId="0" applyFont="1" applyAlignment="1">
      <alignment horizontal="center"/>
    </xf>
    <xf numFmtId="4" fontId="49" fillId="0" borderId="0" xfId="0" applyNumberFormat="1" applyFont="1" applyAlignment="1">
      <alignment horizontal="right"/>
    </xf>
    <xf numFmtId="193" fontId="49" fillId="0" borderId="0" xfId="0" applyNumberFormat="1" applyFont="1" applyAlignment="1">
      <alignment horizontal="right"/>
    </xf>
    <xf numFmtId="194" fontId="49" fillId="0" borderId="0" xfId="0" applyNumberFormat="1" applyFont="1" applyAlignment="1">
      <alignment horizontal="right"/>
    </xf>
    <xf numFmtId="0" fontId="50" fillId="0" borderId="0" xfId="0" applyFont="1" applyAlignment="1">
      <alignment wrapText="1"/>
    </xf>
    <xf numFmtId="0" fontId="50" fillId="0" borderId="0" xfId="0" applyFont="1"/>
    <xf numFmtId="0" fontId="49" fillId="0" borderId="3" xfId="0" applyFont="1" applyBorder="1" applyAlignment="1">
      <alignment vertical="top"/>
    </xf>
    <xf numFmtId="0" fontId="49" fillId="0" borderId="3" xfId="0" applyFont="1" applyBorder="1" applyAlignment="1">
      <alignment vertical="top" wrapText="1"/>
    </xf>
    <xf numFmtId="0" fontId="49" fillId="0" borderId="3" xfId="0" applyFont="1" applyBorder="1" applyAlignment="1">
      <alignment horizontal="center"/>
    </xf>
    <xf numFmtId="4" fontId="49" fillId="0" borderId="3" xfId="0" applyNumberFormat="1" applyFont="1" applyBorder="1" applyAlignment="1">
      <alignment horizontal="right"/>
    </xf>
    <xf numFmtId="193" fontId="49" fillId="0" borderId="3" xfId="0" applyNumberFormat="1" applyFont="1" applyBorder="1" applyAlignment="1">
      <alignment horizontal="right"/>
    </xf>
    <xf numFmtId="194" fontId="49" fillId="0" borderId="3" xfId="0" applyNumberFormat="1" applyFont="1" applyBorder="1" applyAlignment="1">
      <alignment horizontal="right"/>
    </xf>
    <xf numFmtId="0" fontId="49" fillId="0" borderId="0" xfId="0" applyFont="1" applyAlignment="1">
      <alignment vertical="top"/>
    </xf>
    <xf numFmtId="0" fontId="49" fillId="0" borderId="5" xfId="0" applyFont="1" applyBorder="1" applyAlignment="1">
      <alignment vertical="top"/>
    </xf>
    <xf numFmtId="0" fontId="49" fillId="0" borderId="5" xfId="0" applyFont="1" applyBorder="1" applyAlignment="1">
      <alignment vertical="top" wrapText="1"/>
    </xf>
    <xf numFmtId="0" fontId="49" fillId="0" borderId="5" xfId="0" applyFont="1" applyBorder="1" applyAlignment="1">
      <alignment horizontal="center"/>
    </xf>
    <xf numFmtId="4" fontId="49" fillId="0" borderId="5" xfId="0" applyNumberFormat="1" applyFont="1" applyBorder="1" applyAlignment="1">
      <alignment horizontal="right"/>
    </xf>
    <xf numFmtId="193" fontId="49" fillId="0" borderId="5" xfId="0" applyNumberFormat="1" applyFont="1" applyBorder="1" applyAlignment="1">
      <alignment horizontal="right"/>
    </xf>
    <xf numFmtId="194" fontId="49" fillId="0" borderId="5" xfId="0" applyNumberFormat="1" applyFont="1" applyBorder="1" applyAlignment="1">
      <alignment horizontal="right"/>
    </xf>
    <xf numFmtId="0" fontId="13" fillId="3" borderId="1" xfId="0" applyFont="1" applyFill="1" applyBorder="1" applyAlignment="1">
      <alignment horizontal="center" vertical="center" wrapText="1"/>
    </xf>
    <xf numFmtId="0" fontId="14" fillId="0" borderId="1" xfId="0" applyFont="1" applyBorder="1"/>
    <xf numFmtId="0" fontId="13" fillId="3" borderId="1" xfId="0" applyFont="1" applyFill="1" applyBorder="1" applyAlignment="1">
      <alignment horizontal="center" vertical="center"/>
    </xf>
    <xf numFmtId="0" fontId="14" fillId="0" borderId="1" xfId="0" applyFont="1" applyBorder="1" applyAlignment="1">
      <alignment horizontal="center" vertical="center"/>
    </xf>
    <xf numFmtId="4" fontId="13" fillId="9" borderId="1" xfId="17" applyNumberFormat="1" applyFont="1" applyFill="1" applyBorder="1" applyAlignment="1">
      <alignment horizontal="center" vertical="center"/>
    </xf>
    <xf numFmtId="4" fontId="13" fillId="10" borderId="1" xfId="17" applyNumberFormat="1" applyFont="1" applyFill="1" applyBorder="1" applyAlignment="1" applyProtection="1">
      <alignment horizontal="center" vertical="center" wrapText="1"/>
      <protection locked="0"/>
    </xf>
    <xf numFmtId="4" fontId="13" fillId="3" borderId="1" xfId="0" applyNumberFormat="1" applyFont="1" applyFill="1" applyBorder="1" applyAlignment="1">
      <alignment horizontal="center" vertical="center" wrapText="1"/>
    </xf>
    <xf numFmtId="4" fontId="14" fillId="0" borderId="1" xfId="0" applyNumberFormat="1" applyFont="1" applyBorder="1" applyAlignment="1">
      <alignment horizontal="center" vertical="center"/>
    </xf>
    <xf numFmtId="4" fontId="13" fillId="10" borderId="2" xfId="17" applyNumberFormat="1" applyFont="1" applyFill="1" applyBorder="1" applyAlignment="1" applyProtection="1">
      <alignment horizontal="center" vertical="center" wrapText="1"/>
      <protection locked="0"/>
    </xf>
    <xf numFmtId="0" fontId="13" fillId="9" borderId="1" xfId="17" applyFont="1" applyFill="1" applyBorder="1" applyAlignment="1">
      <alignment horizontal="center" vertical="center"/>
    </xf>
    <xf numFmtId="4" fontId="13" fillId="9" borderId="1" xfId="17" applyNumberFormat="1" applyFont="1" applyFill="1" applyBorder="1" applyAlignment="1">
      <alignment vertical="center"/>
    </xf>
    <xf numFmtId="195" fontId="49" fillId="0" borderId="0" xfId="0" applyNumberFormat="1" applyFont="1" applyAlignment="1">
      <alignment horizontal="left"/>
    </xf>
    <xf numFmtId="4" fontId="51" fillId="0" borderId="1" xfId="0" applyNumberFormat="1" applyFont="1" applyBorder="1" applyAlignment="1">
      <alignment vertical="top" wrapText="1"/>
    </xf>
    <xf numFmtId="177" fontId="38" fillId="0" borderId="1" xfId="36" applyNumberFormat="1" applyFont="1" applyBorder="1" applyAlignment="1">
      <alignment horizontal="left" vertical="top"/>
    </xf>
    <xf numFmtId="0" fontId="38" fillId="0" borderId="1" xfId="36" applyFont="1" applyBorder="1" applyAlignment="1">
      <alignment vertical="top" wrapText="1"/>
    </xf>
  </cellXfs>
  <cellStyles count="43">
    <cellStyle name="Bad" xfId="35" builtinId="27"/>
    <cellStyle name="Bad 2" xfId="29" xr:uid="{00000000-0005-0000-0000-000000000000}"/>
    <cellStyle name="Normal" xfId="0" builtinId="0"/>
    <cellStyle name="Normal 19 2" xfId="5" xr:uid="{00000000-0005-0000-0000-000002000000}"/>
    <cellStyle name="Normal 19 2 2" xfId="15" xr:uid="{00000000-0005-0000-0000-000003000000}"/>
    <cellStyle name="Normal 19 2 2 2" xfId="4" xr:uid="{00000000-0005-0000-0000-000004000000}"/>
    <cellStyle name="Normal 19 2 2 2 2" xfId="7" xr:uid="{00000000-0005-0000-0000-000005000000}"/>
    <cellStyle name="Normal 19 2 2 2 2 2" xfId="9" xr:uid="{00000000-0005-0000-0000-000006000000}"/>
    <cellStyle name="Normal 19 2 2 2 2 2 2" xfId="22" xr:uid="{00000000-0005-0000-0000-000007000000}"/>
    <cellStyle name="Normal 19 2 2 2 2 2 2 2" xfId="36" xr:uid="{0B0365C2-F687-41E7-B0BD-D35D2F4289A5}"/>
    <cellStyle name="Normal 19 2 2 2 2 2 2 3" xfId="38" xr:uid="{2BAAA03D-6CFE-47F9-97B6-A49FCE59D73C}"/>
    <cellStyle name="Normal 19 2 2 2 2 2 3" xfId="28" xr:uid="{00000000-0005-0000-0000-000008000000}"/>
    <cellStyle name="Normal 19 2 2 2 2 3" xfId="20" xr:uid="{00000000-0005-0000-0000-000009000000}"/>
    <cellStyle name="Normal 19 2 2 2 2 3 3" xfId="42" xr:uid="{9A4B1591-20B3-4DA3-B823-F353BF113864}"/>
    <cellStyle name="Normal 19 2 2 2 2 4" xfId="13" xr:uid="{00000000-0005-0000-0000-00000A000000}"/>
    <cellStyle name="Normal 19 2 2 2 2 4 2" xfId="26" xr:uid="{00000000-0005-0000-0000-00000B000000}"/>
    <cellStyle name="Normal 19 2 2 3" xfId="31" xr:uid="{00000000-0005-0000-0000-00000C000000}"/>
    <cellStyle name="Normal 19 2 2 3 2" xfId="12" xr:uid="{00000000-0005-0000-0000-00000D000000}"/>
    <cellStyle name="Normal 19 2 2 3 2 2" xfId="25" xr:uid="{00000000-0005-0000-0000-00000E000000}"/>
    <cellStyle name="Normal 19 2 2 4" xfId="10" xr:uid="{00000000-0005-0000-0000-00000F000000}"/>
    <cellStyle name="Normal 19 2 2 4 2" xfId="23" xr:uid="{00000000-0005-0000-0000-000010000000}"/>
    <cellStyle name="Normal 19 2 2 7" xfId="14" xr:uid="{00000000-0005-0000-0000-000011000000}"/>
    <cellStyle name="Normal 19 2 2 7 2" xfId="27" xr:uid="{00000000-0005-0000-0000-000012000000}"/>
    <cellStyle name="Normal 19 2 3" xfId="16" xr:uid="{00000000-0005-0000-0000-000013000000}"/>
    <cellStyle name="Normal 19 2 3 2" xfId="32" xr:uid="{00000000-0005-0000-0000-000014000000}"/>
    <cellStyle name="Normal 19 2 4" xfId="33" xr:uid="{00000000-0005-0000-0000-000015000000}"/>
    <cellStyle name="Normal 19 2 4 2" xfId="17" xr:uid="{00000000-0005-0000-0000-000016000000}"/>
    <cellStyle name="Normal 19 2 4 2 3" xfId="39" xr:uid="{A8A37615-C853-4165-8BCF-1C5262702AAF}"/>
    <cellStyle name="Normal 19 2 5 3" xfId="3" xr:uid="{00000000-0005-0000-0000-000017000000}"/>
    <cellStyle name="Normal 19 2 5 3 2" xfId="6" xr:uid="{00000000-0005-0000-0000-000018000000}"/>
    <cellStyle name="Normal 19 2 5 3 2 2" xfId="24" xr:uid="{00000000-0005-0000-0000-000019000000}"/>
    <cellStyle name="Normal 19 2 5 3 2 2 3" xfId="40" xr:uid="{7C552F7F-5028-4A82-9AAC-24214BFEC896}"/>
    <cellStyle name="Normal 2" xfId="8" xr:uid="{00000000-0005-0000-0000-00001A000000}"/>
    <cellStyle name="Normal 2 10 2" xfId="30" xr:uid="{00000000-0005-0000-0000-00001B000000}"/>
    <cellStyle name="Normal 28" xfId="34" xr:uid="{00000000-0005-0000-0000-00001C000000}"/>
    <cellStyle name="Normal 4 10" xfId="18" xr:uid="{00000000-0005-0000-0000-00001D000000}"/>
    <cellStyle name="Normal_TROŠKOVNIK - KAM - ŽUTO" xfId="19" xr:uid="{00000000-0005-0000-0000-00001E000000}"/>
    <cellStyle name="Normal_TROŠKOVNIK - KAM - ŽUTO 2" xfId="41" xr:uid="{6EE76D8C-B90B-4178-AEBE-BF1796A60E05}"/>
    <cellStyle name="Normalno 2" xfId="1" xr:uid="{00000000-0005-0000-0000-00001F000000}"/>
    <cellStyle name="Normalno 2 2 2" xfId="11" xr:uid="{00000000-0005-0000-0000-000020000000}"/>
    <cellStyle name="Normalno 3" xfId="2" xr:uid="{00000000-0005-0000-0000-000021000000}"/>
    <cellStyle name="Normalno 3 2" xfId="21" xr:uid="{00000000-0005-0000-0000-000022000000}"/>
    <cellStyle name="Normalno 4 3" xfId="37" xr:uid="{948E7A51-2198-40D2-AF02-CEDD7661C70F}"/>
  </cellStyles>
  <dxfs count="0"/>
  <tableStyles count="0" defaultTableStyle="TableStyleMedium2" defaultPivotStyle="PivotStyleLight16"/>
  <colors>
    <mruColors>
      <color rgb="FFE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202\PodaciZajedno\Users\Korisnik\Desktop\TROSKOVNICI%20_30.07.2020\VIII_Stambena%20zgrada%20A2_30.0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ehnos\mydocs\Documents%20and%20Settings\msanja\Local%20Settings\Temporary%20Internet%20Files\OLK1C2\Videotronic\Price%20list%20Videotronic%2005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SLOVNICA"/>
      <sheetName val="REKAPITULACIJA"/>
      <sheetName val="VIII.a.2.B."/>
      <sheetName val="VIII.c.0.B."/>
      <sheetName val="VIII.c.0.VIK"/>
      <sheetName val="VIIIc.0.E"/>
      <sheetName val=" F. OPĆU UVJETI"/>
      <sheetName val="VIII.c.0.F.1."/>
      <sheetName val="VIII.c.0.F.2."/>
      <sheetName val="VIII.c.0.F.3."/>
      <sheetName val="VIII.c.0.F."/>
      <sheetName val="VIII. c.1.C."/>
      <sheetName val="VIIIc.1.I"/>
      <sheetName val="VIII.c.2.C "/>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preise"/>
      <sheetName val="Preisblatt"/>
      <sheetName val="Preisfindung"/>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6"/>
  <sheetViews>
    <sheetView view="pageBreakPreview" topLeftCell="A7" zoomScale="160" zoomScaleNormal="100" zoomScaleSheetLayoutView="160" workbookViewId="0">
      <selection activeCell="B15" sqref="B15"/>
    </sheetView>
  </sheetViews>
  <sheetFormatPr defaultColWidth="9.140625" defaultRowHeight="11.25"/>
  <cols>
    <col min="1" max="1" width="7.28515625" style="110" bestFit="1" customWidth="1"/>
    <col min="2" max="2" width="65.7109375" style="110" customWidth="1"/>
    <col min="3" max="3" width="10.85546875" style="110" bestFit="1" customWidth="1"/>
    <col min="4" max="5" width="9.140625" style="110"/>
    <col min="6" max="6" width="39.28515625" style="110" customWidth="1"/>
    <col min="7" max="16384" width="9.140625" style="110"/>
  </cols>
  <sheetData>
    <row r="1" spans="2:2">
      <c r="B1" s="109"/>
    </row>
    <row r="2" spans="2:2">
      <c r="B2" s="111" t="s">
        <v>101</v>
      </c>
    </row>
    <row r="6" spans="2:2">
      <c r="B6" s="112" t="s">
        <v>98</v>
      </c>
    </row>
    <row r="7" spans="2:2">
      <c r="B7" s="113" t="s">
        <v>121</v>
      </c>
    </row>
    <row r="8" spans="2:2">
      <c r="B8" s="113" t="s">
        <v>452</v>
      </c>
    </row>
    <row r="9" spans="2:2">
      <c r="B9" s="113" t="s">
        <v>453</v>
      </c>
    </row>
    <row r="10" spans="2:2">
      <c r="B10" s="113" t="s">
        <v>454</v>
      </c>
    </row>
    <row r="11" spans="2:2">
      <c r="B11" s="113"/>
    </row>
    <row r="12" spans="2:2">
      <c r="B12" s="112" t="s">
        <v>99</v>
      </c>
    </row>
    <row r="13" spans="2:2" ht="22.5">
      <c r="B13" s="240" t="s">
        <v>122</v>
      </c>
    </row>
    <row r="14" spans="2:2">
      <c r="B14" s="240"/>
    </row>
    <row r="15" spans="2:2">
      <c r="B15" s="112" t="s">
        <v>100</v>
      </c>
    </row>
    <row r="16" spans="2:2">
      <c r="B16" s="113" t="s">
        <v>123</v>
      </c>
    </row>
    <row r="17" spans="2:2">
      <c r="B17" s="113" t="s">
        <v>501</v>
      </c>
    </row>
    <row r="20" spans="2:2">
      <c r="B20" s="115"/>
    </row>
    <row r="21" spans="2:2">
      <c r="B21" s="115"/>
    </row>
    <row r="22" spans="2:2">
      <c r="B22" s="115"/>
    </row>
    <row r="23" spans="2:2">
      <c r="B23" s="116"/>
    </row>
    <row r="24" spans="2:2">
      <c r="B24" s="115"/>
    </row>
    <row r="25" spans="2:2">
      <c r="B25" s="115"/>
    </row>
    <row r="26" spans="2:2">
      <c r="B26" s="115"/>
    </row>
    <row r="27" spans="2:2">
      <c r="B27" s="115"/>
    </row>
    <row r="28" spans="2:2">
      <c r="B28" s="117"/>
    </row>
    <row r="29" spans="2:2">
      <c r="B29" s="117"/>
    </row>
    <row r="30" spans="2:2">
      <c r="B30" s="117"/>
    </row>
    <row r="31" spans="2:2">
      <c r="B31" s="117"/>
    </row>
    <row r="32" spans="2:2">
      <c r="B32" s="115"/>
    </row>
    <row r="33" spans="2:2">
      <c r="B33" s="117"/>
    </row>
    <row r="34" spans="2:2">
      <c r="B34" s="117"/>
    </row>
    <row r="35" spans="2:2">
      <c r="B35" s="117"/>
    </row>
    <row r="36" spans="2:2">
      <c r="B36" s="117"/>
    </row>
    <row r="37" spans="2:2">
      <c r="B37" s="117"/>
    </row>
    <row r="38" spans="2:2">
      <c r="B38" s="118"/>
    </row>
    <row r="39" spans="2:2">
      <c r="B39" s="118"/>
    </row>
    <row r="40" spans="2:2">
      <c r="B40" s="118"/>
    </row>
    <row r="41" spans="2:2">
      <c r="B41" s="118"/>
    </row>
    <row r="42" spans="2:2">
      <c r="B42" s="118"/>
    </row>
    <row r="43" spans="2:2">
      <c r="B43" s="118"/>
    </row>
    <row r="44" spans="2:2">
      <c r="B44" s="118"/>
    </row>
    <row r="45" spans="2:2">
      <c r="B45" s="118"/>
    </row>
    <row r="46" spans="2:2">
      <c r="B46" s="118"/>
    </row>
    <row r="47" spans="2:2">
      <c r="B47" s="118"/>
    </row>
    <row r="48" spans="2:2">
      <c r="B48" s="118"/>
    </row>
    <row r="49" spans="2:2">
      <c r="B49" s="118"/>
    </row>
    <row r="50" spans="2:2">
      <c r="B50" s="118"/>
    </row>
    <row r="51" spans="2:2">
      <c r="B51" s="119"/>
    </row>
    <row r="52" spans="2:2">
      <c r="B52" s="118"/>
    </row>
    <row r="53" spans="2:2">
      <c r="B53" s="118"/>
    </row>
    <row r="54" spans="2:2">
      <c r="B54" s="118"/>
    </row>
    <row r="55" spans="2:2" s="120" customFormat="1">
      <c r="B55" s="118"/>
    </row>
    <row r="56" spans="2:2" s="120" customFormat="1">
      <c r="B56" s="118"/>
    </row>
    <row r="57" spans="2:2" s="120" customFormat="1">
      <c r="B57" s="118"/>
    </row>
    <row r="58" spans="2:2" s="120" customFormat="1">
      <c r="B58" s="119"/>
    </row>
    <row r="59" spans="2:2" s="120" customFormat="1">
      <c r="B59" s="121"/>
    </row>
    <row r="60" spans="2:2" s="120" customFormat="1">
      <c r="B60" s="118"/>
    </row>
    <row r="61" spans="2:2" s="120" customFormat="1">
      <c r="B61" s="118"/>
    </row>
    <row r="62" spans="2:2" s="120" customFormat="1">
      <c r="B62" s="118"/>
    </row>
    <row r="63" spans="2:2" s="120" customFormat="1">
      <c r="B63" s="118"/>
    </row>
    <row r="64" spans="2:2" s="120" customFormat="1">
      <c r="B64" s="118"/>
    </row>
    <row r="65" spans="1:5" s="120" customFormat="1">
      <c r="B65" s="118"/>
    </row>
    <row r="66" spans="1:5" s="120" customFormat="1">
      <c r="B66" s="118"/>
    </row>
    <row r="67" spans="1:5" s="120" customFormat="1">
      <c r="B67" s="118"/>
    </row>
    <row r="68" spans="1:5" s="120" customFormat="1">
      <c r="B68" s="118"/>
    </row>
    <row r="69" spans="1:5" s="120" customFormat="1">
      <c r="B69" s="118"/>
    </row>
    <row r="70" spans="1:5" s="120" customFormat="1">
      <c r="B70" s="118"/>
    </row>
    <row r="71" spans="1:5" s="120" customFormat="1">
      <c r="B71" s="118"/>
    </row>
    <row r="72" spans="1:5" s="120" customFormat="1">
      <c r="B72" s="118"/>
    </row>
    <row r="73" spans="1:5" s="120" customFormat="1">
      <c r="B73" s="118"/>
    </row>
    <row r="74" spans="1:5" s="120" customFormat="1">
      <c r="B74" s="118"/>
    </row>
    <row r="75" spans="1:5" s="120" customFormat="1">
      <c r="B75" s="118"/>
    </row>
    <row r="76" spans="1:5">
      <c r="A76" s="121"/>
      <c r="B76" s="118"/>
      <c r="C76" s="121"/>
      <c r="D76" s="121"/>
      <c r="E76" s="121"/>
    </row>
    <row r="77" spans="1:5">
      <c r="A77" s="121"/>
      <c r="B77" s="118"/>
      <c r="C77" s="121"/>
      <c r="D77" s="121"/>
      <c r="E77" s="121"/>
    </row>
    <row r="78" spans="1:5">
      <c r="A78" s="121"/>
      <c r="B78" s="118"/>
      <c r="C78" s="121"/>
      <c r="D78" s="121"/>
      <c r="E78" s="121"/>
    </row>
    <row r="79" spans="1:5">
      <c r="A79" s="121"/>
      <c r="B79" s="118"/>
      <c r="C79" s="121"/>
      <c r="D79" s="121"/>
      <c r="E79" s="121"/>
    </row>
    <row r="80" spans="1:5">
      <c r="A80" s="121"/>
      <c r="B80" s="118"/>
      <c r="C80" s="121"/>
      <c r="D80" s="121"/>
      <c r="E80" s="121"/>
    </row>
    <row r="81" spans="1:5">
      <c r="A81" s="121"/>
      <c r="B81" s="120"/>
      <c r="C81" s="121"/>
      <c r="D81" s="121"/>
      <c r="E81" s="121"/>
    </row>
    <row r="82" spans="1:5">
      <c r="A82" s="121"/>
      <c r="B82" s="120"/>
      <c r="C82" s="121"/>
      <c r="D82" s="121"/>
      <c r="E82" s="121"/>
    </row>
    <row r="83" spans="1:5">
      <c r="A83" s="121"/>
      <c r="B83" s="120"/>
      <c r="C83" s="121"/>
      <c r="D83" s="121"/>
      <c r="E83" s="121"/>
    </row>
    <row r="84" spans="1:5">
      <c r="A84" s="121"/>
      <c r="B84" s="114"/>
      <c r="C84" s="121"/>
      <c r="D84" s="121"/>
      <c r="E84" s="121"/>
    </row>
    <row r="85" spans="1:5">
      <c r="A85" s="121"/>
      <c r="B85" s="118"/>
      <c r="C85" s="121"/>
      <c r="D85" s="121"/>
      <c r="E85" s="121"/>
    </row>
    <row r="86" spans="1:5">
      <c r="A86" s="121"/>
      <c r="B86" s="120"/>
      <c r="C86" s="121"/>
      <c r="D86" s="121"/>
      <c r="E86" s="121"/>
    </row>
    <row r="87" spans="1:5">
      <c r="A87" s="121"/>
      <c r="B87" s="118"/>
      <c r="C87" s="121"/>
      <c r="D87" s="121"/>
      <c r="E87" s="121"/>
    </row>
    <row r="88" spans="1:5">
      <c r="A88" s="121"/>
      <c r="B88" s="118"/>
      <c r="C88" s="121"/>
      <c r="D88" s="121"/>
      <c r="E88" s="121"/>
    </row>
    <row r="89" spans="1:5">
      <c r="A89" s="121"/>
      <c r="B89" s="118"/>
      <c r="C89" s="121"/>
      <c r="D89" s="121"/>
      <c r="E89" s="121"/>
    </row>
    <row r="90" spans="1:5">
      <c r="A90" s="121"/>
      <c r="B90" s="119"/>
      <c r="C90" s="121"/>
      <c r="D90" s="121"/>
      <c r="E90" s="121"/>
    </row>
    <row r="91" spans="1:5">
      <c r="A91" s="121"/>
      <c r="B91" s="119"/>
      <c r="C91" s="121"/>
      <c r="D91" s="121"/>
      <c r="E91" s="121"/>
    </row>
    <row r="92" spans="1:5">
      <c r="A92" s="121"/>
      <c r="B92" s="119"/>
      <c r="C92" s="121"/>
      <c r="D92" s="121"/>
      <c r="E92" s="121"/>
    </row>
    <row r="93" spans="1:5">
      <c r="A93" s="121"/>
      <c r="B93" s="119"/>
      <c r="C93" s="121"/>
      <c r="D93" s="121"/>
      <c r="E93" s="121"/>
    </row>
    <row r="94" spans="1:5">
      <c r="A94" s="121"/>
      <c r="B94" s="119"/>
      <c r="C94" s="121"/>
      <c r="D94" s="121"/>
      <c r="E94" s="121"/>
    </row>
    <row r="95" spans="1:5">
      <c r="A95" s="121"/>
      <c r="B95" s="119"/>
      <c r="C95" s="121"/>
      <c r="D95" s="121"/>
      <c r="E95" s="121"/>
    </row>
    <row r="96" spans="1:5">
      <c r="A96" s="121"/>
      <c r="B96" s="119"/>
      <c r="C96" s="121"/>
      <c r="D96" s="121"/>
      <c r="E96" s="121"/>
    </row>
    <row r="97" spans="1:5">
      <c r="A97" s="121"/>
      <c r="B97" s="119"/>
      <c r="C97" s="121"/>
      <c r="D97" s="121"/>
      <c r="E97" s="121"/>
    </row>
    <row r="98" spans="1:5">
      <c r="A98" s="121"/>
      <c r="B98" s="121"/>
      <c r="C98" s="121"/>
      <c r="D98" s="121"/>
      <c r="E98" s="121"/>
    </row>
    <row r="99" spans="1:5">
      <c r="A99" s="121"/>
      <c r="B99" s="119"/>
      <c r="C99" s="121"/>
      <c r="D99" s="121"/>
      <c r="E99" s="121"/>
    </row>
    <row r="100" spans="1:5">
      <c r="A100" s="121"/>
      <c r="B100" s="119"/>
      <c r="C100" s="121"/>
      <c r="D100" s="121"/>
      <c r="E100" s="121"/>
    </row>
    <row r="101" spans="1:5">
      <c r="A101" s="121"/>
      <c r="B101" s="121"/>
      <c r="C101" s="121"/>
      <c r="D101" s="121"/>
      <c r="E101" s="121"/>
    </row>
    <row r="102" spans="1:5">
      <c r="A102" s="121"/>
      <c r="B102" s="119"/>
      <c r="C102" s="121"/>
      <c r="D102" s="121"/>
      <c r="E102" s="121"/>
    </row>
    <row r="103" spans="1:5">
      <c r="A103" s="121"/>
      <c r="B103" s="119"/>
      <c r="C103" s="121"/>
      <c r="D103" s="121"/>
      <c r="E103" s="121"/>
    </row>
    <row r="104" spans="1:5">
      <c r="A104" s="121"/>
      <c r="B104" s="119"/>
      <c r="C104" s="121"/>
      <c r="D104" s="121"/>
      <c r="E104" s="121"/>
    </row>
    <row r="105" spans="1:5">
      <c r="A105" s="121"/>
      <c r="B105" s="119"/>
      <c r="C105" s="121"/>
      <c r="D105" s="121"/>
      <c r="E105" s="121"/>
    </row>
    <row r="106" spans="1:5">
      <c r="A106" s="121"/>
      <c r="B106" s="119"/>
      <c r="C106" s="121"/>
      <c r="D106" s="121"/>
      <c r="E106" s="121"/>
    </row>
    <row r="107" spans="1:5">
      <c r="A107" s="121"/>
      <c r="B107" s="121"/>
      <c r="C107" s="121"/>
      <c r="D107" s="121"/>
      <c r="E107" s="121"/>
    </row>
    <row r="108" spans="1:5">
      <c r="A108" s="121"/>
      <c r="B108" s="121"/>
      <c r="C108" s="121"/>
      <c r="D108" s="121"/>
      <c r="E108" s="121"/>
    </row>
    <row r="109" spans="1:5">
      <c r="A109" s="121"/>
      <c r="B109" s="119"/>
      <c r="C109" s="121"/>
      <c r="D109" s="121"/>
      <c r="E109" s="121"/>
    </row>
    <row r="110" spans="1:5">
      <c r="A110" s="121"/>
      <c r="B110" s="118"/>
      <c r="C110" s="121"/>
      <c r="D110" s="121"/>
      <c r="E110" s="121"/>
    </row>
    <row r="111" spans="1:5">
      <c r="A111" s="121"/>
      <c r="B111" s="118"/>
      <c r="C111" s="121"/>
      <c r="D111" s="121"/>
      <c r="E111" s="121"/>
    </row>
    <row r="112" spans="1:5">
      <c r="A112" s="121"/>
      <c r="B112" s="118"/>
      <c r="C112" s="121"/>
      <c r="D112" s="121"/>
      <c r="E112" s="121"/>
    </row>
    <row r="113" spans="1:5">
      <c r="A113" s="121"/>
      <c r="B113" s="118"/>
      <c r="C113" s="121"/>
      <c r="D113" s="121"/>
      <c r="E113" s="121"/>
    </row>
    <row r="114" spans="1:5">
      <c r="A114" s="121"/>
      <c r="B114" s="118"/>
      <c r="C114" s="121"/>
      <c r="D114" s="121"/>
      <c r="E114" s="121"/>
    </row>
    <row r="115" spans="1:5">
      <c r="A115" s="121"/>
      <c r="B115" s="118"/>
      <c r="C115" s="121"/>
      <c r="D115" s="121"/>
      <c r="E115" s="121"/>
    </row>
    <row r="116" spans="1:5">
      <c r="A116" s="121"/>
      <c r="B116" s="118"/>
      <c r="C116" s="121"/>
      <c r="D116" s="121"/>
      <c r="E116" s="121"/>
    </row>
    <row r="117" spans="1:5">
      <c r="A117" s="121"/>
      <c r="B117" s="118"/>
      <c r="C117" s="121"/>
      <c r="D117" s="121"/>
      <c r="E117" s="121"/>
    </row>
    <row r="118" spans="1:5">
      <c r="A118" s="121"/>
      <c r="B118" s="121"/>
      <c r="C118" s="121"/>
      <c r="D118" s="121"/>
      <c r="E118" s="121"/>
    </row>
    <row r="119" spans="1:5">
      <c r="A119" s="121"/>
      <c r="B119" s="121"/>
      <c r="C119" s="121"/>
      <c r="D119" s="121"/>
      <c r="E119" s="121"/>
    </row>
    <row r="120" spans="1:5">
      <c r="A120" s="121"/>
      <c r="B120" s="121"/>
      <c r="C120" s="121"/>
      <c r="D120" s="121"/>
      <c r="E120" s="121"/>
    </row>
    <row r="121" spans="1:5">
      <c r="A121" s="121"/>
      <c r="B121" s="121"/>
      <c r="C121" s="121"/>
      <c r="D121" s="121"/>
      <c r="E121" s="121"/>
    </row>
    <row r="122" spans="1:5">
      <c r="A122" s="121"/>
      <c r="B122" s="121"/>
      <c r="C122" s="121"/>
      <c r="D122" s="121"/>
      <c r="E122" s="121"/>
    </row>
    <row r="123" spans="1:5">
      <c r="A123" s="121"/>
      <c r="B123" s="121"/>
      <c r="C123" s="121"/>
      <c r="D123" s="121"/>
      <c r="E123" s="121"/>
    </row>
    <row r="124" spans="1:5">
      <c r="A124" s="121"/>
      <c r="B124" s="121"/>
      <c r="C124" s="121"/>
      <c r="D124" s="121"/>
      <c r="E124" s="121"/>
    </row>
    <row r="125" spans="1:5">
      <c r="A125" s="121"/>
      <c r="B125" s="121"/>
      <c r="C125" s="121"/>
      <c r="D125" s="121"/>
      <c r="E125" s="121"/>
    </row>
    <row r="126" spans="1:5">
      <c r="A126" s="121"/>
      <c r="B126" s="121"/>
      <c r="C126" s="121"/>
      <c r="D126" s="121"/>
      <c r="E126" s="121"/>
    </row>
    <row r="127" spans="1:5">
      <c r="A127" s="121"/>
      <c r="B127" s="121"/>
      <c r="C127" s="121"/>
      <c r="D127" s="121"/>
      <c r="E127" s="121"/>
    </row>
    <row r="128" spans="1:5">
      <c r="A128" s="121"/>
      <c r="B128" s="121"/>
      <c r="C128" s="121"/>
      <c r="D128" s="121"/>
      <c r="E128" s="121"/>
    </row>
    <row r="129" spans="1:5">
      <c r="A129" s="121"/>
      <c r="B129" s="121"/>
      <c r="C129" s="121"/>
      <c r="D129" s="121"/>
      <c r="E129" s="121"/>
    </row>
    <row r="130" spans="1:5">
      <c r="A130" s="121"/>
      <c r="B130" s="121"/>
      <c r="C130" s="121"/>
      <c r="D130" s="121"/>
      <c r="E130" s="121"/>
    </row>
    <row r="131" spans="1:5">
      <c r="A131" s="121"/>
      <c r="B131" s="121"/>
      <c r="C131" s="121"/>
      <c r="D131" s="121"/>
      <c r="E131" s="121"/>
    </row>
    <row r="132" spans="1:5">
      <c r="A132" s="121"/>
      <c r="B132" s="121"/>
      <c r="C132" s="121"/>
      <c r="D132" s="121"/>
      <c r="E132" s="121"/>
    </row>
    <row r="133" spans="1:5">
      <c r="A133" s="121"/>
      <c r="B133" s="121"/>
      <c r="C133" s="121"/>
      <c r="D133" s="121"/>
      <c r="E133" s="121"/>
    </row>
    <row r="134" spans="1:5">
      <c r="A134" s="121"/>
      <c r="B134" s="121"/>
      <c r="C134" s="121"/>
      <c r="D134" s="121"/>
      <c r="E134" s="121"/>
    </row>
    <row r="135" spans="1:5">
      <c r="A135" s="121"/>
      <c r="B135" s="121"/>
      <c r="C135" s="121"/>
      <c r="D135" s="121"/>
      <c r="E135" s="121"/>
    </row>
    <row r="136" spans="1:5">
      <c r="A136" s="121"/>
      <c r="B136" s="121"/>
      <c r="C136" s="121"/>
      <c r="D136" s="121"/>
      <c r="E136" s="121"/>
    </row>
    <row r="137" spans="1:5">
      <c r="A137" s="121"/>
      <c r="B137" s="121"/>
      <c r="C137" s="121"/>
      <c r="D137" s="121"/>
      <c r="E137" s="121"/>
    </row>
    <row r="138" spans="1:5">
      <c r="A138" s="121"/>
      <c r="B138" s="121"/>
      <c r="C138" s="121"/>
      <c r="D138" s="121"/>
      <c r="E138" s="121"/>
    </row>
    <row r="139" spans="1:5">
      <c r="A139" s="121"/>
      <c r="B139" s="121"/>
      <c r="C139" s="121"/>
      <c r="D139" s="121"/>
      <c r="E139" s="121"/>
    </row>
    <row r="140" spans="1:5">
      <c r="A140" s="121"/>
      <c r="B140" s="121"/>
      <c r="C140" s="121"/>
      <c r="D140" s="121"/>
      <c r="E140" s="121"/>
    </row>
    <row r="141" spans="1:5">
      <c r="A141" s="121"/>
      <c r="B141" s="121"/>
      <c r="C141" s="121"/>
      <c r="D141" s="121"/>
      <c r="E141" s="121"/>
    </row>
    <row r="142" spans="1:5">
      <c r="A142" s="121"/>
      <c r="B142" s="121"/>
      <c r="C142" s="121"/>
      <c r="D142" s="121"/>
      <c r="E142" s="121"/>
    </row>
    <row r="143" spans="1:5">
      <c r="A143" s="121"/>
      <c r="B143" s="121"/>
      <c r="C143" s="121"/>
      <c r="D143" s="121"/>
      <c r="E143" s="121"/>
    </row>
    <row r="144" spans="1:5">
      <c r="A144" s="121"/>
      <c r="B144" s="121"/>
      <c r="C144" s="121"/>
      <c r="D144" s="121"/>
      <c r="E144" s="121"/>
    </row>
    <row r="145" spans="1:5">
      <c r="A145" s="121"/>
      <c r="B145" s="121"/>
      <c r="C145" s="121"/>
      <c r="D145" s="121"/>
      <c r="E145" s="121"/>
    </row>
    <row r="146" spans="1:5">
      <c r="A146" s="121"/>
      <c r="B146" s="121"/>
      <c r="C146" s="121"/>
      <c r="D146" s="121"/>
      <c r="E146" s="121"/>
    </row>
    <row r="147" spans="1:5">
      <c r="A147" s="121"/>
      <c r="B147" s="121"/>
      <c r="C147" s="121"/>
      <c r="D147" s="121"/>
      <c r="E147" s="121"/>
    </row>
    <row r="148" spans="1:5">
      <c r="A148" s="121"/>
      <c r="B148" s="121"/>
      <c r="C148" s="121"/>
      <c r="D148" s="121"/>
      <c r="E148" s="121"/>
    </row>
    <row r="149" spans="1:5">
      <c r="A149" s="121"/>
      <c r="B149" s="121"/>
      <c r="C149" s="121"/>
      <c r="D149" s="121"/>
      <c r="E149" s="121"/>
    </row>
    <row r="150" spans="1:5">
      <c r="A150" s="121"/>
      <c r="B150" s="121"/>
      <c r="C150" s="121"/>
      <c r="D150" s="121"/>
      <c r="E150" s="121"/>
    </row>
    <row r="151" spans="1:5">
      <c r="A151" s="121"/>
      <c r="B151" s="121"/>
      <c r="C151" s="121"/>
      <c r="D151" s="121"/>
      <c r="E151" s="121"/>
    </row>
    <row r="152" spans="1:5">
      <c r="A152" s="121"/>
      <c r="B152" s="121"/>
      <c r="C152" s="121"/>
      <c r="D152" s="121"/>
      <c r="E152" s="121"/>
    </row>
    <row r="153" spans="1:5">
      <c r="A153" s="121"/>
      <c r="B153" s="121"/>
      <c r="C153" s="121"/>
      <c r="D153" s="121"/>
      <c r="E153" s="121"/>
    </row>
    <row r="154" spans="1:5">
      <c r="A154" s="121"/>
      <c r="B154" s="121"/>
      <c r="C154" s="121"/>
      <c r="D154" s="121"/>
      <c r="E154" s="121"/>
    </row>
    <row r="155" spans="1:5">
      <c r="A155" s="121"/>
      <c r="B155" s="121"/>
      <c r="C155" s="121"/>
      <c r="D155" s="121"/>
      <c r="E155" s="121"/>
    </row>
    <row r="156" spans="1:5">
      <c r="A156" s="121"/>
      <c r="B156" s="121"/>
      <c r="C156" s="121"/>
      <c r="D156" s="121"/>
      <c r="E156" s="121"/>
    </row>
    <row r="157" spans="1:5">
      <c r="A157" s="121"/>
      <c r="B157" s="121"/>
      <c r="C157" s="121"/>
      <c r="D157" s="121"/>
      <c r="E157" s="121"/>
    </row>
    <row r="158" spans="1:5">
      <c r="A158" s="121"/>
      <c r="B158" s="121"/>
      <c r="C158" s="121"/>
      <c r="D158" s="121"/>
      <c r="E158" s="121"/>
    </row>
    <row r="159" spans="1:5">
      <c r="A159" s="121"/>
      <c r="B159" s="121"/>
      <c r="C159" s="121"/>
      <c r="D159" s="121"/>
      <c r="E159" s="121"/>
    </row>
    <row r="160" spans="1:5">
      <c r="A160" s="121"/>
      <c r="B160" s="121"/>
      <c r="C160" s="121"/>
      <c r="D160" s="121"/>
      <c r="E160" s="121"/>
    </row>
    <row r="161" spans="1:5">
      <c r="A161" s="121"/>
      <c r="B161" s="121"/>
      <c r="C161" s="121"/>
      <c r="D161" s="121"/>
      <c r="E161" s="121"/>
    </row>
    <row r="162" spans="1:5">
      <c r="A162" s="121"/>
      <c r="B162" s="121"/>
      <c r="C162" s="121"/>
      <c r="D162" s="121"/>
      <c r="E162" s="121"/>
    </row>
    <row r="163" spans="1:5">
      <c r="A163" s="121"/>
      <c r="B163" s="121"/>
      <c r="C163" s="121"/>
      <c r="D163" s="121"/>
      <c r="E163" s="121"/>
    </row>
    <row r="164" spans="1:5">
      <c r="A164" s="121"/>
      <c r="B164" s="121"/>
      <c r="C164" s="121"/>
      <c r="D164" s="121"/>
      <c r="E164" s="121"/>
    </row>
    <row r="165" spans="1:5">
      <c r="A165" s="121"/>
      <c r="B165" s="121"/>
      <c r="C165" s="121"/>
      <c r="D165" s="121"/>
      <c r="E165" s="121"/>
    </row>
    <row r="166" spans="1:5">
      <c r="A166" s="121"/>
      <c r="B166" s="121"/>
      <c r="C166" s="121"/>
      <c r="D166" s="121"/>
      <c r="E166" s="121"/>
    </row>
    <row r="167" spans="1:5">
      <c r="A167" s="121"/>
      <c r="B167" s="121"/>
      <c r="C167" s="121"/>
      <c r="D167" s="121"/>
      <c r="E167" s="121"/>
    </row>
    <row r="168" spans="1:5">
      <c r="A168" s="121"/>
      <c r="B168" s="121"/>
      <c r="C168" s="121"/>
      <c r="D168" s="121"/>
      <c r="E168" s="121"/>
    </row>
    <row r="169" spans="1:5">
      <c r="A169" s="121"/>
      <c r="B169" s="121"/>
      <c r="C169" s="121"/>
      <c r="D169" s="121"/>
      <c r="E169" s="121"/>
    </row>
    <row r="170" spans="1:5">
      <c r="A170" s="121"/>
      <c r="B170" s="121"/>
      <c r="C170" s="121"/>
      <c r="D170" s="121"/>
      <c r="E170" s="121"/>
    </row>
    <row r="171" spans="1:5">
      <c r="A171" s="121"/>
      <c r="B171" s="121"/>
      <c r="C171" s="121"/>
      <c r="D171" s="121"/>
      <c r="E171" s="121"/>
    </row>
    <row r="172" spans="1:5">
      <c r="A172" s="121"/>
      <c r="B172" s="121"/>
      <c r="C172" s="121"/>
      <c r="D172" s="121"/>
      <c r="E172" s="121"/>
    </row>
    <row r="173" spans="1:5">
      <c r="A173" s="121"/>
      <c r="B173" s="121"/>
      <c r="C173" s="121"/>
      <c r="D173" s="121"/>
      <c r="E173" s="121"/>
    </row>
    <row r="174" spans="1:5">
      <c r="A174" s="121"/>
      <c r="B174" s="121"/>
      <c r="C174" s="121"/>
      <c r="D174" s="121"/>
      <c r="E174" s="121"/>
    </row>
    <row r="175" spans="1:5">
      <c r="A175" s="121"/>
      <c r="B175" s="121"/>
      <c r="C175" s="121"/>
      <c r="D175" s="121"/>
      <c r="E175" s="121"/>
    </row>
    <row r="176" spans="1:5">
      <c r="A176" s="121"/>
      <c r="B176" s="121"/>
      <c r="C176" s="121"/>
      <c r="D176" s="121"/>
      <c r="E176" s="121"/>
    </row>
    <row r="177" spans="1:5">
      <c r="A177" s="121"/>
      <c r="B177" s="121"/>
      <c r="C177" s="121"/>
      <c r="D177" s="121"/>
      <c r="E177" s="121"/>
    </row>
    <row r="178" spans="1:5">
      <c r="A178" s="121"/>
      <c r="B178" s="121"/>
      <c r="C178" s="121"/>
      <c r="D178" s="121"/>
      <c r="E178" s="121"/>
    </row>
    <row r="179" spans="1:5">
      <c r="A179" s="121"/>
      <c r="B179" s="121"/>
      <c r="C179" s="121"/>
      <c r="D179" s="121"/>
      <c r="E179" s="121"/>
    </row>
    <row r="180" spans="1:5">
      <c r="A180" s="121"/>
      <c r="B180" s="121"/>
      <c r="C180" s="121"/>
      <c r="D180" s="121"/>
      <c r="E180" s="121"/>
    </row>
    <row r="181" spans="1:5">
      <c r="A181" s="121"/>
      <c r="B181" s="121"/>
      <c r="C181" s="121"/>
      <c r="D181" s="121"/>
      <c r="E181" s="121"/>
    </row>
    <row r="182" spans="1:5">
      <c r="A182" s="121"/>
      <c r="B182" s="121"/>
      <c r="C182" s="121"/>
      <c r="D182" s="121"/>
      <c r="E182" s="121"/>
    </row>
    <row r="183" spans="1:5">
      <c r="A183" s="121"/>
      <c r="B183" s="121"/>
      <c r="C183" s="121"/>
      <c r="D183" s="121"/>
      <c r="E183" s="121"/>
    </row>
    <row r="184" spans="1:5">
      <c r="A184" s="121"/>
      <c r="B184" s="121"/>
      <c r="C184" s="121"/>
      <c r="D184" s="121"/>
      <c r="E184" s="121"/>
    </row>
    <row r="185" spans="1:5">
      <c r="A185" s="121"/>
      <c r="B185" s="121"/>
      <c r="C185" s="121"/>
      <c r="D185" s="121"/>
      <c r="E185" s="121"/>
    </row>
    <row r="186" spans="1:5">
      <c r="A186" s="121"/>
      <c r="B186" s="121"/>
      <c r="C186" s="121"/>
      <c r="D186" s="121"/>
      <c r="E186" s="121"/>
    </row>
    <row r="187" spans="1:5">
      <c r="A187" s="121"/>
      <c r="B187" s="121"/>
      <c r="C187" s="121"/>
      <c r="D187" s="121"/>
      <c r="E187" s="121"/>
    </row>
    <row r="188" spans="1:5">
      <c r="A188" s="121"/>
      <c r="B188" s="121"/>
      <c r="C188" s="121"/>
      <c r="D188" s="121"/>
      <c r="E188" s="121"/>
    </row>
    <row r="189" spans="1:5">
      <c r="A189" s="121"/>
      <c r="B189" s="121"/>
      <c r="C189" s="121"/>
      <c r="D189" s="121"/>
      <c r="E189" s="121"/>
    </row>
    <row r="190" spans="1:5">
      <c r="A190" s="121"/>
      <c r="B190" s="121"/>
      <c r="C190" s="121"/>
      <c r="D190" s="121"/>
      <c r="E190" s="121"/>
    </row>
    <row r="191" spans="1:5">
      <c r="A191" s="121"/>
      <c r="B191" s="121"/>
      <c r="C191" s="121"/>
      <c r="D191" s="121"/>
      <c r="E191" s="121"/>
    </row>
    <row r="192" spans="1:5">
      <c r="A192" s="121"/>
      <c r="B192" s="121"/>
      <c r="C192" s="121"/>
      <c r="D192" s="121"/>
      <c r="E192" s="121"/>
    </row>
    <row r="193" spans="1:5">
      <c r="A193" s="121"/>
      <c r="B193" s="121"/>
      <c r="C193" s="121"/>
      <c r="D193" s="121"/>
      <c r="E193" s="121"/>
    </row>
    <row r="194" spans="1:5">
      <c r="A194" s="121"/>
      <c r="B194" s="121"/>
      <c r="C194" s="121"/>
      <c r="D194" s="121"/>
      <c r="E194" s="121"/>
    </row>
    <row r="195" spans="1:5">
      <c r="A195" s="121"/>
      <c r="B195" s="121"/>
      <c r="C195" s="121"/>
      <c r="D195" s="121"/>
      <c r="E195" s="121"/>
    </row>
    <row r="196" spans="1:5">
      <c r="A196" s="121"/>
      <c r="B196" s="121"/>
      <c r="C196" s="121"/>
      <c r="D196" s="121"/>
      <c r="E196" s="121"/>
    </row>
    <row r="197" spans="1:5">
      <c r="A197" s="121"/>
      <c r="B197" s="121"/>
      <c r="C197" s="121"/>
      <c r="D197" s="121"/>
      <c r="E197" s="121"/>
    </row>
    <row r="198" spans="1:5">
      <c r="A198" s="121"/>
      <c r="B198" s="121"/>
      <c r="C198" s="121"/>
      <c r="D198" s="121"/>
      <c r="E198" s="121"/>
    </row>
    <row r="199" spans="1:5">
      <c r="A199" s="121"/>
      <c r="B199" s="121"/>
      <c r="C199" s="121"/>
      <c r="D199" s="121"/>
      <c r="E199" s="121"/>
    </row>
    <row r="200" spans="1:5">
      <c r="A200" s="121"/>
      <c r="B200" s="121"/>
      <c r="C200" s="121"/>
      <c r="D200" s="121"/>
      <c r="E200" s="121"/>
    </row>
    <row r="201" spans="1:5">
      <c r="A201" s="121"/>
      <c r="B201" s="121"/>
      <c r="C201" s="121"/>
      <c r="D201" s="121"/>
      <c r="E201" s="121"/>
    </row>
    <row r="202" spans="1:5">
      <c r="A202" s="121"/>
      <c r="B202" s="121"/>
      <c r="C202" s="121"/>
      <c r="D202" s="121"/>
      <c r="E202" s="121"/>
    </row>
    <row r="203" spans="1:5">
      <c r="A203" s="121"/>
      <c r="B203" s="121"/>
      <c r="C203" s="121"/>
      <c r="D203" s="121"/>
      <c r="E203" s="121"/>
    </row>
    <row r="204" spans="1:5">
      <c r="A204" s="121"/>
      <c r="B204" s="121"/>
      <c r="C204" s="121"/>
      <c r="D204" s="121"/>
      <c r="E204" s="121"/>
    </row>
    <row r="205" spans="1:5">
      <c r="A205" s="121"/>
      <c r="B205" s="121"/>
      <c r="C205" s="121"/>
      <c r="D205" s="121"/>
      <c r="E205" s="121"/>
    </row>
    <row r="206" spans="1:5">
      <c r="A206" s="121"/>
      <c r="B206" s="121"/>
      <c r="C206" s="121"/>
      <c r="D206" s="121"/>
      <c r="E206" s="121"/>
    </row>
    <row r="207" spans="1:5">
      <c r="A207" s="121"/>
      <c r="B207" s="121"/>
      <c r="C207" s="121"/>
      <c r="D207" s="121"/>
      <c r="E207" s="121"/>
    </row>
    <row r="208" spans="1:5">
      <c r="A208" s="121"/>
      <c r="B208" s="121"/>
      <c r="C208" s="121"/>
      <c r="D208" s="121"/>
      <c r="E208" s="121"/>
    </row>
    <row r="209" spans="1:5">
      <c r="A209" s="121"/>
      <c r="B209" s="121"/>
      <c r="C209" s="121"/>
      <c r="D209" s="121"/>
      <c r="E209" s="121"/>
    </row>
    <row r="210" spans="1:5">
      <c r="A210" s="121"/>
      <c r="B210" s="121"/>
      <c r="C210" s="121"/>
      <c r="D210" s="121"/>
      <c r="E210" s="121"/>
    </row>
    <row r="211" spans="1:5">
      <c r="A211" s="121"/>
      <c r="B211" s="121"/>
      <c r="C211" s="121"/>
      <c r="D211" s="121"/>
      <c r="E211" s="121"/>
    </row>
    <row r="212" spans="1:5">
      <c r="A212" s="121"/>
      <c r="B212" s="121"/>
      <c r="C212" s="121"/>
      <c r="D212" s="121"/>
      <c r="E212" s="121"/>
    </row>
    <row r="213" spans="1:5">
      <c r="A213" s="121"/>
      <c r="B213" s="121"/>
      <c r="C213" s="121"/>
      <c r="D213" s="121"/>
      <c r="E213" s="121"/>
    </row>
    <row r="214" spans="1:5">
      <c r="A214" s="121"/>
      <c r="B214" s="121"/>
      <c r="C214" s="121"/>
      <c r="D214" s="121"/>
      <c r="E214" s="121"/>
    </row>
    <row r="215" spans="1:5">
      <c r="A215" s="121"/>
      <c r="B215" s="121"/>
      <c r="C215" s="121"/>
      <c r="D215" s="121"/>
      <c r="E215" s="121"/>
    </row>
    <row r="216" spans="1:5">
      <c r="A216" s="121"/>
      <c r="B216" s="121"/>
      <c r="C216" s="121"/>
      <c r="D216" s="121"/>
      <c r="E216" s="121"/>
    </row>
    <row r="217" spans="1:5">
      <c r="A217" s="121"/>
      <c r="B217" s="121"/>
      <c r="C217" s="121"/>
      <c r="D217" s="121"/>
      <c r="E217" s="121"/>
    </row>
    <row r="218" spans="1:5">
      <c r="A218" s="121"/>
      <c r="B218" s="121"/>
      <c r="C218" s="121"/>
      <c r="D218" s="121"/>
      <c r="E218" s="121"/>
    </row>
    <row r="219" spans="1:5">
      <c r="A219" s="121"/>
      <c r="B219" s="121"/>
      <c r="C219" s="121"/>
      <c r="D219" s="121"/>
      <c r="E219" s="121"/>
    </row>
    <row r="220" spans="1:5">
      <c r="A220" s="121"/>
      <c r="B220" s="121"/>
      <c r="C220" s="121"/>
      <c r="D220" s="121"/>
      <c r="E220" s="121"/>
    </row>
    <row r="221" spans="1:5">
      <c r="A221" s="121"/>
      <c r="B221" s="121"/>
      <c r="C221" s="121"/>
      <c r="D221" s="121"/>
      <c r="E221" s="121"/>
    </row>
    <row r="222" spans="1:5">
      <c r="A222" s="121"/>
      <c r="B222" s="121"/>
      <c r="C222" s="121"/>
      <c r="D222" s="121"/>
      <c r="E222" s="121"/>
    </row>
    <row r="223" spans="1:5">
      <c r="A223" s="121"/>
      <c r="B223" s="121"/>
      <c r="C223" s="121"/>
      <c r="D223" s="121"/>
      <c r="E223" s="121"/>
    </row>
    <row r="224" spans="1:5">
      <c r="A224" s="121"/>
      <c r="B224" s="121"/>
      <c r="C224" s="121"/>
      <c r="D224" s="121"/>
      <c r="E224" s="121"/>
    </row>
    <row r="225" spans="1:5">
      <c r="A225" s="121"/>
      <c r="B225" s="121"/>
      <c r="C225" s="121"/>
      <c r="D225" s="121"/>
      <c r="E225" s="121"/>
    </row>
    <row r="226" spans="1:5">
      <c r="A226" s="121"/>
      <c r="B226" s="121"/>
      <c r="C226" s="121"/>
      <c r="D226" s="121"/>
      <c r="E226" s="121"/>
    </row>
    <row r="227" spans="1:5">
      <c r="A227" s="121"/>
      <c r="B227" s="121"/>
      <c r="C227" s="121"/>
      <c r="D227" s="121"/>
      <c r="E227" s="121"/>
    </row>
    <row r="228" spans="1:5">
      <c r="A228" s="121"/>
      <c r="B228" s="121"/>
      <c r="C228" s="121"/>
      <c r="D228" s="121"/>
      <c r="E228" s="121"/>
    </row>
    <row r="229" spans="1:5">
      <c r="A229" s="121"/>
      <c r="B229" s="121"/>
      <c r="C229" s="121"/>
      <c r="D229" s="121"/>
      <c r="E229" s="121"/>
    </row>
    <row r="230" spans="1:5">
      <c r="A230" s="121"/>
      <c r="B230" s="121"/>
      <c r="C230" s="121"/>
      <c r="D230" s="121"/>
      <c r="E230" s="121"/>
    </row>
    <row r="231" spans="1:5">
      <c r="A231" s="121"/>
      <c r="B231" s="121"/>
      <c r="C231" s="121"/>
      <c r="D231" s="121"/>
      <c r="E231" s="121"/>
    </row>
    <row r="232" spans="1:5">
      <c r="A232" s="121"/>
      <c r="B232" s="121"/>
      <c r="C232" s="121"/>
      <c r="D232" s="121"/>
      <c r="E232" s="121"/>
    </row>
    <row r="233" spans="1:5">
      <c r="A233" s="121"/>
      <c r="B233" s="121"/>
      <c r="C233" s="121"/>
      <c r="D233" s="121"/>
      <c r="E233" s="121"/>
    </row>
    <row r="234" spans="1:5">
      <c r="A234" s="121"/>
      <c r="B234" s="121"/>
      <c r="C234" s="121"/>
      <c r="D234" s="121"/>
      <c r="E234" s="121"/>
    </row>
    <row r="235" spans="1:5">
      <c r="A235" s="121"/>
      <c r="B235" s="121"/>
      <c r="C235" s="121"/>
      <c r="D235" s="121"/>
      <c r="E235" s="121"/>
    </row>
    <row r="236" spans="1:5">
      <c r="A236" s="121"/>
      <c r="B236" s="121"/>
      <c r="C236" s="121"/>
      <c r="D236" s="121"/>
      <c r="E236" s="121"/>
    </row>
    <row r="237" spans="1:5">
      <c r="A237" s="121"/>
      <c r="B237" s="121"/>
      <c r="C237" s="121"/>
      <c r="D237" s="121"/>
      <c r="E237" s="121"/>
    </row>
    <row r="238" spans="1:5">
      <c r="A238" s="121"/>
      <c r="B238" s="121"/>
      <c r="C238" s="121"/>
      <c r="D238" s="121"/>
      <c r="E238" s="121"/>
    </row>
    <row r="239" spans="1:5">
      <c r="A239" s="121"/>
      <c r="B239" s="121"/>
      <c r="C239" s="121"/>
      <c r="D239" s="121"/>
      <c r="E239" s="121"/>
    </row>
    <row r="240" spans="1:5">
      <c r="A240" s="121"/>
      <c r="B240" s="121"/>
      <c r="C240" s="121"/>
      <c r="D240" s="121"/>
      <c r="E240" s="121"/>
    </row>
    <row r="241" spans="1:5">
      <c r="A241" s="121"/>
      <c r="B241" s="121"/>
      <c r="C241" s="121"/>
      <c r="D241" s="121"/>
      <c r="E241" s="121"/>
    </row>
    <row r="242" spans="1:5">
      <c r="A242" s="121"/>
      <c r="B242" s="121"/>
      <c r="C242" s="121"/>
      <c r="D242" s="121"/>
      <c r="E242" s="121"/>
    </row>
    <row r="243" spans="1:5">
      <c r="A243" s="121"/>
      <c r="B243" s="121"/>
      <c r="C243" s="121"/>
      <c r="D243" s="121"/>
      <c r="E243" s="121"/>
    </row>
    <row r="244" spans="1:5">
      <c r="A244" s="121"/>
      <c r="B244" s="121"/>
      <c r="C244" s="121"/>
      <c r="D244" s="121"/>
      <c r="E244" s="121"/>
    </row>
    <row r="245" spans="1:5">
      <c r="A245" s="121"/>
      <c r="B245" s="121"/>
      <c r="C245" s="121"/>
      <c r="D245" s="121"/>
      <c r="E245" s="121"/>
    </row>
    <row r="246" spans="1:5">
      <c r="A246" s="121"/>
      <c r="B246" s="121"/>
      <c r="C246" s="121"/>
      <c r="D246" s="121"/>
      <c r="E246" s="121"/>
    </row>
    <row r="247" spans="1:5">
      <c r="A247" s="121"/>
      <c r="B247" s="121"/>
      <c r="C247" s="121"/>
      <c r="D247" s="121"/>
      <c r="E247" s="121"/>
    </row>
    <row r="248" spans="1:5">
      <c r="A248" s="121"/>
      <c r="B248" s="121"/>
      <c r="C248" s="121"/>
      <c r="D248" s="121"/>
      <c r="E248" s="121"/>
    </row>
    <row r="249" spans="1:5">
      <c r="A249" s="121"/>
      <c r="B249" s="121"/>
      <c r="C249" s="121"/>
      <c r="D249" s="121"/>
      <c r="E249" s="121"/>
    </row>
    <row r="250" spans="1:5">
      <c r="A250" s="121"/>
      <c r="B250" s="121"/>
      <c r="C250" s="121"/>
      <c r="D250" s="121"/>
      <c r="E250" s="121"/>
    </row>
    <row r="251" spans="1:5">
      <c r="A251" s="121"/>
      <c r="B251" s="121"/>
      <c r="C251" s="121"/>
      <c r="D251" s="121"/>
      <c r="E251" s="121"/>
    </row>
    <row r="252" spans="1:5">
      <c r="A252" s="121"/>
      <c r="B252" s="121"/>
      <c r="C252" s="121"/>
      <c r="D252" s="121"/>
      <c r="E252" s="121"/>
    </row>
    <row r="253" spans="1:5">
      <c r="A253" s="121"/>
      <c r="B253" s="121"/>
      <c r="C253" s="121"/>
      <c r="D253" s="121"/>
      <c r="E253" s="121"/>
    </row>
    <row r="254" spans="1:5">
      <c r="A254" s="121"/>
      <c r="B254" s="121"/>
      <c r="C254" s="121"/>
      <c r="D254" s="121"/>
      <c r="E254" s="121"/>
    </row>
    <row r="255" spans="1:5">
      <c r="A255" s="121"/>
      <c r="B255" s="121"/>
      <c r="C255" s="121"/>
      <c r="D255" s="121"/>
      <c r="E255" s="121"/>
    </row>
    <row r="256" spans="1:5">
      <c r="A256" s="121"/>
      <c r="B256" s="121"/>
      <c r="C256" s="121"/>
      <c r="D256" s="121"/>
      <c r="E256" s="121"/>
    </row>
    <row r="257" spans="1:5">
      <c r="A257" s="121"/>
      <c r="B257" s="121"/>
      <c r="C257" s="121"/>
      <c r="D257" s="121"/>
      <c r="E257" s="121"/>
    </row>
    <row r="258" spans="1:5">
      <c r="A258" s="121"/>
      <c r="B258" s="121"/>
      <c r="C258" s="121"/>
      <c r="D258" s="121"/>
      <c r="E258" s="121"/>
    </row>
    <row r="259" spans="1:5">
      <c r="A259" s="121"/>
      <c r="B259" s="121"/>
      <c r="C259" s="121"/>
      <c r="D259" s="121"/>
      <c r="E259" s="121"/>
    </row>
    <row r="260" spans="1:5">
      <c r="A260" s="121"/>
      <c r="B260" s="121"/>
      <c r="C260" s="121"/>
      <c r="D260" s="121"/>
      <c r="E260" s="121"/>
    </row>
    <row r="261" spans="1:5">
      <c r="A261" s="121"/>
      <c r="B261" s="121"/>
      <c r="C261" s="121"/>
      <c r="D261" s="121"/>
      <c r="E261" s="121"/>
    </row>
    <row r="262" spans="1:5">
      <c r="A262" s="121"/>
      <c r="B262" s="121"/>
      <c r="C262" s="121"/>
      <c r="D262" s="121"/>
      <c r="E262" s="121"/>
    </row>
    <row r="263" spans="1:5">
      <c r="A263" s="121"/>
      <c r="B263" s="121"/>
      <c r="C263" s="121"/>
      <c r="D263" s="121"/>
      <c r="E263" s="121"/>
    </row>
    <row r="264" spans="1:5">
      <c r="A264" s="121"/>
      <c r="B264" s="121"/>
      <c r="C264" s="121"/>
      <c r="D264" s="121"/>
      <c r="E264" s="121"/>
    </row>
    <row r="265" spans="1:5">
      <c r="A265" s="121"/>
      <c r="B265" s="121"/>
      <c r="C265" s="121"/>
      <c r="D265" s="121"/>
      <c r="E265" s="121"/>
    </row>
    <row r="266" spans="1:5">
      <c r="A266" s="121"/>
      <c r="B266" s="121"/>
      <c r="C266" s="121"/>
      <c r="D266" s="121"/>
      <c r="E266" s="121"/>
    </row>
    <row r="267" spans="1:5">
      <c r="A267" s="121"/>
      <c r="B267" s="121"/>
      <c r="C267" s="121"/>
      <c r="D267" s="121"/>
      <c r="E267" s="121"/>
    </row>
    <row r="268" spans="1:5">
      <c r="A268" s="121"/>
      <c r="B268" s="121"/>
      <c r="C268" s="121"/>
      <c r="D268" s="121"/>
      <c r="E268" s="121"/>
    </row>
    <row r="269" spans="1:5">
      <c r="A269" s="121"/>
      <c r="B269" s="121"/>
      <c r="C269" s="121"/>
      <c r="D269" s="121"/>
      <c r="E269" s="121"/>
    </row>
    <row r="270" spans="1:5">
      <c r="A270" s="121"/>
      <c r="B270" s="121"/>
      <c r="C270" s="121"/>
      <c r="D270" s="121"/>
      <c r="E270" s="121"/>
    </row>
    <row r="271" spans="1:5">
      <c r="A271" s="121"/>
      <c r="B271" s="121"/>
      <c r="C271" s="121"/>
      <c r="D271" s="121"/>
      <c r="E271" s="121"/>
    </row>
    <row r="272" spans="1:5">
      <c r="A272" s="121"/>
      <c r="B272" s="121"/>
      <c r="C272" s="121"/>
      <c r="D272" s="121"/>
      <c r="E272" s="121"/>
    </row>
    <row r="273" spans="1:5">
      <c r="A273" s="121"/>
      <c r="B273" s="121"/>
      <c r="C273" s="121"/>
      <c r="D273" s="121"/>
      <c r="E273" s="121"/>
    </row>
    <row r="274" spans="1:5">
      <c r="A274" s="121"/>
      <c r="B274" s="121"/>
      <c r="C274" s="121"/>
      <c r="D274" s="121"/>
      <c r="E274" s="121"/>
    </row>
    <row r="275" spans="1:5">
      <c r="A275" s="121"/>
      <c r="B275" s="121"/>
      <c r="C275" s="121"/>
      <c r="D275" s="121"/>
      <c r="E275" s="121"/>
    </row>
    <row r="276" spans="1:5">
      <c r="A276" s="121"/>
      <c r="B276" s="121"/>
      <c r="C276" s="121"/>
      <c r="D276" s="121"/>
      <c r="E276" s="121"/>
    </row>
    <row r="277" spans="1:5">
      <c r="A277" s="121"/>
      <c r="B277" s="121"/>
      <c r="C277" s="121"/>
      <c r="D277" s="121"/>
      <c r="E277" s="121"/>
    </row>
    <row r="278" spans="1:5">
      <c r="A278" s="121"/>
      <c r="B278" s="121"/>
      <c r="C278" s="121"/>
      <c r="D278" s="121"/>
      <c r="E278" s="121"/>
    </row>
    <row r="279" spans="1:5">
      <c r="A279" s="121"/>
      <c r="B279" s="121"/>
      <c r="C279" s="121"/>
      <c r="D279" s="121"/>
      <c r="E279" s="121"/>
    </row>
    <row r="280" spans="1:5">
      <c r="A280" s="121"/>
      <c r="B280" s="121"/>
      <c r="C280" s="121"/>
      <c r="D280" s="121"/>
      <c r="E280" s="121"/>
    </row>
    <row r="281" spans="1:5">
      <c r="A281" s="121"/>
      <c r="B281" s="121"/>
      <c r="C281" s="121"/>
      <c r="D281" s="121"/>
      <c r="E281" s="121"/>
    </row>
    <row r="282" spans="1:5">
      <c r="A282" s="121"/>
      <c r="B282" s="121"/>
      <c r="C282" s="121"/>
      <c r="D282" s="121"/>
      <c r="E282" s="121"/>
    </row>
    <row r="283" spans="1:5">
      <c r="A283" s="121"/>
      <c r="B283" s="121"/>
      <c r="C283" s="121"/>
      <c r="D283" s="121"/>
      <c r="E283" s="121"/>
    </row>
    <row r="284" spans="1:5">
      <c r="A284" s="121"/>
      <c r="B284" s="121"/>
      <c r="C284" s="121"/>
      <c r="D284" s="121"/>
      <c r="E284" s="121"/>
    </row>
    <row r="285" spans="1:5">
      <c r="A285" s="121"/>
      <c r="B285" s="121"/>
      <c r="C285" s="121"/>
      <c r="D285" s="121"/>
      <c r="E285" s="121"/>
    </row>
    <row r="286" spans="1:5">
      <c r="A286" s="121"/>
      <c r="B286" s="121"/>
      <c r="C286" s="121"/>
      <c r="D286" s="121"/>
      <c r="E286" s="121"/>
    </row>
    <row r="287" spans="1:5">
      <c r="A287" s="121"/>
      <c r="B287" s="121"/>
      <c r="C287" s="121"/>
      <c r="D287" s="121"/>
      <c r="E287" s="121"/>
    </row>
    <row r="288" spans="1:5">
      <c r="A288" s="121"/>
      <c r="B288" s="121"/>
      <c r="C288" s="121"/>
      <c r="D288" s="121"/>
      <c r="E288" s="121"/>
    </row>
    <row r="289" spans="1:5">
      <c r="A289" s="121"/>
      <c r="B289" s="121"/>
      <c r="C289" s="121"/>
      <c r="D289" s="121"/>
      <c r="E289" s="121"/>
    </row>
    <row r="290" spans="1:5">
      <c r="A290" s="121"/>
      <c r="B290" s="121"/>
      <c r="C290" s="121"/>
      <c r="D290" s="121"/>
      <c r="E290" s="121"/>
    </row>
    <row r="291" spans="1:5">
      <c r="A291" s="121"/>
      <c r="B291" s="121"/>
      <c r="C291" s="121"/>
      <c r="D291" s="121"/>
      <c r="E291" s="121"/>
    </row>
    <row r="292" spans="1:5">
      <c r="A292" s="121"/>
      <c r="B292" s="121"/>
      <c r="C292" s="121"/>
      <c r="D292" s="121"/>
      <c r="E292" s="121"/>
    </row>
    <row r="293" spans="1:5">
      <c r="A293" s="121"/>
      <c r="B293" s="121"/>
      <c r="C293" s="121"/>
      <c r="D293" s="121"/>
      <c r="E293" s="121"/>
    </row>
    <row r="294" spans="1:5">
      <c r="A294" s="121"/>
      <c r="B294" s="121"/>
      <c r="C294" s="121"/>
      <c r="D294" s="121"/>
      <c r="E294" s="121"/>
    </row>
    <row r="295" spans="1:5">
      <c r="A295" s="121"/>
      <c r="B295" s="121"/>
      <c r="C295" s="121"/>
      <c r="D295" s="121"/>
      <c r="E295" s="121"/>
    </row>
    <row r="296" spans="1:5">
      <c r="A296" s="121"/>
      <c r="B296" s="121"/>
      <c r="C296" s="121"/>
      <c r="D296" s="121"/>
      <c r="E296" s="12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2:D23"/>
  <sheetViews>
    <sheetView view="pageBreakPreview" zoomScale="130" zoomScaleNormal="160" zoomScaleSheetLayoutView="130" workbookViewId="0">
      <selection activeCell="H23" sqref="H23"/>
    </sheetView>
  </sheetViews>
  <sheetFormatPr defaultRowHeight="15"/>
  <cols>
    <col min="1" max="1" width="7.28515625" bestFit="1" customWidth="1"/>
    <col min="2" max="2" width="38.7109375" bestFit="1" customWidth="1"/>
    <col min="3" max="3" width="13.42578125" style="7" customWidth="1"/>
  </cols>
  <sheetData>
    <row r="2" spans="1:4" ht="11.25" customHeight="1">
      <c r="A2" s="4"/>
      <c r="B2" s="5" t="s">
        <v>46</v>
      </c>
      <c r="C2" s="11"/>
    </row>
    <row r="3" spans="1:4" ht="11.25" customHeight="1"/>
    <row r="4" spans="1:4" ht="11.25" customHeight="1">
      <c r="A4" s="1" t="s">
        <v>1</v>
      </c>
      <c r="B4" s="2" t="s">
        <v>0</v>
      </c>
      <c r="C4" s="8"/>
    </row>
    <row r="5" spans="1:4" ht="11.25" customHeight="1">
      <c r="A5" s="3" t="str">
        <f>'A.GRAĐEVINSKI RADOVI'!A417</f>
        <v>A.01.</v>
      </c>
      <c r="B5" s="3" t="str">
        <f>'A.GRAĐEVINSKI RADOVI'!B417</f>
        <v>PRIPREMNI I GEODETSKI RADOVI UKUPNO:</v>
      </c>
      <c r="C5" s="9">
        <f>'A.GRAĐEVINSKI RADOVI'!F417</f>
        <v>0</v>
      </c>
      <c r="D5" s="6"/>
    </row>
    <row r="6" spans="1:4" ht="11.25" customHeight="1">
      <c r="A6" s="3" t="str">
        <f>'A.GRAĐEVINSKI RADOVI'!A418</f>
        <v>A.02.</v>
      </c>
      <c r="B6" s="3" t="str">
        <f>'A.GRAĐEVINSKI RADOVI'!B418</f>
        <v>ZEMLJANI RADOVI UKUPNO:</v>
      </c>
      <c r="C6" s="9">
        <f>'A.GRAĐEVINSKI RADOVI'!F418</f>
        <v>0</v>
      </c>
      <c r="D6" s="6"/>
    </row>
    <row r="7" spans="1:4" ht="11.25" customHeight="1">
      <c r="A7" s="3" t="str">
        <f>'A.GRAĐEVINSKI RADOVI'!A419</f>
        <v>A.03.</v>
      </c>
      <c r="B7" s="3" t="str">
        <f>'A.GRAĐEVINSKI RADOVI'!B419</f>
        <v>BETONSKI I ARMIRANOBETONSKI RADOVI UKUPNO:</v>
      </c>
      <c r="C7" s="9">
        <f>'A.GRAĐEVINSKI RADOVI'!F419</f>
        <v>0</v>
      </c>
      <c r="D7" s="6"/>
    </row>
    <row r="8" spans="1:4" ht="11.25" customHeight="1">
      <c r="A8" s="3" t="str">
        <f>'A.GRAĐEVINSKI RADOVI'!A420</f>
        <v>A.04.</v>
      </c>
      <c r="B8" s="3" t="str">
        <f>'A.GRAĐEVINSKI RADOVI'!B420</f>
        <v>ARMIRAČKI RADOVI UKUPNO:</v>
      </c>
      <c r="C8" s="9">
        <f>'A.GRAĐEVINSKI RADOVI'!F420</f>
        <v>0</v>
      </c>
      <c r="D8" s="6"/>
    </row>
    <row r="9" spans="1:4" ht="11.25" customHeight="1">
      <c r="A9" s="3" t="str">
        <f>'A.GRAĐEVINSKI RADOVI'!A421</f>
        <v>A.05.</v>
      </c>
      <c r="B9" s="3" t="str">
        <f>'A.GRAĐEVINSKI RADOVI'!B421</f>
        <v>IZOLATERSKI RADOVI UKUPNO:</v>
      </c>
      <c r="C9" s="9">
        <f>'A.GRAĐEVINSKI RADOVI'!F421</f>
        <v>0</v>
      </c>
      <c r="D9" s="6"/>
    </row>
    <row r="10" spans="1:4" ht="11.25" customHeight="1">
      <c r="A10" s="3" t="str">
        <f>'A.GRAĐEVINSKI RADOVI'!A422</f>
        <v>A.06.</v>
      </c>
      <c r="B10" s="3" t="str">
        <f>'A.GRAĐEVINSKI RADOVI'!B422</f>
        <v>ZIDARSKO - FASADERSKI RADOVI UKUPNO:</v>
      </c>
      <c r="C10" s="9">
        <f>'A.GRAĐEVINSKI RADOVI'!C422</f>
        <v>0</v>
      </c>
      <c r="D10" s="6"/>
    </row>
    <row r="11" spans="1:4" ht="11.25" customHeight="1">
      <c r="A11" s="3" t="str">
        <f>'A.GRAĐEVINSKI RADOVI'!A423</f>
        <v>A.07.</v>
      </c>
      <c r="B11" s="3" t="str">
        <f>'A.GRAĐEVINSKI RADOVI'!B423</f>
        <v>LIMARSKI RADOVI UKUPNO:</v>
      </c>
      <c r="C11" s="9">
        <f>'A.GRAĐEVINSKI RADOVI'!F423</f>
        <v>0</v>
      </c>
      <c r="D11" s="6"/>
    </row>
    <row r="12" spans="1:4" ht="11.25" customHeight="1">
      <c r="A12" s="1" t="s">
        <v>1</v>
      </c>
      <c r="B12" s="2" t="s">
        <v>40</v>
      </c>
      <c r="C12" s="8">
        <f>SUM(C5:C9)</f>
        <v>0</v>
      </c>
    </row>
    <row r="13" spans="1:4" ht="11.25" customHeight="1">
      <c r="C13" s="10"/>
    </row>
    <row r="14" spans="1:4" ht="11.25" customHeight="1">
      <c r="A14" s="1" t="s">
        <v>52</v>
      </c>
      <c r="B14" s="2" t="s">
        <v>53</v>
      </c>
      <c r="C14" s="8"/>
    </row>
    <row r="15" spans="1:4" ht="11.25" customHeight="1">
      <c r="A15" s="3" t="str">
        <f>'B.OBRTNIČKI RADOVI'!A457</f>
        <v>B.01.</v>
      </c>
      <c r="B15" s="3" t="str">
        <f>'B.OBRTNIČKI RADOVI'!B457</f>
        <v>ZAVRŠNO MONTAŽERSKI RADOVI UKUPNO:</v>
      </c>
      <c r="C15" s="9">
        <f>'B.OBRTNIČKI RADOVI'!C457</f>
        <v>0</v>
      </c>
      <c r="D15" s="6"/>
    </row>
    <row r="16" spans="1:4" ht="11.25" customHeight="1">
      <c r="A16" s="3" t="str">
        <f>'B.OBRTNIČKI RADOVI'!A458</f>
        <v>B.02.</v>
      </c>
      <c r="B16" s="3" t="str">
        <f>'B.OBRTNIČKI RADOVI'!B458</f>
        <v>KERAMIČARSKI RADOVI UKUPNO:</v>
      </c>
      <c r="C16" s="9">
        <f>'B.OBRTNIČKI RADOVI'!C458</f>
        <v>0</v>
      </c>
      <c r="D16" s="6"/>
    </row>
    <row r="17" spans="1:4" ht="11.25" customHeight="1">
      <c r="A17" s="3" t="str">
        <f>'B.OBRTNIČKI RADOVI'!A459</f>
        <v>B.03.</v>
      </c>
      <c r="B17" s="3" t="str">
        <f>'B.OBRTNIČKI RADOVI'!B459</f>
        <v>PODOPOLAGAČKI RADOVI UKUPNO:</v>
      </c>
      <c r="C17" s="9">
        <f>'B.OBRTNIČKI RADOVI'!C459</f>
        <v>0</v>
      </c>
      <c r="D17" s="6"/>
    </row>
    <row r="18" spans="1:4" ht="11.25" customHeight="1">
      <c r="A18" s="3" t="str">
        <f>'B.OBRTNIČKI RADOVI'!A460</f>
        <v>B.04.</v>
      </c>
      <c r="B18" s="3" t="str">
        <f>'B.OBRTNIČKI RADOVI'!B460</f>
        <v>SOBOSLIKARSKO LIČILAČKI RADOVI UKUPNO:</v>
      </c>
      <c r="C18" s="9">
        <f>'B.OBRTNIČKI RADOVI'!C460</f>
        <v>0</v>
      </c>
      <c r="D18" s="6"/>
    </row>
    <row r="19" spans="1:4" ht="11.25" customHeight="1">
      <c r="A19" s="3" t="str">
        <f>'B.OBRTNIČKI RADOVI'!A461</f>
        <v>B.05.</v>
      </c>
      <c r="B19" s="3" t="str">
        <f>'B.OBRTNIČKI RADOVI'!B461</f>
        <v>STOLARSKI RADOVI UKUPNO:</v>
      </c>
      <c r="C19" s="9">
        <f>'B.OBRTNIČKI RADOVI'!C461</f>
        <v>0</v>
      </c>
      <c r="D19" s="6"/>
    </row>
    <row r="20" spans="1:4" ht="11.25" customHeight="1">
      <c r="A20" s="3" t="str">
        <f>'B.OBRTNIČKI RADOVI'!A462</f>
        <v>B.06.</v>
      </c>
      <c r="B20" s="3" t="str">
        <f>'B.OBRTNIČKI RADOVI'!B462</f>
        <v>BRAVARSKI RADOVI UKUPNO:</v>
      </c>
      <c r="C20" s="9">
        <f>'B.OBRTNIČKI RADOVI'!C462</f>
        <v>0</v>
      </c>
      <c r="D20" s="6"/>
    </row>
    <row r="21" spans="1:4" ht="11.25" customHeight="1">
      <c r="A21" s="1" t="s">
        <v>52</v>
      </c>
      <c r="B21" s="2" t="s">
        <v>40</v>
      </c>
      <c r="C21" s="8">
        <f>SUM(C15:C16)</f>
        <v>0</v>
      </c>
    </row>
    <row r="22" spans="1:4" ht="11.25" customHeight="1">
      <c r="C22" s="10"/>
    </row>
    <row r="23" spans="1:4" ht="11.25" customHeight="1">
      <c r="A23" s="4"/>
      <c r="B23" s="5" t="s">
        <v>60</v>
      </c>
      <c r="C23" s="11">
        <f>C21+C12</f>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Z427"/>
  <sheetViews>
    <sheetView tabSelected="1" view="pageBreakPreview" topLeftCell="A383" zoomScale="130" zoomScaleNormal="100" zoomScaleSheetLayoutView="130" workbookViewId="0">
      <selection activeCell="D388" sqref="D388"/>
    </sheetView>
  </sheetViews>
  <sheetFormatPr defaultColWidth="14.42578125" defaultRowHeight="11.25"/>
  <cols>
    <col min="1" max="1" width="7.85546875" style="128" customWidth="1"/>
    <col min="2" max="2" width="42.42578125" style="128" customWidth="1"/>
    <col min="3" max="3" width="6.7109375" style="188" customWidth="1"/>
    <col min="4" max="5" width="10.7109375" style="161" customWidth="1"/>
    <col min="6" max="6" width="10.7109375" style="162" customWidth="1"/>
    <col min="7" max="7" width="10.7109375" style="128" customWidth="1"/>
    <col min="8" max="8" width="14.42578125" style="127"/>
    <col min="9" max="16384" width="14.42578125" style="128"/>
  </cols>
  <sheetData>
    <row r="1" spans="1:26" ht="12.75" customHeight="1">
      <c r="A1" s="799" t="s">
        <v>2</v>
      </c>
      <c r="B1" s="797" t="s">
        <v>3</v>
      </c>
      <c r="C1" s="797" t="s">
        <v>4</v>
      </c>
      <c r="D1" s="801" t="s">
        <v>75</v>
      </c>
      <c r="E1" s="802" t="s">
        <v>76</v>
      </c>
      <c r="F1" s="803" t="s">
        <v>5</v>
      </c>
      <c r="G1" s="797" t="s">
        <v>6</v>
      </c>
    </row>
    <row r="2" spans="1:26" ht="12.75" customHeight="1">
      <c r="A2" s="798"/>
      <c r="B2" s="798"/>
      <c r="C2" s="800"/>
      <c r="D2" s="801"/>
      <c r="E2" s="802"/>
      <c r="F2" s="804"/>
      <c r="G2" s="798"/>
    </row>
    <row r="3" spans="1:26" ht="11.25" customHeight="1">
      <c r="A3" s="129"/>
      <c r="B3" s="17"/>
      <c r="C3" s="130"/>
      <c r="D3" s="16"/>
      <c r="E3" s="16"/>
      <c r="F3" s="62"/>
      <c r="G3" s="77"/>
    </row>
    <row r="4" spans="1:26" ht="11.25" customHeight="1">
      <c r="A4" s="42" t="s">
        <v>1</v>
      </c>
      <c r="B4" s="43" t="s">
        <v>0</v>
      </c>
      <c r="C4" s="44"/>
      <c r="D4" s="45"/>
      <c r="E4" s="45"/>
      <c r="F4" s="46"/>
      <c r="G4" s="47"/>
    </row>
    <row r="5" spans="1:26" ht="11.25" customHeight="1">
      <c r="A5" s="131"/>
      <c r="B5" s="100"/>
      <c r="C5" s="132"/>
      <c r="D5" s="76"/>
      <c r="E5" s="76"/>
      <c r="F5" s="68"/>
      <c r="G5" s="133"/>
    </row>
    <row r="6" spans="1:26" s="140" customFormat="1" ht="45">
      <c r="A6" s="134"/>
      <c r="B6" s="15" t="s">
        <v>28</v>
      </c>
      <c r="C6" s="135"/>
      <c r="D6" s="136"/>
      <c r="E6" s="137"/>
      <c r="F6" s="70"/>
      <c r="G6" s="138"/>
      <c r="H6" s="139"/>
    </row>
    <row r="7" spans="1:26" s="140" customFormat="1">
      <c r="A7" s="134"/>
      <c r="B7" s="15"/>
      <c r="C7" s="135"/>
      <c r="D7" s="136"/>
      <c r="E7" s="137"/>
      <c r="F7" s="70"/>
      <c r="G7" s="138"/>
      <c r="H7" s="139"/>
    </row>
    <row r="8" spans="1:26" s="57" customFormat="1" ht="11.25" customHeight="1">
      <c r="A8" s="50" t="s">
        <v>7</v>
      </c>
      <c r="B8" s="170" t="s">
        <v>107</v>
      </c>
      <c r="C8" s="51"/>
      <c r="D8" s="52"/>
      <c r="E8" s="53"/>
      <c r="F8" s="54"/>
      <c r="G8" s="55"/>
      <c r="H8" s="56"/>
    </row>
    <row r="9" spans="1:26" s="66" customFormat="1" ht="11.25" customHeight="1">
      <c r="A9" s="58"/>
      <c r="B9" s="59"/>
      <c r="C9" s="60"/>
      <c r="D9" s="61"/>
      <c r="E9" s="16"/>
      <c r="F9" s="62"/>
      <c r="G9" s="63"/>
      <c r="H9" s="64"/>
      <c r="I9" s="65"/>
      <c r="J9" s="65"/>
      <c r="K9" s="65"/>
      <c r="L9" s="65"/>
      <c r="M9" s="65"/>
      <c r="N9" s="65"/>
      <c r="O9" s="65"/>
      <c r="P9" s="65"/>
      <c r="Q9" s="65"/>
      <c r="R9" s="65"/>
      <c r="S9" s="65"/>
      <c r="T9" s="65"/>
      <c r="U9" s="65"/>
      <c r="V9" s="65"/>
      <c r="W9" s="65"/>
      <c r="X9" s="65"/>
      <c r="Y9" s="65"/>
      <c r="Z9" s="65"/>
    </row>
    <row r="10" spans="1:26" s="66" customFormat="1" ht="11.25" customHeight="1">
      <c r="A10" s="58">
        <v>1</v>
      </c>
      <c r="B10" s="12" t="s">
        <v>370</v>
      </c>
      <c r="C10" s="60"/>
      <c r="D10" s="61"/>
      <c r="E10" s="16"/>
      <c r="F10" s="62"/>
      <c r="G10" s="63"/>
      <c r="H10" s="64"/>
      <c r="I10" s="65"/>
      <c r="J10" s="65"/>
      <c r="K10" s="65"/>
      <c r="L10" s="65"/>
      <c r="M10" s="65"/>
      <c r="N10" s="65"/>
      <c r="O10" s="65"/>
      <c r="P10" s="65"/>
      <c r="Q10" s="65"/>
      <c r="R10" s="65"/>
      <c r="S10" s="65"/>
      <c r="T10" s="65"/>
      <c r="U10" s="65"/>
      <c r="V10" s="65"/>
      <c r="W10" s="65"/>
      <c r="X10" s="65"/>
      <c r="Y10" s="65"/>
      <c r="Z10" s="65"/>
    </row>
    <row r="11" spans="1:26" s="66" customFormat="1" ht="67.5">
      <c r="A11" s="196"/>
      <c r="B11" s="169" t="s">
        <v>369</v>
      </c>
      <c r="C11" s="60"/>
      <c r="D11" s="61"/>
      <c r="E11" s="16"/>
      <c r="F11" s="62"/>
      <c r="G11" s="63"/>
      <c r="H11" s="64"/>
      <c r="I11" s="65"/>
      <c r="J11" s="65"/>
      <c r="K11" s="65"/>
      <c r="L11" s="65"/>
      <c r="M11" s="65"/>
      <c r="N11" s="65"/>
      <c r="O11" s="65"/>
      <c r="P11" s="65"/>
      <c r="Q11" s="65"/>
      <c r="R11" s="65"/>
      <c r="S11" s="65"/>
      <c r="T11" s="65"/>
      <c r="U11" s="65"/>
      <c r="V11" s="65"/>
      <c r="W11" s="65"/>
      <c r="X11" s="65"/>
      <c r="Y11" s="65"/>
      <c r="Z11" s="65"/>
    </row>
    <row r="12" spans="1:26" s="66" customFormat="1" ht="33.75">
      <c r="A12" s="196"/>
      <c r="B12" s="169" t="s">
        <v>58</v>
      </c>
      <c r="C12" s="60"/>
      <c r="D12" s="61"/>
      <c r="E12" s="16"/>
      <c r="F12" s="62"/>
      <c r="G12" s="63"/>
      <c r="H12" s="64"/>
      <c r="I12" s="65"/>
      <c r="J12" s="65"/>
      <c r="K12" s="65"/>
      <c r="L12" s="65"/>
      <c r="M12" s="65"/>
      <c r="N12" s="65"/>
      <c r="O12" s="65"/>
      <c r="P12" s="65"/>
      <c r="Q12" s="65"/>
      <c r="R12" s="65"/>
      <c r="S12" s="65"/>
      <c r="T12" s="65"/>
      <c r="U12" s="65"/>
      <c r="V12" s="65"/>
      <c r="W12" s="65"/>
      <c r="X12" s="65"/>
      <c r="Y12" s="65"/>
      <c r="Z12" s="65"/>
    </row>
    <row r="13" spans="1:26" s="66" customFormat="1" ht="56.25">
      <c r="A13" s="196"/>
      <c r="B13" s="169" t="s">
        <v>398</v>
      </c>
      <c r="C13" s="60"/>
      <c r="D13" s="61"/>
      <c r="E13" s="16"/>
      <c r="F13" s="62"/>
      <c r="G13" s="63"/>
      <c r="H13" s="64"/>
      <c r="I13" s="65"/>
      <c r="J13" s="65"/>
      <c r="K13" s="65"/>
      <c r="L13" s="65"/>
      <c r="M13" s="65"/>
      <c r="N13" s="65"/>
      <c r="O13" s="65"/>
      <c r="P13" s="65"/>
      <c r="Q13" s="65"/>
      <c r="R13" s="65"/>
      <c r="S13" s="65"/>
      <c r="T13" s="65"/>
      <c r="U13" s="65"/>
      <c r="V13" s="65"/>
      <c r="W13" s="65"/>
      <c r="X13" s="65"/>
      <c r="Y13" s="65"/>
      <c r="Z13" s="65"/>
    </row>
    <row r="14" spans="1:26" s="66" customFormat="1" ht="11.25" customHeight="1">
      <c r="A14" s="196"/>
      <c r="B14" s="146" t="s">
        <v>59</v>
      </c>
      <c r="C14" s="60" t="s">
        <v>63</v>
      </c>
      <c r="D14" s="61">
        <v>1</v>
      </c>
      <c r="E14" s="16"/>
      <c r="F14" s="74">
        <f>D14*E14</f>
        <v>0</v>
      </c>
      <c r="G14" s="63"/>
      <c r="H14" s="64"/>
      <c r="I14" s="65"/>
      <c r="J14" s="65"/>
      <c r="K14" s="65"/>
      <c r="L14" s="65"/>
      <c r="M14" s="65"/>
      <c r="N14" s="65"/>
      <c r="O14" s="65"/>
      <c r="P14" s="65"/>
      <c r="Q14" s="65"/>
      <c r="R14" s="65"/>
      <c r="S14" s="65"/>
      <c r="T14" s="65"/>
      <c r="U14" s="65"/>
      <c r="V14" s="65"/>
      <c r="W14" s="65"/>
      <c r="X14" s="65"/>
      <c r="Y14" s="65"/>
      <c r="Z14" s="65"/>
    </row>
    <row r="15" spans="1:26" s="57" customFormat="1" ht="11.25" customHeight="1">
      <c r="A15" s="197"/>
      <c r="B15" s="59"/>
      <c r="C15" s="180"/>
      <c r="D15" s="141"/>
      <c r="E15" s="16"/>
      <c r="F15" s="62"/>
      <c r="G15" s="189"/>
      <c r="H15" s="64"/>
      <c r="I15" s="230"/>
      <c r="J15" s="230"/>
      <c r="K15" s="230"/>
      <c r="L15" s="230"/>
      <c r="M15" s="230"/>
      <c r="N15" s="230"/>
      <c r="O15" s="230"/>
      <c r="P15" s="230"/>
      <c r="Q15" s="230"/>
      <c r="R15" s="230"/>
      <c r="S15" s="230"/>
      <c r="T15" s="230"/>
      <c r="U15" s="230"/>
      <c r="V15" s="230"/>
      <c r="W15" s="230"/>
      <c r="X15" s="230"/>
      <c r="Y15" s="230"/>
      <c r="Z15" s="230"/>
    </row>
    <row r="16" spans="1:26" s="57" customFormat="1" ht="11.25" customHeight="1">
      <c r="A16" s="197">
        <f>IF(B16&gt;0,MAX(A$10:A15)+1,"")</f>
        <v>2</v>
      </c>
      <c r="B16" s="231" t="s">
        <v>8</v>
      </c>
      <c r="C16" s="180"/>
      <c r="D16" s="141"/>
      <c r="E16" s="16"/>
      <c r="F16" s="62"/>
      <c r="G16" s="189"/>
      <c r="H16" s="64"/>
      <c r="I16" s="230"/>
      <c r="J16" s="230"/>
      <c r="K16" s="230"/>
      <c r="L16" s="230"/>
      <c r="M16" s="230"/>
      <c r="N16" s="230"/>
      <c r="O16" s="230"/>
      <c r="P16" s="230"/>
      <c r="Q16" s="230"/>
      <c r="R16" s="230"/>
      <c r="S16" s="230"/>
      <c r="T16" s="230"/>
      <c r="U16" s="230"/>
      <c r="V16" s="230"/>
      <c r="W16" s="230"/>
      <c r="X16" s="230"/>
      <c r="Y16" s="230"/>
      <c r="Z16" s="230"/>
    </row>
    <row r="17" spans="1:26" s="57" customFormat="1" ht="90">
      <c r="A17" s="198"/>
      <c r="B17" s="232" t="s">
        <v>50</v>
      </c>
      <c r="C17" s="180"/>
      <c r="D17" s="141"/>
      <c r="E17" s="16"/>
      <c r="F17" s="62"/>
      <c r="G17" s="189"/>
      <c r="H17" s="64"/>
      <c r="I17" s="230"/>
      <c r="J17" s="230"/>
      <c r="K17" s="230"/>
      <c r="L17" s="230"/>
      <c r="M17" s="230"/>
      <c r="N17" s="230"/>
      <c r="O17" s="230"/>
      <c r="P17" s="230"/>
      <c r="Q17" s="230"/>
      <c r="R17" s="230"/>
      <c r="S17" s="230"/>
      <c r="T17" s="230"/>
      <c r="U17" s="230"/>
      <c r="V17" s="230"/>
      <c r="W17" s="230"/>
      <c r="X17" s="230"/>
      <c r="Y17" s="230"/>
      <c r="Z17" s="230"/>
    </row>
    <row r="18" spans="1:26" s="57" customFormat="1" ht="33.75">
      <c r="A18" s="198"/>
      <c r="B18" s="232" t="s">
        <v>29</v>
      </c>
      <c r="C18" s="180"/>
      <c r="D18" s="141"/>
      <c r="E18" s="16"/>
      <c r="F18" s="62"/>
      <c r="G18" s="189"/>
      <c r="H18" s="64"/>
      <c r="I18" s="230"/>
      <c r="J18" s="230"/>
      <c r="K18" s="230"/>
      <c r="L18" s="230"/>
      <c r="M18" s="230"/>
      <c r="N18" s="230"/>
      <c r="O18" s="230"/>
      <c r="P18" s="230"/>
      <c r="Q18" s="230"/>
      <c r="R18" s="230"/>
      <c r="S18" s="230"/>
      <c r="T18" s="230"/>
      <c r="U18" s="230"/>
      <c r="V18" s="230"/>
      <c r="W18" s="230"/>
      <c r="X18" s="230"/>
      <c r="Y18" s="230"/>
      <c r="Z18" s="230"/>
    </row>
    <row r="19" spans="1:26" s="57" customFormat="1" ht="11.25" customHeight="1">
      <c r="A19" s="198"/>
      <c r="B19" s="232" t="s">
        <v>48</v>
      </c>
      <c r="C19" s="180" t="s">
        <v>63</v>
      </c>
      <c r="D19" s="141">
        <v>1</v>
      </c>
      <c r="E19" s="16"/>
      <c r="F19" s="74">
        <f>D19*E19</f>
        <v>0</v>
      </c>
      <c r="G19" s="189"/>
      <c r="H19" s="64"/>
      <c r="I19" s="230"/>
      <c r="J19" s="230"/>
      <c r="K19" s="230"/>
      <c r="L19" s="230"/>
      <c r="M19" s="230"/>
      <c r="N19" s="230"/>
      <c r="O19" s="230"/>
      <c r="P19" s="230"/>
      <c r="Q19" s="230"/>
      <c r="R19" s="230"/>
      <c r="S19" s="230"/>
      <c r="T19" s="230"/>
      <c r="U19" s="230"/>
      <c r="V19" s="230"/>
      <c r="W19" s="230"/>
      <c r="X19" s="230"/>
      <c r="Y19" s="230"/>
      <c r="Z19" s="230"/>
    </row>
    <row r="20" spans="1:26" ht="11.25" customHeight="1">
      <c r="A20" s="129"/>
      <c r="B20" s="17"/>
      <c r="C20" s="130"/>
      <c r="D20" s="16"/>
      <c r="E20" s="16"/>
      <c r="F20" s="62"/>
      <c r="G20" s="77"/>
      <c r="H20" s="64"/>
    </row>
    <row r="21" spans="1:26" s="57" customFormat="1" ht="11.25" customHeight="1">
      <c r="A21" s="197">
        <f>IF(B21&gt;0,MAX(A$10:A20)+1,"")</f>
        <v>3</v>
      </c>
      <c r="B21" s="231" t="s">
        <v>399</v>
      </c>
      <c r="C21" s="180"/>
      <c r="D21" s="141"/>
      <c r="E21" s="16"/>
      <c r="F21" s="62"/>
      <c r="G21" s="189"/>
      <c r="H21" s="64"/>
      <c r="I21" s="230"/>
      <c r="J21" s="230"/>
      <c r="K21" s="230"/>
      <c r="L21" s="230"/>
      <c r="M21" s="230"/>
      <c r="N21" s="230"/>
      <c r="O21" s="230"/>
      <c r="P21" s="230"/>
      <c r="Q21" s="230"/>
      <c r="R21" s="230"/>
      <c r="S21" s="230"/>
      <c r="T21" s="230"/>
      <c r="U21" s="230"/>
      <c r="V21" s="230"/>
      <c r="W21" s="230"/>
      <c r="X21" s="230"/>
      <c r="Y21" s="230"/>
      <c r="Z21" s="230"/>
    </row>
    <row r="22" spans="1:26" s="57" customFormat="1" ht="45">
      <c r="A22" s="198"/>
      <c r="B22" s="232" t="s">
        <v>400</v>
      </c>
      <c r="C22" s="180"/>
      <c r="D22" s="141"/>
      <c r="E22" s="16"/>
      <c r="F22" s="62"/>
      <c r="G22" s="189"/>
      <c r="H22" s="64"/>
      <c r="I22" s="230"/>
      <c r="J22" s="230"/>
      <c r="K22" s="230"/>
      <c r="L22" s="230"/>
      <c r="M22" s="230"/>
      <c r="N22" s="230"/>
      <c r="O22" s="230"/>
      <c r="P22" s="230"/>
      <c r="Q22" s="230"/>
      <c r="R22" s="230"/>
      <c r="S22" s="230"/>
      <c r="T22" s="230"/>
      <c r="U22" s="230"/>
      <c r="V22" s="230"/>
      <c r="W22" s="230"/>
      <c r="X22" s="230"/>
      <c r="Y22" s="230"/>
      <c r="Z22" s="230"/>
    </row>
    <row r="23" spans="1:26" s="57" customFormat="1">
      <c r="A23" s="198"/>
      <c r="B23" s="232" t="s">
        <v>401</v>
      </c>
      <c r="C23" s="180" t="s">
        <v>14</v>
      </c>
      <c r="D23" s="141">
        <v>345</v>
      </c>
      <c r="E23" s="16"/>
      <c r="F23" s="74">
        <f>D23*E23</f>
        <v>0</v>
      </c>
      <c r="G23" s="189"/>
      <c r="H23" s="64"/>
      <c r="I23" s="230"/>
      <c r="J23" s="230"/>
      <c r="K23" s="230"/>
      <c r="L23" s="230"/>
      <c r="M23" s="230"/>
      <c r="N23" s="230"/>
      <c r="O23" s="230"/>
      <c r="P23" s="230"/>
      <c r="Q23" s="230"/>
      <c r="R23" s="230"/>
      <c r="S23" s="230"/>
      <c r="T23" s="230"/>
      <c r="U23" s="230"/>
      <c r="V23" s="230"/>
      <c r="W23" s="230"/>
      <c r="X23" s="230"/>
      <c r="Y23" s="230"/>
      <c r="Z23" s="230"/>
    </row>
    <row r="24" spans="1:26" ht="11.25" customHeight="1">
      <c r="A24" s="129"/>
      <c r="B24" s="17"/>
      <c r="C24" s="130"/>
      <c r="D24" s="16"/>
      <c r="E24" s="16"/>
      <c r="F24" s="62"/>
      <c r="G24" s="77"/>
      <c r="H24" s="64"/>
    </row>
    <row r="25" spans="1:26" s="57" customFormat="1" ht="11.25" customHeight="1">
      <c r="A25" s="199" t="s">
        <v>7</v>
      </c>
      <c r="B25" s="181" t="s">
        <v>23</v>
      </c>
      <c r="C25" s="181"/>
      <c r="D25" s="123"/>
      <c r="E25" s="175"/>
      <c r="F25" s="67">
        <f>SUM(F10:F23)</f>
        <v>0</v>
      </c>
      <c r="G25" s="181"/>
      <c r="H25" s="64"/>
      <c r="I25" s="230"/>
      <c r="J25" s="233"/>
      <c r="K25" s="233"/>
      <c r="L25" s="233"/>
      <c r="M25" s="233"/>
      <c r="N25" s="233"/>
      <c r="O25" s="233"/>
      <c r="P25" s="233"/>
      <c r="Q25" s="233"/>
      <c r="R25" s="233"/>
      <c r="S25" s="233"/>
      <c r="T25" s="233"/>
      <c r="U25" s="233"/>
      <c r="V25" s="233"/>
      <c r="W25" s="233"/>
      <c r="X25" s="233"/>
      <c r="Y25" s="233"/>
      <c r="Z25" s="233"/>
    </row>
    <row r="26" spans="1:26" s="57" customFormat="1" ht="11.25" customHeight="1">
      <c r="A26" s="200"/>
      <c r="B26" s="182"/>
      <c r="C26" s="182"/>
      <c r="D26" s="76"/>
      <c r="E26" s="91"/>
      <c r="F26" s="68"/>
      <c r="G26" s="182"/>
      <c r="H26" s="64"/>
      <c r="I26" s="230"/>
      <c r="J26" s="233"/>
      <c r="K26" s="233"/>
      <c r="L26" s="233"/>
      <c r="M26" s="233"/>
      <c r="N26" s="233"/>
      <c r="O26" s="233"/>
      <c r="P26" s="233"/>
      <c r="Q26" s="233"/>
      <c r="R26" s="233"/>
      <c r="S26" s="233"/>
      <c r="T26" s="233"/>
      <c r="U26" s="233"/>
      <c r="V26" s="233"/>
      <c r="W26" s="233"/>
      <c r="X26" s="233"/>
      <c r="Y26" s="233"/>
      <c r="Z26" s="233"/>
    </row>
    <row r="27" spans="1:26" ht="11.25" customHeight="1">
      <c r="A27" s="201" t="s">
        <v>24</v>
      </c>
      <c r="B27" s="211" t="s">
        <v>9</v>
      </c>
      <c r="C27" s="183"/>
      <c r="D27" s="142"/>
      <c r="E27" s="142"/>
      <c r="F27" s="143"/>
      <c r="G27" s="190"/>
      <c r="H27" s="64"/>
    </row>
    <row r="28" spans="1:26" ht="11.25" customHeight="1">
      <c r="A28" s="145"/>
      <c r="B28" s="17"/>
      <c r="C28" s="130"/>
      <c r="D28" s="16"/>
      <c r="E28" s="16"/>
      <c r="F28" s="62"/>
      <c r="G28" s="77"/>
      <c r="H28" s="64"/>
    </row>
    <row r="29" spans="1:26" ht="33.75">
      <c r="A29" s="145"/>
      <c r="B29" s="17" t="s">
        <v>64</v>
      </c>
      <c r="C29" s="130"/>
      <c r="D29" s="16"/>
      <c r="E29" s="16"/>
      <c r="F29" s="62"/>
      <c r="G29" s="77"/>
      <c r="H29" s="64"/>
    </row>
    <row r="30" spans="1:26" ht="45">
      <c r="A30" s="145"/>
      <c r="B30" s="17" t="s">
        <v>65</v>
      </c>
      <c r="C30" s="130"/>
      <c r="D30" s="16"/>
      <c r="E30" s="16"/>
      <c r="F30" s="62"/>
      <c r="G30" s="77"/>
      <c r="H30" s="64"/>
    </row>
    <row r="31" spans="1:26" ht="33.75">
      <c r="A31" s="145"/>
      <c r="B31" s="17" t="s">
        <v>66</v>
      </c>
      <c r="C31" s="130"/>
      <c r="D31" s="16"/>
      <c r="E31" s="16"/>
      <c r="F31" s="62"/>
      <c r="G31" s="77"/>
      <c r="H31" s="64"/>
    </row>
    <row r="32" spans="1:26" ht="56.25">
      <c r="A32" s="145"/>
      <c r="B32" s="17" t="s">
        <v>67</v>
      </c>
      <c r="C32" s="130"/>
      <c r="D32" s="16"/>
      <c r="E32" s="16"/>
      <c r="F32" s="74"/>
      <c r="G32" s="77"/>
      <c r="H32" s="64"/>
    </row>
    <row r="33" spans="1:8" ht="11.25" customHeight="1">
      <c r="A33" s="145"/>
      <c r="B33" s="17"/>
      <c r="C33" s="130"/>
      <c r="D33" s="16"/>
      <c r="E33" s="16"/>
      <c r="F33" s="74"/>
      <c r="G33" s="77"/>
      <c r="H33" s="64"/>
    </row>
    <row r="34" spans="1:8" ht="11.25" customHeight="1">
      <c r="A34" s="144">
        <f>IF(B34&gt;0,MAX(A$33:A33)+1,"")</f>
        <v>1</v>
      </c>
      <c r="B34" s="100" t="s">
        <v>124</v>
      </c>
      <c r="C34" s="130"/>
      <c r="D34" s="16"/>
      <c r="E34" s="16"/>
      <c r="F34" s="74"/>
      <c r="G34" s="77"/>
      <c r="H34" s="64"/>
    </row>
    <row r="35" spans="1:8" ht="67.5">
      <c r="A35" s="145"/>
      <c r="B35" s="17" t="s">
        <v>371</v>
      </c>
      <c r="C35" s="130"/>
      <c r="D35" s="16"/>
      <c r="E35" s="16"/>
      <c r="F35" s="74"/>
      <c r="G35" s="77"/>
      <c r="H35" s="64"/>
    </row>
    <row r="36" spans="1:8">
      <c r="A36" s="145"/>
      <c r="B36" s="99" t="s">
        <v>129</v>
      </c>
      <c r="C36" s="76"/>
      <c r="D36" s="16"/>
      <c r="E36" s="14"/>
      <c r="F36" s="62"/>
      <c r="G36" s="77"/>
      <c r="H36" s="64"/>
    </row>
    <row r="37" spans="1:8" ht="11.25" customHeight="1">
      <c r="A37" s="145"/>
      <c r="B37" s="17" t="s">
        <v>42</v>
      </c>
      <c r="C37" s="130" t="s">
        <v>15</v>
      </c>
      <c r="D37" s="277">
        <v>82.5</v>
      </c>
      <c r="E37" s="16"/>
      <c r="F37" s="74">
        <f>D37*E37</f>
        <v>0</v>
      </c>
      <c r="G37" s="77"/>
      <c r="H37" s="64"/>
    </row>
    <row r="38" spans="1:8" ht="11.25" customHeight="1">
      <c r="A38" s="145"/>
      <c r="B38" s="17"/>
      <c r="C38" s="130"/>
      <c r="D38" s="16"/>
      <c r="E38" s="16"/>
      <c r="F38" s="74"/>
      <c r="G38" s="77"/>
      <c r="H38" s="64"/>
    </row>
    <row r="39" spans="1:8" ht="11.25" customHeight="1">
      <c r="A39" s="144">
        <f>IF(B39&gt;0,MAX(A$33:A38)+1,"")</f>
        <v>2</v>
      </c>
      <c r="B39" s="100" t="s">
        <v>125</v>
      </c>
      <c r="C39" s="130"/>
      <c r="D39" s="16"/>
      <c r="E39" s="16"/>
      <c r="F39" s="74"/>
      <c r="G39" s="77"/>
      <c r="H39" s="64"/>
    </row>
    <row r="40" spans="1:8" ht="56.25">
      <c r="A40" s="145"/>
      <c r="B40" s="17" t="s">
        <v>359</v>
      </c>
      <c r="C40" s="130"/>
      <c r="D40" s="16"/>
      <c r="E40" s="16"/>
      <c r="F40" s="623"/>
      <c r="G40" s="77"/>
      <c r="H40" s="64"/>
    </row>
    <row r="41" spans="1:8" s="245" customFormat="1">
      <c r="A41" s="246"/>
      <c r="B41" s="247" t="s">
        <v>451</v>
      </c>
      <c r="C41" s="242"/>
      <c r="D41" s="243"/>
      <c r="E41" s="243"/>
      <c r="F41" s="244"/>
      <c r="G41" s="266"/>
    </row>
    <row r="42" spans="1:8" ht="11.25" customHeight="1">
      <c r="A42" s="145"/>
      <c r="B42" s="17" t="s">
        <v>42</v>
      </c>
      <c r="C42" s="130" t="s">
        <v>15</v>
      </c>
      <c r="D42" s="16">
        <v>91.39</v>
      </c>
      <c r="E42" s="16"/>
      <c r="F42" s="74">
        <f>D42*E42</f>
        <v>0</v>
      </c>
      <c r="G42" s="77"/>
      <c r="H42" s="64"/>
    </row>
    <row r="43" spans="1:8" ht="11.25" customHeight="1">
      <c r="A43" s="145"/>
      <c r="B43" s="17"/>
      <c r="C43" s="130"/>
      <c r="D43" s="16"/>
      <c r="E43" s="14"/>
      <c r="F43" s="62"/>
      <c r="G43" s="77"/>
      <c r="H43" s="64"/>
    </row>
    <row r="44" spans="1:8" ht="11.25" customHeight="1">
      <c r="A44" s="144">
        <f>IF(B44&gt;0,MAX(A$33:A43)+1,"")</f>
        <v>3</v>
      </c>
      <c r="B44" s="89" t="s">
        <v>128</v>
      </c>
      <c r="C44" s="76"/>
      <c r="D44" s="14"/>
      <c r="E44" s="14"/>
      <c r="F44" s="62"/>
      <c r="G44" s="146"/>
      <c r="H44" s="64"/>
    </row>
    <row r="45" spans="1:8" ht="112.5">
      <c r="A45" s="145"/>
      <c r="B45" s="99" t="s">
        <v>372</v>
      </c>
      <c r="C45" s="76"/>
      <c r="D45" s="16"/>
      <c r="E45" s="14"/>
      <c r="F45" s="62"/>
      <c r="G45" s="77"/>
      <c r="H45" s="64"/>
    </row>
    <row r="46" spans="1:8">
      <c r="A46" s="145"/>
      <c r="B46" s="99" t="s">
        <v>129</v>
      </c>
      <c r="C46" s="76"/>
      <c r="D46" s="16"/>
      <c r="E46" s="14"/>
      <c r="F46" s="62"/>
      <c r="G46" s="77"/>
      <c r="H46" s="64"/>
    </row>
    <row r="47" spans="1:8" ht="11.25" customHeight="1">
      <c r="A47" s="145"/>
      <c r="B47" s="17" t="s">
        <v>44</v>
      </c>
      <c r="C47" s="130" t="s">
        <v>15</v>
      </c>
      <c r="D47" s="16">
        <v>73.37</v>
      </c>
      <c r="E47" s="14"/>
      <c r="F47" s="74">
        <f>D47*E47</f>
        <v>0</v>
      </c>
      <c r="G47" s="77"/>
      <c r="H47" s="64"/>
    </row>
    <row r="48" spans="1:8" ht="11.25" customHeight="1">
      <c r="A48" s="145"/>
      <c r="B48" s="17"/>
      <c r="C48" s="130"/>
      <c r="D48" s="16"/>
      <c r="E48" s="16"/>
      <c r="F48" s="74"/>
      <c r="G48" s="77"/>
      <c r="H48" s="64"/>
    </row>
    <row r="49" spans="1:9" s="245" customFormat="1" ht="11.25" customHeight="1">
      <c r="A49" s="144">
        <f>IF(B49&gt;0,MAX(A$33:A48)+1,"")</f>
        <v>4</v>
      </c>
      <c r="B49" s="241" t="s">
        <v>378</v>
      </c>
      <c r="C49" s="242"/>
      <c r="D49" s="243"/>
      <c r="E49" s="243"/>
      <c r="F49" s="244"/>
      <c r="G49" s="244"/>
    </row>
    <row r="50" spans="1:9" s="245" customFormat="1" ht="45">
      <c r="A50" s="246"/>
      <c r="B50" s="247" t="s">
        <v>373</v>
      </c>
      <c r="C50" s="242"/>
      <c r="D50" s="243"/>
      <c r="E50" s="243"/>
      <c r="F50" s="244"/>
      <c r="G50" s="248"/>
    </row>
    <row r="51" spans="1:9" s="245" customFormat="1">
      <c r="A51" s="246"/>
      <c r="B51" s="247" t="s">
        <v>451</v>
      </c>
      <c r="C51" s="242"/>
      <c r="D51" s="243"/>
      <c r="E51" s="243"/>
      <c r="F51" s="244"/>
      <c r="G51" s="266"/>
    </row>
    <row r="52" spans="1:9" s="245" customFormat="1" ht="11.25" customHeight="1">
      <c r="A52" s="246"/>
      <c r="B52" s="249" t="s">
        <v>126</v>
      </c>
      <c r="C52" s="243" t="s">
        <v>14</v>
      </c>
      <c r="D52" s="250">
        <v>194.44</v>
      </c>
      <c r="E52" s="243"/>
      <c r="F52" s="251">
        <f>D52*E52</f>
        <v>0</v>
      </c>
      <c r="G52" s="267"/>
    </row>
    <row r="53" spans="1:9" s="258" customFormat="1">
      <c r="A53" s="252"/>
      <c r="B53" s="253"/>
      <c r="C53" s="253"/>
      <c r="D53" s="254"/>
      <c r="E53" s="255"/>
      <c r="F53" s="256"/>
      <c r="G53" s="268"/>
      <c r="H53" s="271"/>
      <c r="I53" s="257"/>
    </row>
    <row r="54" spans="1:9" s="260" customFormat="1" ht="22.5">
      <c r="A54" s="144">
        <f>IF(B54&gt;0,MAX(A$33:A53)+1,"")</f>
        <v>5</v>
      </c>
      <c r="B54" s="238" t="s">
        <v>130</v>
      </c>
      <c r="C54" s="259"/>
      <c r="D54" s="76"/>
      <c r="E54" s="14"/>
      <c r="F54" s="14"/>
      <c r="G54" s="269"/>
      <c r="H54" s="272"/>
      <c r="I54" s="257"/>
    </row>
    <row r="55" spans="1:9" s="260" customFormat="1" ht="45">
      <c r="A55" s="261"/>
      <c r="B55" s="99" t="s">
        <v>133</v>
      </c>
      <c r="C55" s="99"/>
      <c r="D55" s="76"/>
      <c r="E55" s="14"/>
      <c r="F55" s="14"/>
      <c r="G55" s="269"/>
      <c r="H55" s="265"/>
      <c r="I55" s="257"/>
    </row>
    <row r="56" spans="1:9" s="260" customFormat="1" ht="90">
      <c r="A56" s="261"/>
      <c r="B56" s="99" t="s">
        <v>131</v>
      </c>
      <c r="C56" s="99"/>
      <c r="D56" s="16"/>
      <c r="E56" s="14"/>
      <c r="F56" s="14"/>
      <c r="G56" s="269"/>
      <c r="H56" s="265"/>
      <c r="I56" s="257"/>
    </row>
    <row r="57" spans="1:9" s="260" customFormat="1">
      <c r="A57" s="261"/>
      <c r="B57" s="247" t="s">
        <v>451</v>
      </c>
      <c r="C57" s="99"/>
      <c r="D57" s="262"/>
      <c r="E57" s="263"/>
      <c r="F57" s="263"/>
      <c r="G57" s="273"/>
      <c r="H57" s="265"/>
      <c r="I57" s="257"/>
    </row>
    <row r="58" spans="1:9" s="260" customFormat="1">
      <c r="A58" s="261"/>
      <c r="B58" s="17" t="s">
        <v>132</v>
      </c>
      <c r="C58" s="130" t="s">
        <v>15</v>
      </c>
      <c r="D58" s="16">
        <v>48.61</v>
      </c>
      <c r="E58" s="14"/>
      <c r="F58" s="239">
        <f>$D58*E58</f>
        <v>0</v>
      </c>
      <c r="H58" s="265"/>
      <c r="I58" s="257"/>
    </row>
    <row r="59" spans="1:9" s="260" customFormat="1">
      <c r="A59" s="261"/>
      <c r="B59" s="17"/>
      <c r="C59" s="130"/>
      <c r="D59" s="130"/>
      <c r="E59" s="16"/>
      <c r="F59" s="251"/>
      <c r="G59" s="270"/>
      <c r="H59" s="265"/>
      <c r="I59" s="257"/>
    </row>
    <row r="60" spans="1:9" s="260" customFormat="1" ht="22.5">
      <c r="A60" s="144">
        <f>IF(B60&gt;0,MAX(A$33:A59)+1,"")</f>
        <v>6</v>
      </c>
      <c r="B60" s="238" t="s">
        <v>127</v>
      </c>
      <c r="C60" s="259"/>
      <c r="D60" s="76"/>
      <c r="E60" s="14"/>
      <c r="F60" s="14"/>
      <c r="G60" s="269"/>
      <c r="H60" s="272"/>
      <c r="I60" s="257"/>
    </row>
    <row r="61" spans="1:9" s="260" customFormat="1" ht="78.75">
      <c r="A61" s="261"/>
      <c r="B61" s="99" t="s">
        <v>134</v>
      </c>
      <c r="C61" s="99"/>
      <c r="D61" s="16"/>
      <c r="E61" s="14"/>
      <c r="F61" s="14"/>
      <c r="G61" s="269"/>
      <c r="H61" s="265"/>
      <c r="I61" s="257"/>
    </row>
    <row r="62" spans="1:9" s="245" customFormat="1">
      <c r="A62" s="246"/>
      <c r="B62" s="247" t="s">
        <v>451</v>
      </c>
      <c r="C62" s="242"/>
      <c r="D62" s="243"/>
      <c r="E62" s="243"/>
      <c r="F62" s="244"/>
      <c r="G62" s="266"/>
    </row>
    <row r="63" spans="1:9" s="260" customFormat="1">
      <c r="A63" s="261"/>
      <c r="B63" s="17" t="s">
        <v>132</v>
      </c>
      <c r="C63" s="130" t="s">
        <v>15</v>
      </c>
      <c r="D63" s="130">
        <v>29.17</v>
      </c>
      <c r="E63" s="16"/>
      <c r="F63" s="251">
        <f>D63*E63</f>
        <v>0</v>
      </c>
      <c r="G63" s="270"/>
      <c r="H63" s="265"/>
      <c r="I63" s="257"/>
    </row>
    <row r="64" spans="1:9" ht="11.25" customHeight="1">
      <c r="A64" s="145"/>
      <c r="B64" s="17"/>
      <c r="C64" s="130"/>
      <c r="D64" s="16"/>
      <c r="E64" s="14"/>
      <c r="F64" s="74"/>
      <c r="G64" s="168"/>
      <c r="H64" s="64"/>
    </row>
    <row r="65" spans="1:8" ht="11.25" customHeight="1">
      <c r="A65" s="144">
        <f>IF(B65&gt;0,MAX(A$33:A64)+1,"")</f>
        <v>7</v>
      </c>
      <c r="B65" s="89" t="s">
        <v>43</v>
      </c>
      <c r="C65" s="76"/>
      <c r="D65" s="14"/>
      <c r="E65" s="14"/>
      <c r="F65" s="74"/>
      <c r="G65" s="168"/>
      <c r="H65" s="64"/>
    </row>
    <row r="66" spans="1:8" ht="33.75">
      <c r="A66" s="145"/>
      <c r="B66" s="99" t="s">
        <v>105</v>
      </c>
      <c r="C66" s="76"/>
      <c r="D66" s="14"/>
      <c r="E66" s="14"/>
      <c r="F66" s="74"/>
      <c r="G66" s="168"/>
      <c r="H66" s="64"/>
    </row>
    <row r="67" spans="1:8" ht="11.25" customHeight="1">
      <c r="A67" s="145"/>
      <c r="B67" s="17" t="s">
        <v>44</v>
      </c>
      <c r="C67" s="130" t="s">
        <v>15</v>
      </c>
      <c r="D67" s="614">
        <v>9.07</v>
      </c>
      <c r="E67" s="16"/>
      <c r="F67" s="74">
        <f>D67*E67</f>
        <v>0</v>
      </c>
      <c r="G67" s="77"/>
      <c r="H67" s="64"/>
    </row>
    <row r="68" spans="1:8" ht="11.25" customHeight="1">
      <c r="A68" s="145"/>
      <c r="B68" s="17"/>
      <c r="C68" s="130"/>
      <c r="D68" s="16"/>
      <c r="E68" s="16"/>
      <c r="F68" s="74"/>
      <c r="G68" s="77"/>
      <c r="H68" s="64"/>
    </row>
    <row r="69" spans="1:8" ht="11.25" customHeight="1">
      <c r="A69" s="144">
        <f>MAX(A$34:A68)+1</f>
        <v>8</v>
      </c>
      <c r="B69" s="100" t="s">
        <v>103</v>
      </c>
      <c r="C69" s="130"/>
      <c r="D69" s="16"/>
      <c r="E69" s="16"/>
      <c r="F69" s="74"/>
      <c r="G69" s="77"/>
      <c r="H69" s="64"/>
    </row>
    <row r="70" spans="1:8" ht="33.75">
      <c r="A70" s="145"/>
      <c r="B70" s="17" t="s">
        <v>104</v>
      </c>
      <c r="C70" s="130"/>
      <c r="D70" s="16"/>
      <c r="E70" s="16"/>
      <c r="F70" s="74"/>
      <c r="G70" s="77"/>
      <c r="H70" s="64"/>
    </row>
    <row r="71" spans="1:8" ht="11.25" customHeight="1">
      <c r="A71" s="145"/>
      <c r="B71" s="17" t="s">
        <v>42</v>
      </c>
      <c r="C71" s="130" t="s">
        <v>15</v>
      </c>
      <c r="D71" s="614">
        <v>164.82</v>
      </c>
      <c r="E71" s="16"/>
      <c r="F71" s="74">
        <f>D71*E71</f>
        <v>0</v>
      </c>
      <c r="G71" s="77"/>
      <c r="H71" s="64"/>
    </row>
    <row r="72" spans="1:8" ht="11.25" customHeight="1">
      <c r="A72" s="145"/>
      <c r="B72" s="17"/>
      <c r="C72" s="130"/>
      <c r="D72" s="16"/>
      <c r="E72" s="16"/>
      <c r="F72" s="74"/>
      <c r="G72" s="77"/>
      <c r="H72" s="64"/>
    </row>
    <row r="73" spans="1:8" ht="11.25" customHeight="1">
      <c r="A73" s="144">
        <f>MAX(A$34:A72)+1</f>
        <v>9</v>
      </c>
      <c r="B73" s="100" t="s">
        <v>47</v>
      </c>
      <c r="C73" s="130"/>
      <c r="D73" s="16"/>
      <c r="E73" s="16"/>
      <c r="F73" s="74"/>
      <c r="G73" s="77"/>
      <c r="H73" s="64"/>
    </row>
    <row r="74" spans="1:8" ht="56.25">
      <c r="A74" s="145"/>
      <c r="B74" s="17" t="s">
        <v>45</v>
      </c>
      <c r="C74" s="130"/>
      <c r="D74" s="16"/>
      <c r="E74" s="16"/>
      <c r="F74" s="74"/>
      <c r="G74" s="77"/>
      <c r="H74" s="64"/>
    </row>
    <row r="75" spans="1:8" ht="11.25" customHeight="1">
      <c r="A75" s="145"/>
      <c r="B75" s="17" t="s">
        <v>48</v>
      </c>
      <c r="C75" s="147" t="s">
        <v>63</v>
      </c>
      <c r="D75" s="16">
        <v>1</v>
      </c>
      <c r="E75" s="16"/>
      <c r="F75" s="74">
        <f>D75*E75</f>
        <v>0</v>
      </c>
      <c r="G75" s="77"/>
      <c r="H75" s="64"/>
    </row>
    <row r="76" spans="1:8" s="258" customFormat="1" ht="11.25" customHeight="1">
      <c r="A76" s="351"/>
      <c r="B76" s="253"/>
      <c r="C76" s="352"/>
      <c r="D76" s="353"/>
      <c r="E76" s="354"/>
      <c r="F76" s="355"/>
      <c r="G76" s="356"/>
    </row>
    <row r="77" spans="1:8" customFormat="1" ht="11.25" customHeight="1">
      <c r="A77" s="357">
        <v>10</v>
      </c>
      <c r="B77" s="358" t="s">
        <v>199</v>
      </c>
      <c r="C77" s="347"/>
      <c r="D77" s="250"/>
      <c r="E77" s="250"/>
      <c r="F77" s="344"/>
      <c r="G77" s="343"/>
    </row>
    <row r="78" spans="1:8" customFormat="1" ht="45">
      <c r="A78" s="359"/>
      <c r="B78" s="360" t="s">
        <v>200</v>
      </c>
      <c r="C78" s="347"/>
      <c r="D78" s="250"/>
      <c r="E78" s="250"/>
      <c r="F78" s="344"/>
      <c r="G78" s="343"/>
    </row>
    <row r="79" spans="1:8" customFormat="1" ht="11.25" customHeight="1">
      <c r="A79" s="359"/>
      <c r="B79" s="360" t="s">
        <v>132</v>
      </c>
      <c r="C79" s="361" t="s">
        <v>15</v>
      </c>
      <c r="D79" s="277">
        <v>5.52</v>
      </c>
      <c r="E79" s="250"/>
      <c r="F79" s="344">
        <f>D79*E79</f>
        <v>0</v>
      </c>
      <c r="G79" s="343"/>
    </row>
    <row r="80" spans="1:8" s="235" customFormat="1" ht="11.25" customHeight="1">
      <c r="A80" s="202"/>
      <c r="B80" s="234"/>
      <c r="C80" s="184"/>
      <c r="D80" s="148"/>
      <c r="E80" s="176"/>
      <c r="F80" s="149"/>
      <c r="G80" s="191"/>
      <c r="H80" s="64"/>
    </row>
    <row r="81" spans="1:8" ht="11.25" customHeight="1">
      <c r="A81" s="203" t="str">
        <f>A27</f>
        <v>A.02.</v>
      </c>
      <c r="B81" s="177" t="s">
        <v>20</v>
      </c>
      <c r="C81" s="177"/>
      <c r="D81" s="126"/>
      <c r="E81" s="177"/>
      <c r="F81" s="69">
        <f>SUM(F33:F80)</f>
        <v>0</v>
      </c>
      <c r="G81" s="192"/>
      <c r="H81" s="64"/>
    </row>
    <row r="82" spans="1:8" ht="11.25" customHeight="1">
      <c r="A82" s="146"/>
      <c r="B82" s="146"/>
      <c r="C82" s="154"/>
      <c r="D82" s="14"/>
      <c r="E82" s="14"/>
      <c r="F82" s="62"/>
      <c r="G82" s="146"/>
      <c r="H82" s="64"/>
    </row>
    <row r="83" spans="1:8" ht="11.25" customHeight="1">
      <c r="A83" s="201" t="s">
        <v>25</v>
      </c>
      <c r="B83" s="211" t="s">
        <v>10</v>
      </c>
      <c r="C83" s="183"/>
      <c r="D83" s="142"/>
      <c r="E83" s="142"/>
      <c r="F83" s="143"/>
      <c r="G83" s="190"/>
      <c r="H83" s="64"/>
    </row>
    <row r="84" spans="1:8" ht="11.25" customHeight="1">
      <c r="A84" s="150"/>
      <c r="B84" s="99"/>
      <c r="C84" s="16"/>
      <c r="D84" s="14"/>
      <c r="E84" s="16"/>
      <c r="F84" s="62"/>
      <c r="G84" s="77"/>
      <c r="H84" s="64"/>
    </row>
    <row r="85" spans="1:8" s="236" customFormat="1" ht="67.5">
      <c r="A85" s="150"/>
      <c r="B85" s="99" t="s">
        <v>109</v>
      </c>
      <c r="C85" s="16"/>
      <c r="D85" s="14"/>
      <c r="E85" s="16"/>
      <c r="F85" s="62"/>
      <c r="G85" s="77"/>
    </row>
    <row r="86" spans="1:8" s="236" customFormat="1" ht="67.5">
      <c r="A86" s="150"/>
      <c r="B86" s="99" t="s">
        <v>110</v>
      </c>
      <c r="C86" s="16"/>
      <c r="D86" s="14"/>
      <c r="E86" s="16"/>
      <c r="F86" s="62"/>
      <c r="G86" s="77"/>
    </row>
    <row r="87" spans="1:8" s="236" customFormat="1" ht="157.5">
      <c r="A87" s="150"/>
      <c r="B87" s="99" t="s">
        <v>111</v>
      </c>
      <c r="C87" s="16"/>
      <c r="D87" s="14"/>
      <c r="E87" s="16"/>
      <c r="F87" s="62"/>
      <c r="G87" s="77"/>
    </row>
    <row r="88" spans="1:8" s="174" customFormat="1" ht="67.5">
      <c r="A88" s="204"/>
      <c r="B88" s="209" t="s">
        <v>112</v>
      </c>
      <c r="C88" s="185"/>
      <c r="D88" s="186"/>
      <c r="E88" s="178"/>
      <c r="F88" s="193"/>
      <c r="G88" s="194"/>
      <c r="H88" s="173"/>
    </row>
    <row r="89" spans="1:8" s="174" customFormat="1" ht="67.5">
      <c r="A89" s="204"/>
      <c r="B89" s="209" t="s">
        <v>114</v>
      </c>
      <c r="C89" s="185"/>
      <c r="D89" s="186"/>
      <c r="E89" s="178"/>
      <c r="F89" s="193"/>
      <c r="G89" s="194"/>
      <c r="H89" s="173"/>
    </row>
    <row r="90" spans="1:8" s="174" customFormat="1" ht="168.75">
      <c r="A90" s="204"/>
      <c r="B90" s="209" t="s">
        <v>116</v>
      </c>
      <c r="C90" s="185"/>
      <c r="D90" s="186"/>
      <c r="E90" s="178"/>
      <c r="F90" s="193"/>
      <c r="G90" s="194"/>
      <c r="H90" s="173"/>
    </row>
    <row r="91" spans="1:8" s="174" customFormat="1" ht="33.75">
      <c r="A91" s="204"/>
      <c r="B91" s="209" t="s">
        <v>113</v>
      </c>
      <c r="C91" s="185"/>
      <c r="D91" s="186"/>
      <c r="E91" s="178"/>
      <c r="F91" s="193"/>
      <c r="G91" s="194"/>
      <c r="H91" s="173"/>
    </row>
    <row r="92" spans="1:8" s="287" customFormat="1" ht="213.75">
      <c r="A92" s="150"/>
      <c r="B92" s="760" t="s">
        <v>492</v>
      </c>
      <c r="C92" s="298"/>
      <c r="D92" s="291"/>
      <c r="E92" s="291"/>
      <c r="F92" s="759"/>
      <c r="G92" s="292"/>
      <c r="H92" s="286"/>
    </row>
    <row r="93" spans="1:8" s="174" customFormat="1" ht="22.5">
      <c r="A93" s="204"/>
      <c r="B93" s="209" t="s">
        <v>115</v>
      </c>
      <c r="C93" s="185"/>
      <c r="D93" s="186"/>
      <c r="E93" s="178"/>
      <c r="F93" s="193"/>
      <c r="G93" s="194"/>
      <c r="H93" s="173"/>
    </row>
    <row r="94" spans="1:8" ht="11.25" customHeight="1">
      <c r="A94" s="150"/>
      <c r="B94" s="99"/>
      <c r="C94" s="16"/>
      <c r="D94" s="14"/>
      <c r="E94" s="16"/>
      <c r="F94" s="62"/>
      <c r="G94" s="77"/>
      <c r="H94" s="64"/>
    </row>
    <row r="95" spans="1:8" ht="11.25" customHeight="1">
      <c r="A95" s="150"/>
      <c r="B95" s="100" t="s">
        <v>93</v>
      </c>
      <c r="C95" s="130"/>
      <c r="D95" s="16"/>
      <c r="E95" s="16"/>
      <c r="F95" s="70"/>
      <c r="G95" s="77"/>
      <c r="H95" s="64"/>
    </row>
    <row r="96" spans="1:8" ht="11.25" customHeight="1">
      <c r="A96" s="150"/>
      <c r="B96" s="17"/>
      <c r="C96" s="130"/>
      <c r="D96" s="16"/>
      <c r="E96" s="16"/>
      <c r="F96" s="70"/>
      <c r="G96" s="77"/>
      <c r="H96" s="64"/>
    </row>
    <row r="97" spans="1:8" ht="11.25" customHeight="1">
      <c r="A97" s="151">
        <v>1</v>
      </c>
      <c r="B97" s="83" t="s">
        <v>77</v>
      </c>
      <c r="C97" s="130"/>
      <c r="D97" s="16"/>
      <c r="E97" s="16"/>
      <c r="F97" s="70"/>
      <c r="G97" s="77"/>
      <c r="H97" s="64"/>
    </row>
    <row r="98" spans="1:8" ht="67.5">
      <c r="A98" s="150"/>
      <c r="B98" s="48" t="s">
        <v>78</v>
      </c>
      <c r="C98" s="130"/>
      <c r="D98" s="16"/>
      <c r="E98" s="16"/>
      <c r="F98" s="70"/>
      <c r="G98" s="77"/>
      <c r="H98" s="64"/>
    </row>
    <row r="99" spans="1:8">
      <c r="A99" s="150"/>
      <c r="B99" s="290" t="s">
        <v>143</v>
      </c>
      <c r="C99" s="130"/>
      <c r="D99" s="16"/>
      <c r="E99" s="16"/>
      <c r="F99" s="70"/>
      <c r="G99" s="77"/>
      <c r="H99" s="64"/>
    </row>
    <row r="100" spans="1:8" ht="11.25" customHeight="1">
      <c r="A100" s="150"/>
      <c r="B100" s="48" t="s">
        <v>13</v>
      </c>
      <c r="C100" s="14" t="s">
        <v>14</v>
      </c>
      <c r="D100" s="14">
        <v>244.57</v>
      </c>
      <c r="E100" s="16"/>
      <c r="F100" s="70">
        <f>D100*E100</f>
        <v>0</v>
      </c>
      <c r="G100" s="77"/>
      <c r="H100" s="64"/>
    </row>
    <row r="101" spans="1:8" ht="11.25" customHeight="1">
      <c r="A101" s="150"/>
      <c r="B101" s="48"/>
      <c r="C101" s="14"/>
      <c r="D101" s="14"/>
      <c r="E101" s="16"/>
      <c r="F101" s="70"/>
      <c r="G101" s="77"/>
      <c r="H101" s="64"/>
    </row>
    <row r="102" spans="1:8" ht="11.25" customHeight="1">
      <c r="A102" s="151">
        <f>IF(B102&gt;0,MAX(A$97:A101)+1,"")</f>
        <v>2</v>
      </c>
      <c r="B102" s="83" t="s">
        <v>51</v>
      </c>
      <c r="C102" s="130"/>
      <c r="D102" s="16"/>
      <c r="E102" s="16"/>
      <c r="F102" s="70"/>
      <c r="G102" s="77"/>
      <c r="H102" s="64"/>
    </row>
    <row r="103" spans="1:8" ht="56.25">
      <c r="A103" s="150"/>
      <c r="B103" s="48" t="s">
        <v>79</v>
      </c>
      <c r="C103" s="130"/>
      <c r="D103" s="16"/>
      <c r="E103" s="16"/>
      <c r="F103" s="70"/>
      <c r="G103" s="77"/>
      <c r="H103" s="64"/>
    </row>
    <row r="104" spans="1:8">
      <c r="A104" s="150"/>
      <c r="B104" s="290" t="s">
        <v>143</v>
      </c>
      <c r="C104" s="130"/>
      <c r="D104" s="16"/>
      <c r="E104" s="16"/>
      <c r="F104" s="70"/>
      <c r="G104" s="77"/>
      <c r="H104" s="64"/>
    </row>
    <row r="105" spans="1:8" ht="11.25" customHeight="1">
      <c r="A105" s="150"/>
      <c r="B105" s="48" t="s">
        <v>13</v>
      </c>
      <c r="C105" s="14" t="s">
        <v>14</v>
      </c>
      <c r="D105" s="14">
        <v>234.36</v>
      </c>
      <c r="E105" s="16"/>
      <c r="F105" s="70">
        <f>D105*E105</f>
        <v>0</v>
      </c>
      <c r="G105" s="77"/>
      <c r="H105" s="64"/>
    </row>
    <row r="106" spans="1:8" ht="11.25" customHeight="1">
      <c r="A106" s="150"/>
      <c r="B106" s="83"/>
      <c r="C106" s="76"/>
      <c r="D106" s="14"/>
      <c r="E106" s="16"/>
      <c r="F106" s="70"/>
      <c r="G106" s="77"/>
      <c r="H106" s="64"/>
    </row>
    <row r="107" spans="1:8" ht="11.25" customHeight="1">
      <c r="A107" s="151">
        <f>IF(B107&gt;0,MAX(A$97:A106)+1,"")</f>
        <v>3</v>
      </c>
      <c r="B107" s="238" t="s">
        <v>166</v>
      </c>
      <c r="C107" s="130"/>
      <c r="D107" s="16"/>
      <c r="E107" s="16"/>
      <c r="F107" s="70"/>
      <c r="G107" s="77"/>
      <c r="H107" s="64"/>
    </row>
    <row r="108" spans="1:8" ht="56.25">
      <c r="A108" s="151"/>
      <c r="B108" s="290" t="s">
        <v>374</v>
      </c>
      <c r="C108" s="130"/>
      <c r="D108" s="16"/>
      <c r="E108" s="16"/>
      <c r="F108" s="70"/>
      <c r="G108" s="77"/>
      <c r="H108" s="64"/>
    </row>
    <row r="109" spans="1:8">
      <c r="A109" s="150"/>
      <c r="B109" s="290" t="s">
        <v>470</v>
      </c>
      <c r="C109" s="130"/>
      <c r="D109" s="16"/>
      <c r="E109" s="16"/>
      <c r="F109" s="70"/>
      <c r="G109" s="77"/>
      <c r="H109" s="64"/>
    </row>
    <row r="110" spans="1:8" ht="11.25" customHeight="1">
      <c r="A110" s="150"/>
      <c r="B110" s="290" t="s">
        <v>13</v>
      </c>
      <c r="C110" s="14" t="s">
        <v>14</v>
      </c>
      <c r="D110" s="700">
        <v>80.64</v>
      </c>
      <c r="E110" s="614"/>
      <c r="F110" s="70">
        <f>D110*E110</f>
        <v>0</v>
      </c>
      <c r="G110" s="702"/>
      <c r="H110" s="64"/>
    </row>
    <row r="111" spans="1:8" ht="11.25" customHeight="1">
      <c r="A111" s="150"/>
      <c r="B111" s="83"/>
      <c r="C111" s="76"/>
      <c r="D111" s="14"/>
      <c r="E111" s="16"/>
      <c r="F111" s="70"/>
      <c r="G111" s="77"/>
      <c r="H111" s="64"/>
    </row>
    <row r="112" spans="1:8" ht="11.25" customHeight="1">
      <c r="A112" s="150"/>
      <c r="B112" s="100" t="s">
        <v>30</v>
      </c>
      <c r="C112" s="130"/>
      <c r="D112" s="16"/>
      <c r="E112" s="16"/>
      <c r="F112" s="70"/>
      <c r="G112" s="77"/>
      <c r="H112" s="64"/>
    </row>
    <row r="113" spans="1:8" ht="11.25" customHeight="1">
      <c r="A113" s="150"/>
      <c r="B113" s="17"/>
      <c r="C113" s="130"/>
      <c r="D113" s="16"/>
      <c r="E113" s="16"/>
      <c r="F113" s="70"/>
      <c r="G113" s="77"/>
      <c r="H113" s="64"/>
    </row>
    <row r="114" spans="1:8" ht="11.25" customHeight="1">
      <c r="A114" s="151">
        <f>IF(B114&gt;0,MAX(A$97:A113)+1,"")</f>
        <v>4</v>
      </c>
      <c r="B114" s="89" t="s">
        <v>135</v>
      </c>
      <c r="C114" s="76"/>
      <c r="D114" s="14"/>
      <c r="E114" s="16"/>
      <c r="F114" s="70"/>
      <c r="G114" s="77"/>
      <c r="H114" s="64"/>
    </row>
    <row r="115" spans="1:8" ht="45">
      <c r="A115" s="150"/>
      <c r="B115" s="48" t="s">
        <v>367</v>
      </c>
      <c r="C115" s="76"/>
      <c r="D115" s="14"/>
      <c r="E115" s="16"/>
      <c r="F115" s="70"/>
      <c r="G115" s="77"/>
      <c r="H115" s="64"/>
    </row>
    <row r="116" spans="1:8">
      <c r="A116" s="150"/>
      <c r="B116" s="290" t="s">
        <v>143</v>
      </c>
      <c r="C116" s="130"/>
      <c r="D116" s="16"/>
      <c r="E116" s="16"/>
      <c r="F116" s="70"/>
      <c r="G116" s="77"/>
      <c r="H116" s="64"/>
    </row>
    <row r="117" spans="1:8" ht="11.25" customHeight="1">
      <c r="A117" s="150"/>
      <c r="B117" s="48" t="s">
        <v>18</v>
      </c>
      <c r="C117" s="14"/>
      <c r="D117" s="14"/>
      <c r="E117" s="16"/>
      <c r="F117" s="70"/>
      <c r="G117" s="77"/>
      <c r="H117" s="64"/>
    </row>
    <row r="118" spans="1:8" ht="11.25" customHeight="1">
      <c r="A118" s="150"/>
      <c r="B118" s="99" t="s">
        <v>80</v>
      </c>
      <c r="C118" s="14" t="s">
        <v>15</v>
      </c>
      <c r="D118" s="14">
        <v>93.74</v>
      </c>
      <c r="E118" s="16"/>
      <c r="F118" s="70">
        <f>D118*E118</f>
        <v>0</v>
      </c>
      <c r="G118" s="77"/>
      <c r="H118" s="64"/>
    </row>
    <row r="119" spans="1:8" ht="11.25" customHeight="1">
      <c r="A119" s="150"/>
      <c r="B119" s="99" t="s">
        <v>81</v>
      </c>
      <c r="C119" s="14" t="s">
        <v>14</v>
      </c>
      <c r="D119" s="14">
        <v>28.96</v>
      </c>
      <c r="E119" s="16"/>
      <c r="F119" s="70">
        <f>D119*E119</f>
        <v>0</v>
      </c>
      <c r="G119" s="77"/>
      <c r="H119" s="64"/>
    </row>
    <row r="120" spans="1:8" ht="11.25" customHeight="1">
      <c r="A120" s="150"/>
      <c r="B120" s="17"/>
      <c r="C120" s="130"/>
      <c r="D120" s="16"/>
      <c r="E120" s="16"/>
      <c r="F120" s="70"/>
      <c r="G120" s="77"/>
      <c r="H120" s="64"/>
    </row>
    <row r="121" spans="1:8" ht="11.25" customHeight="1">
      <c r="A121" s="151">
        <f>IF(B121&gt;0,MAX(A$97:A120)+1,"")</f>
        <v>5</v>
      </c>
      <c r="B121" s="89" t="s">
        <v>136</v>
      </c>
      <c r="C121" s="76"/>
      <c r="D121" s="14"/>
      <c r="E121" s="16"/>
      <c r="F121" s="70"/>
      <c r="G121" s="77"/>
      <c r="H121" s="64"/>
    </row>
    <row r="122" spans="1:8" ht="67.5">
      <c r="A122" s="150"/>
      <c r="B122" s="48" t="s">
        <v>201</v>
      </c>
      <c r="C122" s="76"/>
      <c r="D122" s="14"/>
      <c r="E122" s="16"/>
      <c r="F122" s="70"/>
      <c r="G122" s="77"/>
      <c r="H122" s="64"/>
    </row>
    <row r="123" spans="1:8">
      <c r="A123" s="150"/>
      <c r="B123" s="290" t="s">
        <v>375</v>
      </c>
      <c r="C123" s="130"/>
      <c r="D123" s="16"/>
      <c r="E123" s="16"/>
      <c r="F123" s="70"/>
      <c r="G123" s="77"/>
      <c r="H123" s="64"/>
    </row>
    <row r="124" spans="1:8" ht="11.25" customHeight="1">
      <c r="A124" s="150"/>
      <c r="B124" s="48" t="s">
        <v>18</v>
      </c>
      <c r="C124" s="14"/>
      <c r="D124" s="14"/>
      <c r="E124" s="16"/>
      <c r="F124" s="70"/>
      <c r="G124" s="77"/>
      <c r="H124" s="64"/>
    </row>
    <row r="125" spans="1:8" ht="11.25" customHeight="1">
      <c r="A125" s="150"/>
      <c r="B125" s="99" t="s">
        <v>80</v>
      </c>
      <c r="C125" s="14" t="s">
        <v>15</v>
      </c>
      <c r="D125" s="14">
        <v>69.23</v>
      </c>
      <c r="E125" s="16"/>
      <c r="F125" s="70">
        <f>D125*E125</f>
        <v>0</v>
      </c>
      <c r="G125" s="77"/>
      <c r="H125" s="64"/>
    </row>
    <row r="126" spans="1:8" ht="11.25" customHeight="1">
      <c r="A126" s="150"/>
      <c r="B126" s="99" t="s">
        <v>81</v>
      </c>
      <c r="C126" s="14" t="s">
        <v>14</v>
      </c>
      <c r="D126" s="14">
        <v>306.45999999999998</v>
      </c>
      <c r="E126" s="16"/>
      <c r="F126" s="70">
        <f>D126*E126</f>
        <v>0</v>
      </c>
      <c r="G126" s="77"/>
      <c r="H126" s="64"/>
    </row>
    <row r="127" spans="1:8" ht="11.25" customHeight="1">
      <c r="A127" s="150"/>
      <c r="B127" s="17"/>
      <c r="C127" s="130"/>
      <c r="D127" s="16"/>
      <c r="E127" s="16"/>
      <c r="F127" s="70"/>
      <c r="G127" s="77"/>
      <c r="H127" s="64"/>
    </row>
    <row r="128" spans="1:8" ht="11.25" customHeight="1">
      <c r="A128" s="151">
        <f>IF(B128&gt;0,MAX(A$97:A127)+1,"")</f>
        <v>6</v>
      </c>
      <c r="B128" s="89" t="s">
        <v>362</v>
      </c>
      <c r="C128" s="76"/>
      <c r="D128" s="14"/>
      <c r="E128" s="16"/>
      <c r="F128" s="70"/>
      <c r="G128" s="77"/>
      <c r="H128" s="64"/>
    </row>
    <row r="129" spans="1:8" ht="67.5">
      <c r="A129" s="150"/>
      <c r="B129" s="48" t="s">
        <v>379</v>
      </c>
      <c r="C129" s="76"/>
      <c r="D129" s="14"/>
      <c r="E129" s="16"/>
      <c r="F129" s="70"/>
      <c r="G129" s="77"/>
      <c r="H129" s="64"/>
    </row>
    <row r="130" spans="1:8" ht="11.25" customHeight="1">
      <c r="A130" s="150"/>
      <c r="B130" s="48" t="s">
        <v>18</v>
      </c>
      <c r="C130" s="14"/>
      <c r="D130" s="14"/>
      <c r="E130" s="16"/>
      <c r="F130" s="70"/>
      <c r="G130" s="77"/>
      <c r="H130" s="64"/>
    </row>
    <row r="131" spans="1:8" ht="11.25" customHeight="1">
      <c r="A131" s="150"/>
      <c r="B131" s="99" t="s">
        <v>80</v>
      </c>
      <c r="C131" s="14" t="s">
        <v>15</v>
      </c>
      <c r="D131" s="14">
        <v>3.67</v>
      </c>
      <c r="E131" s="16"/>
      <c r="F131" s="70">
        <f>D131*E131</f>
        <v>0</v>
      </c>
      <c r="G131" s="77"/>
      <c r="H131" s="64"/>
    </row>
    <row r="132" spans="1:8" ht="11.25" customHeight="1">
      <c r="A132" s="150"/>
      <c r="B132" s="99" t="s">
        <v>81</v>
      </c>
      <c r="C132" s="14" t="s">
        <v>14</v>
      </c>
      <c r="D132" s="14">
        <v>3.52</v>
      </c>
      <c r="E132" s="16"/>
      <c r="F132" s="70">
        <f>D132*E132</f>
        <v>0</v>
      </c>
      <c r="G132" s="77"/>
      <c r="H132" s="64"/>
    </row>
    <row r="133" spans="1:8" ht="11.25" customHeight="1">
      <c r="A133" s="150"/>
      <c r="B133" s="83"/>
      <c r="C133" s="76"/>
      <c r="D133" s="14"/>
      <c r="E133" s="16"/>
      <c r="F133" s="70"/>
      <c r="G133" s="77"/>
      <c r="H133" s="64"/>
    </row>
    <row r="134" spans="1:8" ht="11.25" customHeight="1">
      <c r="A134" s="150"/>
      <c r="B134" s="100" t="s">
        <v>137</v>
      </c>
      <c r="C134" s="130"/>
      <c r="D134" s="16"/>
      <c r="E134" s="16"/>
      <c r="F134" s="70"/>
      <c r="G134" s="77"/>
      <c r="H134" s="64"/>
    </row>
    <row r="135" spans="1:8" ht="11.25" customHeight="1">
      <c r="A135" s="150"/>
      <c r="B135" s="83"/>
      <c r="C135" s="76"/>
      <c r="D135" s="14"/>
      <c r="E135" s="16"/>
      <c r="F135" s="70"/>
      <c r="G135" s="77"/>
      <c r="H135" s="64"/>
    </row>
    <row r="136" spans="1:8" ht="11.25" customHeight="1">
      <c r="A136" s="151">
        <f>IF(B136&gt;0,MAX(A$97:A135)+1,"")</f>
        <v>7</v>
      </c>
      <c r="B136" s="89" t="s">
        <v>57</v>
      </c>
      <c r="C136" s="76"/>
      <c r="D136" s="14"/>
      <c r="E136" s="16"/>
      <c r="F136" s="70"/>
      <c r="G136" s="77"/>
      <c r="H136" s="64"/>
    </row>
    <row r="137" spans="1:8" ht="45">
      <c r="A137" s="150"/>
      <c r="B137" s="213" t="s">
        <v>82</v>
      </c>
      <c r="C137" s="130"/>
      <c r="D137" s="16"/>
      <c r="E137" s="16"/>
      <c r="F137" s="70"/>
      <c r="G137" s="77"/>
      <c r="H137" s="64"/>
    </row>
    <row r="138" spans="1:8">
      <c r="A138" s="150"/>
      <c r="B138" s="290" t="s">
        <v>376</v>
      </c>
      <c r="C138" s="130"/>
      <c r="D138" s="16"/>
      <c r="E138" s="16"/>
      <c r="F138" s="70"/>
      <c r="G138" s="77"/>
      <c r="H138" s="64"/>
    </row>
    <row r="139" spans="1:8" ht="11.25" customHeight="1">
      <c r="A139" s="150"/>
      <c r="B139" s="48" t="s">
        <v>18</v>
      </c>
      <c r="C139" s="76"/>
      <c r="D139" s="14"/>
      <c r="E139" s="14"/>
      <c r="F139" s="70"/>
      <c r="G139" s="77"/>
      <c r="H139" s="64"/>
    </row>
    <row r="140" spans="1:8" ht="11.25" customHeight="1">
      <c r="A140" s="150"/>
      <c r="B140" s="99" t="s">
        <v>80</v>
      </c>
      <c r="C140" s="14" t="s">
        <v>15</v>
      </c>
      <c r="D140" s="14">
        <v>74.010000000000005</v>
      </c>
      <c r="E140" s="16"/>
      <c r="F140" s="70">
        <f>D140*E140</f>
        <v>0</v>
      </c>
      <c r="G140" s="77"/>
      <c r="H140" s="64"/>
    </row>
    <row r="141" spans="1:8" ht="11.25" customHeight="1">
      <c r="A141" s="150"/>
      <c r="B141" s="99" t="s">
        <v>81</v>
      </c>
      <c r="C141" s="14" t="s">
        <v>14</v>
      </c>
      <c r="D141" s="14">
        <v>763.61</v>
      </c>
      <c r="E141" s="16"/>
      <c r="F141" s="70">
        <f>D141*E141</f>
        <v>0</v>
      </c>
      <c r="G141" s="195"/>
      <c r="H141" s="64"/>
    </row>
    <row r="142" spans="1:8" ht="11.25" customHeight="1">
      <c r="A142" s="150"/>
      <c r="B142" s="83"/>
      <c r="C142" s="76"/>
      <c r="D142" s="14"/>
      <c r="E142" s="16"/>
      <c r="F142" s="70"/>
      <c r="G142" s="77"/>
      <c r="H142" s="64"/>
    </row>
    <row r="143" spans="1:8" ht="11.25" customHeight="1">
      <c r="A143" s="151">
        <f>IF(B143&gt;0,MAX(A$97:A142)+1,"")</f>
        <v>8</v>
      </c>
      <c r="B143" s="89" t="s">
        <v>94</v>
      </c>
      <c r="C143" s="76"/>
      <c r="D143" s="14"/>
      <c r="E143" s="16"/>
      <c r="F143" s="70"/>
      <c r="G143" s="77"/>
      <c r="H143" s="64"/>
    </row>
    <row r="144" spans="1:8" ht="56.25">
      <c r="A144" s="150"/>
      <c r="B144" s="213" t="s">
        <v>377</v>
      </c>
      <c r="C144" s="130"/>
      <c r="D144" s="16"/>
      <c r="E144" s="16"/>
      <c r="F144" s="70"/>
      <c r="G144" s="77"/>
      <c r="H144" s="64"/>
    </row>
    <row r="145" spans="1:8" ht="11.25" customHeight="1">
      <c r="A145" s="150"/>
      <c r="B145" s="48" t="s">
        <v>18</v>
      </c>
      <c r="C145" s="76"/>
      <c r="D145" s="14"/>
      <c r="E145" s="14"/>
      <c r="F145" s="70"/>
      <c r="G145" s="77"/>
      <c r="H145" s="64"/>
    </row>
    <row r="146" spans="1:8" ht="11.25" customHeight="1">
      <c r="A146" s="150"/>
      <c r="B146" s="99" t="s">
        <v>80</v>
      </c>
      <c r="C146" s="14" t="s">
        <v>15</v>
      </c>
      <c r="D146" s="14">
        <v>11.88</v>
      </c>
      <c r="E146" s="16"/>
      <c r="F146" s="70">
        <f>D146*E146</f>
        <v>0</v>
      </c>
      <c r="G146" s="77"/>
      <c r="H146" s="64"/>
    </row>
    <row r="147" spans="1:8" ht="11.25" customHeight="1">
      <c r="A147" s="150"/>
      <c r="B147" s="99" t="s">
        <v>81</v>
      </c>
      <c r="C147" s="14" t="s">
        <v>14</v>
      </c>
      <c r="D147" s="14">
        <v>118.77</v>
      </c>
      <c r="E147" s="16"/>
      <c r="F147" s="70">
        <f>D147*E147</f>
        <v>0</v>
      </c>
      <c r="G147" s="195"/>
      <c r="H147" s="64"/>
    </row>
    <row r="148" spans="1:8" ht="11.25" customHeight="1">
      <c r="A148" s="150"/>
      <c r="B148" s="83"/>
      <c r="C148" s="76"/>
      <c r="D148" s="14"/>
      <c r="E148" s="16"/>
      <c r="F148" s="70"/>
      <c r="G148" s="77"/>
      <c r="H148" s="64"/>
    </row>
    <row r="149" spans="1:8" ht="11.25" customHeight="1">
      <c r="A149" s="151">
        <f>IF(B149&gt;0,MAX(A$97:A148)+1,"")</f>
        <v>9</v>
      </c>
      <c r="B149" s="89" t="s">
        <v>360</v>
      </c>
      <c r="C149" s="76"/>
      <c r="D149" s="14"/>
      <c r="E149" s="16"/>
      <c r="F149" s="70"/>
      <c r="G149" s="77"/>
      <c r="H149" s="64"/>
    </row>
    <row r="150" spans="1:8" ht="45">
      <c r="A150" s="150"/>
      <c r="B150" s="213" t="s">
        <v>361</v>
      </c>
      <c r="C150" s="130"/>
      <c r="D150" s="16"/>
      <c r="E150" s="16"/>
      <c r="F150" s="70"/>
      <c r="G150" s="77"/>
      <c r="H150" s="64"/>
    </row>
    <row r="151" spans="1:8" ht="11.25" customHeight="1">
      <c r="A151" s="150"/>
      <c r="B151" s="48" t="s">
        <v>18</v>
      </c>
      <c r="C151" s="76"/>
      <c r="D151" s="14"/>
      <c r="E151" s="14"/>
      <c r="F151" s="70"/>
      <c r="G151" s="77"/>
      <c r="H151" s="64"/>
    </row>
    <row r="152" spans="1:8" ht="11.25" customHeight="1">
      <c r="A152" s="150"/>
      <c r="B152" s="99" t="s">
        <v>80</v>
      </c>
      <c r="C152" s="14" t="s">
        <v>15</v>
      </c>
      <c r="D152" s="700">
        <v>4.03</v>
      </c>
      <c r="E152" s="16"/>
      <c r="F152" s="70">
        <f>D152*E152</f>
        <v>0</v>
      </c>
      <c r="G152" s="77"/>
      <c r="H152" s="64"/>
    </row>
    <row r="153" spans="1:8" ht="11.25" customHeight="1">
      <c r="A153" s="150"/>
      <c r="B153" s="99" t="s">
        <v>81</v>
      </c>
      <c r="C153" s="14" t="s">
        <v>14</v>
      </c>
      <c r="D153" s="700">
        <v>40.32</v>
      </c>
      <c r="E153" s="16"/>
      <c r="F153" s="70">
        <f>D153*E153</f>
        <v>0</v>
      </c>
      <c r="G153" s="195"/>
      <c r="H153" s="64"/>
    </row>
    <row r="154" spans="1:8" ht="11.25" customHeight="1">
      <c r="A154" s="150"/>
      <c r="B154" s="99"/>
      <c r="C154" s="14"/>
      <c r="D154" s="14"/>
      <c r="E154" s="16"/>
      <c r="F154" s="70"/>
      <c r="G154" s="195"/>
      <c r="H154" s="64"/>
    </row>
    <row r="155" spans="1:8" ht="11.25" customHeight="1">
      <c r="A155" s="752"/>
      <c r="B155" s="756" t="s">
        <v>487</v>
      </c>
      <c r="C155" s="706"/>
      <c r="D155" s="700"/>
      <c r="E155" s="614"/>
      <c r="F155" s="701"/>
      <c r="G155" s="702"/>
      <c r="H155" s="64"/>
    </row>
    <row r="156" spans="1:8" ht="11.25" customHeight="1">
      <c r="A156" s="752"/>
      <c r="B156" s="756"/>
      <c r="C156" s="706"/>
      <c r="D156" s="700"/>
      <c r="E156" s="614"/>
      <c r="F156" s="701"/>
      <c r="G156" s="702"/>
      <c r="H156" s="64"/>
    </row>
    <row r="157" spans="1:8" ht="11.25" customHeight="1">
      <c r="A157" s="751">
        <f>IF(B157&gt;0,MAX(A$97:A156)+1,"")</f>
        <v>10</v>
      </c>
      <c r="B157" s="705" t="s">
        <v>488</v>
      </c>
      <c r="C157" s="706"/>
      <c r="D157" s="700"/>
      <c r="E157" s="614"/>
      <c r="F157" s="701"/>
      <c r="G157" s="702"/>
      <c r="H157" s="64"/>
    </row>
    <row r="158" spans="1:8" ht="56.25">
      <c r="A158" s="752"/>
      <c r="B158" s="753" t="s">
        <v>493</v>
      </c>
      <c r="C158" s="704"/>
      <c r="D158" s="614"/>
      <c r="E158" s="614"/>
      <c r="F158" s="701"/>
      <c r="G158" s="702"/>
      <c r="H158" s="64"/>
    </row>
    <row r="159" spans="1:8" ht="11.25" customHeight="1">
      <c r="A159" s="752"/>
      <c r="B159" s="703" t="s">
        <v>18</v>
      </c>
      <c r="C159" s="706"/>
      <c r="D159" s="700"/>
      <c r="E159" s="700"/>
      <c r="F159" s="701"/>
      <c r="G159" s="702"/>
      <c r="H159" s="64"/>
    </row>
    <row r="160" spans="1:8" ht="11.25" customHeight="1">
      <c r="A160" s="752"/>
      <c r="B160" s="703" t="s">
        <v>490</v>
      </c>
      <c r="C160" s="706"/>
      <c r="D160" s="700"/>
      <c r="E160" s="700"/>
      <c r="F160" s="701"/>
      <c r="G160" s="702"/>
      <c r="H160" s="64"/>
    </row>
    <row r="161" spans="1:8" ht="11.25" customHeight="1">
      <c r="A161" s="752"/>
      <c r="B161" s="754" t="s">
        <v>80</v>
      </c>
      <c r="C161" s="700" t="s">
        <v>15</v>
      </c>
      <c r="D161" s="700">
        <v>1.08</v>
      </c>
      <c r="E161" s="614"/>
      <c r="F161" s="701">
        <f>D161*E161</f>
        <v>0</v>
      </c>
      <c r="G161" s="702"/>
      <c r="H161" s="64"/>
    </row>
    <row r="162" spans="1:8" ht="11.25" customHeight="1">
      <c r="A162" s="752"/>
      <c r="B162" s="754" t="s">
        <v>81</v>
      </c>
      <c r="C162" s="700" t="s">
        <v>14</v>
      </c>
      <c r="D162" s="700">
        <v>21.16</v>
      </c>
      <c r="E162" s="614"/>
      <c r="F162" s="701">
        <f>D162*E162</f>
        <v>0</v>
      </c>
      <c r="G162" s="755"/>
      <c r="H162" s="64"/>
    </row>
    <row r="163" spans="1:8" ht="11.25" customHeight="1">
      <c r="A163" s="150"/>
      <c r="B163" s="99"/>
      <c r="C163" s="14"/>
      <c r="D163" s="14"/>
      <c r="E163" s="16"/>
      <c r="F163" s="70"/>
      <c r="G163" s="195"/>
      <c r="H163" s="64"/>
    </row>
    <row r="164" spans="1:8" ht="11.25" customHeight="1">
      <c r="A164" s="150"/>
      <c r="B164" s="83" t="s">
        <v>56</v>
      </c>
      <c r="C164" s="76"/>
      <c r="D164" s="14"/>
      <c r="E164" s="16"/>
      <c r="F164" s="70"/>
      <c r="G164" s="77"/>
      <c r="H164" s="64"/>
    </row>
    <row r="165" spans="1:8" ht="11.25" customHeight="1">
      <c r="A165" s="150"/>
      <c r="B165" s="83"/>
      <c r="C165" s="76"/>
      <c r="D165" s="14"/>
      <c r="E165" s="16"/>
      <c r="F165" s="70"/>
      <c r="G165" s="77"/>
      <c r="H165" s="64"/>
    </row>
    <row r="166" spans="1:8" ht="11.25" customHeight="1">
      <c r="A166" s="151">
        <f>IF(B166&gt;0,MAX(A$97:A165)+1,"")</f>
        <v>11</v>
      </c>
      <c r="B166" s="89" t="s">
        <v>39</v>
      </c>
      <c r="C166" s="76"/>
      <c r="D166" s="14"/>
      <c r="E166" s="16"/>
      <c r="F166" s="70"/>
      <c r="G166" s="77"/>
      <c r="H166" s="64"/>
    </row>
    <row r="167" spans="1:8" ht="45">
      <c r="A167" s="150"/>
      <c r="B167" s="213" t="s">
        <v>106</v>
      </c>
      <c r="C167" s="130"/>
      <c r="D167" s="16"/>
      <c r="E167" s="16"/>
      <c r="F167" s="70"/>
      <c r="G167" s="77"/>
      <c r="H167" s="64"/>
    </row>
    <row r="168" spans="1:8" ht="11.25" customHeight="1">
      <c r="A168" s="150"/>
      <c r="B168" s="48" t="s">
        <v>18</v>
      </c>
      <c r="C168" s="76"/>
      <c r="D168" s="14"/>
      <c r="E168" s="14"/>
      <c r="F168" s="70"/>
      <c r="G168" s="77"/>
      <c r="H168" s="64"/>
    </row>
    <row r="169" spans="1:8" ht="11.25" customHeight="1">
      <c r="A169" s="150"/>
      <c r="B169" s="48" t="s">
        <v>139</v>
      </c>
      <c r="C169" s="76"/>
      <c r="D169" s="14"/>
      <c r="E169" s="14"/>
      <c r="F169" s="70"/>
      <c r="G169" s="77"/>
      <c r="H169" s="64"/>
    </row>
    <row r="170" spans="1:8" ht="11.25" customHeight="1">
      <c r="A170" s="150"/>
      <c r="B170" s="99" t="s">
        <v>80</v>
      </c>
      <c r="C170" s="14" t="s">
        <v>15</v>
      </c>
      <c r="D170" s="14">
        <v>0.61</v>
      </c>
      <c r="E170" s="16"/>
      <c r="F170" s="70">
        <f>D170*E170</f>
        <v>0</v>
      </c>
      <c r="G170" s="77"/>
      <c r="H170" s="64"/>
    </row>
    <row r="171" spans="1:8" ht="11.25" customHeight="1">
      <c r="A171" s="150"/>
      <c r="B171" s="99" t="s">
        <v>81</v>
      </c>
      <c r="C171" s="14" t="s">
        <v>14</v>
      </c>
      <c r="D171" s="14">
        <v>7.52</v>
      </c>
      <c r="E171" s="16"/>
      <c r="F171" s="70">
        <f>D171*E171</f>
        <v>0</v>
      </c>
      <c r="G171" s="195"/>
      <c r="H171" s="64"/>
    </row>
    <row r="172" spans="1:8" ht="11.25" customHeight="1">
      <c r="A172" s="150"/>
      <c r="B172" s="48" t="s">
        <v>140</v>
      </c>
      <c r="C172" s="76"/>
      <c r="D172" s="14"/>
      <c r="E172" s="14"/>
      <c r="F172" s="70"/>
      <c r="G172" s="77"/>
      <c r="H172" s="64"/>
    </row>
    <row r="173" spans="1:8" ht="11.25" customHeight="1">
      <c r="A173" s="150"/>
      <c r="B173" s="99" t="s">
        <v>80</v>
      </c>
      <c r="C173" s="14" t="s">
        <v>15</v>
      </c>
      <c r="D173" s="14">
        <v>0.55000000000000004</v>
      </c>
      <c r="E173" s="16"/>
      <c r="F173" s="70">
        <f>D173*E173</f>
        <v>0</v>
      </c>
      <c r="G173" s="77"/>
      <c r="H173" s="64"/>
    </row>
    <row r="174" spans="1:8" ht="11.25" customHeight="1">
      <c r="A174" s="150"/>
      <c r="B174" s="99" t="s">
        <v>81</v>
      </c>
      <c r="C174" s="14" t="s">
        <v>14</v>
      </c>
      <c r="D174" s="14">
        <v>6.39</v>
      </c>
      <c r="E174" s="16"/>
      <c r="F174" s="70">
        <f>D174*E174</f>
        <v>0</v>
      </c>
      <c r="G174" s="195"/>
      <c r="H174" s="64"/>
    </row>
    <row r="175" spans="1:8" ht="11.25" customHeight="1">
      <c r="A175" s="150"/>
      <c r="B175" s="48" t="s">
        <v>141</v>
      </c>
      <c r="C175" s="76"/>
      <c r="D175" s="14"/>
      <c r="E175" s="14"/>
      <c r="F175" s="70"/>
      <c r="G175" s="77"/>
      <c r="H175" s="64"/>
    </row>
    <row r="176" spans="1:8" ht="11.25" customHeight="1">
      <c r="A176" s="150"/>
      <c r="B176" s="99" t="s">
        <v>80</v>
      </c>
      <c r="C176" s="14" t="s">
        <v>15</v>
      </c>
      <c r="D176" s="14">
        <v>3.2</v>
      </c>
      <c r="E176" s="16"/>
      <c r="F176" s="70">
        <f>D176*E176</f>
        <v>0</v>
      </c>
      <c r="G176" s="77"/>
      <c r="H176" s="64"/>
    </row>
    <row r="177" spans="1:8" ht="11.25" customHeight="1">
      <c r="A177" s="150"/>
      <c r="B177" s="99" t="s">
        <v>81</v>
      </c>
      <c r="C177" s="14" t="s">
        <v>14</v>
      </c>
      <c r="D177" s="14">
        <v>55.27</v>
      </c>
      <c r="E177" s="16"/>
      <c r="F177" s="70">
        <f>D177*E177</f>
        <v>0</v>
      </c>
      <c r="G177" s="195"/>
      <c r="H177" s="64"/>
    </row>
    <row r="178" spans="1:8" ht="11.25" customHeight="1">
      <c r="A178" s="150"/>
      <c r="B178" s="48" t="s">
        <v>142</v>
      </c>
      <c r="C178" s="76"/>
      <c r="D178" s="14"/>
      <c r="E178" s="14"/>
      <c r="F178" s="70"/>
      <c r="G178" s="77"/>
      <c r="H178" s="64"/>
    </row>
    <row r="179" spans="1:8" ht="11.25" customHeight="1">
      <c r="A179" s="150"/>
      <c r="B179" s="99" t="s">
        <v>80</v>
      </c>
      <c r="C179" s="14" t="s">
        <v>15</v>
      </c>
      <c r="D179" s="14">
        <v>0.81</v>
      </c>
      <c r="E179" s="16"/>
      <c r="F179" s="70">
        <f>D179*E179</f>
        <v>0</v>
      </c>
      <c r="G179" s="77"/>
      <c r="H179" s="64"/>
    </row>
    <row r="180" spans="1:8" ht="11.25" customHeight="1">
      <c r="A180" s="150"/>
      <c r="B180" s="99" t="s">
        <v>81</v>
      </c>
      <c r="C180" s="14" t="s">
        <v>14</v>
      </c>
      <c r="D180" s="14">
        <v>9.52</v>
      </c>
      <c r="E180" s="16"/>
      <c r="F180" s="70">
        <f>D180*E180</f>
        <v>0</v>
      </c>
      <c r="G180" s="195"/>
      <c r="H180" s="64"/>
    </row>
    <row r="181" spans="1:8" ht="11.25" customHeight="1">
      <c r="A181" s="150"/>
      <c r="B181" s="99"/>
      <c r="C181" s="14"/>
      <c r="D181" s="14"/>
      <c r="E181" s="16"/>
      <c r="F181" s="70"/>
      <c r="G181" s="195"/>
      <c r="H181" s="64"/>
    </row>
    <row r="182" spans="1:8" ht="11.25" customHeight="1">
      <c r="A182" s="751">
        <f>IF(B182&gt;0,MAX(A$97:A180)+1,"")</f>
        <v>12</v>
      </c>
      <c r="B182" s="705" t="s">
        <v>486</v>
      </c>
      <c r="C182" s="706"/>
      <c r="D182" s="700"/>
      <c r="E182" s="614"/>
      <c r="F182" s="701"/>
      <c r="G182" s="702"/>
      <c r="H182" s="64"/>
    </row>
    <row r="183" spans="1:8" ht="56.25">
      <c r="A183" s="752"/>
      <c r="B183" s="753" t="s">
        <v>491</v>
      </c>
      <c r="C183" s="704"/>
      <c r="D183" s="614"/>
      <c r="E183" s="614"/>
      <c r="F183" s="701"/>
      <c r="G183" s="702"/>
      <c r="H183" s="64"/>
    </row>
    <row r="184" spans="1:8" ht="11.25" customHeight="1">
      <c r="A184" s="752"/>
      <c r="B184" s="703" t="s">
        <v>18</v>
      </c>
      <c r="C184" s="706"/>
      <c r="D184" s="700"/>
      <c r="E184" s="700"/>
      <c r="F184" s="701"/>
      <c r="G184" s="702"/>
      <c r="H184" s="64"/>
    </row>
    <row r="185" spans="1:8" ht="11.25" customHeight="1">
      <c r="A185" s="752"/>
      <c r="B185" s="703" t="s">
        <v>489</v>
      </c>
      <c r="C185" s="706"/>
      <c r="D185" s="700"/>
      <c r="E185" s="700"/>
      <c r="F185" s="701"/>
      <c r="G185" s="702"/>
      <c r="H185" s="64"/>
    </row>
    <row r="186" spans="1:8" ht="11.25" customHeight="1">
      <c r="A186" s="752"/>
      <c r="B186" s="754" t="s">
        <v>80</v>
      </c>
      <c r="C186" s="700" t="s">
        <v>15</v>
      </c>
      <c r="D186" s="700">
        <v>3.12</v>
      </c>
      <c r="E186" s="614"/>
      <c r="F186" s="701">
        <f>D186*E186</f>
        <v>0</v>
      </c>
      <c r="G186" s="702"/>
      <c r="H186" s="64"/>
    </row>
    <row r="187" spans="1:8" ht="11.25" customHeight="1">
      <c r="A187" s="752"/>
      <c r="B187" s="754" t="s">
        <v>81</v>
      </c>
      <c r="C187" s="700" t="s">
        <v>14</v>
      </c>
      <c r="D187" s="700">
        <v>41.9</v>
      </c>
      <c r="E187" s="614"/>
      <c r="F187" s="701">
        <f>D187*E187</f>
        <v>0</v>
      </c>
      <c r="G187" s="755"/>
      <c r="H187" s="64"/>
    </row>
    <row r="188" spans="1:8" ht="11.25" customHeight="1">
      <c r="A188" s="150"/>
      <c r="B188" s="83"/>
      <c r="C188" s="76"/>
      <c r="D188" s="14"/>
      <c r="E188" s="16"/>
      <c r="F188" s="70"/>
      <c r="G188" s="77"/>
      <c r="H188" s="64"/>
    </row>
    <row r="189" spans="1:8" ht="11.25" customHeight="1">
      <c r="A189" s="150"/>
      <c r="B189" s="100" t="s">
        <v>31</v>
      </c>
      <c r="C189" s="130"/>
      <c r="D189" s="16"/>
      <c r="E189" s="16"/>
      <c r="F189" s="70"/>
      <c r="G189" s="77"/>
      <c r="H189" s="64"/>
    </row>
    <row r="190" spans="1:8" ht="11.25" customHeight="1">
      <c r="A190" s="150"/>
      <c r="B190" s="99"/>
      <c r="C190" s="14"/>
      <c r="D190" s="14"/>
      <c r="E190" s="16"/>
      <c r="F190" s="70"/>
      <c r="G190" s="77"/>
      <c r="H190" s="64"/>
    </row>
    <row r="191" spans="1:8" ht="11.25" customHeight="1">
      <c r="A191" s="151">
        <f>IF(B191&gt;0,MAX(A$97:A189)+1,"")</f>
        <v>13</v>
      </c>
      <c r="B191" s="13" t="s">
        <v>138</v>
      </c>
      <c r="C191" s="76"/>
      <c r="D191" s="14"/>
      <c r="E191" s="16"/>
      <c r="F191" s="70"/>
      <c r="G191" s="77"/>
      <c r="H191" s="64"/>
    </row>
    <row r="192" spans="1:8" ht="67.5">
      <c r="A192" s="150"/>
      <c r="B192" s="209" t="s">
        <v>83</v>
      </c>
      <c r="C192" s="76"/>
      <c r="D192" s="14"/>
      <c r="E192" s="16"/>
      <c r="F192" s="70"/>
      <c r="G192" s="77"/>
      <c r="H192" s="64"/>
    </row>
    <row r="193" spans="1:8" ht="11.25" customHeight="1">
      <c r="A193" s="150"/>
      <c r="B193" s="48" t="s">
        <v>18</v>
      </c>
      <c r="C193" s="14"/>
      <c r="D193" s="14"/>
      <c r="E193" s="16"/>
      <c r="F193" s="70"/>
      <c r="G193" s="77"/>
      <c r="H193" s="64"/>
    </row>
    <row r="194" spans="1:8" ht="11.25" customHeight="1">
      <c r="A194" s="150"/>
      <c r="B194" s="99" t="s">
        <v>80</v>
      </c>
      <c r="C194" s="14" t="s">
        <v>15</v>
      </c>
      <c r="D194" s="14">
        <v>2.08</v>
      </c>
      <c r="E194" s="16"/>
      <c r="F194" s="70">
        <f>D194*E194</f>
        <v>0</v>
      </c>
      <c r="G194" s="77"/>
      <c r="H194" s="64"/>
    </row>
    <row r="195" spans="1:8" ht="11.25" customHeight="1">
      <c r="A195" s="150"/>
      <c r="B195" s="99" t="s">
        <v>81</v>
      </c>
      <c r="C195" s="14" t="s">
        <v>14</v>
      </c>
      <c r="D195" s="14">
        <v>14.74</v>
      </c>
      <c r="E195" s="16"/>
      <c r="F195" s="70">
        <f>D195*E195</f>
        <v>0</v>
      </c>
      <c r="G195" s="77"/>
      <c r="H195" s="64"/>
    </row>
    <row r="196" spans="1:8" ht="11.25" customHeight="1">
      <c r="A196" s="150"/>
      <c r="B196" s="99"/>
      <c r="C196" s="14"/>
      <c r="D196" s="14"/>
      <c r="E196" s="16"/>
      <c r="F196" s="70"/>
      <c r="G196" s="77"/>
      <c r="H196" s="64"/>
    </row>
    <row r="197" spans="1:8" ht="11.25" customHeight="1">
      <c r="A197" s="751">
        <f>IF(B197&gt;0,MAX(A$97:A195)+1,"")</f>
        <v>14</v>
      </c>
      <c r="B197" s="757" t="s">
        <v>494</v>
      </c>
      <c r="C197" s="706"/>
      <c r="D197" s="700"/>
      <c r="E197" s="614"/>
      <c r="F197" s="701"/>
      <c r="G197" s="702"/>
      <c r="H197" s="64"/>
    </row>
    <row r="198" spans="1:8" ht="78.75">
      <c r="A198" s="752"/>
      <c r="B198" s="758" t="s">
        <v>495</v>
      </c>
      <c r="C198" s="706"/>
      <c r="D198" s="700"/>
      <c r="E198" s="614"/>
      <c r="F198" s="701"/>
      <c r="G198" s="702"/>
      <c r="H198" s="64"/>
    </row>
    <row r="199" spans="1:8" ht="11.25" customHeight="1">
      <c r="A199" s="752"/>
      <c r="B199" s="703" t="s">
        <v>18</v>
      </c>
      <c r="C199" s="700"/>
      <c r="D199" s="700"/>
      <c r="E199" s="614"/>
      <c r="F199" s="701"/>
      <c r="G199" s="702"/>
      <c r="H199" s="64"/>
    </row>
    <row r="200" spans="1:8" ht="11.25" customHeight="1">
      <c r="A200" s="752"/>
      <c r="B200" s="754" t="s">
        <v>80</v>
      </c>
      <c r="C200" s="700" t="s">
        <v>15</v>
      </c>
      <c r="D200" s="700">
        <v>1.51</v>
      </c>
      <c r="E200" s="614"/>
      <c r="F200" s="701">
        <f>D200*E200</f>
        <v>0</v>
      </c>
      <c r="G200" s="702"/>
      <c r="H200" s="64"/>
    </row>
    <row r="201" spans="1:8" ht="11.25" customHeight="1">
      <c r="A201" s="752"/>
      <c r="B201" s="754" t="s">
        <v>81</v>
      </c>
      <c r="C201" s="700" t="s">
        <v>14</v>
      </c>
      <c r="D201" s="700">
        <v>17.23</v>
      </c>
      <c r="E201" s="614"/>
      <c r="F201" s="701">
        <f>D201*E201</f>
        <v>0</v>
      </c>
      <c r="G201" s="702"/>
      <c r="H201" s="64"/>
    </row>
    <row r="202" spans="1:8" ht="11.25" customHeight="1">
      <c r="A202" s="150"/>
      <c r="B202" s="83"/>
      <c r="C202" s="76"/>
      <c r="D202" s="14"/>
      <c r="E202" s="16"/>
      <c r="F202" s="71"/>
      <c r="G202" s="77"/>
      <c r="H202" s="64"/>
    </row>
    <row r="203" spans="1:8" ht="11.25" customHeight="1">
      <c r="A203" s="155" t="str">
        <f>A83</f>
        <v>A.03.</v>
      </c>
      <c r="B203" s="156" t="s">
        <v>21</v>
      </c>
      <c r="C203" s="157"/>
      <c r="D203" s="124"/>
      <c r="E203" s="124"/>
      <c r="F203" s="72">
        <f>SUM(F97:F202)</f>
        <v>0</v>
      </c>
      <c r="G203" s="158"/>
      <c r="H203" s="64"/>
    </row>
    <row r="204" spans="1:8" ht="11.25" customHeight="1">
      <c r="A204" s="129"/>
      <c r="B204" s="17"/>
      <c r="C204" s="130"/>
      <c r="D204" s="16"/>
      <c r="E204" s="16"/>
      <c r="F204" s="62"/>
      <c r="G204" s="77"/>
      <c r="H204" s="64"/>
    </row>
    <row r="205" spans="1:8" ht="11.25" customHeight="1">
      <c r="A205" s="201" t="s">
        <v>26</v>
      </c>
      <c r="B205" s="211" t="s">
        <v>11</v>
      </c>
      <c r="C205" s="183"/>
      <c r="D205" s="142"/>
      <c r="E205" s="142"/>
      <c r="F205" s="143"/>
      <c r="G205" s="190"/>
      <c r="H205" s="64"/>
    </row>
    <row r="206" spans="1:8" ht="11.25" customHeight="1">
      <c r="A206" s="205"/>
      <c r="B206" s="83"/>
      <c r="C206" s="76"/>
      <c r="D206" s="14"/>
      <c r="E206" s="14"/>
      <c r="F206" s="62"/>
      <c r="G206" s="74"/>
      <c r="H206" s="64"/>
    </row>
    <row r="207" spans="1:8" ht="11.25" customHeight="1">
      <c r="A207" s="206">
        <v>1</v>
      </c>
      <c r="B207" s="13" t="s">
        <v>33</v>
      </c>
      <c r="C207" s="76"/>
      <c r="D207" s="14"/>
      <c r="E207" s="16"/>
      <c r="F207" s="70"/>
      <c r="G207" s="77"/>
      <c r="H207" s="64"/>
    </row>
    <row r="208" spans="1:8" ht="56.25">
      <c r="A208" s="150"/>
      <c r="B208" s="209" t="s">
        <v>332</v>
      </c>
      <c r="C208" s="76"/>
      <c r="D208" s="14"/>
      <c r="E208" s="16"/>
      <c r="F208" s="70"/>
      <c r="G208" s="77"/>
      <c r="H208" s="64"/>
    </row>
    <row r="209" spans="1:8" ht="11.25" customHeight="1">
      <c r="A209" s="150"/>
      <c r="B209" s="99" t="s">
        <v>37</v>
      </c>
      <c r="C209" s="14" t="s">
        <v>34</v>
      </c>
      <c r="D209" s="14">
        <f>(D194+D179+D176+D173+D170+D152+D161+D146+D140+D131+D125+D118+D186+D200)*115</f>
        <v>30994.799999999999</v>
      </c>
      <c r="E209" s="16"/>
      <c r="F209" s="70">
        <f>D209*E209</f>
        <v>0</v>
      </c>
      <c r="G209" s="77"/>
      <c r="H209" s="64"/>
    </row>
    <row r="210" spans="1:8" ht="11.25" customHeight="1">
      <c r="A210" s="205"/>
      <c r="B210" s="99"/>
      <c r="C210" s="130"/>
      <c r="D210" s="16"/>
      <c r="E210" s="16"/>
      <c r="F210" s="70"/>
      <c r="G210" s="77"/>
      <c r="H210" s="64"/>
    </row>
    <row r="211" spans="1:8" ht="11.25" customHeight="1">
      <c r="A211" s="155" t="str">
        <f>A205</f>
        <v>A.04.</v>
      </c>
      <c r="B211" s="210" t="s">
        <v>41</v>
      </c>
      <c r="C211" s="157"/>
      <c r="D211" s="124"/>
      <c r="E211" s="124"/>
      <c r="F211" s="72">
        <f>SUM(F209)</f>
        <v>0</v>
      </c>
      <c r="G211" s="158"/>
      <c r="H211" s="64"/>
    </row>
    <row r="212" spans="1:8" ht="11.25" customHeight="1">
      <c r="A212" s="129"/>
      <c r="B212" s="17"/>
      <c r="C212" s="130"/>
      <c r="D212" s="16"/>
      <c r="E212" s="16"/>
      <c r="F212" s="62"/>
      <c r="G212" s="77"/>
      <c r="H212" s="64"/>
    </row>
    <row r="213" spans="1:8" ht="11.25" customHeight="1">
      <c r="A213" s="201" t="s">
        <v>27</v>
      </c>
      <c r="B213" s="211" t="s">
        <v>19</v>
      </c>
      <c r="C213" s="183"/>
      <c r="D213" s="142"/>
      <c r="E213" s="142"/>
      <c r="F213" s="143"/>
      <c r="G213" s="190"/>
      <c r="H213" s="64"/>
    </row>
    <row r="214" spans="1:8" ht="11.25" customHeight="1">
      <c r="A214" s="152"/>
      <c r="B214" s="17"/>
      <c r="C214" s="130"/>
      <c r="D214" s="16"/>
      <c r="E214" s="16"/>
      <c r="F214" s="62"/>
      <c r="G214" s="77"/>
      <c r="H214" s="64"/>
    </row>
    <row r="215" spans="1:8" ht="67.5">
      <c r="A215" s="152"/>
      <c r="B215" s="17" t="s">
        <v>68</v>
      </c>
      <c r="C215" s="130"/>
      <c r="D215" s="16"/>
      <c r="E215" s="16"/>
      <c r="F215" s="62"/>
      <c r="G215" s="77"/>
      <c r="H215" s="64"/>
    </row>
    <row r="216" spans="1:8" ht="78.75">
      <c r="A216" s="152"/>
      <c r="B216" s="17" t="s">
        <v>108</v>
      </c>
      <c r="C216" s="130"/>
      <c r="D216" s="16"/>
      <c r="E216" s="16"/>
      <c r="F216" s="62"/>
      <c r="G216" s="77"/>
      <c r="H216" s="64"/>
    </row>
    <row r="217" spans="1:8" ht="101.25">
      <c r="A217" s="152"/>
      <c r="B217" s="17" t="s">
        <v>69</v>
      </c>
      <c r="C217" s="130"/>
      <c r="D217" s="16"/>
      <c r="E217" s="16"/>
      <c r="F217" s="62"/>
      <c r="G217" s="77"/>
      <c r="H217" s="64"/>
    </row>
    <row r="218" spans="1:8" ht="22.5">
      <c r="A218" s="152"/>
      <c r="B218" s="17" t="s">
        <v>70</v>
      </c>
      <c r="C218" s="130"/>
      <c r="D218" s="16"/>
      <c r="E218" s="16"/>
      <c r="F218" s="62"/>
      <c r="G218" s="77"/>
      <c r="H218" s="64"/>
    </row>
    <row r="219" spans="1:8" ht="67.5">
      <c r="A219" s="152"/>
      <c r="B219" s="17" t="s">
        <v>406</v>
      </c>
      <c r="C219" s="130"/>
      <c r="D219" s="16"/>
      <c r="E219" s="16"/>
      <c r="F219" s="62"/>
      <c r="G219" s="77"/>
      <c r="H219" s="64"/>
    </row>
    <row r="220" spans="1:8" ht="22.5">
      <c r="A220" s="152"/>
      <c r="B220" s="17" t="s">
        <v>402</v>
      </c>
      <c r="C220" s="130"/>
      <c r="D220" s="16"/>
      <c r="E220" s="16"/>
      <c r="F220" s="62"/>
      <c r="G220" s="77"/>
      <c r="H220" s="64"/>
    </row>
    <row r="221" spans="1:8">
      <c r="A221" s="152"/>
      <c r="B221" s="17"/>
      <c r="C221" s="130"/>
      <c r="D221" s="16"/>
      <c r="E221" s="16"/>
      <c r="F221" s="62"/>
      <c r="G221" s="77"/>
      <c r="H221" s="64"/>
    </row>
    <row r="222" spans="1:8" s="236" customFormat="1" ht="11.25" customHeight="1">
      <c r="A222" s="237"/>
      <c r="B222" s="238" t="s">
        <v>117</v>
      </c>
      <c r="C222" s="225"/>
      <c r="D222" s="171"/>
      <c r="E222" s="171"/>
      <c r="F222" s="172"/>
      <c r="G222" s="239"/>
    </row>
    <row r="223" spans="1:8" ht="11.25" customHeight="1">
      <c r="A223" s="152"/>
      <c r="B223" s="17"/>
      <c r="C223" s="130"/>
      <c r="D223" s="16"/>
      <c r="E223" s="16"/>
      <c r="F223" s="62"/>
      <c r="G223" s="77"/>
      <c r="H223" s="64"/>
    </row>
    <row r="224" spans="1:8" ht="11.25" customHeight="1">
      <c r="A224" s="323">
        <v>1</v>
      </c>
      <c r="B224" s="93" t="s">
        <v>396</v>
      </c>
      <c r="C224" s="130"/>
      <c r="D224" s="16"/>
      <c r="E224" s="16"/>
      <c r="F224" s="62"/>
      <c r="G224" s="74"/>
      <c r="H224" s="64"/>
    </row>
    <row r="225" spans="1:8" ht="67.5">
      <c r="A225" s="152"/>
      <c r="B225" s="17" t="s">
        <v>403</v>
      </c>
      <c r="C225" s="130"/>
      <c r="D225" s="16"/>
      <c r="E225" s="16"/>
      <c r="F225" s="125"/>
      <c r="G225" s="146"/>
      <c r="H225" s="64"/>
    </row>
    <row r="226" spans="1:8" ht="11.25" customHeight="1">
      <c r="A226" s="152"/>
      <c r="B226" s="17" t="s">
        <v>144</v>
      </c>
      <c r="C226" s="130"/>
      <c r="D226" s="16"/>
      <c r="E226" s="16"/>
      <c r="F226" s="125"/>
      <c r="G226" s="146"/>
      <c r="H226" s="64"/>
    </row>
    <row r="227" spans="1:8" ht="22.5">
      <c r="A227" s="152"/>
      <c r="B227" s="17" t="s">
        <v>203</v>
      </c>
      <c r="C227" s="130"/>
      <c r="D227" s="16"/>
      <c r="E227" s="16"/>
      <c r="F227" s="125"/>
      <c r="G227" s="17"/>
      <c r="H227" s="64"/>
    </row>
    <row r="228" spans="1:8" ht="11.25" customHeight="1">
      <c r="A228" s="152"/>
      <c r="B228" s="17" t="s">
        <v>145</v>
      </c>
      <c r="C228" s="130"/>
      <c r="D228" s="16"/>
      <c r="E228" s="16"/>
      <c r="F228" s="125"/>
      <c r="G228" s="146"/>
      <c r="H228" s="64"/>
    </row>
    <row r="229" spans="1:8" customFormat="1" ht="33.75">
      <c r="A229" s="334"/>
      <c r="B229" s="338" t="s">
        <v>404</v>
      </c>
      <c r="C229" s="298"/>
      <c r="D229" s="291"/>
      <c r="E229" s="291"/>
      <c r="F229" s="325"/>
      <c r="G229" s="326"/>
      <c r="H229" s="327"/>
    </row>
    <row r="230" spans="1:8" ht="11.25" customHeight="1">
      <c r="A230" s="152"/>
      <c r="B230" s="48" t="s">
        <v>143</v>
      </c>
      <c r="C230" s="76"/>
      <c r="D230" s="14"/>
      <c r="E230" s="16"/>
      <c r="F230" s="62"/>
      <c r="G230" s="77"/>
      <c r="H230" s="64"/>
    </row>
    <row r="231" spans="1:8" ht="11.25" customHeight="1">
      <c r="A231" s="152"/>
      <c r="B231" s="101" t="s">
        <v>428</v>
      </c>
      <c r="C231" s="128"/>
      <c r="D231" s="128"/>
      <c r="E231" s="128"/>
      <c r="F231" s="128"/>
      <c r="G231" s="74"/>
      <c r="H231" s="64"/>
    </row>
    <row r="232" spans="1:8" customFormat="1" ht="11.25" customHeight="1">
      <c r="A232" s="337"/>
      <c r="B232" s="249" t="s">
        <v>182</v>
      </c>
      <c r="C232" s="14" t="s">
        <v>14</v>
      </c>
      <c r="D232" s="153">
        <v>279.25</v>
      </c>
      <c r="E232" s="146"/>
      <c r="F232" s="71">
        <f>D232*E232</f>
        <v>0</v>
      </c>
      <c r="G232" s="344"/>
    </row>
    <row r="233" spans="1:8" customFormat="1" ht="11.25" customHeight="1">
      <c r="A233" s="337"/>
      <c r="B233" s="249" t="s">
        <v>183</v>
      </c>
      <c r="C233" s="341" t="s">
        <v>187</v>
      </c>
      <c r="D233" s="171">
        <v>72.400000000000006</v>
      </c>
      <c r="E233" s="345"/>
      <c r="F233" s="346">
        <f>D233*E233</f>
        <v>0</v>
      </c>
      <c r="G233" s="344"/>
    </row>
    <row r="234" spans="1:8" customFormat="1" ht="11.25" customHeight="1">
      <c r="A234" s="237"/>
      <c r="B234" s="322"/>
      <c r="C234" s="171"/>
      <c r="D234" s="171"/>
      <c r="E234" s="171"/>
      <c r="F234" s="172"/>
      <c r="G234" s="239"/>
    </row>
    <row r="235" spans="1:8" customFormat="1" ht="11.25" customHeight="1">
      <c r="A235" s="237"/>
      <c r="B235" s="131" t="s">
        <v>175</v>
      </c>
      <c r="C235" s="171"/>
      <c r="D235" s="171"/>
      <c r="E235" s="171"/>
      <c r="F235" s="172"/>
      <c r="G235" s="239"/>
    </row>
    <row r="236" spans="1:8" customFormat="1" ht="11.25" customHeight="1">
      <c r="A236" s="237"/>
      <c r="B236" s="322"/>
      <c r="C236" s="171"/>
      <c r="D236" s="171"/>
      <c r="E236" s="171"/>
      <c r="F236" s="172"/>
      <c r="G236" s="239"/>
    </row>
    <row r="237" spans="1:8" customFormat="1" ht="11.25" customHeight="1">
      <c r="A237" s="629">
        <f>IF(B237&gt;0,MAX(A$224:A236)+1,"")</f>
        <v>2</v>
      </c>
      <c r="B237" s="324" t="s">
        <v>176</v>
      </c>
      <c r="C237" s="298"/>
      <c r="D237" s="291"/>
      <c r="E237" s="291"/>
      <c r="F237" s="172"/>
      <c r="G237" s="239"/>
    </row>
    <row r="238" spans="1:8" customFormat="1" ht="45">
      <c r="A238" s="237"/>
      <c r="B238" s="297" t="s">
        <v>238</v>
      </c>
      <c r="C238" s="298"/>
      <c r="D238" s="291"/>
      <c r="E238" s="291"/>
      <c r="F238" s="325"/>
      <c r="G238" s="326"/>
      <c r="H238" s="327"/>
    </row>
    <row r="239" spans="1:8" customFormat="1" ht="11.25" customHeight="1">
      <c r="A239" s="237"/>
      <c r="B239" s="290" t="s">
        <v>177</v>
      </c>
      <c r="C239" s="225"/>
      <c r="D239" s="171"/>
      <c r="E239" s="291"/>
      <c r="F239" s="172"/>
      <c r="G239" s="292"/>
    </row>
    <row r="240" spans="1:8" customFormat="1" ht="11.25" customHeight="1">
      <c r="A240" s="237"/>
      <c r="B240" s="322" t="s">
        <v>13</v>
      </c>
      <c r="G240" s="239"/>
    </row>
    <row r="241" spans="1:8" customFormat="1" ht="11.25" customHeight="1">
      <c r="A241" s="237"/>
      <c r="B241" s="322" t="s">
        <v>178</v>
      </c>
      <c r="C241" s="171" t="s">
        <v>14</v>
      </c>
      <c r="D241" s="171">
        <v>15.46</v>
      </c>
      <c r="E241" s="16"/>
      <c r="F241" s="70">
        <f>D241*E241</f>
        <v>0</v>
      </c>
      <c r="G241" s="239"/>
    </row>
    <row r="242" spans="1:8" customFormat="1" ht="11.25" customHeight="1">
      <c r="A242" s="237"/>
      <c r="B242" s="322" t="s">
        <v>179</v>
      </c>
      <c r="C242" s="171" t="s">
        <v>14</v>
      </c>
      <c r="D242" s="171">
        <v>7.26</v>
      </c>
      <c r="E242" s="16"/>
      <c r="F242" s="70">
        <f>D242*E242</f>
        <v>0</v>
      </c>
      <c r="G242" s="239"/>
    </row>
    <row r="243" spans="1:8" customFormat="1" ht="11.25" customHeight="1">
      <c r="A243" s="328"/>
      <c r="B243" s="329"/>
      <c r="C243" s="330"/>
      <c r="D243" s="331"/>
      <c r="E243" s="331"/>
      <c r="F243" s="332"/>
      <c r="G243" s="333"/>
    </row>
    <row r="244" spans="1:8" customFormat="1" ht="11.25" customHeight="1">
      <c r="A244" s="629">
        <f>IF(B244&gt;0,MAX(A$224:A243)+1,"")</f>
        <v>3</v>
      </c>
      <c r="B244" s="324" t="s">
        <v>180</v>
      </c>
      <c r="C244" s="298"/>
      <c r="D244" s="291"/>
      <c r="E244" s="291"/>
      <c r="F244" s="172"/>
      <c r="G244" s="239"/>
    </row>
    <row r="245" spans="1:8" customFormat="1" ht="33.75">
      <c r="A245" s="237"/>
      <c r="B245" s="297" t="s">
        <v>239</v>
      </c>
      <c r="C245" s="298"/>
      <c r="D245" s="291"/>
      <c r="E245" s="291"/>
      <c r="F245" s="325"/>
      <c r="G245" s="326"/>
      <c r="H245" s="327"/>
    </row>
    <row r="246" spans="1:8" customFormat="1" ht="11.25" customHeight="1">
      <c r="A246" s="237"/>
      <c r="B246" s="290" t="s">
        <v>174</v>
      </c>
      <c r="C246" s="225"/>
      <c r="D246" s="171"/>
      <c r="E246" s="291"/>
      <c r="F246" s="172"/>
      <c r="G246" s="292"/>
    </row>
    <row r="247" spans="1:8" customFormat="1" ht="11.25" customHeight="1">
      <c r="A247" s="237"/>
      <c r="B247" s="322" t="s">
        <v>13</v>
      </c>
      <c r="C247" s="171" t="s">
        <v>14</v>
      </c>
      <c r="D247" s="171">
        <v>131.35</v>
      </c>
      <c r="E247" s="16"/>
      <c r="F247" s="70">
        <f>D247*E247</f>
        <v>0</v>
      </c>
      <c r="G247" s="292"/>
    </row>
    <row r="248" spans="1:8" customFormat="1" ht="11.25" customHeight="1">
      <c r="A248" s="328"/>
      <c r="B248" s="329"/>
      <c r="C248" s="330"/>
      <c r="D248" s="331"/>
      <c r="E248" s="331"/>
      <c r="F248" s="332"/>
      <c r="G248" s="333"/>
    </row>
    <row r="249" spans="1:8" customFormat="1" ht="11.25" customHeight="1">
      <c r="A249" s="328"/>
      <c r="B249" s="100" t="s">
        <v>181</v>
      </c>
      <c r="C249" s="330"/>
      <c r="D249" s="331"/>
      <c r="E249" s="331"/>
      <c r="F249" s="332"/>
      <c r="G249" s="333"/>
    </row>
    <row r="250" spans="1:8" customFormat="1" ht="11.25" customHeight="1">
      <c r="A250" s="328"/>
      <c r="B250" s="329"/>
      <c r="C250" s="330"/>
      <c r="D250" s="331"/>
      <c r="E250" s="331"/>
      <c r="F250" s="332"/>
      <c r="G250" s="333"/>
    </row>
    <row r="251" spans="1:8" customFormat="1" ht="11.25" customHeight="1">
      <c r="A251" s="629">
        <f>IF(B251&gt;0,MAX(A$224:A250)+1,"")</f>
        <v>4</v>
      </c>
      <c r="B251" s="336" t="s">
        <v>202</v>
      </c>
      <c r="C251" s="298"/>
      <c r="D251" s="291"/>
      <c r="E251" s="291"/>
      <c r="F251" s="172"/>
      <c r="G251" s="239"/>
    </row>
    <row r="252" spans="1:8" customFormat="1" ht="67.5">
      <c r="A252" s="337"/>
      <c r="B252" s="338" t="s">
        <v>405</v>
      </c>
      <c r="C252" s="298"/>
      <c r="D252" s="291"/>
      <c r="E252" s="291"/>
      <c r="F252" s="325"/>
      <c r="G252" s="326"/>
      <c r="H252" s="327"/>
    </row>
    <row r="253" spans="1:8" customFormat="1" ht="11.25" customHeight="1">
      <c r="A253" s="334"/>
      <c r="B253" s="338" t="s">
        <v>144</v>
      </c>
      <c r="C253" s="298"/>
      <c r="D253" s="291"/>
      <c r="E253" s="291"/>
      <c r="F253" s="325"/>
      <c r="G253" s="326"/>
      <c r="H253" s="327"/>
    </row>
    <row r="254" spans="1:8" customFormat="1" ht="22.5">
      <c r="A254" s="334"/>
      <c r="B254" s="338" t="s">
        <v>203</v>
      </c>
      <c r="C254" s="298"/>
      <c r="D254" s="291"/>
      <c r="E254" s="291"/>
      <c r="F254" s="325"/>
      <c r="G254" s="326"/>
      <c r="H254" s="327"/>
    </row>
    <row r="255" spans="1:8" customFormat="1" ht="11.25" customHeight="1">
      <c r="A255" s="334"/>
      <c r="B255" s="338" t="s">
        <v>145</v>
      </c>
      <c r="C255" s="298"/>
      <c r="D255" s="291"/>
      <c r="E255" s="291"/>
      <c r="F255" s="325"/>
      <c r="G255" s="326"/>
      <c r="H255" s="327"/>
    </row>
    <row r="256" spans="1:8" customFormat="1" ht="33.75">
      <c r="A256" s="334"/>
      <c r="B256" s="338" t="s">
        <v>404</v>
      </c>
      <c r="C256" s="298"/>
      <c r="D256" s="291"/>
      <c r="E256" s="291"/>
      <c r="F256" s="325"/>
      <c r="G256" s="326"/>
      <c r="H256" s="327"/>
    </row>
    <row r="257" spans="1:8" customFormat="1" ht="11.25" customHeight="1">
      <c r="A257" s="337"/>
      <c r="B257" s="339" t="s">
        <v>167</v>
      </c>
      <c r="C257" s="340"/>
      <c r="D257" s="341"/>
      <c r="E257" s="250"/>
      <c r="F257" s="342"/>
      <c r="G257" s="343"/>
    </row>
    <row r="258" spans="1:8" customFormat="1" ht="11.25" customHeight="1">
      <c r="A258" s="337"/>
      <c r="B258" s="249" t="s">
        <v>428</v>
      </c>
      <c r="G258" s="344"/>
    </row>
    <row r="259" spans="1:8" customFormat="1" ht="11.25" customHeight="1">
      <c r="A259" s="337"/>
      <c r="B259" s="249" t="s">
        <v>182</v>
      </c>
      <c r="C259" s="341" t="s">
        <v>14</v>
      </c>
      <c r="D259" s="341">
        <v>246.41</v>
      </c>
      <c r="E259" s="345"/>
      <c r="F259" s="346">
        <f>D259*E259</f>
        <v>0</v>
      </c>
      <c r="G259" s="344"/>
    </row>
    <row r="260" spans="1:8" customFormat="1" ht="11.25" customHeight="1">
      <c r="A260" s="337"/>
      <c r="B260" s="249" t="s">
        <v>183</v>
      </c>
      <c r="C260" s="341" t="s">
        <v>187</v>
      </c>
      <c r="D260" s="171">
        <v>81.099999999999994</v>
      </c>
      <c r="E260" s="345"/>
      <c r="F260" s="346">
        <f>D260*E260</f>
        <v>0</v>
      </c>
      <c r="G260" s="344"/>
    </row>
    <row r="261" spans="1:8" customFormat="1" ht="11.25" customHeight="1">
      <c r="A261" s="334"/>
      <c r="B261" s="335"/>
      <c r="C261" s="330"/>
      <c r="D261" s="331"/>
      <c r="E261" s="331"/>
      <c r="F261" s="332"/>
      <c r="G261" s="333"/>
    </row>
    <row r="262" spans="1:8" customFormat="1" ht="11.25" customHeight="1">
      <c r="A262" s="629">
        <f>IF(B262&gt;0,MAX(A$224:A261)+1,"")</f>
        <v>5</v>
      </c>
      <c r="B262" s="336" t="s">
        <v>184</v>
      </c>
      <c r="C262" s="347"/>
      <c r="D262" s="250"/>
      <c r="E262" s="250"/>
      <c r="F262" s="342"/>
      <c r="G262" s="344"/>
    </row>
    <row r="263" spans="1:8" customFormat="1" ht="78.75">
      <c r="A263" s="334"/>
      <c r="B263" s="338" t="s">
        <v>185</v>
      </c>
      <c r="C263" s="298"/>
      <c r="D263" s="291"/>
      <c r="E263" s="291"/>
      <c r="F263" s="325"/>
      <c r="G263" s="326"/>
      <c r="H263" s="327"/>
    </row>
    <row r="264" spans="1:8" customFormat="1" ht="11.25" customHeight="1">
      <c r="A264" s="337"/>
      <c r="B264" s="339" t="s">
        <v>167</v>
      </c>
      <c r="C264" s="340"/>
      <c r="D264" s="341"/>
      <c r="E264" s="250"/>
      <c r="F264" s="342"/>
      <c r="G264" s="343"/>
    </row>
    <row r="265" spans="1:8" customFormat="1" ht="11.25" customHeight="1">
      <c r="A265" s="337"/>
      <c r="B265" s="249" t="s">
        <v>13</v>
      </c>
      <c r="C265" s="341" t="s">
        <v>14</v>
      </c>
      <c r="D265" s="341">
        <v>248.12</v>
      </c>
      <c r="E265" s="345"/>
      <c r="F265" s="346">
        <f>D265*E265</f>
        <v>0</v>
      </c>
      <c r="G265" s="344"/>
    </row>
    <row r="266" spans="1:8">
      <c r="A266" s="152"/>
      <c r="B266" s="17"/>
      <c r="C266" s="130"/>
      <c r="D266" s="16"/>
      <c r="E266" s="16"/>
      <c r="F266" s="62"/>
      <c r="G266" s="77"/>
      <c r="H266" s="64"/>
    </row>
    <row r="267" spans="1:8" ht="11.25" customHeight="1">
      <c r="A267" s="152"/>
      <c r="B267" s="83" t="s">
        <v>16</v>
      </c>
      <c r="C267" s="76"/>
      <c r="D267" s="14"/>
      <c r="E267" s="14"/>
      <c r="F267" s="62"/>
      <c r="G267" s="74"/>
      <c r="H267" s="64"/>
    </row>
    <row r="268" spans="1:8" s="260" customFormat="1" ht="11.25" customHeight="1">
      <c r="A268" s="315"/>
      <c r="B268" s="294"/>
      <c r="C268" s="262"/>
      <c r="D268" s="263"/>
      <c r="E268" s="263"/>
      <c r="F268" s="278"/>
      <c r="G268" s="264"/>
      <c r="H268" s="257"/>
    </row>
    <row r="269" spans="1:8" ht="11.25" customHeight="1">
      <c r="A269" s="629">
        <f>IF(B269&gt;0,MAX(A$224:A268)+1,"")</f>
        <v>6</v>
      </c>
      <c r="B269" s="89" t="s">
        <v>32</v>
      </c>
      <c r="C269" s="76"/>
      <c r="D269" s="14"/>
      <c r="E269" s="14"/>
      <c r="F269" s="62"/>
      <c r="G269" s="74"/>
      <c r="H269" s="64"/>
    </row>
    <row r="270" spans="1:8" ht="45">
      <c r="A270" s="152"/>
      <c r="B270" s="17" t="s">
        <v>380</v>
      </c>
      <c r="C270" s="130"/>
      <c r="D270" s="16"/>
      <c r="E270" s="16"/>
      <c r="F270" s="62"/>
      <c r="G270" s="77"/>
      <c r="H270" s="64"/>
    </row>
    <row r="271" spans="1:8" ht="11.25" customHeight="1">
      <c r="A271" s="152"/>
      <c r="B271" s="101" t="s">
        <v>17</v>
      </c>
      <c r="C271" s="14" t="s">
        <v>14</v>
      </c>
      <c r="D271" s="14">
        <v>45.24</v>
      </c>
      <c r="E271" s="14"/>
      <c r="F271" s="70">
        <f>D271*E271</f>
        <v>0</v>
      </c>
      <c r="G271" s="77"/>
      <c r="H271" s="64"/>
    </row>
    <row r="272" spans="1:8" ht="11.25" customHeight="1">
      <c r="A272" s="152"/>
      <c r="B272" s="83"/>
      <c r="C272" s="76"/>
      <c r="D272" s="14"/>
      <c r="E272" s="14"/>
      <c r="F272" s="62"/>
      <c r="G272" s="74"/>
      <c r="H272" s="64"/>
    </row>
    <row r="273" spans="1:8" ht="11.25" customHeight="1">
      <c r="A273" s="629">
        <f>IF(B273&gt;0,MAX(A$224:A272)+1,"")</f>
        <v>7</v>
      </c>
      <c r="B273" s="93" t="s">
        <v>35</v>
      </c>
      <c r="C273" s="130"/>
      <c r="D273" s="16"/>
      <c r="E273" s="16"/>
      <c r="F273" s="62"/>
      <c r="G273" s="77"/>
      <c r="H273" s="64"/>
    </row>
    <row r="274" spans="1:8" ht="22.5">
      <c r="A274" s="207"/>
      <c r="B274" s="17" t="s">
        <v>62</v>
      </c>
      <c r="C274" s="130"/>
      <c r="D274" s="16"/>
      <c r="E274" s="16"/>
      <c r="F274" s="62"/>
      <c r="G274" s="74"/>
      <c r="H274" s="64"/>
    </row>
    <row r="275" spans="1:8" ht="11.25" customHeight="1">
      <c r="A275" s="152"/>
      <c r="B275" s="101" t="s">
        <v>13</v>
      </c>
      <c r="C275" s="14" t="s">
        <v>14</v>
      </c>
      <c r="D275" s="14">
        <v>45.58</v>
      </c>
      <c r="E275" s="16"/>
      <c r="F275" s="71">
        <f>D275*E275</f>
        <v>0</v>
      </c>
      <c r="G275" s="77"/>
      <c r="H275" s="64"/>
    </row>
    <row r="276" spans="1:8" s="260" customFormat="1" ht="11.25" customHeight="1">
      <c r="A276" s="315"/>
      <c r="B276" s="294"/>
      <c r="C276" s="262"/>
      <c r="D276" s="263"/>
      <c r="E276" s="263"/>
      <c r="F276" s="278"/>
      <c r="G276" s="264"/>
      <c r="H276" s="257"/>
    </row>
    <row r="277" spans="1:8" s="260" customFormat="1" ht="11.25" customHeight="1">
      <c r="A277" s="629">
        <f>IF(B277&gt;0,MAX(A$224:A276)+1,"")</f>
        <v>8</v>
      </c>
      <c r="B277" s="259" t="s">
        <v>320</v>
      </c>
      <c r="C277" s="225"/>
      <c r="D277" s="171"/>
      <c r="E277" s="171"/>
      <c r="F277" s="172"/>
      <c r="G277" s="239"/>
      <c r="H277" s="257"/>
    </row>
    <row r="278" spans="1:8" s="260" customFormat="1" ht="78.75">
      <c r="A278" s="237"/>
      <c r="B278" s="297" t="s">
        <v>381</v>
      </c>
      <c r="C278" s="298"/>
      <c r="D278" s="291"/>
      <c r="E278" s="291"/>
      <c r="F278" s="172"/>
      <c r="G278" s="292"/>
      <c r="H278" s="257"/>
    </row>
    <row r="279" spans="1:8" s="260" customFormat="1" ht="11.25" customHeight="1">
      <c r="A279" s="237"/>
      <c r="B279" s="290" t="s">
        <v>198</v>
      </c>
      <c r="C279" s="348"/>
      <c r="D279" s="349"/>
      <c r="E279" s="350"/>
      <c r="F279" s="349"/>
      <c r="G279" s="292"/>
      <c r="H279" s="257"/>
    </row>
    <row r="280" spans="1:8" s="260" customFormat="1" ht="11.25" customHeight="1">
      <c r="A280" s="237"/>
      <c r="B280" s="322" t="s">
        <v>17</v>
      </c>
      <c r="C280" s="171" t="s">
        <v>14</v>
      </c>
      <c r="D280" s="171">
        <v>69.59</v>
      </c>
      <c r="E280" s="171"/>
      <c r="F280" s="70">
        <f>D280*E280</f>
        <v>0</v>
      </c>
      <c r="G280" s="292"/>
      <c r="H280" s="257"/>
    </row>
    <row r="281" spans="1:8">
      <c r="A281" s="152"/>
      <c r="B281" s="17"/>
      <c r="C281" s="130"/>
      <c r="D281" s="16"/>
      <c r="E281" s="16"/>
      <c r="F281" s="62"/>
      <c r="G281" s="77"/>
      <c r="H281" s="64"/>
    </row>
    <row r="282" spans="1:8" s="287" customFormat="1" ht="11.25" customHeight="1">
      <c r="A282" s="629">
        <f>IF(B282&gt;0,MAX(A$224:A281)+1,"")</f>
        <v>9</v>
      </c>
      <c r="B282" s="259" t="s">
        <v>190</v>
      </c>
      <c r="C282" s="225"/>
      <c r="D282" s="171"/>
      <c r="E282" s="171"/>
      <c r="F282" s="172"/>
      <c r="G282" s="239"/>
      <c r="H282" s="257"/>
    </row>
    <row r="283" spans="1:8" s="287" customFormat="1" ht="22.5">
      <c r="A283" s="314"/>
      <c r="B283" s="99" t="s">
        <v>189</v>
      </c>
      <c r="C283" s="225"/>
      <c r="D283" s="171"/>
      <c r="E283" s="171"/>
      <c r="F283" s="172"/>
      <c r="G283" s="239"/>
      <c r="H283" s="257"/>
    </row>
    <row r="284" spans="1:8" s="287" customFormat="1" ht="33.75">
      <c r="A284" s="237"/>
      <c r="B284" s="297" t="s">
        <v>192</v>
      </c>
      <c r="C284" s="298"/>
      <c r="D284" s="291"/>
      <c r="E284" s="291"/>
      <c r="F284" s="172"/>
      <c r="G284" s="292"/>
      <c r="H284" s="257"/>
    </row>
    <row r="285" spans="1:8" s="287" customFormat="1" ht="22.5">
      <c r="A285" s="237"/>
      <c r="B285" s="297" t="s">
        <v>191</v>
      </c>
      <c r="C285" s="298"/>
      <c r="D285" s="291"/>
      <c r="E285" s="291"/>
      <c r="F285" s="172"/>
      <c r="G285" s="292"/>
      <c r="H285" s="257"/>
    </row>
    <row r="286" spans="1:8" s="287" customFormat="1" ht="22.5">
      <c r="A286" s="237"/>
      <c r="B286" s="297" t="s">
        <v>194</v>
      </c>
      <c r="C286" s="298"/>
      <c r="D286" s="291"/>
      <c r="E286" s="291"/>
      <c r="F286" s="172"/>
      <c r="G286" s="292"/>
      <c r="H286" s="257"/>
    </row>
    <row r="287" spans="1:8" s="287" customFormat="1" ht="11.25" customHeight="1">
      <c r="A287" s="237"/>
      <c r="B287" s="290" t="s">
        <v>143</v>
      </c>
      <c r="C287" s="225"/>
      <c r="D287" s="171"/>
      <c r="E287" s="291"/>
      <c r="F287" s="172"/>
      <c r="G287" s="292"/>
      <c r="H287" s="257"/>
    </row>
    <row r="288" spans="1:8" s="287" customFormat="1" ht="11.25" customHeight="1">
      <c r="A288" s="237"/>
      <c r="B288" s="322" t="s">
        <v>13</v>
      </c>
      <c r="C288" s="171" t="s">
        <v>14</v>
      </c>
      <c r="D288" s="171">
        <v>214.63</v>
      </c>
      <c r="E288" s="16"/>
      <c r="F288" s="70">
        <f>D288*E288</f>
        <v>0</v>
      </c>
      <c r="G288" s="292"/>
      <c r="H288" s="257"/>
    </row>
    <row r="289" spans="1:8" s="287" customFormat="1" ht="11.25" customHeight="1">
      <c r="A289" s="237"/>
      <c r="B289" s="322"/>
      <c r="C289" s="171"/>
      <c r="D289" s="171"/>
      <c r="E289" s="16"/>
      <c r="F289" s="70"/>
      <c r="G289" s="292"/>
      <c r="H289" s="257"/>
    </row>
    <row r="290" spans="1:8" s="287" customFormat="1" ht="11.25" customHeight="1">
      <c r="A290" s="629">
        <f>IF(B290&gt;0,MAX(A$224:A289)+1,"")</f>
        <v>10</v>
      </c>
      <c r="B290" s="259" t="s">
        <v>188</v>
      </c>
      <c r="C290" s="225"/>
      <c r="D290" s="171"/>
      <c r="E290" s="171"/>
      <c r="F290" s="172"/>
      <c r="G290" s="239"/>
      <c r="H290" s="257"/>
    </row>
    <row r="291" spans="1:8" s="287" customFormat="1" ht="24" customHeight="1">
      <c r="A291" s="314"/>
      <c r="B291" s="99" t="s">
        <v>189</v>
      </c>
      <c r="C291" s="225"/>
      <c r="D291" s="171"/>
      <c r="E291" s="171"/>
      <c r="F291" s="172"/>
      <c r="G291" s="239"/>
      <c r="H291" s="257"/>
    </row>
    <row r="292" spans="1:8" s="287" customFormat="1" ht="22.5">
      <c r="A292" s="237"/>
      <c r="B292" s="297" t="s">
        <v>197</v>
      </c>
      <c r="C292" s="298"/>
      <c r="D292" s="291"/>
      <c r="E292" s="291"/>
      <c r="F292" s="172"/>
      <c r="G292" s="292"/>
      <c r="H292" s="257"/>
    </row>
    <row r="293" spans="1:8" s="287" customFormat="1" ht="33.75">
      <c r="A293" s="237"/>
      <c r="B293" s="297" t="s">
        <v>193</v>
      </c>
      <c r="C293" s="298"/>
      <c r="D293" s="291"/>
      <c r="E293" s="291"/>
      <c r="F293" s="172"/>
      <c r="G293" s="292"/>
      <c r="H293" s="257"/>
    </row>
    <row r="294" spans="1:8" s="287" customFormat="1" ht="22.5">
      <c r="A294" s="237"/>
      <c r="B294" s="297" t="s">
        <v>196</v>
      </c>
      <c r="C294" s="298"/>
      <c r="D294" s="291"/>
      <c r="E294" s="291"/>
      <c r="F294" s="172"/>
      <c r="G294" s="292"/>
      <c r="H294" s="257"/>
    </row>
    <row r="295" spans="1:8" s="287" customFormat="1" ht="22.5">
      <c r="A295" s="237"/>
      <c r="B295" s="297" t="s">
        <v>195</v>
      </c>
      <c r="C295" s="298"/>
      <c r="D295" s="291"/>
      <c r="E295" s="291"/>
      <c r="F295" s="172"/>
      <c r="G295" s="292"/>
      <c r="H295" s="257"/>
    </row>
    <row r="296" spans="1:8" s="287" customFormat="1" ht="11.25" customHeight="1">
      <c r="A296" s="237"/>
      <c r="B296" s="290" t="s">
        <v>171</v>
      </c>
      <c r="C296" s="225"/>
      <c r="D296" s="171"/>
      <c r="E296" s="291"/>
      <c r="F296" s="172"/>
      <c r="G296" s="292"/>
      <c r="H296" s="257"/>
    </row>
    <row r="297" spans="1:8" s="287" customFormat="1" ht="11.25" customHeight="1">
      <c r="A297" s="237"/>
      <c r="B297" s="322" t="s">
        <v>13</v>
      </c>
      <c r="C297" s="171" t="s">
        <v>14</v>
      </c>
      <c r="D297" s="171">
        <v>69.31</v>
      </c>
      <c r="E297" s="16"/>
      <c r="F297" s="70">
        <f>D297*E297</f>
        <v>0</v>
      </c>
      <c r="G297" s="292"/>
      <c r="H297" s="257"/>
    </row>
    <row r="298" spans="1:8" customFormat="1" ht="11.25" customHeight="1">
      <c r="A298" s="237"/>
      <c r="B298" s="238"/>
      <c r="C298" s="225"/>
      <c r="D298" s="171"/>
      <c r="E298" s="171"/>
      <c r="F298" s="172"/>
      <c r="G298" s="239"/>
    </row>
    <row r="299" spans="1:8" customFormat="1" ht="11.25" customHeight="1">
      <c r="A299" s="629">
        <f>IF(B299&gt;0,MAX(A$224:A298)+1,"")</f>
        <v>11</v>
      </c>
      <c r="B299" s="259" t="s">
        <v>319</v>
      </c>
      <c r="C299" s="225"/>
      <c r="D299" s="171"/>
      <c r="E299" s="171"/>
      <c r="F299" s="172"/>
      <c r="G299" s="239"/>
    </row>
    <row r="300" spans="1:8" customFormat="1" ht="45">
      <c r="A300" s="237"/>
      <c r="B300" s="17" t="s">
        <v>318</v>
      </c>
      <c r="C300" s="298"/>
      <c r="D300" s="291"/>
      <c r="E300" s="291"/>
      <c r="F300" s="172"/>
      <c r="G300" s="292"/>
    </row>
    <row r="301" spans="1:8" customFormat="1" ht="11.25" customHeight="1">
      <c r="A301" s="237"/>
      <c r="B301" s="322" t="s">
        <v>17</v>
      </c>
      <c r="C301" s="171" t="s">
        <v>14</v>
      </c>
      <c r="D301" s="171">
        <v>14.67</v>
      </c>
      <c r="E301" s="16"/>
      <c r="F301" s="70">
        <f>D301*E301</f>
        <v>0</v>
      </c>
      <c r="G301" s="292"/>
    </row>
    <row r="302" spans="1:8" customFormat="1" ht="11.25" customHeight="1">
      <c r="A302" s="237"/>
      <c r="B302" s="238"/>
      <c r="C302" s="225"/>
      <c r="D302" s="171"/>
      <c r="E302" s="171"/>
      <c r="F302" s="172"/>
      <c r="G302" s="239"/>
    </row>
    <row r="303" spans="1:8" customFormat="1" ht="11.25" customHeight="1">
      <c r="A303" s="629">
        <f>IF(B303&gt;0,MAX(A$224:A302)+1,"")</f>
        <v>12</v>
      </c>
      <c r="B303" s="259" t="s">
        <v>205</v>
      </c>
      <c r="C303" s="225"/>
      <c r="D303" s="171"/>
      <c r="E303" s="171"/>
      <c r="F303" s="172"/>
      <c r="G303" s="239"/>
    </row>
    <row r="304" spans="1:8" customFormat="1" ht="45">
      <c r="A304" s="237"/>
      <c r="B304" s="17" t="s">
        <v>317</v>
      </c>
      <c r="C304" s="298"/>
      <c r="D304" s="291"/>
      <c r="E304" s="291"/>
      <c r="F304" s="172"/>
      <c r="G304" s="292"/>
    </row>
    <row r="305" spans="1:9" customFormat="1" ht="11.25" customHeight="1">
      <c r="A305" s="237"/>
      <c r="B305" s="290" t="s">
        <v>358</v>
      </c>
      <c r="C305" s="225"/>
      <c r="D305" s="171"/>
      <c r="E305" s="291"/>
      <c r="F305" s="172"/>
      <c r="G305" s="292"/>
    </row>
    <row r="306" spans="1:9" customFormat="1" ht="11.25" customHeight="1">
      <c r="A306" s="237"/>
      <c r="B306" s="322" t="s">
        <v>17</v>
      </c>
      <c r="C306" s="171" t="s">
        <v>14</v>
      </c>
      <c r="D306" s="171">
        <v>80.64</v>
      </c>
      <c r="E306" s="16"/>
      <c r="F306" s="70">
        <f>D306*E306</f>
        <v>0</v>
      </c>
      <c r="G306" s="292"/>
    </row>
    <row r="307" spans="1:9" customFormat="1" ht="11.25" customHeight="1">
      <c r="A307" s="237"/>
      <c r="B307" s="238"/>
      <c r="C307" s="225"/>
      <c r="D307" s="171"/>
      <c r="E307" s="171"/>
      <c r="F307" s="172"/>
      <c r="G307" s="239"/>
    </row>
    <row r="308" spans="1:9" customFormat="1" ht="11.25" customHeight="1">
      <c r="A308" s="629">
        <f>IF(B308&gt;0,MAX(A$224:A307)+1,"")</f>
        <v>13</v>
      </c>
      <c r="B308" s="259" t="s">
        <v>204</v>
      </c>
      <c r="C308" s="225"/>
      <c r="D308" s="171"/>
      <c r="E308" s="171"/>
      <c r="F308" s="172"/>
      <c r="G308" s="239"/>
    </row>
    <row r="309" spans="1:9" customFormat="1" ht="45">
      <c r="A309" s="237"/>
      <c r="B309" s="17" t="s">
        <v>472</v>
      </c>
      <c r="C309" s="298"/>
      <c r="D309" s="291"/>
      <c r="E309" s="291"/>
      <c r="F309" s="172"/>
      <c r="G309" s="292"/>
    </row>
    <row r="310" spans="1:9" customFormat="1" ht="22.5">
      <c r="A310" s="237"/>
      <c r="B310" s="335" t="s">
        <v>502</v>
      </c>
      <c r="C310" s="298"/>
      <c r="D310" s="291"/>
      <c r="E310" s="291"/>
      <c r="F310" s="172"/>
      <c r="G310" s="292"/>
    </row>
    <row r="311" spans="1:9" customFormat="1" ht="11.25" customHeight="1">
      <c r="A311" s="237"/>
      <c r="B311" s="290" t="s">
        <v>471</v>
      </c>
      <c r="C311" s="225"/>
      <c r="D311" s="171"/>
      <c r="E311" s="291"/>
      <c r="F311" s="172"/>
      <c r="G311" s="292"/>
    </row>
    <row r="312" spans="1:9" customFormat="1" ht="11.25" customHeight="1">
      <c r="A312" s="237"/>
      <c r="B312" s="322" t="s">
        <v>17</v>
      </c>
      <c r="C312" s="171" t="s">
        <v>14</v>
      </c>
      <c r="D312" s="171">
        <v>137.76</v>
      </c>
      <c r="E312" s="16"/>
      <c r="F312" s="70">
        <f>D312*E312</f>
        <v>0</v>
      </c>
      <c r="G312" s="292"/>
    </row>
    <row r="313" spans="1:9" customFormat="1" ht="11.25" customHeight="1">
      <c r="A313" s="237"/>
      <c r="B313" s="238"/>
      <c r="C313" s="225"/>
      <c r="D313" s="171"/>
      <c r="E313" s="171"/>
      <c r="F313" s="172"/>
      <c r="G313" s="239"/>
    </row>
    <row r="314" spans="1:9" customFormat="1" ht="11.25" customHeight="1">
      <c r="A314" s="629">
        <f>IF(B314&gt;0,MAX(A$224:A313)+1,"")</f>
        <v>14</v>
      </c>
      <c r="B314" s="259" t="s">
        <v>356</v>
      </c>
      <c r="C314" s="225"/>
      <c r="D314" s="171"/>
      <c r="E314" s="171"/>
      <c r="F314" s="172"/>
      <c r="G314" s="239"/>
    </row>
    <row r="315" spans="1:9" customFormat="1" ht="56.25">
      <c r="A315" s="237"/>
      <c r="B315" s="297" t="s">
        <v>357</v>
      </c>
      <c r="C315" s="298"/>
      <c r="D315" s="291"/>
      <c r="E315" s="291"/>
      <c r="F315" s="172"/>
      <c r="G315" s="292"/>
    </row>
    <row r="316" spans="1:9" customFormat="1" ht="11.25" customHeight="1">
      <c r="A316" s="237"/>
      <c r="B316" s="322" t="s">
        <v>17</v>
      </c>
      <c r="C316" s="171" t="s">
        <v>14</v>
      </c>
      <c r="D316" s="171">
        <v>15.96</v>
      </c>
      <c r="E316" s="171"/>
      <c r="F316" s="70">
        <f>D316*E316</f>
        <v>0</v>
      </c>
      <c r="G316" s="292"/>
    </row>
    <row r="317" spans="1:9" ht="11.25" customHeight="1">
      <c r="A317" s="152"/>
      <c r="B317" s="17"/>
      <c r="C317" s="130"/>
      <c r="D317" s="16"/>
      <c r="E317" s="16"/>
      <c r="F317" s="62"/>
      <c r="G317" s="77"/>
      <c r="H317" s="64"/>
    </row>
    <row r="318" spans="1:9" ht="11.25" customHeight="1">
      <c r="A318" s="155" t="str">
        <f>A213</f>
        <v>A.05.</v>
      </c>
      <c r="B318" s="156" t="s">
        <v>22</v>
      </c>
      <c r="C318" s="157"/>
      <c r="D318" s="124"/>
      <c r="E318" s="124"/>
      <c r="F318" s="72">
        <f>SUM(F224:F317)</f>
        <v>0</v>
      </c>
      <c r="G318" s="158"/>
      <c r="H318" s="64"/>
    </row>
    <row r="319" spans="1:9" s="260" customFormat="1" ht="11.25" customHeight="1">
      <c r="A319" s="274"/>
      <c r="B319" s="275"/>
      <c r="C319" s="276"/>
      <c r="D319" s="277"/>
      <c r="E319" s="277"/>
      <c r="F319" s="278"/>
      <c r="G319" s="279"/>
      <c r="H319" s="257"/>
    </row>
    <row r="320" spans="1:9" s="260" customFormat="1" ht="11.25" customHeight="1">
      <c r="A320" s="280" t="s">
        <v>165</v>
      </c>
      <c r="B320" s="281" t="s">
        <v>146</v>
      </c>
      <c r="C320" s="282"/>
      <c r="D320" s="283"/>
      <c r="E320" s="283"/>
      <c r="F320" s="284"/>
      <c r="G320" s="285"/>
      <c r="H320" s="286"/>
      <c r="I320" s="287"/>
    </row>
    <row r="321" spans="1:8" s="260" customFormat="1" ht="11.25" customHeight="1">
      <c r="A321" s="293"/>
      <c r="B321" s="294"/>
      <c r="C321" s="262"/>
      <c r="D321" s="263"/>
      <c r="E321" s="263"/>
      <c r="F321" s="278"/>
      <c r="G321" s="264"/>
      <c r="H321" s="257"/>
    </row>
    <row r="322" spans="1:8" s="287" customFormat="1" ht="11.25" customHeight="1">
      <c r="A322" s="318">
        <v>1</v>
      </c>
      <c r="B322" s="259" t="s">
        <v>457</v>
      </c>
      <c r="C322" s="225"/>
      <c r="D322" s="171"/>
      <c r="E322" s="171"/>
      <c r="F322" s="172"/>
      <c r="G322" s="239"/>
      <c r="H322" s="286"/>
    </row>
    <row r="323" spans="1:8" s="260" customFormat="1" ht="90">
      <c r="A323" s="295"/>
      <c r="B323" s="247" t="s">
        <v>462</v>
      </c>
      <c r="C323" s="262"/>
      <c r="D323" s="263"/>
      <c r="E323" s="263"/>
      <c r="F323" s="278"/>
      <c r="G323" s="264"/>
      <c r="H323" s="257"/>
    </row>
    <row r="324" spans="1:8" s="260" customFormat="1" ht="11.25" customHeight="1">
      <c r="A324" s="315"/>
      <c r="B324" s="290" t="s">
        <v>170</v>
      </c>
      <c r="C324" s="262"/>
      <c r="D324" s="263"/>
      <c r="E324" s="277"/>
      <c r="F324" s="278"/>
      <c r="G324" s="279"/>
      <c r="H324" s="257"/>
    </row>
    <row r="325" spans="1:8" s="287" customFormat="1" ht="11.25" customHeight="1">
      <c r="A325" s="289"/>
      <c r="B325" s="290" t="s">
        <v>13</v>
      </c>
      <c r="C325" s="171" t="s">
        <v>14</v>
      </c>
      <c r="D325" s="263">
        <v>114.25</v>
      </c>
      <c r="E325" s="171"/>
      <c r="F325" s="172">
        <f>D325*E325</f>
        <v>0</v>
      </c>
      <c r="G325" s="239"/>
      <c r="H325" s="286"/>
    </row>
    <row r="326" spans="1:8" s="260" customFormat="1" ht="11.25" customHeight="1">
      <c r="A326" s="293"/>
      <c r="B326" s="294"/>
      <c r="C326" s="262"/>
      <c r="D326" s="263"/>
      <c r="E326" s="263"/>
      <c r="F326" s="278"/>
      <c r="G326" s="264"/>
      <c r="H326" s="257"/>
    </row>
    <row r="327" spans="1:8" s="287" customFormat="1" ht="11.25" customHeight="1">
      <c r="A327" s="318">
        <f>IF(B327&gt;0,MAX(A$322:A326)+1,"")</f>
        <v>2</v>
      </c>
      <c r="B327" s="259" t="s">
        <v>458</v>
      </c>
      <c r="C327" s="225"/>
      <c r="D327" s="171"/>
      <c r="E327" s="171"/>
      <c r="F327" s="172"/>
      <c r="G327" s="239"/>
      <c r="H327" s="286"/>
    </row>
    <row r="328" spans="1:8" s="260" customFormat="1" ht="78.75">
      <c r="A328" s="295"/>
      <c r="B328" s="99" t="s">
        <v>463</v>
      </c>
      <c r="C328" s="262"/>
      <c r="D328" s="263"/>
      <c r="E328" s="263"/>
      <c r="F328" s="278"/>
      <c r="G328" s="264"/>
      <c r="H328" s="257"/>
    </row>
    <row r="329" spans="1:8" s="260" customFormat="1" ht="11.25" customHeight="1">
      <c r="A329" s="315"/>
      <c r="B329" s="290" t="s">
        <v>382</v>
      </c>
      <c r="C329" s="262"/>
      <c r="D329" s="263"/>
      <c r="E329" s="277"/>
      <c r="F329" s="278"/>
      <c r="G329" s="279"/>
      <c r="H329" s="257"/>
    </row>
    <row r="330" spans="1:8" s="287" customFormat="1" ht="11.25" customHeight="1">
      <c r="A330" s="289"/>
      <c r="B330" s="290" t="s">
        <v>13</v>
      </c>
      <c r="C330" s="171" t="s">
        <v>14</v>
      </c>
      <c r="D330" s="263">
        <v>77.12</v>
      </c>
      <c r="E330" s="171"/>
      <c r="F330" s="172">
        <f>D330*E330</f>
        <v>0</v>
      </c>
      <c r="G330" s="239"/>
      <c r="H330" s="286"/>
    </row>
    <row r="331" spans="1:8" s="287" customFormat="1" ht="11.25" customHeight="1">
      <c r="A331" s="288"/>
      <c r="B331" s="238"/>
      <c r="C331" s="225"/>
      <c r="D331" s="171"/>
      <c r="E331" s="171"/>
      <c r="F331" s="172"/>
      <c r="G331" s="239"/>
      <c r="H331" s="286"/>
    </row>
    <row r="332" spans="1:8" s="287" customFormat="1" ht="11.25" customHeight="1">
      <c r="A332" s="289"/>
      <c r="B332" s="238" t="s">
        <v>147</v>
      </c>
      <c r="C332" s="225"/>
      <c r="D332" s="171"/>
      <c r="E332" s="171"/>
      <c r="F332" s="172"/>
      <c r="G332" s="239"/>
      <c r="H332" s="286"/>
    </row>
    <row r="333" spans="1:8" s="287" customFormat="1" ht="11.25" customHeight="1">
      <c r="A333" s="288"/>
      <c r="B333" s="99" t="s">
        <v>148</v>
      </c>
      <c r="C333" s="225"/>
      <c r="D333" s="171"/>
      <c r="E333" s="171"/>
      <c r="F333" s="172"/>
      <c r="G333" s="239"/>
      <c r="H333" s="286"/>
    </row>
    <row r="334" spans="1:8" s="287" customFormat="1" ht="22.5">
      <c r="A334" s="288"/>
      <c r="B334" s="99" t="s">
        <v>149</v>
      </c>
      <c r="C334" s="225"/>
      <c r="D334" s="171"/>
      <c r="E334" s="171"/>
      <c r="F334" s="172"/>
      <c r="G334" s="239"/>
      <c r="H334" s="286"/>
    </row>
    <row r="335" spans="1:8" s="260" customFormat="1" ht="11.25" customHeight="1">
      <c r="A335" s="295"/>
      <c r="B335" s="294"/>
      <c r="C335" s="277"/>
      <c r="D335" s="263"/>
      <c r="E335" s="263"/>
      <c r="F335" s="278"/>
      <c r="G335" s="264"/>
      <c r="H335" s="257"/>
    </row>
    <row r="336" spans="1:8" s="287" customFormat="1" ht="11.25" customHeight="1">
      <c r="A336" s="318">
        <f>IF(B336&gt;0,MAX(A$322:A335)+1,"")</f>
        <v>3</v>
      </c>
      <c r="B336" s="238" t="s">
        <v>434</v>
      </c>
      <c r="C336" s="225"/>
      <c r="D336" s="171"/>
      <c r="E336" s="171"/>
      <c r="F336" s="172"/>
      <c r="G336" s="239"/>
      <c r="H336" s="286"/>
    </row>
    <row r="337" spans="1:9" s="260" customFormat="1" ht="78.75">
      <c r="A337" s="295"/>
      <c r="B337" s="99" t="s">
        <v>435</v>
      </c>
      <c r="C337" s="262"/>
      <c r="D337" s="263"/>
      <c r="E337" s="263"/>
      <c r="F337" s="278"/>
      <c r="G337" s="296"/>
      <c r="H337" s="257"/>
    </row>
    <row r="338" spans="1:9" s="287" customFormat="1">
      <c r="A338" s="289"/>
      <c r="B338" s="290" t="s">
        <v>171</v>
      </c>
      <c r="C338" s="225"/>
      <c r="D338" s="171"/>
      <c r="E338" s="171"/>
      <c r="F338" s="172"/>
      <c r="G338" s="319"/>
      <c r="H338" s="286"/>
    </row>
    <row r="339" spans="1:9" s="287" customFormat="1" ht="11.25" customHeight="1">
      <c r="A339" s="289"/>
      <c r="B339" s="290" t="s">
        <v>13</v>
      </c>
      <c r="C339" s="171" t="s">
        <v>14</v>
      </c>
      <c r="D339" s="171">
        <v>66.78</v>
      </c>
      <c r="E339" s="171"/>
      <c r="F339" s="172">
        <f>D339*E339</f>
        <v>0</v>
      </c>
      <c r="G339" s="239"/>
      <c r="H339" s="286"/>
    </row>
    <row r="340" spans="1:9" s="260" customFormat="1" ht="11.25" customHeight="1">
      <c r="A340" s="295"/>
      <c r="B340" s="294"/>
      <c r="C340" s="277"/>
      <c r="D340" s="263"/>
      <c r="E340" s="263"/>
      <c r="F340" s="278"/>
      <c r="G340" s="264"/>
      <c r="H340" s="257"/>
    </row>
    <row r="341" spans="1:9" s="287" customFormat="1" ht="11.25" customHeight="1">
      <c r="A341" s="318">
        <f>IF(B341&gt;0,MAX(A$322:A340)+1,"")</f>
        <v>4</v>
      </c>
      <c r="B341" s="238" t="s">
        <v>432</v>
      </c>
      <c r="C341" s="225"/>
      <c r="D341" s="171"/>
      <c r="E341" s="171"/>
      <c r="F341" s="172"/>
      <c r="G341" s="239"/>
      <c r="H341" s="286"/>
    </row>
    <row r="342" spans="1:9" s="260" customFormat="1" ht="45">
      <c r="A342" s="295"/>
      <c r="B342" s="99" t="s">
        <v>433</v>
      </c>
      <c r="C342" s="262"/>
      <c r="D342" s="263"/>
      <c r="E342" s="263"/>
      <c r="F342" s="278"/>
      <c r="G342" s="296"/>
      <c r="H342" s="257"/>
    </row>
    <row r="343" spans="1:9" s="287" customFormat="1" ht="11.25" customHeight="1">
      <c r="A343" s="289"/>
      <c r="B343" s="290" t="s">
        <v>13</v>
      </c>
      <c r="G343" s="239"/>
      <c r="H343" s="286"/>
    </row>
    <row r="344" spans="1:9" s="287" customFormat="1" ht="11.25" customHeight="1">
      <c r="A344" s="289"/>
      <c r="B344" s="299" t="s">
        <v>466</v>
      </c>
      <c r="C344" s="698"/>
      <c r="D344" s="698"/>
      <c r="E344" s="320"/>
      <c r="F344" s="699"/>
      <c r="G344" s="239"/>
      <c r="H344" s="286"/>
    </row>
    <row r="345" spans="1:9" s="287" customFormat="1" ht="11.25" customHeight="1">
      <c r="A345" s="289"/>
      <c r="B345" s="299" t="s">
        <v>467</v>
      </c>
      <c r="C345" s="263" t="s">
        <v>14</v>
      </c>
      <c r="D345" s="263">
        <v>3.74</v>
      </c>
      <c r="E345" s="171"/>
      <c r="F345" s="172">
        <f>D345*E345</f>
        <v>0</v>
      </c>
      <c r="G345" s="239"/>
      <c r="H345" s="286"/>
    </row>
    <row r="346" spans="1:9" s="287" customFormat="1" ht="11.25" customHeight="1">
      <c r="A346" s="289"/>
      <c r="B346" s="290" t="s">
        <v>172</v>
      </c>
      <c r="C346" s="320"/>
      <c r="D346" s="320"/>
      <c r="E346" s="320"/>
      <c r="F346" s="321"/>
      <c r="G346" s="239"/>
      <c r="H346" s="286"/>
    </row>
    <row r="347" spans="1:9" s="287" customFormat="1" ht="11.25" customHeight="1">
      <c r="A347" s="289"/>
      <c r="B347" s="290" t="s">
        <v>468</v>
      </c>
      <c r="C347" s="171" t="s">
        <v>14</v>
      </c>
      <c r="D347" s="263">
        <v>114.42</v>
      </c>
      <c r="E347" s="171"/>
      <c r="F347" s="172">
        <f>D347*E347</f>
        <v>0</v>
      </c>
      <c r="G347" s="239"/>
      <c r="H347" s="286"/>
    </row>
    <row r="348" spans="1:9" s="287" customFormat="1" ht="11.25" customHeight="1">
      <c r="A348" s="289"/>
      <c r="B348" s="290" t="s">
        <v>173</v>
      </c>
      <c r="C348" s="320"/>
      <c r="D348" s="320"/>
      <c r="E348" s="320"/>
      <c r="F348" s="321"/>
      <c r="G348" s="239"/>
      <c r="H348" s="286"/>
    </row>
    <row r="349" spans="1:9" s="287" customFormat="1" ht="11.25" customHeight="1">
      <c r="A349" s="289"/>
      <c r="B349" s="290" t="s">
        <v>469</v>
      </c>
      <c r="C349" s="171" t="s">
        <v>14</v>
      </c>
      <c r="D349" s="263">
        <v>212.04</v>
      </c>
      <c r="E349" s="171"/>
      <c r="F349" s="172">
        <f>D349*E349</f>
        <v>0</v>
      </c>
      <c r="G349" s="239"/>
      <c r="H349" s="286"/>
    </row>
    <row r="350" spans="1:9" s="260" customFormat="1" ht="11.25" customHeight="1">
      <c r="A350" s="295"/>
      <c r="B350" s="299"/>
      <c r="C350" s="263"/>
      <c r="D350" s="263"/>
      <c r="E350" s="171"/>
      <c r="F350" s="172"/>
      <c r="G350" s="264"/>
      <c r="H350" s="286"/>
      <c r="I350" s="287"/>
    </row>
    <row r="351" spans="1:9" s="260" customFormat="1" ht="11.25" customHeight="1">
      <c r="A351" s="295"/>
      <c r="B351" s="83" t="s">
        <v>150</v>
      </c>
      <c r="C351" s="262"/>
      <c r="D351" s="263"/>
      <c r="E351" s="263"/>
      <c r="F351" s="278"/>
      <c r="G351" s="264"/>
      <c r="H351" s="286"/>
      <c r="I351" s="287"/>
    </row>
    <row r="352" spans="1:9" s="260" customFormat="1" ht="11.25" customHeight="1">
      <c r="A352" s="295"/>
      <c r="B352" s="83"/>
      <c r="C352" s="262"/>
      <c r="D352" s="263"/>
      <c r="E352" s="263"/>
      <c r="F352" s="278"/>
      <c r="G352" s="264"/>
      <c r="H352" s="286"/>
      <c r="I352" s="287"/>
    </row>
    <row r="353" spans="1:9" s="260" customFormat="1" ht="11.25" customHeight="1">
      <c r="B353" s="83" t="s">
        <v>151</v>
      </c>
      <c r="C353" s="262"/>
      <c r="D353" s="263"/>
      <c r="E353" s="263"/>
      <c r="F353" s="278"/>
      <c r="G353" s="264"/>
      <c r="H353" s="286"/>
      <c r="I353" s="287"/>
    </row>
    <row r="354" spans="1:9" s="260" customFormat="1" ht="45">
      <c r="A354" s="295"/>
      <c r="B354" s="99" t="s">
        <v>152</v>
      </c>
      <c r="C354" s="262"/>
      <c r="D354" s="263"/>
      <c r="E354" s="263"/>
      <c r="F354" s="278"/>
      <c r="G354" s="264"/>
      <c r="H354" s="286"/>
      <c r="I354" s="287"/>
    </row>
    <row r="355" spans="1:9" s="260" customFormat="1" ht="33.75">
      <c r="A355" s="295"/>
      <c r="B355" s="99" t="s">
        <v>153</v>
      </c>
      <c r="C355" s="262"/>
      <c r="D355" s="263"/>
      <c r="E355" s="263"/>
      <c r="F355" s="278"/>
      <c r="G355" s="264"/>
      <c r="H355" s="286"/>
      <c r="I355" s="287"/>
    </row>
    <row r="356" spans="1:9" s="260" customFormat="1" ht="11.25" customHeight="1">
      <c r="A356" s="289"/>
      <c r="B356" s="238"/>
      <c r="C356" s="225"/>
      <c r="D356" s="171"/>
      <c r="E356" s="171"/>
      <c r="F356" s="172"/>
      <c r="G356" s="239"/>
      <c r="H356" s="257"/>
    </row>
    <row r="357" spans="1:9" s="260" customFormat="1" ht="22.5">
      <c r="A357" s="318">
        <f>IF(B353&gt;0,MAX(A$322:A352)+1,"")</f>
        <v>5</v>
      </c>
      <c r="B357" s="238" t="s">
        <v>554</v>
      </c>
      <c r="C357" s="225"/>
      <c r="D357" s="171"/>
      <c r="E357" s="171"/>
      <c r="F357" s="172"/>
      <c r="G357" s="239"/>
      <c r="H357" s="257"/>
    </row>
    <row r="358" spans="1:9" s="260" customFormat="1" ht="33.75">
      <c r="A358" s="289"/>
      <c r="B358" s="297" t="s">
        <v>154</v>
      </c>
      <c r="C358" s="298"/>
      <c r="D358" s="291"/>
      <c r="E358" s="291"/>
      <c r="F358" s="172"/>
      <c r="G358" s="292"/>
      <c r="H358" s="257"/>
    </row>
    <row r="359" spans="1:9" s="260" customFormat="1" ht="11.25" customHeight="1">
      <c r="A359" s="289"/>
      <c r="B359" s="297" t="s">
        <v>155</v>
      </c>
      <c r="C359" s="298"/>
      <c r="D359" s="291"/>
      <c r="E359" s="291"/>
      <c r="F359" s="172"/>
      <c r="G359" s="292"/>
      <c r="H359" s="257"/>
    </row>
    <row r="360" spans="1:9" s="260" customFormat="1" ht="56.25">
      <c r="A360" s="289"/>
      <c r="B360" s="275" t="s">
        <v>465</v>
      </c>
      <c r="C360" s="298"/>
      <c r="D360" s="291"/>
      <c r="E360" s="291"/>
      <c r="F360" s="172"/>
      <c r="G360" s="292"/>
      <c r="H360" s="257"/>
    </row>
    <row r="361" spans="1:9" s="260" customFormat="1" ht="22.5">
      <c r="A361" s="289"/>
      <c r="B361" s="297" t="s">
        <v>383</v>
      </c>
      <c r="C361" s="298"/>
      <c r="D361" s="291"/>
      <c r="E361" s="291"/>
      <c r="F361" s="172"/>
      <c r="G361" s="292"/>
      <c r="H361" s="257"/>
    </row>
    <row r="362" spans="1:9" s="260" customFormat="1" ht="33.75">
      <c r="A362" s="289"/>
      <c r="B362" s="297" t="s">
        <v>555</v>
      </c>
      <c r="C362" s="298"/>
      <c r="D362" s="291"/>
      <c r="E362" s="291"/>
      <c r="F362" s="172"/>
      <c r="G362" s="292"/>
      <c r="H362" s="257"/>
    </row>
    <row r="363" spans="1:9" s="260" customFormat="1" ht="11.25" customHeight="1">
      <c r="A363" s="289"/>
      <c r="B363" s="317" t="s">
        <v>168</v>
      </c>
      <c r="C363" s="225"/>
      <c r="D363" s="171"/>
      <c r="E363" s="291"/>
      <c r="F363" s="172"/>
      <c r="G363" s="292"/>
      <c r="H363" s="257"/>
    </row>
    <row r="364" spans="1:9" s="260" customFormat="1" ht="11.25" customHeight="1">
      <c r="A364" s="289"/>
      <c r="B364" s="290" t="s">
        <v>156</v>
      </c>
      <c r="C364" s="171" t="s">
        <v>14</v>
      </c>
      <c r="D364" s="171">
        <v>190.98</v>
      </c>
      <c r="E364" s="171">
        <v>140</v>
      </c>
      <c r="F364" s="172">
        <f>D364*E364</f>
        <v>26737.200000000001</v>
      </c>
      <c r="G364" s="292"/>
      <c r="H364" s="257"/>
    </row>
    <row r="365" spans="1:9" s="260" customFormat="1" ht="49.5" customHeight="1">
      <c r="A365" s="295"/>
      <c r="B365" s="809" t="s">
        <v>560</v>
      </c>
      <c r="C365" s="262"/>
      <c r="D365" s="263"/>
      <c r="E365" s="263"/>
      <c r="F365" s="278"/>
      <c r="G365" s="264"/>
      <c r="H365" s="286"/>
      <c r="I365" s="287"/>
    </row>
    <row r="366" spans="1:9" s="260" customFormat="1" ht="11.25" customHeight="1">
      <c r="A366" s="318">
        <f>IF(B366&gt;0,MAX(A$322:A365)+1,"")</f>
        <v>6</v>
      </c>
      <c r="B366" s="238" t="s">
        <v>464</v>
      </c>
      <c r="C366" s="262"/>
      <c r="D366" s="263"/>
      <c r="E366" s="263"/>
      <c r="F366" s="278"/>
      <c r="G366" s="264"/>
      <c r="H366" s="257"/>
    </row>
    <row r="367" spans="1:9" s="260" customFormat="1" ht="33.75">
      <c r="A367" s="295"/>
      <c r="B367" s="297" t="s">
        <v>154</v>
      </c>
      <c r="C367" s="276"/>
      <c r="D367" s="277"/>
      <c r="E367" s="277"/>
      <c r="F367" s="278"/>
      <c r="G367" s="279"/>
      <c r="H367" s="257"/>
    </row>
    <row r="368" spans="1:9" s="260" customFormat="1" ht="11.25" customHeight="1">
      <c r="A368" s="295"/>
      <c r="B368" s="297" t="s">
        <v>155</v>
      </c>
      <c r="C368" s="276"/>
      <c r="D368" s="277"/>
      <c r="E368" s="277"/>
      <c r="F368" s="278"/>
      <c r="G368" s="279"/>
      <c r="H368" s="257"/>
    </row>
    <row r="369" spans="1:9" s="260" customFormat="1" ht="56.25">
      <c r="A369" s="295"/>
      <c r="B369" s="275" t="s">
        <v>465</v>
      </c>
      <c r="C369" s="276"/>
      <c r="D369" s="277"/>
      <c r="E369" s="277"/>
      <c r="F369" s="278"/>
      <c r="G369" s="316"/>
      <c r="H369" s="257"/>
    </row>
    <row r="370" spans="1:9" s="260" customFormat="1" ht="22.5">
      <c r="A370" s="295"/>
      <c r="B370" s="297" t="s">
        <v>383</v>
      </c>
      <c r="C370" s="276"/>
      <c r="D370" s="277"/>
      <c r="E370" s="277"/>
      <c r="F370" s="278"/>
      <c r="G370" s="279"/>
      <c r="H370" s="257"/>
    </row>
    <row r="371" spans="1:9" s="260" customFormat="1" ht="22.5">
      <c r="A371" s="295"/>
      <c r="B371" s="297" t="s">
        <v>169</v>
      </c>
      <c r="C371" s="276"/>
      <c r="D371" s="277"/>
      <c r="E371" s="277"/>
      <c r="F371" s="278"/>
      <c r="G371" s="279"/>
      <c r="H371" s="257"/>
    </row>
    <row r="372" spans="1:9" s="260" customFormat="1" ht="11.25" customHeight="1">
      <c r="A372" s="295"/>
      <c r="B372" s="317" t="s">
        <v>168</v>
      </c>
      <c r="C372" s="262"/>
      <c r="D372" s="263"/>
      <c r="E372" s="277"/>
      <c r="F372" s="278"/>
      <c r="G372" s="279"/>
      <c r="H372" s="257"/>
    </row>
    <row r="373" spans="1:9" s="260" customFormat="1" ht="11.25" customHeight="1">
      <c r="A373" s="295"/>
      <c r="B373" s="290" t="s">
        <v>156</v>
      </c>
      <c r="C373" s="171" t="s">
        <v>14</v>
      </c>
      <c r="D373" s="171">
        <v>235.14</v>
      </c>
      <c r="E373" s="171">
        <v>80</v>
      </c>
      <c r="F373" s="172">
        <f>D373*E373</f>
        <v>18811.2</v>
      </c>
      <c r="G373" s="292"/>
      <c r="H373" s="286"/>
    </row>
    <row r="374" spans="1:9" s="260" customFormat="1" ht="52.5" customHeight="1">
      <c r="A374" s="295"/>
      <c r="B374" s="809" t="s">
        <v>559</v>
      </c>
      <c r="C374" s="262"/>
      <c r="D374" s="263"/>
      <c r="E374" s="263"/>
      <c r="F374" s="278"/>
      <c r="G374" s="264"/>
      <c r="H374" s="286"/>
      <c r="I374" s="287"/>
    </row>
    <row r="375" spans="1:9" s="260" customFormat="1" ht="11.25" customHeight="1">
      <c r="A375" s="318">
        <f>IF(B375&gt;0,MAX(A$322:A374)+1,"")</f>
        <v>7</v>
      </c>
      <c r="B375" s="238" t="s">
        <v>364</v>
      </c>
      <c r="C375" s="262"/>
      <c r="D375" s="263"/>
      <c r="E375" s="263"/>
      <c r="F375" s="278"/>
      <c r="G375" s="264"/>
      <c r="H375" s="257"/>
    </row>
    <row r="376" spans="1:9" s="260" customFormat="1" ht="33.75">
      <c r="A376" s="295"/>
      <c r="B376" s="297" t="s">
        <v>154</v>
      </c>
      <c r="C376" s="276"/>
      <c r="D376" s="277"/>
      <c r="E376" s="277"/>
      <c r="F376" s="278"/>
      <c r="G376" s="279"/>
      <c r="H376" s="257"/>
    </row>
    <row r="377" spans="1:9" s="260" customFormat="1" ht="11.25" customHeight="1">
      <c r="A377" s="295"/>
      <c r="B377" s="297" t="s">
        <v>155</v>
      </c>
      <c r="C377" s="276"/>
      <c r="D377" s="277"/>
      <c r="E377" s="277"/>
      <c r="F377" s="278"/>
      <c r="G377" s="279"/>
      <c r="H377" s="257"/>
    </row>
    <row r="378" spans="1:9" s="260" customFormat="1" ht="56.25">
      <c r="A378" s="295"/>
      <c r="B378" s="275" t="s">
        <v>395</v>
      </c>
      <c r="C378" s="276"/>
      <c r="D378" s="277"/>
      <c r="E378" s="277"/>
      <c r="F378" s="278"/>
      <c r="G378" s="316"/>
      <c r="H378" s="257"/>
    </row>
    <row r="379" spans="1:9" s="260" customFormat="1" ht="22.5">
      <c r="A379" s="295"/>
      <c r="B379" s="297" t="s">
        <v>383</v>
      </c>
      <c r="C379" s="276"/>
      <c r="D379" s="277"/>
      <c r="E379" s="277"/>
      <c r="F379" s="278"/>
      <c r="G379" s="279"/>
      <c r="H379" s="257"/>
    </row>
    <row r="380" spans="1:9" s="260" customFormat="1" ht="22.5">
      <c r="A380" s="295"/>
      <c r="B380" s="297" t="s">
        <v>169</v>
      </c>
      <c r="C380" s="276"/>
      <c r="D380" s="277"/>
      <c r="E380" s="277"/>
      <c r="F380" s="278"/>
      <c r="G380" s="279"/>
      <c r="H380" s="257"/>
    </row>
    <row r="381" spans="1:9" s="260" customFormat="1" ht="11.25" customHeight="1">
      <c r="A381" s="295"/>
      <c r="B381" s="247" t="s">
        <v>363</v>
      </c>
      <c r="C381" s="262"/>
      <c r="D381" s="263"/>
      <c r="E381" s="277"/>
      <c r="F381" s="278"/>
      <c r="G381" s="279"/>
      <c r="H381" s="257"/>
    </row>
    <row r="382" spans="1:9" s="260" customFormat="1" ht="11.25" customHeight="1">
      <c r="A382" s="295"/>
      <c r="B382" s="290" t="s">
        <v>156</v>
      </c>
      <c r="C382" s="171" t="s">
        <v>14</v>
      </c>
      <c r="D382" s="171">
        <v>33.049999999999997</v>
      </c>
      <c r="E382" s="171">
        <v>68</v>
      </c>
      <c r="F382" s="172">
        <f>D382*E382</f>
        <v>2247.4</v>
      </c>
      <c r="G382" s="292"/>
      <c r="H382" s="286"/>
    </row>
    <row r="383" spans="1:9" s="260" customFormat="1" ht="39" customHeight="1">
      <c r="A383" s="295"/>
      <c r="B383" s="809" t="s">
        <v>559</v>
      </c>
      <c r="C383" s="263"/>
      <c r="D383" s="263"/>
      <c r="E383" s="263"/>
      <c r="F383" s="278"/>
      <c r="G383" s="279"/>
      <c r="H383" s="257"/>
    </row>
    <row r="384" spans="1:9" s="260" customFormat="1" ht="11.25" customHeight="1">
      <c r="A384" s="288"/>
      <c r="B384" s="307" t="s">
        <v>157</v>
      </c>
      <c r="C384" s="171"/>
      <c r="D384" s="171"/>
      <c r="E384" s="171"/>
      <c r="F384" s="172"/>
      <c r="G384" s="239"/>
      <c r="H384" s="257"/>
    </row>
    <row r="385" spans="1:8" s="260" customFormat="1" ht="11.25" customHeight="1">
      <c r="A385" s="288"/>
      <c r="B385" s="307"/>
      <c r="C385" s="171"/>
      <c r="D385" s="171"/>
      <c r="E385" s="171"/>
      <c r="F385" s="172"/>
      <c r="G385" s="239"/>
      <c r="H385" s="257"/>
    </row>
    <row r="386" spans="1:8" s="260" customFormat="1" ht="11.25" customHeight="1">
      <c r="A386" s="318">
        <f>IF(B386&gt;0,MAX(A$322:A385)+1,"")</f>
        <v>8</v>
      </c>
      <c r="B386" s="300" t="s">
        <v>158</v>
      </c>
      <c r="C386" s="301"/>
      <c r="D386" s="302"/>
      <c r="E386" s="302"/>
      <c r="F386" s="303"/>
      <c r="G386" s="304"/>
      <c r="H386" s="257"/>
    </row>
    <row r="387" spans="1:8" s="260" customFormat="1" ht="56.25">
      <c r="A387" s="305"/>
      <c r="B387" s="306" t="s">
        <v>159</v>
      </c>
      <c r="C387" s="301"/>
      <c r="D387" s="302"/>
      <c r="E387" s="302"/>
      <c r="F387" s="303"/>
      <c r="G387" s="304"/>
      <c r="H387" s="257"/>
    </row>
    <row r="388" spans="1:8" s="260" customFormat="1" ht="45">
      <c r="A388" s="305"/>
      <c r="B388" s="306" t="s">
        <v>160</v>
      </c>
      <c r="C388" s="301"/>
      <c r="D388" s="302"/>
      <c r="E388" s="302"/>
      <c r="F388" s="303"/>
      <c r="G388" s="304"/>
      <c r="H388" s="257"/>
    </row>
    <row r="389" spans="1:8" s="260" customFormat="1" ht="22.5">
      <c r="A389" s="305"/>
      <c r="B389" s="306" t="s">
        <v>161</v>
      </c>
      <c r="C389" s="301"/>
      <c r="D389" s="302"/>
      <c r="E389" s="302"/>
      <c r="F389" s="303"/>
      <c r="G389" s="304"/>
      <c r="H389" s="257"/>
    </row>
    <row r="390" spans="1:8" s="260" customFormat="1" ht="33.75">
      <c r="A390" s="305"/>
      <c r="B390" s="306" t="s">
        <v>162</v>
      </c>
      <c r="C390" s="301"/>
      <c r="D390" s="302"/>
      <c r="E390" s="302"/>
      <c r="F390" s="303"/>
      <c r="G390" s="304"/>
      <c r="H390" s="257"/>
    </row>
    <row r="391" spans="1:8" s="260" customFormat="1">
      <c r="A391" s="305"/>
      <c r="B391" s="306"/>
      <c r="C391" s="301"/>
      <c r="D391" s="302"/>
      <c r="E391" s="302"/>
      <c r="F391" s="303"/>
      <c r="G391" s="304"/>
      <c r="H391" s="257"/>
    </row>
    <row r="392" spans="1:8" s="260" customFormat="1" ht="11.25" customHeight="1">
      <c r="A392" s="305"/>
      <c r="B392" s="306" t="s">
        <v>163</v>
      </c>
      <c r="C392" s="301" t="s">
        <v>14</v>
      </c>
      <c r="D392" s="302">
        <v>552.34</v>
      </c>
      <c r="E392" s="302">
        <v>8.3000000000000007</v>
      </c>
      <c r="F392" s="172">
        <f>D392*E392</f>
        <v>4584.42</v>
      </c>
      <c r="G392" s="304"/>
      <c r="H392" s="257"/>
    </row>
    <row r="393" spans="1:8" s="260" customFormat="1" ht="37.5" customHeight="1">
      <c r="A393" s="810" t="s">
        <v>556</v>
      </c>
      <c r="B393" s="811" t="s">
        <v>558</v>
      </c>
      <c r="C393" s="301" t="s">
        <v>557</v>
      </c>
      <c r="D393" s="302">
        <v>95</v>
      </c>
      <c r="E393" s="302">
        <v>45</v>
      </c>
      <c r="F393" s="172">
        <f>D393*E393</f>
        <v>4275</v>
      </c>
      <c r="G393" s="304"/>
      <c r="H393" s="257"/>
    </row>
    <row r="394" spans="1:8" s="260" customFormat="1" ht="11.25" customHeight="1">
      <c r="A394" s="288"/>
      <c r="B394" s="290"/>
      <c r="C394" s="171"/>
      <c r="D394" s="171"/>
      <c r="E394" s="171"/>
      <c r="F394" s="172"/>
      <c r="G394" s="239"/>
      <c r="H394" s="257"/>
    </row>
    <row r="395" spans="1:8" s="260" customFormat="1" ht="11.25" customHeight="1">
      <c r="A395" s="308" t="str">
        <f>A320</f>
        <v>A.06.</v>
      </c>
      <c r="B395" s="309" t="s">
        <v>164</v>
      </c>
      <c r="C395" s="310"/>
      <c r="D395" s="311"/>
      <c r="E395" s="311"/>
      <c r="F395" s="312">
        <f>SUM(F321:F393)</f>
        <v>56655.22</v>
      </c>
      <c r="G395" s="313"/>
      <c r="H395" s="257"/>
    </row>
    <row r="396" spans="1:8" s="260" customFormat="1" ht="11.25" customHeight="1">
      <c r="A396" s="618"/>
      <c r="B396" s="619"/>
      <c r="C396" s="298"/>
      <c r="D396" s="171"/>
      <c r="E396" s="171"/>
      <c r="F396" s="620"/>
      <c r="G396" s="621"/>
      <c r="H396" s="257"/>
    </row>
    <row r="397" spans="1:8" s="260" customFormat="1" ht="11.25" customHeight="1">
      <c r="A397" s="568" t="s">
        <v>298</v>
      </c>
      <c r="B397" s="569" t="s">
        <v>299</v>
      </c>
      <c r="C397" s="570"/>
      <c r="D397" s="571"/>
      <c r="E397" s="572"/>
      <c r="F397" s="573"/>
      <c r="G397" s="570"/>
      <c r="H397" s="257"/>
    </row>
    <row r="398" spans="1:8" s="260" customFormat="1" ht="11.25" customHeight="1">
      <c r="A398" s="574"/>
      <c r="B398" s="462"/>
      <c r="C398" s="575"/>
      <c r="D398" s="576"/>
      <c r="E398" s="577"/>
      <c r="F398" s="511"/>
      <c r="G398" s="578"/>
      <c r="H398" s="257"/>
    </row>
    <row r="399" spans="1:8" s="601" customFormat="1">
      <c r="A399" s="574"/>
      <c r="B399" s="600" t="s">
        <v>89</v>
      </c>
      <c r="C399" s="575"/>
      <c r="D399" s="576"/>
      <c r="E399" s="577"/>
      <c r="F399" s="511"/>
      <c r="G399" s="578"/>
    </row>
    <row r="400" spans="1:8" s="601" customFormat="1" ht="45">
      <c r="A400" s="574"/>
      <c r="B400" s="462" t="s">
        <v>302</v>
      </c>
      <c r="C400" s="575"/>
      <c r="D400" s="576"/>
      <c r="E400" s="577"/>
      <c r="F400" s="511"/>
      <c r="G400" s="578"/>
    </row>
    <row r="401" spans="1:8" s="601" customFormat="1" ht="258.75">
      <c r="A401" s="574"/>
      <c r="B401" s="429" t="s">
        <v>429</v>
      </c>
      <c r="C401" s="575"/>
      <c r="D401" s="576"/>
      <c r="E401" s="577"/>
      <c r="F401" s="511"/>
      <c r="G401" s="578"/>
    </row>
    <row r="402" spans="1:8" s="596" customFormat="1" ht="90">
      <c r="A402" s="591"/>
      <c r="B402" s="591" t="s">
        <v>397</v>
      </c>
      <c r="C402" s="592"/>
      <c r="D402" s="593"/>
      <c r="E402" s="593"/>
      <c r="F402" s="594"/>
      <c r="G402" s="595"/>
    </row>
    <row r="403" spans="1:8" s="260" customFormat="1" ht="11.25" customHeight="1">
      <c r="A403" s="574"/>
      <c r="B403" s="462"/>
      <c r="C403" s="575"/>
      <c r="D403" s="576"/>
      <c r="E403" s="577"/>
      <c r="F403" s="511"/>
      <c r="G403" s="578"/>
      <c r="H403" s="257"/>
    </row>
    <row r="404" spans="1:8" s="598" customFormat="1">
      <c r="A404" s="579">
        <v>1</v>
      </c>
      <c r="B404" s="580" t="s">
        <v>430</v>
      </c>
      <c r="C404" s="581"/>
      <c r="D404" s="576"/>
      <c r="E404" s="576"/>
      <c r="F404" s="582"/>
      <c r="G404" s="597"/>
    </row>
    <row r="405" spans="1:8" s="598" customFormat="1" ht="67.5">
      <c r="A405" s="583"/>
      <c r="B405" s="584" t="s">
        <v>431</v>
      </c>
      <c r="C405" s="581"/>
      <c r="D405" s="576"/>
      <c r="E405" s="576"/>
      <c r="F405" s="582"/>
      <c r="G405" s="599"/>
    </row>
    <row r="406" spans="1:8" s="598" customFormat="1">
      <c r="A406" s="583"/>
      <c r="B406" s="584" t="s">
        <v>186</v>
      </c>
      <c r="C406" s="581" t="s">
        <v>187</v>
      </c>
      <c r="D406" s="576">
        <v>44.3</v>
      </c>
      <c r="E406" s="576"/>
      <c r="F406" s="582">
        <f>D406*E406</f>
        <v>0</v>
      </c>
      <c r="G406" s="597"/>
    </row>
    <row r="407" spans="1:8" s="598" customFormat="1">
      <c r="A407" s="583"/>
      <c r="B407" s="584"/>
      <c r="C407" s="581"/>
      <c r="D407" s="576"/>
      <c r="E407" s="576"/>
      <c r="F407" s="582"/>
      <c r="G407" s="597"/>
    </row>
    <row r="408" spans="1:8" s="598" customFormat="1">
      <c r="A408" s="634">
        <f>IF(B408&gt;0,MAX(A$404:A407)+1,"")</f>
        <v>2</v>
      </c>
      <c r="B408" s="580" t="s">
        <v>301</v>
      </c>
      <c r="C408" s="581"/>
      <c r="D408" s="576"/>
      <c r="E408" s="576"/>
      <c r="F408" s="582"/>
      <c r="G408" s="597"/>
    </row>
    <row r="409" spans="1:8" s="598" customFormat="1" ht="67.5">
      <c r="A409" s="583"/>
      <c r="B409" s="584" t="s">
        <v>365</v>
      </c>
      <c r="C409" s="581"/>
      <c r="D409" s="576"/>
      <c r="E409" s="576"/>
      <c r="F409" s="582"/>
      <c r="G409" s="599"/>
    </row>
    <row r="410" spans="1:8" s="598" customFormat="1">
      <c r="A410" s="583"/>
      <c r="B410" s="584" t="s">
        <v>186</v>
      </c>
      <c r="C410" s="581" t="s">
        <v>187</v>
      </c>
      <c r="D410" s="576">
        <v>36.799999999999997</v>
      </c>
      <c r="E410" s="576"/>
      <c r="F410" s="582">
        <f>D410*E410</f>
        <v>0</v>
      </c>
      <c r="G410" s="597"/>
    </row>
    <row r="411" spans="1:8" s="260" customFormat="1" ht="11.25" customHeight="1">
      <c r="A411" s="585"/>
      <c r="B411" s="466"/>
      <c r="C411" s="586"/>
      <c r="D411" s="587"/>
      <c r="E411" s="588"/>
      <c r="F411" s="589"/>
      <c r="G411" s="590"/>
      <c r="H411" s="257"/>
    </row>
    <row r="412" spans="1:8" s="260" customFormat="1" ht="11.25" customHeight="1">
      <c r="A412" s="568" t="s">
        <v>298</v>
      </c>
      <c r="B412" s="569" t="s">
        <v>300</v>
      </c>
      <c r="C412" s="570"/>
      <c r="D412" s="571"/>
      <c r="E412" s="572"/>
      <c r="F412" s="573">
        <f>SUM(F404:F410)</f>
        <v>0</v>
      </c>
      <c r="G412" s="570"/>
      <c r="H412" s="257"/>
    </row>
    <row r="413" spans="1:8" ht="11.25" customHeight="1">
      <c r="A413" s="208"/>
      <c r="B413" s="212"/>
      <c r="C413" s="187"/>
      <c r="D413" s="159"/>
      <c r="E413" s="179"/>
      <c r="F413" s="160"/>
      <c r="G413" s="187"/>
      <c r="H413" s="64"/>
    </row>
    <row r="414" spans="1:8" ht="11.25" customHeight="1">
      <c r="A414" s="78"/>
      <c r="B414" s="79" t="s">
        <v>46</v>
      </c>
      <c r="C414" s="80"/>
      <c r="D414" s="81"/>
      <c r="E414" s="81"/>
      <c r="F414" s="73"/>
      <c r="G414" s="73"/>
    </row>
    <row r="415" spans="1:8" ht="11.25" customHeight="1">
      <c r="A415" s="82"/>
      <c r="B415" s="83"/>
      <c r="C415" s="76"/>
      <c r="D415" s="14"/>
      <c r="E415" s="14"/>
      <c r="F415" s="74"/>
      <c r="G415" s="74"/>
    </row>
    <row r="416" spans="1:8" ht="11.25" customHeight="1">
      <c r="A416" s="84" t="s">
        <v>1</v>
      </c>
      <c r="B416" s="85" t="s">
        <v>0</v>
      </c>
      <c r="C416" s="86"/>
      <c r="D416" s="87"/>
      <c r="E416" s="87"/>
      <c r="F416" s="75"/>
      <c r="G416" s="75"/>
    </row>
    <row r="417" spans="1:7" ht="11.25" customHeight="1">
      <c r="A417" s="88" t="str">
        <f>A25</f>
        <v>A.01.</v>
      </c>
      <c r="B417" s="89" t="str">
        <f>B25</f>
        <v>PRIPREMNI I GEODETSKI RADOVI UKUPNO:</v>
      </c>
      <c r="C417" s="90"/>
      <c r="D417" s="91"/>
      <c r="E417" s="91"/>
      <c r="F417" s="68">
        <f>F25</f>
        <v>0</v>
      </c>
      <c r="G417" s="12"/>
    </row>
    <row r="418" spans="1:7" ht="11.25" customHeight="1">
      <c r="A418" s="88" t="str">
        <f>A81</f>
        <v>A.02.</v>
      </c>
      <c r="B418" s="89" t="str">
        <f>B81</f>
        <v>ZEMLJANI RADOVI UKUPNO:</v>
      </c>
      <c r="C418" s="90"/>
      <c r="D418" s="91"/>
      <c r="E418" s="91"/>
      <c r="F418" s="68">
        <f>F81</f>
        <v>0</v>
      </c>
      <c r="G418" s="12"/>
    </row>
    <row r="419" spans="1:7" ht="11.25" customHeight="1">
      <c r="A419" s="92" t="str">
        <f>A203</f>
        <v>A.03.</v>
      </c>
      <c r="B419" s="93" t="str">
        <f>B203</f>
        <v>BETONSKI I ARMIRANOBETONSKI RADOVI UKUPNO:</v>
      </c>
      <c r="C419" s="90"/>
      <c r="D419" s="91"/>
      <c r="E419" s="91"/>
      <c r="F419" s="68">
        <f>F203</f>
        <v>0</v>
      </c>
      <c r="G419" s="12"/>
    </row>
    <row r="420" spans="1:7" ht="11.25" customHeight="1">
      <c r="A420" s="92" t="str">
        <f>A211</f>
        <v>A.04.</v>
      </c>
      <c r="B420" s="93" t="str">
        <f>B211</f>
        <v>ARMIRAČKI RADOVI UKUPNO:</v>
      </c>
      <c r="C420" s="90"/>
      <c r="D420" s="91"/>
      <c r="E420" s="91"/>
      <c r="F420" s="68">
        <f>F211</f>
        <v>0</v>
      </c>
      <c r="G420" s="12"/>
    </row>
    <row r="421" spans="1:7" ht="11.25" customHeight="1">
      <c r="A421" s="92" t="str">
        <f>A318</f>
        <v>A.05.</v>
      </c>
      <c r="B421" s="93" t="str">
        <f>B318</f>
        <v>IZOLATERSKI RADOVI UKUPNO:</v>
      </c>
      <c r="C421" s="90"/>
      <c r="D421" s="91"/>
      <c r="E421" s="91"/>
      <c r="F421" s="68">
        <f>F318</f>
        <v>0</v>
      </c>
      <c r="G421" s="12"/>
    </row>
    <row r="422" spans="1:7" ht="11.25" customHeight="1">
      <c r="A422" s="92" t="str">
        <f>A395</f>
        <v>A.06.</v>
      </c>
      <c r="B422" s="93" t="str">
        <f>B395</f>
        <v>ZIDARSKO - FASADERSKI RADOVI UKUPNO:</v>
      </c>
      <c r="C422" s="90"/>
      <c r="D422" s="91"/>
      <c r="E422" s="91"/>
      <c r="F422" s="68">
        <f>F395</f>
        <v>56655.22</v>
      </c>
      <c r="G422" s="12"/>
    </row>
    <row r="423" spans="1:7" ht="11.25" customHeight="1">
      <c r="A423" s="92" t="str">
        <f>A412</f>
        <v>A.07.</v>
      </c>
      <c r="B423" s="92" t="str">
        <f t="shared" ref="B423" si="0">B412</f>
        <v>LIMARSKI RADOVI UKUPNO:</v>
      </c>
      <c r="C423" s="92"/>
      <c r="D423" s="92"/>
      <c r="E423" s="92"/>
      <c r="F423" s="68">
        <f>F412</f>
        <v>0</v>
      </c>
      <c r="G423" s="12"/>
    </row>
    <row r="424" spans="1:7" ht="11.25" customHeight="1">
      <c r="A424" s="94" t="str">
        <f>A416</f>
        <v>A.</v>
      </c>
      <c r="B424" s="95" t="s">
        <v>40</v>
      </c>
      <c r="C424" s="96"/>
      <c r="D424" s="97"/>
      <c r="E424" s="97"/>
      <c r="F424" s="69">
        <f>SUM(F417:F423)</f>
        <v>56655.22</v>
      </c>
      <c r="G424" s="98"/>
    </row>
    <row r="425" spans="1:7" ht="11.25" customHeight="1">
      <c r="A425" s="12"/>
      <c r="B425" s="12"/>
      <c r="C425" s="90"/>
      <c r="D425" s="91"/>
      <c r="E425" s="91"/>
      <c r="F425" s="68"/>
      <c r="G425" s="12"/>
    </row>
    <row r="426" spans="1:7" ht="11.25" customHeight="1"/>
    <row r="427" spans="1:7" ht="11.25" customHeight="1"/>
  </sheetData>
  <mergeCells count="7">
    <mergeCell ref="G1:G2"/>
    <mergeCell ref="A1:A2"/>
    <mergeCell ref="B1:B2"/>
    <mergeCell ref="C1:C2"/>
    <mergeCell ref="D1:D2"/>
    <mergeCell ref="E1:E2"/>
    <mergeCell ref="F1:F2"/>
  </mergeCells>
  <phoneticPr fontId="23" type="noConversion"/>
  <pageMargins left="0.77031249999999996" right="0.6020833333333333" top="0.75" bottom="0.75" header="0.3" footer="0.3"/>
  <pageSetup paperSize="9" scale="81" orientation="portrait" r:id="rId1"/>
  <headerFooter>
    <oddHeader>&amp;C&amp;"Arial,Regular"&amp;8Građevinski radovi</oddHeader>
  </headerFooter>
  <rowBreaks count="2" manualBreakCount="2">
    <brk id="357" max="6" man="1"/>
    <brk id="39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pageSetUpPr fitToPage="1"/>
  </sheetPr>
  <dimension ref="A1:AF467"/>
  <sheetViews>
    <sheetView view="pageBreakPreview" zoomScale="115" zoomScaleNormal="115" zoomScaleSheetLayoutView="115" workbookViewId="0">
      <selection activeCell="B103" sqref="B103"/>
    </sheetView>
  </sheetViews>
  <sheetFormatPr defaultColWidth="9.140625" defaultRowHeight="11.25"/>
  <cols>
    <col min="1" max="1" width="7.85546875" style="226" customWidth="1"/>
    <col min="2" max="2" width="42.42578125" style="28" customWidth="1"/>
    <col min="3" max="3" width="6.7109375" style="227" customWidth="1"/>
    <col min="4" max="5" width="10.7109375" style="228" customWidth="1"/>
    <col min="6" max="6" width="10.7109375" style="560" customWidth="1"/>
    <col min="7" max="7" width="10.7109375" style="229" customWidth="1"/>
    <col min="8" max="8" width="21.140625" style="678" customWidth="1"/>
    <col min="9" max="16384" width="9.140625" style="28"/>
  </cols>
  <sheetData>
    <row r="1" spans="1:8" ht="15" customHeight="1">
      <c r="A1" s="806" t="s">
        <v>2</v>
      </c>
      <c r="B1" s="806" t="s">
        <v>3</v>
      </c>
      <c r="C1" s="806" t="s">
        <v>4</v>
      </c>
      <c r="D1" s="801" t="s">
        <v>75</v>
      </c>
      <c r="E1" s="802" t="s">
        <v>76</v>
      </c>
      <c r="F1" s="807" t="s">
        <v>5</v>
      </c>
      <c r="G1" s="805" t="s">
        <v>6</v>
      </c>
    </row>
    <row r="2" spans="1:8" s="36" customFormat="1">
      <c r="A2" s="806"/>
      <c r="B2" s="806"/>
      <c r="C2" s="806"/>
      <c r="D2" s="801"/>
      <c r="E2" s="802"/>
      <c r="F2" s="807"/>
      <c r="G2" s="805"/>
      <c r="H2" s="679"/>
    </row>
    <row r="3" spans="1:8" s="41" customFormat="1">
      <c r="A3" s="37"/>
      <c r="B3" s="38"/>
      <c r="C3" s="39"/>
      <c r="D3" s="40"/>
      <c r="E3" s="40"/>
      <c r="F3" s="526"/>
      <c r="G3" s="647"/>
      <c r="H3" s="678"/>
    </row>
    <row r="4" spans="1:8">
      <c r="A4" s="42" t="s">
        <v>52</v>
      </c>
      <c r="B4" s="43" t="s">
        <v>53</v>
      </c>
      <c r="C4" s="44"/>
      <c r="D4" s="45"/>
      <c r="E4" s="45"/>
      <c r="F4" s="46"/>
      <c r="G4" s="648"/>
    </row>
    <row r="5" spans="1:8">
      <c r="A5" s="37"/>
      <c r="B5" s="38"/>
      <c r="C5" s="39"/>
      <c r="D5" s="40"/>
      <c r="E5" s="40"/>
      <c r="F5" s="526"/>
      <c r="G5" s="649"/>
    </row>
    <row r="6" spans="1:8" ht="45">
      <c r="A6" s="37"/>
      <c r="B6" s="38" t="s">
        <v>54</v>
      </c>
      <c r="C6" s="39"/>
      <c r="D6" s="40"/>
      <c r="E6" s="40"/>
      <c r="F6" s="526"/>
      <c r="G6" s="649"/>
    </row>
    <row r="7" spans="1:8">
      <c r="A7" s="37"/>
      <c r="B7" s="38"/>
      <c r="C7" s="39"/>
      <c r="D7" s="40"/>
      <c r="E7" s="40"/>
      <c r="F7" s="526"/>
      <c r="G7" s="649"/>
    </row>
    <row r="8" spans="1:8" s="367" customFormat="1">
      <c r="A8" s="363" t="s">
        <v>55</v>
      </c>
      <c r="B8" s="364" t="s">
        <v>206</v>
      </c>
      <c r="C8" s="365"/>
      <c r="D8" s="366"/>
      <c r="E8" s="366"/>
      <c r="F8" s="527"/>
      <c r="G8" s="650"/>
      <c r="H8" s="680"/>
    </row>
    <row r="9" spans="1:8" s="362" customFormat="1">
      <c r="A9" s="368"/>
      <c r="B9" s="369"/>
      <c r="C9" s="370"/>
      <c r="D9" s="371"/>
      <c r="E9" s="371"/>
      <c r="F9" s="528"/>
      <c r="G9" s="651"/>
      <c r="H9" s="680"/>
    </row>
    <row r="10" spans="1:8" s="362" customFormat="1" ht="22.5">
      <c r="A10" s="368"/>
      <c r="B10" s="38" t="s">
        <v>207</v>
      </c>
      <c r="C10" s="370"/>
      <c r="D10" s="371"/>
      <c r="E10" s="371"/>
      <c r="F10" s="528"/>
      <c r="G10" s="651"/>
      <c r="H10" s="680"/>
    </row>
    <row r="11" spans="1:8" s="362" customFormat="1" ht="135">
      <c r="A11" s="368"/>
      <c r="B11" s="38" t="s">
        <v>208</v>
      </c>
      <c r="C11" s="370"/>
      <c r="D11" s="371"/>
      <c r="E11" s="371"/>
      <c r="F11" s="528"/>
      <c r="G11" s="651"/>
      <c r="H11" s="680"/>
    </row>
    <row r="12" spans="1:8" s="362" customFormat="1">
      <c r="A12" s="368"/>
      <c r="B12" s="372" t="s">
        <v>209</v>
      </c>
      <c r="C12" s="370"/>
      <c r="D12" s="371"/>
      <c r="E12" s="371"/>
      <c r="F12" s="528"/>
      <c r="G12" s="651"/>
      <c r="H12" s="680"/>
    </row>
    <row r="13" spans="1:8" s="362" customFormat="1" ht="67.5">
      <c r="A13" s="368"/>
      <c r="B13" s="372" t="s">
        <v>210</v>
      </c>
      <c r="C13" s="370"/>
      <c r="D13" s="371"/>
      <c r="E13" s="371"/>
      <c r="F13" s="528"/>
      <c r="G13" s="651"/>
      <c r="H13" s="680"/>
    </row>
    <row r="14" spans="1:8" s="362" customFormat="1" ht="22.5">
      <c r="A14" s="368"/>
      <c r="B14" s="373" t="s">
        <v>211</v>
      </c>
      <c r="C14" s="370"/>
      <c r="D14" s="371"/>
      <c r="E14" s="371"/>
      <c r="F14" s="528"/>
      <c r="G14" s="651"/>
      <c r="H14" s="680"/>
    </row>
    <row r="15" spans="1:8" s="362" customFormat="1" ht="101.25">
      <c r="A15" s="368"/>
      <c r="B15" s="374" t="s">
        <v>212</v>
      </c>
      <c r="C15" s="370"/>
      <c r="D15" s="371"/>
      <c r="E15" s="371"/>
      <c r="F15" s="528"/>
      <c r="G15" s="651"/>
      <c r="H15" s="680"/>
    </row>
    <row r="16" spans="1:8" s="362" customFormat="1" ht="123.75">
      <c r="A16" s="368"/>
      <c r="B16" s="375" t="s">
        <v>213</v>
      </c>
      <c r="C16" s="370"/>
      <c r="D16" s="371"/>
      <c r="E16" s="371"/>
      <c r="F16" s="528"/>
      <c r="G16" s="651"/>
      <c r="H16" s="680"/>
    </row>
    <row r="17" spans="1:8" s="362" customFormat="1" ht="135">
      <c r="A17" s="368"/>
      <c r="B17" s="375" t="s">
        <v>214</v>
      </c>
      <c r="C17" s="370"/>
      <c r="D17" s="371"/>
      <c r="E17" s="371"/>
      <c r="F17" s="528"/>
      <c r="G17" s="651"/>
      <c r="H17" s="680"/>
    </row>
    <row r="18" spans="1:8" s="362" customFormat="1" ht="101.25">
      <c r="A18" s="368"/>
      <c r="B18" s="375" t="s">
        <v>215</v>
      </c>
      <c r="C18" s="370"/>
      <c r="D18" s="371"/>
      <c r="E18" s="371"/>
      <c r="F18" s="528"/>
      <c r="G18" s="651"/>
      <c r="H18" s="680"/>
    </row>
    <row r="19" spans="1:8" s="362" customFormat="1" ht="56.25">
      <c r="A19" s="368"/>
      <c r="B19" s="376" t="s">
        <v>216</v>
      </c>
      <c r="C19" s="370"/>
      <c r="D19" s="371"/>
      <c r="E19" s="371"/>
      <c r="F19" s="528"/>
      <c r="G19" s="651"/>
      <c r="H19" s="680"/>
    </row>
    <row r="20" spans="1:8" s="362" customFormat="1">
      <c r="A20" s="368"/>
      <c r="B20" s="369"/>
      <c r="C20" s="370"/>
      <c r="D20" s="371"/>
      <c r="E20" s="371"/>
      <c r="F20" s="528"/>
      <c r="G20" s="651"/>
      <c r="H20" s="680"/>
    </row>
    <row r="21" spans="1:8" s="362" customFormat="1">
      <c r="A21" s="377"/>
      <c r="B21" s="378" t="s">
        <v>217</v>
      </c>
      <c r="C21" s="379"/>
      <c r="D21" s="40"/>
      <c r="E21" s="40"/>
      <c r="F21" s="526"/>
      <c r="G21" s="649"/>
      <c r="H21" s="680"/>
    </row>
    <row r="22" spans="1:8" s="362" customFormat="1">
      <c r="A22" s="377"/>
      <c r="B22" s="378"/>
      <c r="C22" s="379"/>
      <c r="D22" s="40"/>
      <c r="E22" s="40"/>
      <c r="F22" s="526"/>
      <c r="G22" s="649"/>
      <c r="H22" s="680"/>
    </row>
    <row r="23" spans="1:8" s="362" customFormat="1">
      <c r="A23" s="380">
        <v>1</v>
      </c>
      <c r="B23" s="381" t="s">
        <v>218</v>
      </c>
      <c r="C23" s="382"/>
      <c r="D23" s="383"/>
      <c r="E23" s="383"/>
      <c r="F23" s="529"/>
      <c r="G23" s="652"/>
      <c r="H23" s="680"/>
    </row>
    <row r="24" spans="1:8" s="362" customFormat="1" ht="45">
      <c r="A24" s="384"/>
      <c r="B24" s="385" t="s">
        <v>219</v>
      </c>
      <c r="C24" s="386"/>
      <c r="D24" s="383"/>
      <c r="E24" s="383"/>
      <c r="F24" s="529"/>
      <c r="G24" s="652"/>
      <c r="H24" s="680"/>
    </row>
    <row r="25" spans="1:8" s="362" customFormat="1" ht="22.5">
      <c r="A25" s="384"/>
      <c r="B25" s="385" t="s">
        <v>335</v>
      </c>
      <c r="C25" s="386"/>
      <c r="D25" s="383"/>
      <c r="E25" s="383"/>
      <c r="F25" s="529"/>
      <c r="G25" s="652"/>
      <c r="H25" s="680"/>
    </row>
    <row r="26" spans="1:8" s="362" customFormat="1" ht="33.75">
      <c r="A26" s="384"/>
      <c r="B26" s="387" t="s">
        <v>220</v>
      </c>
      <c r="C26" s="386"/>
      <c r="D26" s="383"/>
      <c r="E26" s="383"/>
      <c r="F26" s="529"/>
      <c r="G26" s="652"/>
      <c r="H26" s="680"/>
    </row>
    <row r="27" spans="1:8" s="362" customFormat="1" ht="22.5">
      <c r="A27" s="384"/>
      <c r="B27" s="385" t="s">
        <v>336</v>
      </c>
      <c r="C27" s="386"/>
      <c r="D27" s="383"/>
      <c r="E27" s="383"/>
      <c r="F27" s="529"/>
      <c r="G27" s="652"/>
      <c r="H27" s="680"/>
    </row>
    <row r="28" spans="1:8" s="362" customFormat="1">
      <c r="A28" s="384"/>
      <c r="B28" s="385" t="s">
        <v>13</v>
      </c>
      <c r="C28" s="386" t="s">
        <v>14</v>
      </c>
      <c r="D28" s="383">
        <v>9.48</v>
      </c>
      <c r="E28" s="383"/>
      <c r="F28" s="529">
        <f>D28*E28</f>
        <v>0</v>
      </c>
      <c r="G28" s="652"/>
      <c r="H28" s="680"/>
    </row>
    <row r="29" spans="1:8" s="362" customFormat="1">
      <c r="A29" s="388"/>
      <c r="B29" s="369"/>
      <c r="C29" s="389"/>
      <c r="D29" s="371"/>
      <c r="E29" s="371"/>
      <c r="F29" s="528"/>
      <c r="G29" s="651"/>
      <c r="H29" s="680"/>
    </row>
    <row r="30" spans="1:8" s="362" customFormat="1">
      <c r="A30" s="380">
        <f>IF(B30&gt;0,MAX(A$22:A29)+1,"")</f>
        <v>2</v>
      </c>
      <c r="B30" s="381" t="s">
        <v>221</v>
      </c>
      <c r="C30" s="382"/>
      <c r="D30" s="383"/>
      <c r="E30" s="383"/>
      <c r="F30" s="529"/>
      <c r="G30" s="652"/>
      <c r="H30" s="680"/>
    </row>
    <row r="31" spans="1:8" s="362" customFormat="1" ht="45">
      <c r="A31" s="384"/>
      <c r="B31" s="385" t="s">
        <v>219</v>
      </c>
      <c r="C31" s="386"/>
      <c r="D31" s="383"/>
      <c r="E31" s="383"/>
      <c r="F31" s="529"/>
      <c r="G31" s="652"/>
      <c r="H31" s="680"/>
    </row>
    <row r="32" spans="1:8" s="362" customFormat="1" ht="22.5">
      <c r="A32" s="384"/>
      <c r="B32" s="385" t="s">
        <v>335</v>
      </c>
      <c r="C32" s="386"/>
      <c r="D32" s="383"/>
      <c r="E32" s="383"/>
      <c r="F32" s="529"/>
      <c r="G32" s="652"/>
      <c r="H32" s="680"/>
    </row>
    <row r="33" spans="1:8" s="362" customFormat="1" ht="33.75">
      <c r="A33" s="384"/>
      <c r="B33" s="387" t="s">
        <v>220</v>
      </c>
      <c r="C33" s="386"/>
      <c r="D33" s="383"/>
      <c r="E33" s="383"/>
      <c r="F33" s="529"/>
      <c r="G33" s="652"/>
      <c r="H33" s="680"/>
    </row>
    <row r="34" spans="1:8" s="362" customFormat="1" ht="22.5">
      <c r="A34" s="384"/>
      <c r="B34" s="385" t="s">
        <v>393</v>
      </c>
      <c r="C34" s="386"/>
      <c r="D34" s="383"/>
      <c r="E34" s="383"/>
      <c r="F34" s="529"/>
      <c r="G34" s="652"/>
      <c r="H34" s="680"/>
    </row>
    <row r="35" spans="1:8" s="362" customFormat="1">
      <c r="A35" s="384"/>
      <c r="B35" s="385" t="s">
        <v>13</v>
      </c>
      <c r="C35" s="386" t="s">
        <v>14</v>
      </c>
      <c r="D35" s="383">
        <v>9.57</v>
      </c>
      <c r="E35" s="383"/>
      <c r="F35" s="529">
        <f>D35*E35</f>
        <v>0</v>
      </c>
      <c r="G35" s="652"/>
      <c r="H35" s="680"/>
    </row>
    <row r="36" spans="1:8" s="362" customFormat="1">
      <c r="A36" s="384"/>
      <c r="B36" s="385"/>
      <c r="C36" s="386"/>
      <c r="D36" s="383"/>
      <c r="E36" s="383"/>
      <c r="F36" s="529"/>
      <c r="G36" s="652"/>
      <c r="H36" s="680"/>
    </row>
    <row r="37" spans="1:8" s="362" customFormat="1">
      <c r="A37" s="380">
        <f>IF(B37&gt;0,MAX(A$22:A36)+1,"")</f>
        <v>3</v>
      </c>
      <c r="B37" s="381" t="s">
        <v>222</v>
      </c>
      <c r="C37" s="382"/>
      <c r="D37" s="383"/>
      <c r="E37" s="383"/>
      <c r="F37" s="529"/>
      <c r="G37" s="652"/>
      <c r="H37" s="680"/>
    </row>
    <row r="38" spans="1:8" s="362" customFormat="1" ht="45">
      <c r="A38" s="384"/>
      <c r="B38" s="385" t="s">
        <v>219</v>
      </c>
      <c r="C38" s="386"/>
      <c r="D38" s="383"/>
      <c r="E38" s="383"/>
      <c r="F38" s="529"/>
      <c r="G38" s="652"/>
      <c r="H38" s="680"/>
    </row>
    <row r="39" spans="1:8" s="362" customFormat="1" ht="22.5">
      <c r="A39" s="384"/>
      <c r="B39" s="385" t="s">
        <v>394</v>
      </c>
      <c r="C39" s="386"/>
      <c r="D39" s="383"/>
      <c r="E39" s="383"/>
      <c r="F39" s="529"/>
      <c r="G39" s="652"/>
      <c r="H39" s="680"/>
    </row>
    <row r="40" spans="1:8" s="362" customFormat="1" ht="33.75">
      <c r="A40" s="384"/>
      <c r="B40" s="387" t="s">
        <v>223</v>
      </c>
      <c r="C40" s="386"/>
      <c r="D40" s="383"/>
      <c r="E40" s="383"/>
      <c r="F40" s="529"/>
      <c r="G40" s="652"/>
      <c r="H40" s="680"/>
    </row>
    <row r="41" spans="1:8" s="362" customFormat="1" ht="22.5">
      <c r="A41" s="384"/>
      <c r="B41" s="385" t="s">
        <v>393</v>
      </c>
      <c r="C41" s="386"/>
      <c r="D41" s="383"/>
      <c r="E41" s="383"/>
      <c r="F41" s="529"/>
      <c r="G41" s="652"/>
      <c r="H41" s="680"/>
    </row>
    <row r="42" spans="1:8" s="362" customFormat="1">
      <c r="A42" s="384"/>
      <c r="B42" s="385" t="s">
        <v>13</v>
      </c>
      <c r="C42" s="386" t="s">
        <v>14</v>
      </c>
      <c r="D42" s="383">
        <v>5.09</v>
      </c>
      <c r="E42" s="383"/>
      <c r="F42" s="529">
        <f>D42*E42</f>
        <v>0</v>
      </c>
      <c r="G42" s="652"/>
      <c r="H42" s="680"/>
    </row>
    <row r="43" spans="1:8" s="362" customFormat="1">
      <c r="A43" s="388"/>
      <c r="B43" s="369"/>
      <c r="C43" s="389"/>
      <c r="D43" s="371"/>
      <c r="E43" s="371"/>
      <c r="F43" s="528"/>
      <c r="G43" s="651"/>
      <c r="H43" s="680"/>
    </row>
    <row r="44" spans="1:8" s="362" customFormat="1">
      <c r="A44" s="380">
        <f>IF(B44&gt;0,MAX(A$22:A43)+1,"")</f>
        <v>4</v>
      </c>
      <c r="B44" s="381" t="s">
        <v>235</v>
      </c>
      <c r="C44" s="382"/>
      <c r="D44" s="383"/>
      <c r="E44" s="383"/>
      <c r="F44" s="529"/>
      <c r="G44" s="652"/>
      <c r="H44" s="680"/>
    </row>
    <row r="45" spans="1:8" s="362" customFormat="1" ht="45">
      <c r="A45" s="384"/>
      <c r="B45" s="385" t="s">
        <v>219</v>
      </c>
      <c r="C45" s="386"/>
      <c r="D45" s="383"/>
      <c r="E45" s="383"/>
      <c r="F45" s="529"/>
      <c r="G45" s="652"/>
      <c r="H45" s="680"/>
    </row>
    <row r="46" spans="1:8" s="362" customFormat="1" ht="22.5">
      <c r="A46" s="384"/>
      <c r="B46" s="385" t="s">
        <v>335</v>
      </c>
      <c r="C46" s="386"/>
      <c r="D46" s="383"/>
      <c r="E46" s="383"/>
      <c r="F46" s="529"/>
      <c r="G46" s="652"/>
      <c r="H46" s="680"/>
    </row>
    <row r="47" spans="1:8" s="362" customFormat="1" ht="33.75">
      <c r="A47" s="384"/>
      <c r="B47" s="387" t="s">
        <v>337</v>
      </c>
      <c r="C47" s="386"/>
      <c r="D47" s="383"/>
      <c r="E47" s="383"/>
      <c r="F47" s="529"/>
      <c r="G47" s="652"/>
      <c r="H47" s="680"/>
    </row>
    <row r="48" spans="1:8" s="362" customFormat="1" ht="22.5">
      <c r="A48" s="384"/>
      <c r="B48" s="385" t="s">
        <v>393</v>
      </c>
      <c r="C48" s="386"/>
      <c r="D48" s="383"/>
      <c r="E48" s="383"/>
      <c r="F48" s="529"/>
      <c r="G48" s="652"/>
      <c r="H48" s="680"/>
    </row>
    <row r="49" spans="1:8" s="362" customFormat="1">
      <c r="A49" s="384"/>
      <c r="B49" s="385" t="s">
        <v>13</v>
      </c>
      <c r="C49" s="386" t="s">
        <v>14</v>
      </c>
      <c r="D49" s="383">
        <v>8.56</v>
      </c>
      <c r="E49" s="383"/>
      <c r="F49" s="529">
        <f>D49*E49</f>
        <v>0</v>
      </c>
      <c r="G49" s="652"/>
      <c r="H49" s="680"/>
    </row>
    <row r="50" spans="1:8" s="439" customFormat="1">
      <c r="A50" s="451"/>
      <c r="B50" s="452"/>
      <c r="C50" s="453"/>
      <c r="D50" s="454"/>
      <c r="E50" s="455"/>
      <c r="F50" s="530"/>
      <c r="G50" s="653"/>
      <c r="H50" s="456"/>
    </row>
    <row r="51" spans="1:8" s="439" customFormat="1">
      <c r="A51" s="380">
        <f>IF(B51&gt;0,MAX(A$22:A50)+1,"")</f>
        <v>5</v>
      </c>
      <c r="B51" s="457" t="s">
        <v>243</v>
      </c>
      <c r="C51" s="458"/>
      <c r="D51" s="459"/>
      <c r="E51" s="459"/>
      <c r="F51" s="511"/>
      <c r="G51" s="654"/>
      <c r="H51" s="456"/>
    </row>
    <row r="52" spans="1:8" s="439" customFormat="1" ht="45">
      <c r="A52" s="461"/>
      <c r="B52" s="462" t="s">
        <v>392</v>
      </c>
      <c r="C52" s="463"/>
      <c r="D52" s="459"/>
      <c r="E52" s="459"/>
      <c r="F52" s="511"/>
      <c r="G52" s="654"/>
      <c r="H52" s="456"/>
    </row>
    <row r="53" spans="1:8" s="439" customFormat="1" ht="22.5">
      <c r="A53" s="461"/>
      <c r="B53" s="462" t="s">
        <v>340</v>
      </c>
      <c r="C53" s="463"/>
      <c r="D53" s="459"/>
      <c r="E53" s="459"/>
      <c r="F53" s="511"/>
      <c r="G53" s="654"/>
      <c r="H53" s="456"/>
    </row>
    <row r="54" spans="1:8" s="439" customFormat="1" ht="33.75">
      <c r="A54" s="461"/>
      <c r="B54" s="464" t="s">
        <v>244</v>
      </c>
      <c r="C54" s="463"/>
      <c r="D54" s="459"/>
      <c r="E54" s="459"/>
      <c r="F54" s="511"/>
      <c r="G54" s="654"/>
      <c r="H54" s="456"/>
    </row>
    <row r="55" spans="1:8" s="439" customFormat="1" ht="22.5">
      <c r="A55" s="461"/>
      <c r="B55" s="462" t="s">
        <v>341</v>
      </c>
      <c r="C55" s="463"/>
      <c r="D55" s="459"/>
      <c r="E55" s="459"/>
      <c r="F55" s="511"/>
      <c r="G55" s="654"/>
      <c r="H55" s="456"/>
    </row>
    <row r="56" spans="1:8" s="439" customFormat="1">
      <c r="A56" s="461"/>
      <c r="B56" s="462" t="s">
        <v>13</v>
      </c>
      <c r="C56" s="463" t="s">
        <v>14</v>
      </c>
      <c r="D56" s="465">
        <v>7.28</v>
      </c>
      <c r="E56" s="459"/>
      <c r="F56" s="511">
        <f>D56*E56</f>
        <v>0</v>
      </c>
      <c r="G56" s="654"/>
      <c r="H56" s="456"/>
    </row>
    <row r="57" spans="1:8" s="362" customFormat="1">
      <c r="A57" s="388"/>
      <c r="B57" s="369"/>
      <c r="C57" s="389"/>
      <c r="D57" s="371"/>
      <c r="E57" s="371"/>
      <c r="F57" s="528"/>
      <c r="G57" s="651"/>
      <c r="H57" s="680"/>
    </row>
    <row r="58" spans="1:8" s="362" customFormat="1">
      <c r="A58" s="380">
        <f>IF(B58&gt;0,MAX(A$22:A57)+1,"")</f>
        <v>6</v>
      </c>
      <c r="B58" s="381" t="s">
        <v>236</v>
      </c>
      <c r="C58" s="382"/>
      <c r="D58" s="383"/>
      <c r="E58" s="383"/>
      <c r="F58" s="529"/>
      <c r="G58" s="652"/>
      <c r="H58" s="680"/>
    </row>
    <row r="59" spans="1:8" s="362" customFormat="1" ht="45">
      <c r="A59" s="384"/>
      <c r="B59" s="385" t="s">
        <v>219</v>
      </c>
      <c r="C59" s="386"/>
      <c r="D59" s="383"/>
      <c r="E59" s="383"/>
      <c r="F59" s="529"/>
      <c r="G59" s="652"/>
      <c r="H59" s="680"/>
    </row>
    <row r="60" spans="1:8" s="362" customFormat="1" ht="22.5">
      <c r="A60" s="384"/>
      <c r="B60" s="385" t="s">
        <v>339</v>
      </c>
      <c r="C60" s="386"/>
      <c r="D60" s="383"/>
      <c r="E60" s="383"/>
      <c r="F60" s="529"/>
      <c r="G60" s="652"/>
      <c r="H60" s="680"/>
    </row>
    <row r="61" spans="1:8" s="362" customFormat="1" ht="33.75">
      <c r="A61" s="384"/>
      <c r="B61" s="387" t="s">
        <v>338</v>
      </c>
      <c r="C61" s="386"/>
      <c r="D61" s="383"/>
      <c r="E61" s="383"/>
      <c r="F61" s="529"/>
      <c r="G61" s="652"/>
      <c r="H61" s="680"/>
    </row>
    <row r="62" spans="1:8" s="362" customFormat="1" ht="22.5">
      <c r="A62" s="384"/>
      <c r="B62" s="385" t="s">
        <v>393</v>
      </c>
      <c r="C62" s="386"/>
      <c r="D62" s="383"/>
      <c r="E62" s="383"/>
      <c r="F62" s="529"/>
      <c r="G62" s="652"/>
      <c r="H62" s="680"/>
    </row>
    <row r="63" spans="1:8" s="362" customFormat="1">
      <c r="A63" s="384"/>
      <c r="B63" s="385" t="s">
        <v>13</v>
      </c>
      <c r="C63" s="386" t="s">
        <v>14</v>
      </c>
      <c r="D63" s="383">
        <v>4.09</v>
      </c>
      <c r="E63" s="383"/>
      <c r="F63" s="529">
        <f>D63*E63</f>
        <v>0</v>
      </c>
      <c r="G63" s="652"/>
      <c r="H63" s="680"/>
    </row>
    <row r="64" spans="1:8" s="362" customFormat="1">
      <c r="A64" s="384"/>
      <c r="B64" s="385"/>
      <c r="C64" s="386"/>
      <c r="D64" s="383"/>
      <c r="E64" s="383"/>
      <c r="F64" s="529"/>
      <c r="G64" s="652"/>
      <c r="H64" s="680"/>
    </row>
    <row r="65" spans="1:32" s="367" customFormat="1">
      <c r="A65" s="380">
        <f>IF(B65&gt;0,MAX(A$22:A64)+1,"")</f>
        <v>7</v>
      </c>
      <c r="B65" s="378" t="s">
        <v>224</v>
      </c>
      <c r="C65" s="379"/>
      <c r="D65" s="40"/>
      <c r="E65" s="40"/>
      <c r="F65" s="526"/>
      <c r="G65" s="649"/>
      <c r="H65" s="680"/>
      <c r="I65" s="362"/>
      <c r="J65" s="362"/>
      <c r="K65" s="362"/>
      <c r="L65" s="362"/>
      <c r="M65" s="362"/>
      <c r="N65" s="362"/>
      <c r="O65" s="362"/>
      <c r="P65" s="362"/>
      <c r="Q65" s="362"/>
      <c r="R65" s="362"/>
      <c r="S65" s="362"/>
      <c r="T65" s="362"/>
      <c r="U65" s="362"/>
      <c r="V65" s="362"/>
      <c r="W65" s="362"/>
      <c r="X65" s="362"/>
      <c r="Y65" s="362"/>
      <c r="Z65" s="362"/>
      <c r="AA65" s="362"/>
      <c r="AB65" s="362"/>
      <c r="AC65" s="362"/>
      <c r="AD65" s="362"/>
      <c r="AE65" s="362"/>
      <c r="AF65" s="362"/>
    </row>
    <row r="66" spans="1:32" s="367" customFormat="1" ht="33.75">
      <c r="A66" s="390"/>
      <c r="B66" s="38" t="s">
        <v>225</v>
      </c>
      <c r="C66" s="39"/>
      <c r="D66" s="40"/>
      <c r="E66" s="40"/>
      <c r="F66" s="526"/>
      <c r="G66" s="649"/>
      <c r="H66" s="680"/>
      <c r="I66" s="362"/>
      <c r="J66" s="362"/>
      <c r="K66" s="362"/>
      <c r="L66" s="362"/>
      <c r="M66" s="362"/>
      <c r="N66" s="362"/>
      <c r="O66" s="362"/>
      <c r="P66" s="362"/>
      <c r="Q66" s="362"/>
      <c r="R66" s="362"/>
      <c r="S66" s="362"/>
      <c r="T66" s="362"/>
      <c r="U66" s="362"/>
      <c r="V66" s="362"/>
      <c r="W66" s="362"/>
      <c r="X66" s="362"/>
      <c r="Y66" s="362"/>
      <c r="Z66" s="362"/>
      <c r="AA66" s="362"/>
      <c r="AB66" s="362"/>
      <c r="AC66" s="362"/>
      <c r="AD66" s="362"/>
      <c r="AE66" s="362"/>
      <c r="AF66" s="362"/>
    </row>
    <row r="67" spans="1:32" s="367" customFormat="1" ht="22.5">
      <c r="A67" s="390"/>
      <c r="B67" s="38" t="s">
        <v>342</v>
      </c>
      <c r="C67" s="39"/>
      <c r="D67" s="40"/>
      <c r="E67" s="40"/>
      <c r="F67" s="526"/>
      <c r="G67" s="649"/>
      <c r="H67" s="680"/>
      <c r="I67" s="362"/>
      <c r="J67" s="362"/>
      <c r="K67" s="362"/>
      <c r="L67" s="362"/>
      <c r="M67" s="362"/>
      <c r="N67" s="362"/>
      <c r="O67" s="362"/>
      <c r="P67" s="362"/>
      <c r="Q67" s="362"/>
      <c r="R67" s="362"/>
      <c r="S67" s="362"/>
      <c r="T67" s="362"/>
      <c r="U67" s="362"/>
      <c r="V67" s="362"/>
      <c r="W67" s="362"/>
      <c r="X67" s="362"/>
      <c r="Y67" s="362"/>
      <c r="Z67" s="362"/>
      <c r="AA67" s="362"/>
      <c r="AB67" s="362"/>
      <c r="AC67" s="362"/>
      <c r="AD67" s="362"/>
      <c r="AE67" s="362"/>
      <c r="AF67" s="362"/>
    </row>
    <row r="68" spans="1:32" s="367" customFormat="1">
      <c r="A68" s="390"/>
      <c r="B68" s="391" t="s">
        <v>226</v>
      </c>
      <c r="C68" s="39"/>
      <c r="D68" s="40"/>
      <c r="E68" s="40"/>
      <c r="F68" s="526"/>
      <c r="G68" s="649"/>
      <c r="H68" s="680"/>
      <c r="I68" s="362"/>
      <c r="J68" s="362"/>
      <c r="K68" s="362"/>
      <c r="L68" s="362"/>
      <c r="M68" s="362"/>
      <c r="N68" s="362"/>
      <c r="O68" s="362"/>
      <c r="P68" s="362"/>
      <c r="Q68" s="362"/>
      <c r="R68" s="362"/>
      <c r="S68" s="362"/>
      <c r="T68" s="362"/>
      <c r="U68" s="362"/>
      <c r="V68" s="362"/>
      <c r="W68" s="362"/>
      <c r="X68" s="362"/>
      <c r="Y68" s="362"/>
      <c r="Z68" s="362"/>
      <c r="AA68" s="362"/>
      <c r="AB68" s="362"/>
      <c r="AC68" s="362"/>
      <c r="AD68" s="362"/>
      <c r="AE68" s="362"/>
      <c r="AF68" s="362"/>
    </row>
    <row r="69" spans="1:32" s="367" customFormat="1">
      <c r="A69" s="390"/>
      <c r="B69" s="391" t="s">
        <v>227</v>
      </c>
      <c r="C69" s="39"/>
      <c r="D69" s="40"/>
      <c r="E69" s="40"/>
      <c r="F69" s="526"/>
      <c r="G69" s="649"/>
      <c r="H69" s="680"/>
      <c r="I69" s="362"/>
      <c r="J69" s="362"/>
      <c r="K69" s="362"/>
      <c r="L69" s="362"/>
      <c r="M69" s="362"/>
      <c r="N69" s="362"/>
      <c r="O69" s="362"/>
      <c r="P69" s="362"/>
      <c r="Q69" s="362"/>
      <c r="R69" s="362"/>
      <c r="S69" s="362"/>
      <c r="T69" s="362"/>
      <c r="U69" s="362"/>
      <c r="V69" s="362"/>
      <c r="W69" s="362"/>
      <c r="X69" s="362"/>
      <c r="Y69" s="362"/>
      <c r="Z69" s="362"/>
      <c r="AA69" s="362"/>
      <c r="AB69" s="362"/>
      <c r="AC69" s="362"/>
      <c r="AD69" s="362"/>
      <c r="AE69" s="362"/>
      <c r="AF69" s="362"/>
    </row>
    <row r="70" spans="1:32" s="362" customFormat="1">
      <c r="A70" s="390"/>
      <c r="B70" s="38" t="s">
        <v>13</v>
      </c>
      <c r="C70" s="39" t="s">
        <v>14</v>
      </c>
      <c r="D70" s="40">
        <v>2.44</v>
      </c>
      <c r="E70" s="40"/>
      <c r="F70" s="526">
        <f>D70*E70</f>
        <v>0</v>
      </c>
      <c r="G70" s="649"/>
      <c r="H70" s="680"/>
    </row>
    <row r="71" spans="1:32" s="362" customFormat="1">
      <c r="A71" s="390"/>
      <c r="B71" s="38"/>
      <c r="C71" s="39"/>
      <c r="D71" s="40"/>
      <c r="E71" s="40"/>
      <c r="F71" s="526"/>
      <c r="G71" s="649"/>
      <c r="H71" s="680"/>
      <c r="I71" s="681"/>
    </row>
    <row r="72" spans="1:32" s="392" customFormat="1">
      <c r="A72" s="390"/>
      <c r="B72" s="378" t="s">
        <v>38</v>
      </c>
      <c r="C72" s="39"/>
      <c r="D72" s="40"/>
      <c r="E72" s="40"/>
      <c r="F72" s="526"/>
      <c r="G72" s="649"/>
      <c r="H72" s="680"/>
    </row>
    <row r="73" spans="1:32" s="392" customFormat="1">
      <c r="A73" s="390"/>
      <c r="B73" s="391"/>
      <c r="C73" s="39"/>
      <c r="D73" s="40"/>
      <c r="E73" s="40"/>
      <c r="F73" s="526"/>
      <c r="G73" s="649"/>
      <c r="H73" s="680"/>
    </row>
    <row r="74" spans="1:32" s="392" customFormat="1">
      <c r="A74" s="380">
        <f>IF(B74&gt;0,MAX(A$22:A73)+1,"")</f>
        <v>8</v>
      </c>
      <c r="B74" s="397" t="s">
        <v>237</v>
      </c>
      <c r="C74" s="398"/>
      <c r="D74" s="399"/>
      <c r="E74" s="400"/>
      <c r="F74" s="531"/>
      <c r="G74" s="446"/>
      <c r="H74" s="680"/>
    </row>
    <row r="75" spans="1:32" s="394" customFormat="1" ht="112.5">
      <c r="A75" s="380"/>
      <c r="B75" s="401" t="s">
        <v>343</v>
      </c>
      <c r="C75" s="398"/>
      <c r="D75" s="399"/>
      <c r="E75" s="400"/>
      <c r="F75" s="531"/>
      <c r="G75" s="446"/>
      <c r="H75" s="680"/>
    </row>
    <row r="76" spans="1:32" s="396" customFormat="1">
      <c r="A76" s="402"/>
      <c r="B76" s="403" t="s">
        <v>177</v>
      </c>
      <c r="C76" s="404"/>
      <c r="D76" s="405"/>
      <c r="E76" s="406"/>
      <c r="F76" s="531"/>
      <c r="G76" s="446"/>
      <c r="H76" s="680"/>
    </row>
    <row r="77" spans="1:32" s="396" customFormat="1">
      <c r="A77" s="402"/>
      <c r="B77" s="403" t="s">
        <v>49</v>
      </c>
      <c r="C77" s="404" t="s">
        <v>36</v>
      </c>
      <c r="D77" s="405">
        <v>2</v>
      </c>
      <c r="E77" s="406"/>
      <c r="F77" s="529">
        <f>D77*E77</f>
        <v>0</v>
      </c>
      <c r="G77" s="446"/>
      <c r="H77" s="680"/>
    </row>
    <row r="78" spans="1:32" s="392" customFormat="1">
      <c r="A78" s="407"/>
      <c r="B78" s="408"/>
      <c r="C78" s="409"/>
      <c r="D78" s="410"/>
      <c r="E78" s="410"/>
      <c r="F78" s="532"/>
      <c r="G78" s="655"/>
      <c r="H78" s="680"/>
    </row>
    <row r="79" spans="1:32" s="392" customFormat="1">
      <c r="A79" s="380">
        <f>IF(B79&gt;0,MAX(A$22:A78)+1,"")</f>
        <v>9</v>
      </c>
      <c r="B79" s="397" t="s">
        <v>228</v>
      </c>
      <c r="C79" s="398"/>
      <c r="D79" s="399"/>
      <c r="E79" s="400"/>
      <c r="F79" s="531"/>
      <c r="G79" s="446"/>
      <c r="H79" s="680"/>
    </row>
    <row r="80" spans="1:32" s="394" customFormat="1" ht="112.5">
      <c r="A80" s="380"/>
      <c r="B80" s="401" t="s">
        <v>344</v>
      </c>
      <c r="C80" s="398"/>
      <c r="D80" s="399"/>
      <c r="E80" s="400"/>
      <c r="F80" s="531"/>
      <c r="G80" s="446"/>
      <c r="H80" s="680"/>
    </row>
    <row r="81" spans="1:9" s="396" customFormat="1">
      <c r="A81" s="402"/>
      <c r="B81" s="403" t="s">
        <v>177</v>
      </c>
      <c r="C81" s="404"/>
      <c r="D81" s="405"/>
      <c r="E81" s="406"/>
      <c r="F81" s="531"/>
      <c r="G81" s="446"/>
      <c r="H81" s="680"/>
    </row>
    <row r="82" spans="1:9" s="396" customFormat="1">
      <c r="A82" s="402"/>
      <c r="B82" s="403" t="s">
        <v>49</v>
      </c>
      <c r="C82" s="404" t="s">
        <v>36</v>
      </c>
      <c r="D82" s="405">
        <v>1</v>
      </c>
      <c r="E82" s="406"/>
      <c r="F82" s="529">
        <f>D82*E82</f>
        <v>0</v>
      </c>
      <c r="G82" s="446"/>
      <c r="H82" s="680"/>
    </row>
    <row r="83" spans="1:9" s="392" customFormat="1">
      <c r="A83" s="407"/>
      <c r="B83" s="408"/>
      <c r="C83" s="409"/>
      <c r="D83" s="410"/>
      <c r="E83" s="410"/>
      <c r="F83" s="532"/>
      <c r="G83" s="655"/>
      <c r="H83" s="680"/>
    </row>
    <row r="84" spans="1:9" s="392" customFormat="1">
      <c r="A84" s="380">
        <f>IF(B84&gt;0,MAX(A$22:A83)+1,"")</f>
        <v>10</v>
      </c>
      <c r="B84" s="397" t="s">
        <v>229</v>
      </c>
      <c r="C84" s="398"/>
      <c r="D84" s="399"/>
      <c r="E84" s="400"/>
      <c r="F84" s="531"/>
      <c r="G84" s="446"/>
      <c r="H84" s="680"/>
    </row>
    <row r="85" spans="1:9" s="394" customFormat="1" ht="67.5">
      <c r="A85" s="380"/>
      <c r="B85" s="401" t="s">
        <v>230</v>
      </c>
      <c r="C85" s="398"/>
      <c r="D85" s="399"/>
      <c r="E85" s="400"/>
      <c r="F85" s="531"/>
      <c r="G85" s="446"/>
      <c r="H85" s="680"/>
    </row>
    <row r="86" spans="1:9" s="396" customFormat="1">
      <c r="A86" s="402"/>
      <c r="B86" s="403" t="s">
        <v>177</v>
      </c>
      <c r="C86" s="404"/>
      <c r="D86" s="405"/>
      <c r="E86" s="406"/>
      <c r="F86" s="531"/>
      <c r="G86" s="446"/>
      <c r="H86" s="680"/>
    </row>
    <row r="87" spans="1:9" s="396" customFormat="1">
      <c r="A87" s="402"/>
      <c r="B87" s="403" t="s">
        <v>49</v>
      </c>
      <c r="C87" s="404" t="s">
        <v>36</v>
      </c>
      <c r="D87" s="405">
        <v>2</v>
      </c>
      <c r="E87" s="406"/>
      <c r="F87" s="529">
        <f>D87*E87</f>
        <v>0</v>
      </c>
      <c r="G87" s="446"/>
      <c r="H87" s="680"/>
    </row>
    <row r="88" spans="1:9" s="432" customFormat="1">
      <c r="A88" s="440"/>
      <c r="B88" s="441"/>
      <c r="C88" s="441"/>
      <c r="D88" s="442"/>
      <c r="E88" s="443"/>
      <c r="F88" s="533"/>
      <c r="G88" s="449"/>
      <c r="H88" s="682"/>
      <c r="I88" s="646"/>
    </row>
    <row r="89" spans="1:9" s="362" customFormat="1">
      <c r="A89" s="380">
        <f>IF(B89&gt;0,MAX(A$22:A87)+1,"")</f>
        <v>11</v>
      </c>
      <c r="B89" s="411" t="s">
        <v>231</v>
      </c>
      <c r="C89" s="412"/>
      <c r="D89" s="413"/>
      <c r="E89" s="414"/>
      <c r="F89" s="534"/>
      <c r="G89" s="450"/>
      <c r="H89" s="680"/>
    </row>
    <row r="90" spans="1:9" s="394" customFormat="1" ht="22.5">
      <c r="A90" s="415"/>
      <c r="B90" s="416" t="s">
        <v>391</v>
      </c>
      <c r="C90" s="412"/>
      <c r="D90" s="413"/>
      <c r="E90" s="414"/>
      <c r="F90" s="534"/>
      <c r="G90" s="450"/>
      <c r="H90" s="680"/>
    </row>
    <row r="91" spans="1:9" s="362" customFormat="1" ht="56.25">
      <c r="A91" s="415"/>
      <c r="B91" s="416" t="s">
        <v>232</v>
      </c>
      <c r="C91" s="412"/>
      <c r="D91" s="413"/>
      <c r="E91" s="414"/>
      <c r="F91" s="534"/>
      <c r="G91" s="450"/>
      <c r="H91" s="680"/>
    </row>
    <row r="92" spans="1:9" s="362" customFormat="1">
      <c r="A92" s="411"/>
      <c r="B92" s="416" t="s">
        <v>233</v>
      </c>
      <c r="C92" s="417"/>
      <c r="D92" s="418"/>
      <c r="E92" s="419"/>
      <c r="F92" s="534"/>
      <c r="G92" s="450"/>
      <c r="H92" s="680"/>
    </row>
    <row r="93" spans="1:9" s="362" customFormat="1">
      <c r="A93" s="411"/>
      <c r="B93" s="416" t="s">
        <v>186</v>
      </c>
      <c r="C93" s="417" t="s">
        <v>187</v>
      </c>
      <c r="D93" s="418">
        <v>6</v>
      </c>
      <c r="E93" s="419"/>
      <c r="F93" s="526">
        <f>D93*E93</f>
        <v>0</v>
      </c>
      <c r="G93" s="450"/>
      <c r="H93" s="680"/>
    </row>
    <row r="94" spans="1:9" s="362" customFormat="1">
      <c r="A94" s="420"/>
      <c r="B94" s="421"/>
      <c r="C94" s="422"/>
      <c r="D94" s="423"/>
      <c r="E94" s="423"/>
      <c r="F94" s="535"/>
      <c r="G94" s="656"/>
      <c r="H94" s="680"/>
    </row>
    <row r="95" spans="1:9" s="436" customFormat="1">
      <c r="A95" s="380">
        <f>IF(B95&gt;0,MAX(A$22:A90)+1,"")</f>
        <v>12</v>
      </c>
      <c r="B95" s="467" t="s">
        <v>245</v>
      </c>
      <c r="C95" s="433"/>
      <c r="D95" s="434"/>
      <c r="E95" s="435"/>
      <c r="F95" s="536"/>
      <c r="G95" s="448"/>
      <c r="H95" s="682"/>
      <c r="I95" s="646"/>
    </row>
    <row r="96" spans="1:9" s="439" customFormat="1" ht="135">
      <c r="A96" s="437"/>
      <c r="B96" s="630" t="s">
        <v>384</v>
      </c>
      <c r="C96" s="438"/>
      <c r="D96" s="434"/>
      <c r="E96" s="435"/>
      <c r="F96" s="536"/>
      <c r="G96" s="448"/>
      <c r="H96" s="682"/>
      <c r="I96" s="646"/>
    </row>
    <row r="97" spans="1:9" s="432" customFormat="1">
      <c r="A97" s="440"/>
      <c r="B97" s="441" t="s">
        <v>246</v>
      </c>
      <c r="C97" s="442" t="s">
        <v>36</v>
      </c>
      <c r="D97" s="443">
        <v>2</v>
      </c>
      <c r="E97" s="444"/>
      <c r="F97" s="537">
        <f>$D97*E97</f>
        <v>0</v>
      </c>
      <c r="H97" s="682"/>
      <c r="I97" s="646"/>
    </row>
    <row r="98" spans="1:9" s="432" customFormat="1">
      <c r="A98" s="428"/>
      <c r="B98" s="429"/>
      <c r="C98" s="429"/>
      <c r="D98" s="430"/>
      <c r="E98" s="431"/>
      <c r="F98" s="538"/>
      <c r="G98" s="447"/>
      <c r="H98" s="683"/>
      <c r="I98" s="646"/>
    </row>
    <row r="99" spans="1:9" s="436" customFormat="1">
      <c r="A99" s="380">
        <f>IF(B99&gt;0,MAX(A$22:A98)+1,"")</f>
        <v>13</v>
      </c>
      <c r="B99" s="433" t="s">
        <v>240</v>
      </c>
      <c r="C99" s="433"/>
      <c r="D99" s="434"/>
      <c r="E99" s="435"/>
      <c r="F99" s="536"/>
      <c r="G99" s="448"/>
      <c r="H99" s="682"/>
      <c r="I99" s="646"/>
    </row>
    <row r="100" spans="1:9" s="439" customFormat="1" ht="67.5">
      <c r="A100" s="437"/>
      <c r="B100" s="438" t="s">
        <v>241</v>
      </c>
      <c r="C100" s="438"/>
      <c r="D100" s="434"/>
      <c r="E100" s="435"/>
      <c r="F100" s="536"/>
      <c r="G100" s="448"/>
      <c r="H100" s="682"/>
      <c r="I100" s="646"/>
    </row>
    <row r="101" spans="1:9" s="432" customFormat="1">
      <c r="A101" s="440"/>
      <c r="B101" s="441" t="s">
        <v>242</v>
      </c>
      <c r="C101" s="442" t="s">
        <v>187</v>
      </c>
      <c r="D101" s="443">
        <v>2.2999999999999998</v>
      </c>
      <c r="E101" s="444"/>
      <c r="F101" s="537">
        <f>$D101*E101</f>
        <v>0</v>
      </c>
      <c r="H101" s="682"/>
      <c r="I101" s="646"/>
    </row>
    <row r="102" spans="1:9" s="432" customFormat="1">
      <c r="A102" s="440"/>
      <c r="B102" s="441"/>
      <c r="C102" s="441"/>
      <c r="D102" s="442"/>
      <c r="E102" s="443"/>
      <c r="F102" s="533"/>
      <c r="G102" s="449"/>
      <c r="H102" s="682"/>
      <c r="I102" s="646"/>
    </row>
    <row r="103" spans="1:9" s="362" customFormat="1">
      <c r="A103" s="424" t="s">
        <v>55</v>
      </c>
      <c r="B103" s="425" t="s">
        <v>234</v>
      </c>
      <c r="C103" s="426"/>
      <c r="D103" s="427"/>
      <c r="E103" s="427"/>
      <c r="F103" s="539">
        <f>SUM(F28:F101)</f>
        <v>0</v>
      </c>
      <c r="G103" s="657"/>
      <c r="H103" s="680"/>
    </row>
    <row r="104" spans="1:9" s="362" customFormat="1">
      <c r="A104" s="407"/>
      <c r="B104" s="408"/>
      <c r="C104" s="409"/>
      <c r="D104" s="410"/>
      <c r="E104" s="410"/>
      <c r="F104" s="532"/>
      <c r="G104" s="655"/>
      <c r="H104" s="680"/>
    </row>
    <row r="105" spans="1:9" s="472" customFormat="1">
      <c r="A105" s="468" t="s">
        <v>102</v>
      </c>
      <c r="B105" s="469" t="s">
        <v>247</v>
      </c>
      <c r="C105" s="470"/>
      <c r="D105" s="471"/>
      <c r="E105" s="471"/>
      <c r="F105" s="540"/>
      <c r="G105" s="612"/>
      <c r="H105" s="646"/>
    </row>
    <row r="106" spans="1:9" s="472" customFormat="1">
      <c r="A106" s="473"/>
      <c r="B106" s="474"/>
      <c r="C106" s="475"/>
      <c r="D106" s="476"/>
      <c r="E106" s="476"/>
      <c r="F106" s="541"/>
      <c r="G106" s="658"/>
      <c r="H106" s="646"/>
    </row>
    <row r="107" spans="1:9" s="472" customFormat="1" ht="22.5">
      <c r="A107" s="473"/>
      <c r="B107" s="635" t="s">
        <v>436</v>
      </c>
      <c r="C107" s="475"/>
      <c r="D107" s="476"/>
      <c r="E107" s="476"/>
      <c r="F107" s="541"/>
      <c r="G107" s="658"/>
      <c r="H107" s="646"/>
    </row>
    <row r="108" spans="1:9" s="472" customFormat="1" ht="22.5">
      <c r="A108" s="473"/>
      <c r="B108" s="395" t="s">
        <v>248</v>
      </c>
      <c r="C108" s="475"/>
      <c r="D108" s="476"/>
      <c r="E108" s="476"/>
      <c r="F108" s="541"/>
      <c r="G108" s="658"/>
      <c r="H108" s="646"/>
    </row>
    <row r="109" spans="1:9" s="472" customFormat="1" ht="123.75">
      <c r="A109" s="473"/>
      <c r="B109" s="395" t="s">
        <v>438</v>
      </c>
      <c r="C109" s="475"/>
      <c r="D109" s="476"/>
      <c r="E109" s="476"/>
      <c r="F109" s="541"/>
      <c r="G109" s="658"/>
      <c r="H109" s="646"/>
    </row>
    <row r="110" spans="1:9" s="472" customFormat="1" ht="22.5">
      <c r="A110" s="473"/>
      <c r="B110" s="395" t="s">
        <v>249</v>
      </c>
      <c r="C110" s="475"/>
      <c r="D110" s="476"/>
      <c r="E110" s="476"/>
      <c r="F110" s="541"/>
      <c r="G110" s="658"/>
      <c r="H110" s="646"/>
    </row>
    <row r="111" spans="1:9" s="472" customFormat="1" ht="22.5">
      <c r="A111" s="473"/>
      <c r="B111" s="395" t="s">
        <v>250</v>
      </c>
      <c r="C111" s="475"/>
      <c r="D111" s="476"/>
      <c r="E111" s="476"/>
      <c r="F111" s="541"/>
      <c r="G111" s="658"/>
      <c r="H111" s="646"/>
    </row>
    <row r="112" spans="1:9" s="472" customFormat="1" ht="22.5">
      <c r="A112" s="473"/>
      <c r="B112" s="395" t="s">
        <v>251</v>
      </c>
      <c r="C112" s="475"/>
      <c r="D112" s="476"/>
      <c r="E112" s="476"/>
      <c r="F112" s="541"/>
      <c r="G112" s="658"/>
      <c r="H112" s="646"/>
    </row>
    <row r="113" spans="1:8" s="472" customFormat="1">
      <c r="A113" s="473"/>
      <c r="B113" s="395" t="s">
        <v>252</v>
      </c>
      <c r="C113" s="475"/>
      <c r="D113" s="476"/>
      <c r="E113" s="476"/>
      <c r="F113" s="541"/>
      <c r="G113" s="658"/>
      <c r="H113" s="646"/>
    </row>
    <row r="114" spans="1:8" s="128" customFormat="1" ht="22.5">
      <c r="A114" s="152"/>
      <c r="B114" s="17" t="s">
        <v>437</v>
      </c>
      <c r="C114" s="130"/>
      <c r="D114" s="16"/>
      <c r="E114" s="16"/>
      <c r="F114" s="62"/>
      <c r="G114" s="168"/>
      <c r="H114" s="64"/>
    </row>
    <row r="115" spans="1:8" s="472" customFormat="1">
      <c r="A115" s="473"/>
      <c r="B115" s="395"/>
      <c r="C115" s="475"/>
      <c r="D115" s="476"/>
      <c r="E115" s="476"/>
      <c r="F115" s="541"/>
      <c r="G115" s="658"/>
      <c r="H115" s="646"/>
    </row>
    <row r="116" spans="1:8" s="472" customFormat="1">
      <c r="A116" s="478"/>
      <c r="B116" s="393" t="s">
        <v>253</v>
      </c>
      <c r="C116" s="479"/>
      <c r="D116" s="480"/>
      <c r="E116" s="480"/>
      <c r="F116" s="542"/>
      <c r="G116" s="615"/>
      <c r="H116" s="646"/>
    </row>
    <row r="117" spans="1:8" s="472" customFormat="1">
      <c r="A117" s="478"/>
      <c r="B117" s="393"/>
      <c r="C117" s="479"/>
      <c r="D117" s="480"/>
      <c r="E117" s="480"/>
      <c r="F117" s="542"/>
      <c r="G117" s="615"/>
      <c r="H117" s="646"/>
    </row>
    <row r="118" spans="1:8" s="472" customFormat="1">
      <c r="A118" s="482">
        <v>1</v>
      </c>
      <c r="B118" s="393" t="s">
        <v>254</v>
      </c>
      <c r="C118" s="479"/>
      <c r="D118" s="480"/>
      <c r="E118" s="480"/>
      <c r="F118" s="542"/>
      <c r="G118" s="615"/>
      <c r="H118" s="646"/>
    </row>
    <row r="119" spans="1:8" s="472" customFormat="1" ht="33.75">
      <c r="A119" s="483"/>
      <c r="B119" s="395" t="s">
        <v>390</v>
      </c>
      <c r="C119" s="479"/>
      <c r="D119" s="480"/>
      <c r="E119" s="480"/>
      <c r="F119" s="542"/>
      <c r="G119" s="615"/>
      <c r="H119" s="646"/>
    </row>
    <row r="120" spans="1:8" s="472" customFormat="1" ht="22.5">
      <c r="A120" s="483"/>
      <c r="B120" s="395" t="s">
        <v>255</v>
      </c>
      <c r="C120" s="479"/>
      <c r="D120" s="480"/>
      <c r="E120" s="480"/>
      <c r="F120" s="542"/>
      <c r="G120" s="615"/>
      <c r="H120" s="646"/>
    </row>
    <row r="121" spans="1:8" s="472" customFormat="1">
      <c r="A121" s="483"/>
      <c r="B121" s="395" t="s">
        <v>13</v>
      </c>
      <c r="C121" s="395"/>
      <c r="D121" s="484"/>
      <c r="E121" s="485"/>
      <c r="F121" s="484"/>
      <c r="G121" s="615"/>
      <c r="H121" s="646"/>
    </row>
    <row r="122" spans="1:8" s="472" customFormat="1">
      <c r="A122" s="483"/>
      <c r="B122" s="486" t="s">
        <v>12</v>
      </c>
      <c r="C122" s="479" t="s">
        <v>14</v>
      </c>
      <c r="D122" s="476">
        <v>34.42</v>
      </c>
      <c r="E122" s="480"/>
      <c r="F122" s="542">
        <f>D122*E122</f>
        <v>0</v>
      </c>
      <c r="G122" s="615"/>
      <c r="H122" s="646"/>
    </row>
    <row r="123" spans="1:8" s="472" customFormat="1">
      <c r="A123" s="483"/>
      <c r="B123" s="486" t="s">
        <v>256</v>
      </c>
      <c r="C123" s="479" t="s">
        <v>14</v>
      </c>
      <c r="D123" s="476">
        <v>34.43</v>
      </c>
      <c r="E123" s="480"/>
      <c r="F123" s="542">
        <f>D123*E123</f>
        <v>0</v>
      </c>
      <c r="G123" s="615"/>
      <c r="H123" s="646"/>
    </row>
    <row r="124" spans="1:8" s="472" customFormat="1">
      <c r="A124" s="483"/>
      <c r="B124" s="395"/>
      <c r="C124" s="479"/>
      <c r="D124" s="480"/>
      <c r="E124" s="480"/>
      <c r="F124" s="542"/>
      <c r="G124" s="615"/>
      <c r="H124" s="646"/>
    </row>
    <row r="125" spans="1:8" s="472" customFormat="1">
      <c r="A125" s="219">
        <f>IF(B125&gt;0,MAX(A118:A$124)+1,"")</f>
        <v>2</v>
      </c>
      <c r="B125" s="393" t="s">
        <v>257</v>
      </c>
      <c r="C125" s="479"/>
      <c r="D125" s="480"/>
      <c r="E125" s="480"/>
      <c r="F125" s="542"/>
      <c r="G125" s="615"/>
      <c r="H125" s="646"/>
    </row>
    <row r="126" spans="1:8" s="472" customFormat="1" ht="33.75">
      <c r="A126" s="483"/>
      <c r="B126" s="395" t="s">
        <v>389</v>
      </c>
      <c r="C126" s="479"/>
      <c r="D126" s="480"/>
      <c r="E126" s="480"/>
      <c r="F126" s="542"/>
      <c r="G126" s="615"/>
      <c r="H126" s="646"/>
    </row>
    <row r="127" spans="1:8" s="472" customFormat="1" ht="22.5">
      <c r="A127" s="483"/>
      <c r="B127" s="395" t="s">
        <v>255</v>
      </c>
      <c r="C127" s="479"/>
      <c r="D127" s="480"/>
      <c r="E127" s="480"/>
      <c r="F127" s="542"/>
      <c r="G127" s="615"/>
      <c r="H127" s="646"/>
    </row>
    <row r="128" spans="1:8" s="472" customFormat="1">
      <c r="A128" s="483"/>
      <c r="B128" s="395" t="s">
        <v>13</v>
      </c>
      <c r="C128" s="395"/>
      <c r="D128" s="484"/>
      <c r="E128" s="485"/>
      <c r="F128" s="542"/>
      <c r="G128" s="615"/>
      <c r="H128" s="646"/>
    </row>
    <row r="129" spans="1:8" s="472" customFormat="1">
      <c r="A129" s="483"/>
      <c r="B129" s="486" t="s">
        <v>12</v>
      </c>
      <c r="C129" s="479" t="s">
        <v>14</v>
      </c>
      <c r="D129" s="480">
        <v>4.05</v>
      </c>
      <c r="E129" s="480"/>
      <c r="F129" s="542">
        <f>D129*E129</f>
        <v>0</v>
      </c>
      <c r="G129" s="615"/>
      <c r="H129" s="646"/>
    </row>
    <row r="130" spans="1:8" s="472" customFormat="1">
      <c r="A130" s="483"/>
      <c r="B130" s="486" t="s">
        <v>256</v>
      </c>
      <c r="C130" s="479" t="s">
        <v>14</v>
      </c>
      <c r="D130" s="480">
        <v>4.05</v>
      </c>
      <c r="E130" s="480"/>
      <c r="F130" s="542">
        <f>D130*E130</f>
        <v>0</v>
      </c>
      <c r="G130" s="615"/>
      <c r="H130" s="646"/>
    </row>
    <row r="131" spans="1:8" s="472" customFormat="1">
      <c r="A131" s="487"/>
      <c r="B131" s="477"/>
      <c r="C131" s="488"/>
      <c r="D131" s="476"/>
      <c r="E131" s="476"/>
      <c r="F131" s="541"/>
      <c r="G131" s="658"/>
      <c r="H131" s="646"/>
    </row>
    <row r="132" spans="1:8" s="472" customFormat="1">
      <c r="A132" s="483"/>
      <c r="B132" s="393" t="s">
        <v>258</v>
      </c>
      <c r="C132" s="479"/>
      <c r="D132" s="480"/>
      <c r="E132" s="480"/>
      <c r="F132" s="542"/>
      <c r="G132" s="615"/>
      <c r="H132" s="646"/>
    </row>
    <row r="133" spans="1:8" s="472" customFormat="1">
      <c r="A133" s="483"/>
      <c r="B133" s="395"/>
      <c r="C133" s="479"/>
      <c r="D133" s="480"/>
      <c r="E133" s="480"/>
      <c r="F133" s="542"/>
      <c r="G133" s="615"/>
      <c r="H133" s="646"/>
    </row>
    <row r="134" spans="1:8" s="472" customFormat="1">
      <c r="A134" s="219">
        <f>IF(B134&gt;0,MAX(A$124:A127)+1,"")</f>
        <v>3</v>
      </c>
      <c r="B134" s="393" t="s">
        <v>259</v>
      </c>
      <c r="C134" s="479"/>
      <c r="D134" s="480"/>
      <c r="E134" s="480"/>
      <c r="F134" s="542"/>
      <c r="G134" s="615"/>
      <c r="H134" s="646"/>
    </row>
    <row r="135" spans="1:8" s="472" customFormat="1" ht="33.75">
      <c r="A135" s="483"/>
      <c r="B135" s="395" t="s">
        <v>388</v>
      </c>
      <c r="C135" s="479"/>
      <c r="D135" s="480"/>
      <c r="E135" s="480"/>
      <c r="F135" s="542"/>
      <c r="G135" s="615"/>
      <c r="H135" s="646"/>
    </row>
    <row r="136" spans="1:8" s="472" customFormat="1">
      <c r="A136" s="483"/>
      <c r="B136" s="395" t="s">
        <v>13</v>
      </c>
      <c r="C136" s="395"/>
      <c r="D136" s="484"/>
      <c r="E136" s="485"/>
      <c r="F136" s="542"/>
      <c r="G136" s="615"/>
      <c r="H136" s="646"/>
    </row>
    <row r="137" spans="1:8" s="472" customFormat="1">
      <c r="A137" s="483"/>
      <c r="B137" s="395" t="s">
        <v>285</v>
      </c>
      <c r="C137" s="395"/>
      <c r="D137" s="484"/>
      <c r="E137" s="485"/>
      <c r="F137" s="542"/>
      <c r="G137" s="615"/>
      <c r="H137" s="646"/>
    </row>
    <row r="138" spans="1:8" s="472" customFormat="1">
      <c r="A138" s="483"/>
      <c r="B138" s="486" t="s">
        <v>12</v>
      </c>
      <c r="C138" s="479" t="s">
        <v>14</v>
      </c>
      <c r="D138" s="480">
        <v>3.02</v>
      </c>
      <c r="E138" s="480"/>
      <c r="F138" s="542">
        <f>D138*E138</f>
        <v>0</v>
      </c>
      <c r="G138" s="615"/>
      <c r="H138" s="646"/>
    </row>
    <row r="139" spans="1:8" s="472" customFormat="1">
      <c r="A139" s="483"/>
      <c r="B139" s="486" t="s">
        <v>256</v>
      </c>
      <c r="C139" s="479" t="s">
        <v>14</v>
      </c>
      <c r="D139" s="480">
        <v>3.02</v>
      </c>
      <c r="E139" s="480"/>
      <c r="F139" s="542">
        <f>D139*E139</f>
        <v>0</v>
      </c>
      <c r="G139" s="615"/>
      <c r="H139" s="646"/>
    </row>
    <row r="140" spans="1:8" s="472" customFormat="1">
      <c r="A140" s="483"/>
      <c r="B140" s="395" t="s">
        <v>286</v>
      </c>
      <c r="C140" s="395"/>
      <c r="D140" s="484"/>
      <c r="E140" s="485"/>
      <c r="F140" s="542"/>
      <c r="G140" s="615"/>
      <c r="H140" s="646"/>
    </row>
    <row r="141" spans="1:8" s="472" customFormat="1">
      <c r="A141" s="483"/>
      <c r="B141" s="486" t="s">
        <v>12</v>
      </c>
      <c r="C141" s="479" t="s">
        <v>14</v>
      </c>
      <c r="D141" s="480">
        <v>10.15</v>
      </c>
      <c r="E141" s="480"/>
      <c r="F141" s="542">
        <f>D141*E141</f>
        <v>0</v>
      </c>
      <c r="G141" s="615"/>
      <c r="H141" s="646"/>
    </row>
    <row r="142" spans="1:8" s="472" customFormat="1">
      <c r="A142" s="483"/>
      <c r="B142" s="486" t="s">
        <v>256</v>
      </c>
      <c r="C142" s="479" t="s">
        <v>14</v>
      </c>
      <c r="D142" s="480">
        <v>10.15</v>
      </c>
      <c r="E142" s="480"/>
      <c r="F142" s="542">
        <f>D142*E142</f>
        <v>0</v>
      </c>
      <c r="G142" s="615"/>
      <c r="H142" s="646"/>
    </row>
    <row r="143" spans="1:8" s="472" customFormat="1">
      <c r="A143" s="483"/>
      <c r="B143" s="395" t="s">
        <v>287</v>
      </c>
      <c r="C143" s="395"/>
      <c r="D143" s="484"/>
      <c r="E143" s="485"/>
      <c r="F143" s="542"/>
      <c r="G143" s="615"/>
      <c r="H143" s="646"/>
    </row>
    <row r="144" spans="1:8" s="472" customFormat="1">
      <c r="A144" s="483"/>
      <c r="B144" s="486" t="s">
        <v>12</v>
      </c>
      <c r="C144" s="479" t="s">
        <v>14</v>
      </c>
      <c r="D144" s="480">
        <v>8.8699999999999992</v>
      </c>
      <c r="E144" s="480"/>
      <c r="F144" s="542">
        <f>D144*E144</f>
        <v>0</v>
      </c>
      <c r="G144" s="615"/>
      <c r="H144" s="646"/>
    </row>
    <row r="145" spans="1:8" s="472" customFormat="1">
      <c r="A145" s="483"/>
      <c r="B145" s="486" t="s">
        <v>256</v>
      </c>
      <c r="C145" s="479" t="s">
        <v>14</v>
      </c>
      <c r="D145" s="480">
        <v>8.8699999999999992</v>
      </c>
      <c r="E145" s="480"/>
      <c r="F145" s="542">
        <f>D145*E145</f>
        <v>0</v>
      </c>
      <c r="G145" s="615"/>
      <c r="H145" s="646"/>
    </row>
    <row r="146" spans="1:8" s="472" customFormat="1">
      <c r="A146" s="483"/>
      <c r="B146" s="395" t="s">
        <v>288</v>
      </c>
      <c r="C146" s="395"/>
      <c r="D146" s="484"/>
      <c r="E146" s="485"/>
      <c r="F146" s="542"/>
      <c r="G146" s="615"/>
      <c r="H146" s="646"/>
    </row>
    <row r="147" spans="1:8" s="472" customFormat="1">
      <c r="A147" s="483"/>
      <c r="B147" s="486" t="s">
        <v>12</v>
      </c>
      <c r="C147" s="479" t="s">
        <v>14</v>
      </c>
      <c r="D147" s="480">
        <v>3.71</v>
      </c>
      <c r="E147" s="480"/>
      <c r="F147" s="542">
        <f>D147*E147</f>
        <v>0</v>
      </c>
      <c r="G147" s="615"/>
      <c r="H147" s="646"/>
    </row>
    <row r="148" spans="1:8" s="472" customFormat="1">
      <c r="A148" s="483"/>
      <c r="B148" s="486" t="s">
        <v>256</v>
      </c>
      <c r="C148" s="479" t="s">
        <v>14</v>
      </c>
      <c r="D148" s="480">
        <v>3.71</v>
      </c>
      <c r="E148" s="480"/>
      <c r="F148" s="542">
        <f>D148*E148</f>
        <v>0</v>
      </c>
      <c r="G148" s="615"/>
      <c r="H148" s="646"/>
    </row>
    <row r="149" spans="1:8" s="472" customFormat="1">
      <c r="A149" s="483"/>
      <c r="B149" s="477" t="s">
        <v>482</v>
      </c>
      <c r="C149" s="395"/>
      <c r="D149" s="484"/>
      <c r="E149" s="485"/>
      <c r="F149" s="542"/>
      <c r="G149" s="615"/>
      <c r="H149" s="646"/>
    </row>
    <row r="150" spans="1:8" s="472" customFormat="1">
      <c r="A150" s="483"/>
      <c r="B150" s="486" t="s">
        <v>12</v>
      </c>
      <c r="C150" s="479" t="s">
        <v>14</v>
      </c>
      <c r="D150" s="476">
        <v>5.76</v>
      </c>
      <c r="E150" s="480"/>
      <c r="F150" s="542">
        <f>D150*E150</f>
        <v>0</v>
      </c>
      <c r="G150" s="615"/>
      <c r="H150" s="646"/>
    </row>
    <row r="151" spans="1:8" s="472" customFormat="1">
      <c r="A151" s="483"/>
      <c r="B151" s="486" t="s">
        <v>256</v>
      </c>
      <c r="C151" s="479" t="s">
        <v>14</v>
      </c>
      <c r="D151" s="476">
        <v>5.76</v>
      </c>
      <c r="E151" s="480"/>
      <c r="F151" s="542">
        <f>D151*E151</f>
        <v>0</v>
      </c>
      <c r="G151" s="615"/>
      <c r="H151" s="646"/>
    </row>
    <row r="152" spans="1:8" s="472" customFormat="1">
      <c r="A152" s="483"/>
      <c r="B152" s="477" t="s">
        <v>480</v>
      </c>
      <c r="C152" s="395"/>
      <c r="D152" s="484"/>
      <c r="E152" s="485"/>
      <c r="F152" s="542"/>
      <c r="G152" s="615"/>
      <c r="H152" s="646"/>
    </row>
    <row r="153" spans="1:8" s="472" customFormat="1">
      <c r="A153" s="483"/>
      <c r="B153" s="747" t="s">
        <v>12</v>
      </c>
      <c r="C153" s="488" t="s">
        <v>14</v>
      </c>
      <c r="D153" s="476">
        <v>10.31</v>
      </c>
      <c r="E153" s="476"/>
      <c r="F153" s="541">
        <f>D153*E153</f>
        <v>0</v>
      </c>
      <c r="G153" s="615"/>
      <c r="H153" s="646"/>
    </row>
    <row r="154" spans="1:8" s="472" customFormat="1">
      <c r="A154" s="483"/>
      <c r="B154" s="747" t="s">
        <v>256</v>
      </c>
      <c r="C154" s="488" t="s">
        <v>14</v>
      </c>
      <c r="D154" s="476">
        <v>10.31</v>
      </c>
      <c r="E154" s="476"/>
      <c r="F154" s="541">
        <f>D154*E154</f>
        <v>0</v>
      </c>
      <c r="G154" s="615"/>
      <c r="H154" s="646"/>
    </row>
    <row r="155" spans="1:8" s="472" customFormat="1">
      <c r="A155" s="489"/>
      <c r="B155" s="395"/>
      <c r="C155" s="479"/>
      <c r="D155" s="480"/>
      <c r="E155" s="480"/>
      <c r="F155" s="542"/>
      <c r="G155" s="615"/>
      <c r="H155" s="646"/>
    </row>
    <row r="156" spans="1:8" s="472" customFormat="1">
      <c r="A156" s="219">
        <f>IF(B156&gt;0,MAX(A$124:A146)+1,"")</f>
        <v>4</v>
      </c>
      <c r="B156" s="393" t="s">
        <v>261</v>
      </c>
      <c r="C156" s="479"/>
      <c r="D156" s="480"/>
      <c r="E156" s="480"/>
      <c r="F156" s="542"/>
      <c r="G156" s="615"/>
      <c r="H156" s="646"/>
    </row>
    <row r="157" spans="1:8" s="472" customFormat="1" ht="22.5">
      <c r="A157" s="490"/>
      <c r="B157" s="491" t="s">
        <v>262</v>
      </c>
      <c r="C157" s="492"/>
      <c r="D157" s="493"/>
      <c r="E157" s="493"/>
      <c r="F157" s="542"/>
      <c r="G157" s="611"/>
      <c r="H157" s="646"/>
    </row>
    <row r="158" spans="1:8" s="472" customFormat="1">
      <c r="A158" s="489"/>
      <c r="B158" s="395" t="s">
        <v>186</v>
      </c>
      <c r="C158" s="480"/>
      <c r="D158" s="480"/>
      <c r="E158" s="481"/>
      <c r="F158" s="543"/>
      <c r="G158" s="659"/>
      <c r="H158" s="646"/>
    </row>
    <row r="159" spans="1:8" s="472" customFormat="1">
      <c r="A159" s="489"/>
      <c r="B159" s="395" t="s">
        <v>285</v>
      </c>
      <c r="C159" s="493"/>
      <c r="D159" s="493"/>
      <c r="E159" s="481"/>
      <c r="F159" s="544"/>
      <c r="G159" s="660"/>
      <c r="H159" s="646"/>
    </row>
    <row r="160" spans="1:8" s="472" customFormat="1">
      <c r="A160" s="483"/>
      <c r="B160" s="486" t="s">
        <v>12</v>
      </c>
      <c r="C160" s="479" t="s">
        <v>187</v>
      </c>
      <c r="D160" s="480">
        <v>4.1900000000000004</v>
      </c>
      <c r="E160" s="480"/>
      <c r="F160" s="542">
        <f>D160*E160</f>
        <v>0</v>
      </c>
      <c r="G160" s="615"/>
      <c r="H160" s="646"/>
    </row>
    <row r="161" spans="1:8" s="472" customFormat="1">
      <c r="A161" s="483"/>
      <c r="B161" s="486" t="s">
        <v>256</v>
      </c>
      <c r="C161" s="479" t="s">
        <v>187</v>
      </c>
      <c r="D161" s="480">
        <v>4.1900000000000004</v>
      </c>
      <c r="E161" s="480"/>
      <c r="F161" s="542">
        <f>D161*E161</f>
        <v>0</v>
      </c>
      <c r="G161" s="615"/>
      <c r="H161" s="646"/>
    </row>
    <row r="162" spans="1:8" s="472" customFormat="1">
      <c r="A162" s="489"/>
      <c r="B162" s="395" t="s">
        <v>260</v>
      </c>
      <c r="C162" s="479"/>
      <c r="D162" s="480"/>
      <c r="E162" s="480"/>
      <c r="F162" s="542"/>
      <c r="G162" s="615"/>
      <c r="H162" s="646"/>
    </row>
    <row r="163" spans="1:8" s="472" customFormat="1">
      <c r="A163" s="483"/>
      <c r="B163" s="486" t="s">
        <v>12</v>
      </c>
      <c r="C163" s="479" t="s">
        <v>187</v>
      </c>
      <c r="D163" s="480">
        <v>8.8000000000000007</v>
      </c>
      <c r="E163" s="480"/>
      <c r="F163" s="542">
        <f>D163*E163</f>
        <v>0</v>
      </c>
      <c r="G163" s="615"/>
      <c r="H163" s="646"/>
    </row>
    <row r="164" spans="1:8" s="472" customFormat="1">
      <c r="A164" s="483"/>
      <c r="B164" s="486" t="s">
        <v>256</v>
      </c>
      <c r="C164" s="479" t="s">
        <v>187</v>
      </c>
      <c r="D164" s="480">
        <v>8.8000000000000007</v>
      </c>
      <c r="E164" s="480"/>
      <c r="F164" s="542">
        <f>D164*E164</f>
        <v>0</v>
      </c>
      <c r="G164" s="615"/>
      <c r="H164" s="646"/>
    </row>
    <row r="165" spans="1:8" s="472" customFormat="1">
      <c r="A165" s="483"/>
      <c r="B165" s="395" t="s">
        <v>289</v>
      </c>
      <c r="C165" s="479"/>
      <c r="D165" s="480"/>
      <c r="E165" s="480"/>
      <c r="F165" s="542"/>
      <c r="G165" s="615"/>
      <c r="H165" s="646"/>
    </row>
    <row r="166" spans="1:8" s="472" customFormat="1">
      <c r="A166" s="483"/>
      <c r="B166" s="486" t="s">
        <v>12</v>
      </c>
      <c r="C166" s="479" t="s">
        <v>187</v>
      </c>
      <c r="D166" s="480">
        <v>7.06</v>
      </c>
      <c r="E166" s="480"/>
      <c r="F166" s="542">
        <f>D166*E166</f>
        <v>0</v>
      </c>
      <c r="G166" s="615"/>
      <c r="H166" s="646"/>
    </row>
    <row r="167" spans="1:8" s="472" customFormat="1">
      <c r="A167" s="483"/>
      <c r="B167" s="486" t="s">
        <v>256</v>
      </c>
      <c r="C167" s="479" t="s">
        <v>187</v>
      </c>
      <c r="D167" s="480">
        <v>7.06</v>
      </c>
      <c r="E167" s="480"/>
      <c r="F167" s="542">
        <f>D167*E167</f>
        <v>0</v>
      </c>
      <c r="G167" s="615"/>
      <c r="H167" s="646"/>
    </row>
    <row r="168" spans="1:8" s="472" customFormat="1">
      <c r="A168" s="483"/>
      <c r="B168" s="477" t="s">
        <v>481</v>
      </c>
      <c r="C168" s="395"/>
      <c r="D168" s="484"/>
      <c r="E168" s="485"/>
      <c r="F168" s="542"/>
      <c r="G168" s="615"/>
      <c r="H168" s="646"/>
    </row>
    <row r="169" spans="1:8" s="472" customFormat="1">
      <c r="A169" s="483"/>
      <c r="B169" s="486" t="s">
        <v>12</v>
      </c>
      <c r="C169" s="479" t="s">
        <v>187</v>
      </c>
      <c r="D169" s="476">
        <v>7.09</v>
      </c>
      <c r="E169" s="480"/>
      <c r="F169" s="542">
        <f>D169*E169</f>
        <v>0</v>
      </c>
      <c r="G169" s="615"/>
      <c r="H169" s="646"/>
    </row>
    <row r="170" spans="1:8" s="472" customFormat="1">
      <c r="A170" s="483"/>
      <c r="B170" s="486" t="s">
        <v>256</v>
      </c>
      <c r="C170" s="479" t="s">
        <v>187</v>
      </c>
      <c r="D170" s="476">
        <v>7.09</v>
      </c>
      <c r="E170" s="480"/>
      <c r="F170" s="542">
        <f>D170*E170</f>
        <v>0</v>
      </c>
      <c r="G170" s="615"/>
      <c r="H170" s="646"/>
    </row>
    <row r="171" spans="1:8" s="472" customFormat="1">
      <c r="A171" s="494"/>
      <c r="B171" s="490"/>
      <c r="C171" s="495"/>
      <c r="D171" s="496"/>
      <c r="E171" s="496"/>
      <c r="F171" s="545"/>
      <c r="G171" s="645"/>
      <c r="H171" s="646"/>
    </row>
    <row r="172" spans="1:8" s="472" customFormat="1">
      <c r="A172" s="497" t="s">
        <v>102</v>
      </c>
      <c r="B172" s="498" t="s">
        <v>263</v>
      </c>
      <c r="C172" s="499"/>
      <c r="D172" s="500"/>
      <c r="E172" s="500"/>
      <c r="F172" s="546">
        <f>SUM(F122:F170)</f>
        <v>0</v>
      </c>
      <c r="G172" s="612"/>
      <c r="H172" s="646"/>
    </row>
    <row r="173" spans="1:8" s="472" customFormat="1">
      <c r="A173" s="501"/>
      <c r="B173" s="502"/>
      <c r="C173" s="503"/>
      <c r="D173" s="504"/>
      <c r="E173" s="504"/>
      <c r="F173" s="547"/>
      <c r="G173" s="644"/>
      <c r="H173" s="646"/>
    </row>
    <row r="174" spans="1:8" s="472" customFormat="1">
      <c r="A174" s="468" t="s">
        <v>264</v>
      </c>
      <c r="B174" s="469" t="s">
        <v>265</v>
      </c>
      <c r="C174" s="470"/>
      <c r="D174" s="471"/>
      <c r="E174" s="471"/>
      <c r="F174" s="540"/>
      <c r="G174" s="612"/>
      <c r="H174" s="646"/>
    </row>
    <row r="175" spans="1:8" s="472" customFormat="1">
      <c r="A175" s="505"/>
      <c r="B175" s="491"/>
      <c r="C175" s="492"/>
      <c r="D175" s="493"/>
      <c r="E175" s="493"/>
      <c r="F175" s="545"/>
      <c r="G175" s="611"/>
      <c r="H175" s="646"/>
    </row>
    <row r="176" spans="1:8" s="472" customFormat="1" ht="22.5">
      <c r="A176" s="505"/>
      <c r="B176" s="635" t="s">
        <v>436</v>
      </c>
      <c r="C176" s="492"/>
      <c r="D176" s="493"/>
      <c r="E176" s="493"/>
      <c r="F176" s="545"/>
      <c r="G176" s="611"/>
      <c r="H176" s="646"/>
    </row>
    <row r="177" spans="1:9" s="472" customFormat="1">
      <c r="A177" s="506"/>
      <c r="B177" s="491" t="s">
        <v>439</v>
      </c>
      <c r="C177" s="506"/>
      <c r="D177" s="636"/>
      <c r="E177" s="493"/>
      <c r="F177" s="493"/>
      <c r="G177" s="617"/>
      <c r="H177" s="637"/>
      <c r="I177" s="646"/>
    </row>
    <row r="178" spans="1:9" s="472" customFormat="1" ht="33.75">
      <c r="A178" s="506"/>
      <c r="B178" s="491" t="s">
        <v>440</v>
      </c>
      <c r="C178" s="506"/>
      <c r="D178" s="636"/>
      <c r="E178" s="493"/>
      <c r="F178" s="493"/>
      <c r="G178" s="617"/>
      <c r="H178" s="637"/>
      <c r="I178" s="646"/>
    </row>
    <row r="179" spans="1:9" s="472" customFormat="1" ht="45">
      <c r="A179" s="506"/>
      <c r="B179" s="491" t="s">
        <v>441</v>
      </c>
      <c r="C179" s="506"/>
      <c r="D179" s="636"/>
      <c r="E179" s="493"/>
      <c r="F179" s="493"/>
      <c r="G179" s="617"/>
      <c r="H179" s="637"/>
      <c r="I179" s="646"/>
    </row>
    <row r="180" spans="1:9" s="472" customFormat="1" ht="90">
      <c r="A180" s="506"/>
      <c r="B180" s="491" t="s">
        <v>442</v>
      </c>
      <c r="C180" s="506"/>
      <c r="D180" s="636"/>
      <c r="E180" s="493"/>
      <c r="F180" s="493"/>
      <c r="G180" s="617"/>
      <c r="H180" s="637"/>
      <c r="I180" s="646"/>
    </row>
    <row r="181" spans="1:9" s="472" customFormat="1" ht="22.5">
      <c r="A181" s="506"/>
      <c r="B181" s="491" t="s">
        <v>443</v>
      </c>
      <c r="C181" s="506"/>
      <c r="D181" s="636"/>
      <c r="E181" s="493"/>
      <c r="F181" s="493"/>
      <c r="G181" s="617"/>
      <c r="H181" s="637"/>
      <c r="I181" s="646"/>
    </row>
    <row r="182" spans="1:9" s="472" customFormat="1" ht="22.5">
      <c r="A182" s="506"/>
      <c r="B182" s="491" t="s">
        <v>444</v>
      </c>
      <c r="C182" s="506"/>
      <c r="D182" s="636"/>
      <c r="E182" s="493"/>
      <c r="F182" s="493"/>
      <c r="G182" s="617"/>
      <c r="H182" s="637"/>
      <c r="I182" s="646"/>
    </row>
    <row r="183" spans="1:9" s="472" customFormat="1" ht="33.75">
      <c r="A183" s="506"/>
      <c r="B183" s="491" t="s">
        <v>445</v>
      </c>
      <c r="C183" s="506"/>
      <c r="D183" s="636"/>
      <c r="E183" s="493"/>
      <c r="F183" s="493"/>
      <c r="G183" s="617"/>
      <c r="H183" s="637"/>
      <c r="I183" s="646"/>
    </row>
    <row r="184" spans="1:9" s="472" customFormat="1">
      <c r="A184" s="507"/>
      <c r="B184" s="502"/>
      <c r="C184" s="503"/>
      <c r="D184" s="504"/>
      <c r="E184" s="504"/>
      <c r="F184" s="547"/>
      <c r="G184" s="613"/>
      <c r="H184" s="646"/>
    </row>
    <row r="185" spans="1:9" s="472" customFormat="1">
      <c r="A185" s="505"/>
      <c r="B185" s="506" t="s">
        <v>266</v>
      </c>
      <c r="C185" s="492"/>
      <c r="D185" s="493"/>
      <c r="E185" s="493"/>
      <c r="F185" s="545"/>
      <c r="G185" s="611"/>
      <c r="H185" s="646"/>
    </row>
    <row r="186" spans="1:9" s="472" customFormat="1">
      <c r="A186" s="507"/>
      <c r="B186" s="502"/>
      <c r="C186" s="503"/>
      <c r="D186" s="504"/>
      <c r="E186" s="504"/>
      <c r="F186" s="547"/>
      <c r="G186" s="613"/>
      <c r="H186" s="646"/>
    </row>
    <row r="187" spans="1:9" s="472" customFormat="1">
      <c r="A187" s="508">
        <v>1</v>
      </c>
      <c r="B187" s="509" t="s">
        <v>267</v>
      </c>
      <c r="C187" s="492"/>
      <c r="D187" s="493"/>
      <c r="E187" s="493"/>
      <c r="F187" s="545"/>
      <c r="G187" s="611"/>
      <c r="H187" s="646"/>
    </row>
    <row r="188" spans="1:9" s="472" customFormat="1" ht="45">
      <c r="A188" s="505"/>
      <c r="B188" s="491" t="s">
        <v>268</v>
      </c>
      <c r="C188" s="492"/>
      <c r="D188" s="493"/>
      <c r="E188" s="493"/>
      <c r="F188" s="545"/>
      <c r="G188" s="611"/>
      <c r="H188" s="646"/>
    </row>
    <row r="189" spans="1:9" s="472" customFormat="1">
      <c r="A189" s="505"/>
      <c r="B189" s="491" t="s">
        <v>290</v>
      </c>
      <c r="C189" s="492"/>
      <c r="D189" s="493"/>
      <c r="E189" s="493"/>
      <c r="F189" s="545"/>
      <c r="G189" s="611"/>
      <c r="H189" s="646"/>
    </row>
    <row r="190" spans="1:9" s="472" customFormat="1">
      <c r="A190" s="505"/>
      <c r="B190" s="491" t="s">
        <v>13</v>
      </c>
      <c r="C190" s="492"/>
      <c r="D190" s="493"/>
      <c r="E190" s="493"/>
      <c r="F190" s="545"/>
      <c r="G190" s="611"/>
      <c r="H190" s="646"/>
    </row>
    <row r="191" spans="1:9" s="472" customFormat="1">
      <c r="A191" s="505"/>
      <c r="B191" s="486" t="s">
        <v>12</v>
      </c>
      <c r="C191" s="492" t="s">
        <v>14</v>
      </c>
      <c r="D191" s="493">
        <v>41.55</v>
      </c>
      <c r="E191" s="493"/>
      <c r="F191" s="545">
        <f>D191*E191</f>
        <v>0</v>
      </c>
      <c r="G191" s="611"/>
      <c r="H191" s="646"/>
    </row>
    <row r="192" spans="1:9" s="472" customFormat="1">
      <c r="A192" s="505"/>
      <c r="B192" s="486" t="s">
        <v>256</v>
      </c>
      <c r="C192" s="492" t="s">
        <v>14</v>
      </c>
      <c r="D192" s="493">
        <v>41.55</v>
      </c>
      <c r="E192" s="493"/>
      <c r="F192" s="545">
        <f>D192*E192</f>
        <v>0</v>
      </c>
      <c r="G192" s="611"/>
      <c r="H192" s="646"/>
    </row>
    <row r="193" spans="1:8" s="472" customFormat="1">
      <c r="A193" s="507"/>
      <c r="B193" s="502"/>
      <c r="C193" s="503"/>
      <c r="D193" s="504"/>
      <c r="E193" s="504"/>
      <c r="F193" s="547"/>
      <c r="G193" s="613"/>
      <c r="H193" s="646"/>
    </row>
    <row r="194" spans="1:8" s="472" customFormat="1">
      <c r="A194" s="627">
        <f>IF(B194&gt;0,MAX(A$187:A193)+1,"")</f>
        <v>2</v>
      </c>
      <c r="B194" s="506" t="s">
        <v>269</v>
      </c>
      <c r="C194" s="492"/>
      <c r="D194" s="493"/>
      <c r="E194" s="493"/>
      <c r="F194" s="545"/>
      <c r="G194" s="611"/>
      <c r="H194" s="646"/>
    </row>
    <row r="195" spans="1:8" s="472" customFormat="1" ht="33.75">
      <c r="A195" s="505"/>
      <c r="B195" s="491" t="s">
        <v>270</v>
      </c>
      <c r="C195" s="492"/>
      <c r="D195" s="493"/>
      <c r="E195" s="493"/>
      <c r="F195" s="545"/>
      <c r="G195" s="661"/>
      <c r="H195" s="646"/>
    </row>
    <row r="196" spans="1:8" s="472" customFormat="1">
      <c r="A196" s="505"/>
      <c r="B196" s="491" t="s">
        <v>186</v>
      </c>
      <c r="C196" s="492"/>
      <c r="D196" s="493"/>
      <c r="E196" s="493"/>
      <c r="F196" s="545"/>
      <c r="G196" s="611"/>
      <c r="H196" s="646"/>
    </row>
    <row r="197" spans="1:8" s="472" customFormat="1">
      <c r="A197" s="505"/>
      <c r="B197" s="486" t="s">
        <v>12</v>
      </c>
      <c r="C197" s="492" t="s">
        <v>187</v>
      </c>
      <c r="D197" s="493">
        <v>21.77</v>
      </c>
      <c r="E197" s="493"/>
      <c r="F197" s="545">
        <f>D197*E197</f>
        <v>0</v>
      </c>
      <c r="G197" s="611"/>
      <c r="H197" s="646"/>
    </row>
    <row r="198" spans="1:8" s="472" customFormat="1">
      <c r="A198" s="505"/>
      <c r="B198" s="486" t="s">
        <v>256</v>
      </c>
      <c r="C198" s="492" t="s">
        <v>187</v>
      </c>
      <c r="D198" s="493">
        <v>21.77</v>
      </c>
      <c r="E198" s="493"/>
      <c r="F198" s="545">
        <f>D198*E198</f>
        <v>0</v>
      </c>
      <c r="G198" s="611"/>
      <c r="H198" s="646"/>
    </row>
    <row r="199" spans="1:8" s="472" customFormat="1">
      <c r="A199" s="510"/>
      <c r="B199" s="491"/>
      <c r="C199" s="492"/>
      <c r="D199" s="493"/>
      <c r="E199" s="493"/>
      <c r="F199" s="545"/>
      <c r="G199" s="611"/>
      <c r="H199" s="646"/>
    </row>
    <row r="200" spans="1:8" s="472" customFormat="1">
      <c r="A200" s="510"/>
      <c r="B200" s="506" t="s">
        <v>38</v>
      </c>
      <c r="C200" s="492"/>
      <c r="D200" s="493"/>
      <c r="E200" s="493"/>
      <c r="F200" s="545"/>
      <c r="G200" s="611"/>
      <c r="H200" s="646"/>
    </row>
    <row r="201" spans="1:8" s="472" customFormat="1">
      <c r="A201" s="510"/>
      <c r="B201" s="491"/>
      <c r="C201" s="492"/>
      <c r="D201" s="493"/>
      <c r="E201" s="493"/>
      <c r="F201" s="545"/>
      <c r="G201" s="611"/>
      <c r="H201" s="646"/>
    </row>
    <row r="202" spans="1:8" s="472" customFormat="1">
      <c r="A202" s="627">
        <f>IF(B202&gt;0,MAX(A$187:A201)+1,"")</f>
        <v>3</v>
      </c>
      <c r="B202" s="393" t="s">
        <v>271</v>
      </c>
      <c r="C202" s="479"/>
      <c r="D202" s="480"/>
      <c r="E202" s="480"/>
      <c r="F202" s="542"/>
      <c r="G202" s="615"/>
      <c r="H202" s="646"/>
    </row>
    <row r="203" spans="1:8" s="472" customFormat="1" ht="67.5">
      <c r="A203" s="490"/>
      <c r="B203" s="491" t="s">
        <v>272</v>
      </c>
      <c r="C203" s="492"/>
      <c r="D203" s="493"/>
      <c r="E203" s="493"/>
      <c r="F203" s="542"/>
      <c r="G203" s="611"/>
      <c r="H203" s="646"/>
    </row>
    <row r="204" spans="1:8" s="472" customFormat="1" ht="22.5">
      <c r="A204" s="490"/>
      <c r="B204" s="491" t="s">
        <v>273</v>
      </c>
      <c r="C204" s="492"/>
      <c r="D204" s="493"/>
      <c r="E204" s="493"/>
      <c r="F204" s="542"/>
      <c r="G204" s="611"/>
      <c r="H204" s="646"/>
    </row>
    <row r="205" spans="1:8" s="472" customFormat="1">
      <c r="A205" s="489"/>
      <c r="B205" s="395" t="s">
        <v>13</v>
      </c>
      <c r="C205" s="479" t="s">
        <v>14</v>
      </c>
      <c r="D205" s="476">
        <v>225.69</v>
      </c>
      <c r="E205" s="480"/>
      <c r="F205" s="545">
        <f>D205*E205</f>
        <v>0</v>
      </c>
      <c r="G205" s="615"/>
      <c r="H205" s="646"/>
    </row>
    <row r="206" spans="1:8" s="472" customFormat="1">
      <c r="A206" s="510"/>
      <c r="B206" s="491"/>
      <c r="C206" s="492"/>
      <c r="D206" s="493"/>
      <c r="E206" s="493"/>
      <c r="F206" s="545"/>
      <c r="G206" s="611"/>
      <c r="H206" s="646"/>
    </row>
    <row r="207" spans="1:8" s="472" customFormat="1">
      <c r="A207" s="738">
        <f>IF(B207&gt;0,MAX(A$187:A206)+1,"")</f>
        <v>4</v>
      </c>
      <c r="B207" s="739" t="s">
        <v>345</v>
      </c>
      <c r="C207" s="740"/>
      <c r="D207" s="741"/>
      <c r="E207" s="741"/>
      <c r="F207" s="742"/>
      <c r="G207" s="743"/>
      <c r="H207" s="646"/>
    </row>
    <row r="208" spans="1:8" s="472" customFormat="1" ht="67.5">
      <c r="A208" s="744"/>
      <c r="B208" s="721" t="s">
        <v>346</v>
      </c>
      <c r="C208" s="722"/>
      <c r="D208" s="723"/>
      <c r="E208" s="723"/>
      <c r="F208" s="742"/>
      <c r="G208" s="725"/>
      <c r="H208" s="646"/>
    </row>
    <row r="209" spans="1:8" s="472" customFormat="1">
      <c r="A209" s="720"/>
      <c r="B209" s="721" t="s">
        <v>331</v>
      </c>
      <c r="C209" s="722"/>
      <c r="D209" s="723"/>
      <c r="E209" s="723"/>
      <c r="F209" s="724"/>
      <c r="G209" s="725"/>
      <c r="H209" s="646"/>
    </row>
    <row r="210" spans="1:8" s="472" customFormat="1" ht="22.5">
      <c r="A210" s="744"/>
      <c r="B210" s="721" t="s">
        <v>273</v>
      </c>
      <c r="C210" s="722"/>
      <c r="D210" s="723"/>
      <c r="E210" s="723"/>
      <c r="F210" s="742"/>
      <c r="G210" s="725"/>
      <c r="H210" s="646"/>
    </row>
    <row r="211" spans="1:8" s="472" customFormat="1">
      <c r="A211" s="745"/>
      <c r="B211" s="746" t="s">
        <v>13</v>
      </c>
      <c r="C211" s="740" t="s">
        <v>14</v>
      </c>
      <c r="D211" s="741">
        <v>0</v>
      </c>
      <c r="E211" s="741"/>
      <c r="F211" s="724">
        <f>D211*E211</f>
        <v>0</v>
      </c>
      <c r="G211" s="743"/>
      <c r="H211" s="646"/>
    </row>
    <row r="212" spans="1:8" s="472" customFormat="1">
      <c r="A212" s="489"/>
      <c r="B212" s="395"/>
      <c r="C212" s="479"/>
      <c r="D212" s="480"/>
      <c r="E212" s="480"/>
      <c r="F212" s="545"/>
      <c r="G212" s="615"/>
      <c r="H212" s="646"/>
    </row>
    <row r="213" spans="1:8" s="472" customFormat="1">
      <c r="A213" s="627">
        <f>IF(B213&gt;0,MAX(A$187:A212)+1,"")</f>
        <v>5</v>
      </c>
      <c r="B213" s="393" t="s">
        <v>366</v>
      </c>
      <c r="C213" s="479"/>
      <c r="D213" s="480"/>
      <c r="E213" s="480"/>
      <c r="F213" s="542"/>
      <c r="G213" s="615"/>
      <c r="H213" s="646"/>
    </row>
    <row r="214" spans="1:8" s="472" customFormat="1" ht="101.25">
      <c r="A214" s="490"/>
      <c r="B214" s="491" t="s">
        <v>476</v>
      </c>
      <c r="C214" s="492"/>
      <c r="D214" s="493"/>
      <c r="E214" s="493"/>
      <c r="F214" s="542"/>
      <c r="G214" s="611"/>
      <c r="H214" s="646"/>
    </row>
    <row r="215" spans="1:8" s="472" customFormat="1" ht="22.5">
      <c r="A215" s="490"/>
      <c r="B215" s="491" t="s">
        <v>273</v>
      </c>
      <c r="C215" s="492"/>
      <c r="D215" s="493"/>
      <c r="E215" s="493"/>
      <c r="F215" s="542"/>
      <c r="G215" s="611"/>
      <c r="H215" s="646"/>
    </row>
    <row r="216" spans="1:8" customFormat="1" ht="11.25" customHeight="1">
      <c r="A216" s="237"/>
      <c r="B216" s="299" t="s">
        <v>479</v>
      </c>
      <c r="C216" s="225"/>
      <c r="D216" s="171"/>
      <c r="E216" s="291"/>
      <c r="F216" s="172"/>
      <c r="G216" s="292"/>
    </row>
    <row r="217" spans="1:8" s="472" customFormat="1">
      <c r="A217" s="489"/>
      <c r="B217" s="395" t="s">
        <v>13</v>
      </c>
      <c r="C217" s="479" t="s">
        <v>14</v>
      </c>
      <c r="D217" s="476">
        <v>35.57</v>
      </c>
      <c r="E217" s="480"/>
      <c r="F217" s="545">
        <f>D217*E217</f>
        <v>0</v>
      </c>
      <c r="G217" s="615"/>
      <c r="H217" s="646"/>
    </row>
    <row r="218" spans="1:8" s="472" customFormat="1">
      <c r="A218" s="489"/>
      <c r="B218" s="395"/>
      <c r="C218" s="479"/>
      <c r="D218" s="480"/>
      <c r="E218" s="480"/>
      <c r="F218" s="545"/>
      <c r="G218" s="615"/>
      <c r="H218" s="646"/>
    </row>
    <row r="219" spans="1:8" s="472" customFormat="1">
      <c r="A219" s="734">
        <f>IF(B219&gt;0,MAX(A$187:A218)+1,"")</f>
        <v>6</v>
      </c>
      <c r="B219" s="735" t="s">
        <v>477</v>
      </c>
      <c r="C219" s="488"/>
      <c r="D219" s="476"/>
      <c r="E219" s="476"/>
      <c r="F219" s="541"/>
      <c r="G219" s="658"/>
      <c r="H219" s="646"/>
    </row>
    <row r="220" spans="1:8" s="472" customFormat="1" ht="56.25">
      <c r="A220" s="736"/>
      <c r="B220" s="502" t="s">
        <v>478</v>
      </c>
      <c r="C220" s="503"/>
      <c r="D220" s="504"/>
      <c r="E220" s="504"/>
      <c r="F220" s="541"/>
      <c r="G220" s="613"/>
      <c r="H220" s="646"/>
    </row>
    <row r="221" spans="1:8" s="472" customFormat="1" ht="22.5">
      <c r="A221" s="736"/>
      <c r="B221" s="502" t="s">
        <v>273</v>
      </c>
      <c r="C221" s="503"/>
      <c r="D221" s="504"/>
      <c r="E221" s="504"/>
      <c r="F221" s="541"/>
      <c r="G221" s="613"/>
      <c r="H221" s="646"/>
    </row>
    <row r="222" spans="1:8" customFormat="1" ht="11.25" customHeight="1">
      <c r="A222" s="237"/>
      <c r="B222" s="299" t="s">
        <v>174</v>
      </c>
      <c r="C222" s="225"/>
      <c r="D222" s="171"/>
      <c r="E222" s="291"/>
      <c r="F222" s="172"/>
      <c r="G222" s="292"/>
    </row>
    <row r="223" spans="1:8" s="472" customFormat="1">
      <c r="A223" s="737"/>
      <c r="B223" s="477" t="s">
        <v>13</v>
      </c>
      <c r="C223" s="488" t="s">
        <v>14</v>
      </c>
      <c r="D223" s="476">
        <v>71.77</v>
      </c>
      <c r="E223" s="476"/>
      <c r="F223" s="547">
        <f>D223*E223</f>
        <v>0</v>
      </c>
      <c r="G223" s="658"/>
      <c r="H223" s="646"/>
    </row>
    <row r="224" spans="1:8" s="472" customFormat="1">
      <c r="A224" s="510"/>
      <c r="B224" s="491"/>
      <c r="C224" s="492"/>
      <c r="D224" s="493"/>
      <c r="E224" s="493"/>
      <c r="F224" s="545"/>
      <c r="G224" s="611"/>
      <c r="H224" s="646"/>
    </row>
    <row r="225" spans="1:32" s="472" customFormat="1">
      <c r="A225" s="627">
        <f>IF(B225&gt;0,MAX(A$187:A224)+1,"")</f>
        <v>7</v>
      </c>
      <c r="B225" s="393" t="s">
        <v>274</v>
      </c>
      <c r="C225" s="479"/>
      <c r="D225" s="480"/>
      <c r="E225" s="480"/>
      <c r="F225" s="542"/>
      <c r="G225" s="615"/>
      <c r="H225" s="646"/>
    </row>
    <row r="226" spans="1:32" s="472" customFormat="1" ht="45">
      <c r="A226" s="490"/>
      <c r="B226" s="491" t="s">
        <v>275</v>
      </c>
      <c r="C226" s="492"/>
      <c r="D226" s="493"/>
      <c r="E226" s="493"/>
      <c r="F226" s="542"/>
      <c r="G226" s="611"/>
      <c r="H226" s="646"/>
    </row>
    <row r="227" spans="1:32" s="472" customFormat="1" ht="12" customHeight="1">
      <c r="A227" s="489"/>
      <c r="B227" s="395" t="s">
        <v>186</v>
      </c>
      <c r="C227" s="479" t="s">
        <v>187</v>
      </c>
      <c r="D227" s="480">
        <v>7.4</v>
      </c>
      <c r="E227" s="480"/>
      <c r="F227" s="545">
        <f>D227*E227</f>
        <v>0</v>
      </c>
      <c r="G227" s="615"/>
      <c r="H227" s="646"/>
    </row>
    <row r="228" spans="1:32" s="472" customFormat="1">
      <c r="A228" s="507"/>
      <c r="B228" s="502"/>
      <c r="C228" s="502"/>
      <c r="D228" s="503"/>
      <c r="E228" s="504"/>
      <c r="F228" s="504"/>
      <c r="G228" s="616"/>
      <c r="H228" s="684"/>
      <c r="I228" s="646"/>
    </row>
    <row r="229" spans="1:32" s="472" customFormat="1">
      <c r="A229" s="505"/>
      <c r="B229" s="506" t="s">
        <v>330</v>
      </c>
      <c r="C229" s="491"/>
      <c r="D229" s="492"/>
      <c r="E229" s="493"/>
      <c r="F229" s="493"/>
      <c r="G229" s="617"/>
      <c r="H229" s="685"/>
      <c r="I229" s="646"/>
    </row>
    <row r="230" spans="1:32" s="472" customFormat="1" ht="12" customHeight="1">
      <c r="A230" s="489"/>
      <c r="B230" s="395"/>
      <c r="C230" s="479"/>
      <c r="D230" s="480"/>
      <c r="E230" s="480"/>
      <c r="F230" s="545"/>
      <c r="G230" s="615"/>
      <c r="H230" s="646"/>
    </row>
    <row r="231" spans="1:32" s="562" customFormat="1" ht="22.5">
      <c r="A231" s="627">
        <f>IF(B231&gt;0,MAX(A$187:A230)+1,"")</f>
        <v>8</v>
      </c>
      <c r="B231" s="561" t="s">
        <v>292</v>
      </c>
      <c r="C231" s="463"/>
      <c r="D231" s="459"/>
      <c r="E231" s="459"/>
      <c r="F231" s="460"/>
      <c r="G231" s="609"/>
    </row>
    <row r="232" spans="1:32" s="456" customFormat="1" ht="22.5">
      <c r="A232" s="563"/>
      <c r="B232" s="564" t="s">
        <v>293</v>
      </c>
      <c r="C232" s="463"/>
      <c r="D232" s="459"/>
      <c r="E232" s="459"/>
      <c r="F232" s="460"/>
      <c r="G232" s="662"/>
      <c r="I232" s="439"/>
      <c r="J232" s="439"/>
      <c r="K232" s="439"/>
      <c r="L232" s="439"/>
      <c r="M232" s="439"/>
      <c r="N232" s="439"/>
      <c r="O232" s="439"/>
      <c r="P232" s="439"/>
      <c r="Q232" s="439"/>
      <c r="R232" s="439"/>
      <c r="S232" s="439"/>
      <c r="T232" s="439"/>
      <c r="U232" s="439"/>
      <c r="V232" s="439"/>
      <c r="W232" s="439"/>
      <c r="X232" s="439"/>
      <c r="Y232" s="439"/>
      <c r="Z232" s="439"/>
      <c r="AA232" s="439"/>
      <c r="AB232" s="439"/>
      <c r="AC232" s="439"/>
      <c r="AD232" s="439"/>
      <c r="AE232" s="439"/>
      <c r="AF232" s="439"/>
    </row>
    <row r="233" spans="1:32" s="456" customFormat="1" ht="33.75">
      <c r="A233" s="563"/>
      <c r="B233" s="632" t="s">
        <v>294</v>
      </c>
      <c r="C233" s="463"/>
      <c r="D233" s="459"/>
      <c r="E233" s="459"/>
      <c r="F233" s="460"/>
      <c r="G233" s="662"/>
      <c r="I233" s="439"/>
      <c r="J233" s="439"/>
      <c r="K233" s="439"/>
      <c r="L233" s="439"/>
      <c r="M233" s="439"/>
      <c r="N233" s="439"/>
      <c r="O233" s="439"/>
      <c r="P233" s="439"/>
      <c r="Q233" s="439"/>
      <c r="R233" s="439"/>
      <c r="S233" s="439"/>
      <c r="T233" s="439"/>
      <c r="U233" s="439"/>
      <c r="V233" s="439"/>
      <c r="W233" s="439"/>
      <c r="X233" s="439"/>
      <c r="Y233" s="439"/>
      <c r="Z233" s="439"/>
      <c r="AA233" s="439"/>
      <c r="AB233" s="439"/>
      <c r="AC233" s="439"/>
      <c r="AD233" s="439"/>
      <c r="AE233" s="439"/>
      <c r="AF233" s="439"/>
    </row>
    <row r="234" spans="1:32" s="456" customFormat="1" ht="22.5">
      <c r="A234" s="563"/>
      <c r="B234" s="632" t="s">
        <v>295</v>
      </c>
      <c r="C234" s="463"/>
      <c r="D234" s="459"/>
      <c r="E234" s="459"/>
      <c r="F234" s="460"/>
      <c r="G234" s="662"/>
      <c r="I234" s="439"/>
      <c r="J234" s="439"/>
      <c r="K234" s="439"/>
      <c r="L234" s="439"/>
      <c r="M234" s="439"/>
      <c r="N234" s="439"/>
      <c r="O234" s="439"/>
      <c r="P234" s="439"/>
      <c r="Q234" s="439"/>
      <c r="R234" s="439"/>
      <c r="S234" s="439"/>
      <c r="T234" s="439"/>
      <c r="U234" s="439"/>
      <c r="V234" s="439"/>
      <c r="W234" s="439"/>
      <c r="X234" s="439"/>
      <c r="Y234" s="439"/>
      <c r="Z234" s="439"/>
      <c r="AA234" s="439"/>
      <c r="AB234" s="439"/>
      <c r="AC234" s="439"/>
      <c r="AD234" s="439"/>
      <c r="AE234" s="439"/>
      <c r="AF234" s="439"/>
    </row>
    <row r="235" spans="1:32" s="562" customFormat="1" ht="101.25">
      <c r="A235" s="565"/>
      <c r="B235" s="632" t="s">
        <v>296</v>
      </c>
      <c r="C235" s="462"/>
      <c r="D235" s="566"/>
      <c r="E235" s="567"/>
      <c r="F235" s="460"/>
      <c r="G235" s="609"/>
    </row>
    <row r="236" spans="1:32" s="456" customFormat="1" ht="33.75">
      <c r="A236" s="563"/>
      <c r="B236" s="632" t="s">
        <v>297</v>
      </c>
      <c r="C236" s="463"/>
      <c r="D236" s="459"/>
      <c r="E236" s="459"/>
      <c r="F236" s="460"/>
      <c r="G236" s="662"/>
      <c r="I236" s="439"/>
      <c r="J236" s="439"/>
      <c r="K236" s="439"/>
      <c r="L236" s="439"/>
      <c r="M236" s="439"/>
      <c r="N236" s="439"/>
      <c r="O236" s="439"/>
      <c r="P236" s="439"/>
      <c r="Q236" s="439"/>
      <c r="R236" s="439"/>
      <c r="S236" s="439"/>
      <c r="T236" s="439"/>
      <c r="U236" s="439"/>
      <c r="V236" s="439"/>
      <c r="W236" s="439"/>
      <c r="X236" s="439"/>
      <c r="Y236" s="439"/>
      <c r="Z236" s="439"/>
      <c r="AA236" s="439"/>
      <c r="AB236" s="439"/>
      <c r="AC236" s="439"/>
      <c r="AD236" s="439"/>
      <c r="AE236" s="439"/>
      <c r="AF236" s="439"/>
    </row>
    <row r="237" spans="1:32" s="456" customFormat="1">
      <c r="A237" s="563"/>
      <c r="B237" s="247" t="s">
        <v>451</v>
      </c>
      <c r="C237" s="463"/>
      <c r="D237" s="459"/>
      <c r="E237" s="459"/>
      <c r="F237" s="460"/>
      <c r="G237" s="662"/>
      <c r="I237" s="439"/>
      <c r="J237" s="439"/>
      <c r="K237" s="439"/>
      <c r="L237" s="439"/>
      <c r="M237" s="439"/>
      <c r="N237" s="439"/>
      <c r="O237" s="439"/>
      <c r="P237" s="439"/>
      <c r="Q237" s="439"/>
      <c r="R237" s="439"/>
      <c r="S237" s="439"/>
      <c r="T237" s="439"/>
      <c r="U237" s="439"/>
      <c r="V237" s="439"/>
      <c r="W237" s="439"/>
      <c r="X237" s="439"/>
      <c r="Y237" s="439"/>
      <c r="Z237" s="439"/>
      <c r="AA237" s="439"/>
      <c r="AB237" s="439"/>
      <c r="AC237" s="439"/>
      <c r="AD237" s="439"/>
      <c r="AE237" s="439"/>
      <c r="AF237" s="439"/>
    </row>
    <row r="238" spans="1:32" s="562" customFormat="1">
      <c r="A238" s="565"/>
      <c r="B238" s="462" t="s">
        <v>13</v>
      </c>
      <c r="C238" s="463" t="s">
        <v>14</v>
      </c>
      <c r="D238" s="459">
        <v>194.44</v>
      </c>
      <c r="E238" s="459"/>
      <c r="F238" s="460">
        <f>D238*E238</f>
        <v>0</v>
      </c>
      <c r="G238" s="609"/>
    </row>
    <row r="239" spans="1:32" s="562" customFormat="1">
      <c r="A239" s="565"/>
      <c r="B239" s="462"/>
      <c r="C239" s="463"/>
      <c r="D239" s="459"/>
      <c r="E239" s="459"/>
      <c r="F239" s="460"/>
      <c r="G239" s="609"/>
    </row>
    <row r="240" spans="1:32" s="472" customFormat="1">
      <c r="A240" s="627">
        <f>IF(B240&gt;0,MAX(A$187:A239)+1,"")</f>
        <v>9</v>
      </c>
      <c r="B240" s="603" t="s">
        <v>316</v>
      </c>
      <c r="C240" s="604"/>
      <c r="D240" s="605"/>
      <c r="E240" s="606"/>
      <c r="F240" s="606"/>
      <c r="G240" s="610"/>
      <c r="H240" s="686"/>
      <c r="I240" s="646"/>
    </row>
    <row r="241" spans="1:9" s="472" customFormat="1" ht="101.25">
      <c r="A241" s="508"/>
      <c r="B241" s="622" t="s">
        <v>348</v>
      </c>
      <c r="C241" s="603"/>
      <c r="D241" s="605"/>
      <c r="E241" s="606"/>
      <c r="F241" s="606"/>
      <c r="G241" s="610"/>
      <c r="H241" s="686"/>
      <c r="I241" s="646"/>
    </row>
    <row r="242" spans="1:9" s="472" customFormat="1">
      <c r="A242" s="608"/>
      <c r="B242" s="607" t="s">
        <v>347</v>
      </c>
      <c r="C242" s="605" t="s">
        <v>187</v>
      </c>
      <c r="D242" s="606">
        <v>50.48</v>
      </c>
      <c r="E242" s="606"/>
      <c r="F242" s="445">
        <f>$D242*E242</f>
        <v>0</v>
      </c>
      <c r="H242" s="686"/>
      <c r="I242" s="646"/>
    </row>
    <row r="243" spans="1:9" s="472" customFormat="1">
      <c r="A243" s="505"/>
      <c r="B243" s="491"/>
      <c r="C243" s="492"/>
      <c r="D243" s="493"/>
      <c r="E243" s="493"/>
      <c r="F243" s="545"/>
      <c r="G243" s="611"/>
      <c r="H243" s="646"/>
    </row>
    <row r="244" spans="1:9" s="472" customFormat="1">
      <c r="A244" s="468" t="s">
        <v>264</v>
      </c>
      <c r="B244" s="512" t="s">
        <v>276</v>
      </c>
      <c r="C244" s="470"/>
      <c r="D244" s="471"/>
      <c r="E244" s="471"/>
      <c r="F244" s="548">
        <f>SUM(F191:F242)</f>
        <v>0</v>
      </c>
      <c r="G244" s="612"/>
      <c r="H244" s="646"/>
    </row>
    <row r="245" spans="1:9" s="472" customFormat="1">
      <c r="A245" s="513"/>
      <c r="B245" s="502"/>
      <c r="C245" s="503"/>
      <c r="D245" s="504"/>
      <c r="E245" s="504"/>
      <c r="F245" s="547"/>
      <c r="G245" s="613"/>
      <c r="H245" s="646"/>
    </row>
    <row r="246" spans="1:9" s="472" customFormat="1">
      <c r="A246" s="468" t="s">
        <v>277</v>
      </c>
      <c r="B246" s="469" t="s">
        <v>278</v>
      </c>
      <c r="C246" s="470"/>
      <c r="D246" s="514"/>
      <c r="E246" s="471"/>
      <c r="F246" s="549"/>
      <c r="G246" s="663"/>
      <c r="H246" s="646"/>
    </row>
    <row r="247" spans="1:9" s="472" customFormat="1">
      <c r="A247" s="515"/>
      <c r="B247" s="516"/>
      <c r="C247" s="517"/>
      <c r="D247" s="517"/>
      <c r="E247" s="518"/>
      <c r="F247" s="62"/>
      <c r="G247" s="643"/>
      <c r="H247" s="646"/>
    </row>
    <row r="248" spans="1:9" s="472" customFormat="1" ht="22.5">
      <c r="A248" s="515"/>
      <c r="B248" s="31" t="s">
        <v>436</v>
      </c>
      <c r="C248" s="517"/>
      <c r="D248" s="517"/>
      <c r="E248" s="518"/>
      <c r="F248" s="62"/>
      <c r="G248" s="643"/>
      <c r="H248" s="646"/>
    </row>
    <row r="249" spans="1:9" s="472" customFormat="1">
      <c r="A249" s="638"/>
      <c r="B249" s="31" t="s">
        <v>446</v>
      </c>
      <c r="C249" s="639"/>
      <c r="D249" s="640"/>
      <c r="E249" s="641"/>
      <c r="F249" s="641"/>
      <c r="G249" s="616"/>
      <c r="H249" s="642"/>
      <c r="I249" s="646"/>
    </row>
    <row r="250" spans="1:9" s="472" customFormat="1" ht="56.25">
      <c r="A250" s="638"/>
      <c r="B250" s="31" t="s">
        <v>447</v>
      </c>
      <c r="C250" s="639"/>
      <c r="D250" s="640"/>
      <c r="E250" s="641"/>
      <c r="F250" s="641"/>
      <c r="G250" s="616"/>
      <c r="H250" s="642"/>
      <c r="I250" s="646"/>
    </row>
    <row r="251" spans="1:9" s="472" customFormat="1">
      <c r="A251" s="638"/>
      <c r="B251" s="31" t="s">
        <v>448</v>
      </c>
      <c r="C251" s="639"/>
      <c r="D251" s="640"/>
      <c r="E251" s="641"/>
      <c r="F251" s="641"/>
      <c r="G251" s="616"/>
      <c r="H251" s="642"/>
      <c r="I251" s="646"/>
    </row>
    <row r="252" spans="1:9" s="472" customFormat="1" ht="22.5">
      <c r="A252" s="638"/>
      <c r="B252" s="31" t="s">
        <v>449</v>
      </c>
      <c r="C252" s="639"/>
      <c r="D252" s="640"/>
      <c r="E252" s="641"/>
      <c r="F252" s="641"/>
      <c r="G252" s="616"/>
      <c r="H252" s="642"/>
      <c r="I252" s="646"/>
    </row>
    <row r="253" spans="1:9" s="472" customFormat="1">
      <c r="A253" s="515"/>
      <c r="B253" s="491"/>
      <c r="C253" s="517"/>
      <c r="D253" s="517"/>
      <c r="E253" s="518"/>
      <c r="F253" s="62"/>
      <c r="G253" s="643"/>
      <c r="H253" s="646"/>
    </row>
    <row r="254" spans="1:9" s="472" customFormat="1">
      <c r="A254" s="519"/>
      <c r="B254" s="520" t="s">
        <v>279</v>
      </c>
      <c r="C254" s="495"/>
      <c r="D254" s="496"/>
      <c r="E254" s="496"/>
      <c r="F254" s="545"/>
      <c r="G254" s="644"/>
      <c r="H254" s="646"/>
    </row>
    <row r="255" spans="1:9" s="522" customFormat="1">
      <c r="A255" s="524"/>
      <c r="B255" s="31"/>
      <c r="C255" s="495"/>
      <c r="D255" s="496"/>
      <c r="E255" s="496"/>
      <c r="F255" s="545"/>
      <c r="G255" s="645"/>
      <c r="H255" s="646"/>
    </row>
    <row r="256" spans="1:9" s="472" customFormat="1">
      <c r="A256" s="521">
        <v>1</v>
      </c>
      <c r="B256" s="520" t="s">
        <v>455</v>
      </c>
      <c r="C256" s="495"/>
      <c r="D256" s="493"/>
      <c r="E256" s="493"/>
      <c r="F256" s="545"/>
      <c r="G256" s="645"/>
      <c r="H256" s="646"/>
    </row>
    <row r="257" spans="1:8" s="472" customFormat="1" ht="67.5">
      <c r="A257" s="519"/>
      <c r="B257" s="523" t="s">
        <v>349</v>
      </c>
      <c r="C257" s="495"/>
      <c r="D257" s="493"/>
      <c r="E257" s="493"/>
      <c r="F257" s="545"/>
      <c r="G257" s="645"/>
      <c r="H257" s="646"/>
    </row>
    <row r="258" spans="1:8" s="472" customFormat="1">
      <c r="A258" s="524"/>
      <c r="B258" s="31" t="s">
        <v>13</v>
      </c>
      <c r="C258" s="495" t="s">
        <v>14</v>
      </c>
      <c r="D258" s="641">
        <v>114.25</v>
      </c>
      <c r="E258" s="496"/>
      <c r="F258" s="545">
        <f>D258*E258</f>
        <v>0</v>
      </c>
      <c r="G258" s="645"/>
      <c r="H258" s="646"/>
    </row>
    <row r="259" spans="1:8" s="472" customFormat="1">
      <c r="A259" s="524"/>
      <c r="B259" s="31"/>
      <c r="C259" s="495"/>
      <c r="D259" s="496"/>
      <c r="E259" s="496"/>
      <c r="F259" s="545"/>
      <c r="G259" s="645"/>
      <c r="H259" s="646"/>
    </row>
    <row r="260" spans="1:8" s="472" customFormat="1" ht="22.5">
      <c r="A260" s="628">
        <f>IF(B260&gt;0,MAX(A$256:A259)+1,"")</f>
        <v>2</v>
      </c>
      <c r="B260" s="525" t="s">
        <v>456</v>
      </c>
      <c r="C260" s="495"/>
      <c r="D260" s="493"/>
      <c r="E260" s="493"/>
      <c r="F260" s="545"/>
      <c r="G260" s="645"/>
      <c r="H260" s="646"/>
    </row>
    <row r="261" spans="1:8" s="472" customFormat="1" ht="67.5">
      <c r="A261" s="519"/>
      <c r="B261" s="523" t="s">
        <v>280</v>
      </c>
      <c r="C261" s="495"/>
      <c r="D261" s="493"/>
      <c r="E261" s="493"/>
      <c r="F261" s="545"/>
      <c r="G261" s="645"/>
      <c r="H261" s="646"/>
    </row>
    <row r="262" spans="1:8" s="472" customFormat="1">
      <c r="A262" s="524"/>
      <c r="B262" s="31" t="s">
        <v>13</v>
      </c>
      <c r="C262" s="495" t="s">
        <v>14</v>
      </c>
      <c r="D262" s="641">
        <v>77.12</v>
      </c>
      <c r="E262" s="496"/>
      <c r="F262" s="545">
        <f>D262*E262</f>
        <v>0</v>
      </c>
      <c r="G262" s="645"/>
      <c r="H262" s="646"/>
    </row>
    <row r="263" spans="1:8" s="522" customFormat="1">
      <c r="A263" s="524"/>
      <c r="B263" s="31"/>
      <c r="C263" s="495"/>
      <c r="D263" s="496"/>
      <c r="E263" s="496"/>
      <c r="F263" s="545"/>
      <c r="G263" s="645"/>
      <c r="H263" s="646"/>
    </row>
    <row r="264" spans="1:8" s="693" customFormat="1">
      <c r="A264" s="761">
        <v>3</v>
      </c>
      <c r="B264" s="762" t="s">
        <v>460</v>
      </c>
      <c r="C264" s="763"/>
      <c r="D264" s="723"/>
      <c r="E264" s="723"/>
      <c r="F264" s="724"/>
      <c r="G264" s="764"/>
      <c r="H264" s="692"/>
    </row>
    <row r="265" spans="1:8" s="693" customFormat="1" ht="78.75">
      <c r="A265" s="765"/>
      <c r="B265" s="766" t="s">
        <v>459</v>
      </c>
      <c r="C265" s="763"/>
      <c r="D265" s="723"/>
      <c r="E265" s="723"/>
      <c r="F265" s="724"/>
      <c r="G265" s="764"/>
      <c r="H265" s="692"/>
    </row>
    <row r="266" spans="1:8" s="693" customFormat="1">
      <c r="A266" s="767"/>
      <c r="B266" s="768" t="s">
        <v>13</v>
      </c>
      <c r="C266" s="763" t="s">
        <v>14</v>
      </c>
      <c r="D266" s="769">
        <v>0</v>
      </c>
      <c r="E266" s="769"/>
      <c r="F266" s="724">
        <f>D266*E266</f>
        <v>0</v>
      </c>
      <c r="G266" s="764"/>
      <c r="H266" s="692"/>
    </row>
    <row r="267" spans="1:8" s="472" customFormat="1">
      <c r="A267" s="524"/>
      <c r="B267" s="31"/>
      <c r="C267" s="495"/>
      <c r="D267" s="496"/>
      <c r="E267" s="496"/>
      <c r="F267" s="545"/>
      <c r="G267" s="645"/>
      <c r="H267" s="646"/>
    </row>
    <row r="268" spans="1:8" s="693" customFormat="1">
      <c r="A268" s="696">
        <f>IF(B268&gt;0,MAX(A$256:A267)+1,"")</f>
        <v>4</v>
      </c>
      <c r="B268" s="697" t="s">
        <v>461</v>
      </c>
      <c r="C268" s="640"/>
      <c r="D268" s="504"/>
      <c r="E268" s="504"/>
      <c r="F268" s="547"/>
      <c r="G268" s="644"/>
      <c r="H268" s="692"/>
    </row>
    <row r="269" spans="1:8" s="693" customFormat="1" ht="22.5">
      <c r="A269" s="638"/>
      <c r="B269" s="694" t="s">
        <v>500</v>
      </c>
      <c r="C269" s="640"/>
      <c r="D269" s="504"/>
      <c r="E269" s="504"/>
      <c r="F269" s="547"/>
      <c r="G269" s="644"/>
      <c r="H269" s="692"/>
    </row>
    <row r="270" spans="1:8" s="693" customFormat="1">
      <c r="A270" s="695"/>
      <c r="B270" s="639" t="s">
        <v>13</v>
      </c>
      <c r="C270" s="640" t="s">
        <v>14</v>
      </c>
      <c r="D270" s="641">
        <v>238.79</v>
      </c>
      <c r="E270" s="641"/>
      <c r="F270" s="547">
        <f>D270*E270</f>
        <v>0</v>
      </c>
      <c r="G270" s="644"/>
      <c r="H270" s="692"/>
    </row>
    <row r="271" spans="1:8" s="472" customFormat="1">
      <c r="A271" s="524"/>
      <c r="B271" s="31"/>
      <c r="C271" s="495"/>
      <c r="D271" s="496"/>
      <c r="E271" s="496"/>
      <c r="F271" s="545"/>
      <c r="G271" s="645"/>
      <c r="H271" s="646"/>
    </row>
    <row r="272" spans="1:8" s="472" customFormat="1">
      <c r="A272" s="519"/>
      <c r="B272" s="520" t="s">
        <v>281</v>
      </c>
      <c r="C272" s="495"/>
      <c r="D272" s="496"/>
      <c r="E272" s="496"/>
      <c r="F272" s="545"/>
      <c r="G272" s="644"/>
      <c r="H272" s="646"/>
    </row>
    <row r="273" spans="1:8" s="472" customFormat="1">
      <c r="A273" s="524"/>
      <c r="B273" s="31"/>
      <c r="C273" s="495"/>
      <c r="D273" s="496"/>
      <c r="E273" s="496"/>
      <c r="F273" s="545"/>
      <c r="G273" s="664"/>
      <c r="H273" s="646"/>
    </row>
    <row r="274" spans="1:8" s="472" customFormat="1">
      <c r="A274" s="628">
        <f>IF(B274&gt;0,MAX(A$256:A273)+1,"")</f>
        <v>5</v>
      </c>
      <c r="B274" s="520" t="s">
        <v>283</v>
      </c>
      <c r="C274" s="495"/>
      <c r="D274" s="493"/>
      <c r="E274" s="493"/>
      <c r="F274" s="545"/>
      <c r="G274" s="664"/>
      <c r="H274" s="646"/>
    </row>
    <row r="275" spans="1:8" s="472" customFormat="1" ht="33.75">
      <c r="A275" s="519"/>
      <c r="B275" s="491" t="s">
        <v>498</v>
      </c>
      <c r="C275" s="495"/>
      <c r="D275" s="493"/>
      <c r="E275" s="493"/>
      <c r="F275" s="545"/>
      <c r="G275" s="664"/>
      <c r="H275" s="646"/>
    </row>
    <row r="276" spans="1:8" s="472" customFormat="1">
      <c r="A276" s="519"/>
      <c r="B276" s="31" t="s">
        <v>13</v>
      </c>
      <c r="C276" s="495" t="s">
        <v>14</v>
      </c>
      <c r="D276" s="496">
        <v>534.61</v>
      </c>
      <c r="E276" s="496"/>
      <c r="F276" s="545">
        <f t="shared" ref="F276" si="0">D276*E276</f>
        <v>0</v>
      </c>
      <c r="G276" s="664"/>
      <c r="H276" s="646"/>
    </row>
    <row r="277" spans="1:8" s="472" customFormat="1">
      <c r="A277" s="524"/>
      <c r="B277" s="31"/>
      <c r="C277" s="495"/>
      <c r="D277" s="496"/>
      <c r="E277" s="496"/>
      <c r="F277" s="545"/>
      <c r="G277" s="664"/>
      <c r="H277" s="646"/>
    </row>
    <row r="278" spans="1:8" s="472" customFormat="1">
      <c r="A278" s="696">
        <f>IF(B278&gt;0,MAX(A$256:A277)+1,"")</f>
        <v>6</v>
      </c>
      <c r="B278" s="691" t="s">
        <v>483</v>
      </c>
      <c r="C278" s="640"/>
      <c r="D278" s="504"/>
      <c r="E278" s="504"/>
      <c r="F278" s="547"/>
      <c r="G278" s="644"/>
      <c r="H278" s="646"/>
    </row>
    <row r="279" spans="1:8" s="472" customFormat="1" ht="33.75">
      <c r="A279" s="638"/>
      <c r="B279" s="502" t="s">
        <v>497</v>
      </c>
      <c r="C279" s="640"/>
      <c r="D279" s="504"/>
      <c r="E279" s="504"/>
      <c r="F279" s="547"/>
      <c r="G279" s="644"/>
      <c r="H279" s="646"/>
    </row>
    <row r="280" spans="1:8" s="472" customFormat="1">
      <c r="A280" s="638"/>
      <c r="B280" s="639" t="s">
        <v>13</v>
      </c>
      <c r="C280" s="640" t="s">
        <v>14</v>
      </c>
      <c r="D280" s="641">
        <v>26.46</v>
      </c>
      <c r="E280" s="641"/>
      <c r="F280" s="547">
        <f t="shared" ref="F280" si="1">D280*E280</f>
        <v>0</v>
      </c>
      <c r="G280" s="644"/>
      <c r="H280" s="646"/>
    </row>
    <row r="281" spans="1:8" s="472" customFormat="1">
      <c r="A281" s="519"/>
      <c r="B281" s="31"/>
      <c r="C281" s="495"/>
      <c r="D281" s="496"/>
      <c r="E281" s="496"/>
      <c r="F281" s="545"/>
      <c r="G281" s="644"/>
      <c r="H281" s="646"/>
    </row>
    <row r="282" spans="1:8" s="472" customFormat="1">
      <c r="A282" s="628">
        <f>IF(B282&gt;0,MAX(A$256:A281)+1,"")</f>
        <v>7</v>
      </c>
      <c r="B282" s="520" t="s">
        <v>282</v>
      </c>
      <c r="C282" s="495"/>
      <c r="D282" s="493"/>
      <c r="E282" s="493"/>
      <c r="F282" s="545"/>
      <c r="G282" s="664"/>
      <c r="H282" s="646"/>
    </row>
    <row r="283" spans="1:8" s="472" customFormat="1" ht="22.5">
      <c r="A283" s="519"/>
      <c r="B283" s="491" t="s">
        <v>385</v>
      </c>
      <c r="C283" s="495"/>
      <c r="D283" s="493"/>
      <c r="E283" s="493"/>
      <c r="F283" s="545"/>
      <c r="G283" s="664"/>
      <c r="H283" s="646"/>
    </row>
    <row r="284" spans="1:8" s="472" customFormat="1">
      <c r="A284" s="524"/>
      <c r="B284" s="31" t="s">
        <v>13</v>
      </c>
      <c r="C284" s="495" t="s">
        <v>14</v>
      </c>
      <c r="D284" s="496">
        <v>331.78</v>
      </c>
      <c r="E284" s="496"/>
      <c r="F284" s="545">
        <f t="shared" ref="F284" si="2">D284*E284</f>
        <v>0</v>
      </c>
      <c r="G284" s="664"/>
      <c r="H284" s="646"/>
    </row>
    <row r="285" spans="1:8" s="472" customFormat="1">
      <c r="A285" s="519"/>
      <c r="B285" s="31"/>
      <c r="C285" s="495"/>
      <c r="D285" s="496"/>
      <c r="E285" s="496"/>
      <c r="F285" s="545"/>
      <c r="G285" s="644"/>
      <c r="H285" s="646"/>
    </row>
    <row r="286" spans="1:8" s="472" customFormat="1">
      <c r="A286" s="696">
        <f>IF(B286&gt;0,MAX(A$256:A284)+1,"")</f>
        <v>8</v>
      </c>
      <c r="B286" s="691" t="s">
        <v>496</v>
      </c>
      <c r="C286" s="640"/>
      <c r="D286" s="504"/>
      <c r="E286" s="504"/>
      <c r="F286" s="547"/>
      <c r="G286" s="644"/>
      <c r="H286" s="646"/>
    </row>
    <row r="287" spans="1:8" s="472" customFormat="1" ht="22.5">
      <c r="A287" s="638"/>
      <c r="B287" s="502" t="s">
        <v>499</v>
      </c>
      <c r="C287" s="640"/>
      <c r="D287" s="504"/>
      <c r="E287" s="504"/>
      <c r="F287" s="547"/>
      <c r="G287" s="644"/>
      <c r="H287" s="646"/>
    </row>
    <row r="288" spans="1:8" s="472" customFormat="1">
      <c r="A288" s="638"/>
      <c r="B288" s="639" t="s">
        <v>13</v>
      </c>
      <c r="C288" s="640" t="s">
        <v>14</v>
      </c>
      <c r="D288" s="641">
        <v>277.7</v>
      </c>
      <c r="E288" s="641"/>
      <c r="F288" s="547">
        <f t="shared" ref="F288" si="3">D288*E288</f>
        <v>0</v>
      </c>
      <c r="G288" s="644"/>
      <c r="H288" s="646"/>
    </row>
    <row r="289" spans="1:32" s="472" customFormat="1">
      <c r="A289" s="507"/>
      <c r="B289" s="502"/>
      <c r="C289" s="503"/>
      <c r="D289" s="504"/>
      <c r="E289" s="504"/>
      <c r="F289" s="547"/>
      <c r="G289" s="613"/>
      <c r="H289" s="646"/>
    </row>
    <row r="290" spans="1:32" s="472" customFormat="1">
      <c r="A290" s="468" t="s">
        <v>277</v>
      </c>
      <c r="B290" s="512" t="s">
        <v>284</v>
      </c>
      <c r="C290" s="470"/>
      <c r="D290" s="514"/>
      <c r="E290" s="471"/>
      <c r="F290" s="550">
        <f>SUM(F255:F284)</f>
        <v>0</v>
      </c>
      <c r="G290" s="665"/>
      <c r="H290" s="646"/>
    </row>
    <row r="291" spans="1:32">
      <c r="A291" s="30"/>
      <c r="B291" s="31"/>
      <c r="C291" s="32"/>
      <c r="D291" s="33"/>
      <c r="E291" s="33"/>
      <c r="F291" s="526"/>
      <c r="G291" s="649"/>
    </row>
    <row r="292" spans="1:32">
      <c r="A292" s="23" t="s">
        <v>291</v>
      </c>
      <c r="B292" s="29" t="s">
        <v>71</v>
      </c>
      <c r="C292" s="25"/>
      <c r="D292" s="26"/>
      <c r="E292" s="26"/>
      <c r="F292" s="551"/>
      <c r="G292" s="666"/>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spans="1:32">
      <c r="A293" s="30"/>
      <c r="B293" s="31"/>
      <c r="C293" s="32"/>
      <c r="D293" s="33"/>
      <c r="E293" s="33"/>
      <c r="F293" s="526"/>
      <c r="G293" s="649"/>
    </row>
    <row r="294" spans="1:32" s="164" customFormat="1" ht="14.25">
      <c r="A294" s="129"/>
      <c r="B294" s="34" t="s">
        <v>89</v>
      </c>
      <c r="C294" s="77"/>
      <c r="D294" s="16"/>
      <c r="E294" s="16"/>
      <c r="F294" s="552"/>
      <c r="G294" s="168"/>
    </row>
    <row r="295" spans="1:32" s="164" customFormat="1" ht="45">
      <c r="A295" s="129"/>
      <c r="B295" s="35" t="s">
        <v>88</v>
      </c>
      <c r="C295" s="77"/>
      <c r="D295" s="16"/>
      <c r="E295" s="16"/>
      <c r="F295" s="552"/>
      <c r="G295" s="168"/>
    </row>
    <row r="296" spans="1:32" s="164" customFormat="1" ht="247.5">
      <c r="A296" s="129"/>
      <c r="B296" s="35" t="s">
        <v>407</v>
      </c>
      <c r="C296" s="77"/>
      <c r="D296" s="16"/>
      <c r="E296" s="16"/>
      <c r="F296" s="552"/>
      <c r="G296" s="168"/>
    </row>
    <row r="297" spans="1:32" s="164" customFormat="1" ht="90">
      <c r="A297" s="165"/>
      <c r="B297" s="48" t="s">
        <v>87</v>
      </c>
      <c r="C297" s="165"/>
      <c r="D297" s="166"/>
      <c r="E297" s="14"/>
      <c r="F297" s="166"/>
      <c r="G297" s="667"/>
    </row>
    <row r="298" spans="1:32" s="164" customFormat="1" ht="56.25">
      <c r="A298" s="165"/>
      <c r="B298" s="48" t="s">
        <v>86</v>
      </c>
      <c r="C298" s="165"/>
      <c r="D298" s="166"/>
      <c r="E298" s="14"/>
      <c r="F298" s="166"/>
      <c r="G298" s="667"/>
    </row>
    <row r="299" spans="1:32" s="164" customFormat="1" ht="33.75">
      <c r="A299" s="165"/>
      <c r="B299" s="48" t="s">
        <v>85</v>
      </c>
      <c r="C299" s="165"/>
      <c r="D299" s="166"/>
      <c r="E299" s="14"/>
      <c r="F299" s="166"/>
      <c r="G299" s="667"/>
    </row>
    <row r="300" spans="1:32" s="164" customFormat="1" ht="22.5">
      <c r="A300" s="165"/>
      <c r="B300" s="15" t="s">
        <v>84</v>
      </c>
      <c r="C300" s="165"/>
      <c r="D300" s="166"/>
      <c r="E300" s="14"/>
      <c r="F300" s="166"/>
      <c r="G300" s="667"/>
    </row>
    <row r="301" spans="1:32" s="140" customFormat="1">
      <c r="A301" s="18"/>
      <c r="B301" s="22"/>
      <c r="C301" s="20"/>
      <c r="D301" s="21"/>
      <c r="E301" s="21"/>
      <c r="F301" s="553"/>
      <c r="G301" s="668"/>
      <c r="H301" s="167"/>
    </row>
    <row r="302" spans="1:32" s="140" customFormat="1">
      <c r="A302" s="18"/>
      <c r="B302" s="19" t="s">
        <v>315</v>
      </c>
      <c r="C302" s="20"/>
      <c r="D302" s="21"/>
      <c r="E302" s="21"/>
      <c r="F302" s="553"/>
      <c r="G302" s="668"/>
      <c r="H302" s="167"/>
    </row>
    <row r="303" spans="1:32" s="140" customFormat="1">
      <c r="A303" s="18"/>
      <c r="B303" s="22"/>
      <c r="C303" s="20"/>
      <c r="D303" s="21"/>
      <c r="E303" s="21"/>
      <c r="F303" s="553"/>
      <c r="G303" s="668"/>
      <c r="H303" s="167"/>
    </row>
    <row r="304" spans="1:32" s="164" customFormat="1" ht="11.25" customHeight="1">
      <c r="A304" s="626">
        <f>IF(B304&gt;0,MAX(A302:A$303)+1,"")</f>
        <v>1</v>
      </c>
      <c r="B304" s="89" t="s">
        <v>118</v>
      </c>
      <c r="C304" s="76"/>
      <c r="D304" s="14"/>
      <c r="E304" s="14"/>
      <c r="F304" s="552"/>
      <c r="G304" s="669"/>
    </row>
    <row r="305" spans="1:8" s="164" customFormat="1" ht="33.75">
      <c r="A305" s="152"/>
      <c r="B305" s="17" t="s">
        <v>408</v>
      </c>
      <c r="C305" s="130"/>
      <c r="D305" s="16"/>
      <c r="E305" s="16"/>
      <c r="F305" s="552"/>
      <c r="G305" s="670"/>
      <c r="H305" s="167"/>
    </row>
    <row r="306" spans="1:8" s="164" customFormat="1" ht="11.25" customHeight="1">
      <c r="A306" s="152"/>
      <c r="B306" s="17" t="s">
        <v>305</v>
      </c>
      <c r="G306" s="168"/>
    </row>
    <row r="307" spans="1:8" s="164" customFormat="1" ht="11.25" customHeight="1">
      <c r="A307" s="165"/>
      <c r="B307" s="48" t="s">
        <v>49</v>
      </c>
      <c r="C307" s="16" t="s">
        <v>36</v>
      </c>
      <c r="D307" s="16">
        <v>2</v>
      </c>
      <c r="E307" s="14"/>
      <c r="F307" s="70">
        <f>D307*E307</f>
        <v>0</v>
      </c>
      <c r="G307" s="667"/>
    </row>
    <row r="308" spans="1:8" s="164" customFormat="1" ht="11.25" customHeight="1">
      <c r="A308" s="152"/>
      <c r="B308" s="17"/>
      <c r="C308" s="16"/>
      <c r="D308" s="16"/>
      <c r="E308" s="14"/>
      <c r="F308" s="70"/>
      <c r="G308" s="168"/>
    </row>
    <row r="309" spans="1:8" s="164" customFormat="1" ht="11.25" customHeight="1">
      <c r="A309" s="626">
        <f>IF(B309&gt;0,MAX(A302:A$308)+1,"")</f>
        <v>2</v>
      </c>
      <c r="B309" s="89" t="s">
        <v>118</v>
      </c>
      <c r="C309" s="76"/>
      <c r="D309" s="14"/>
      <c r="E309" s="14"/>
      <c r="F309" s="552"/>
      <c r="G309" s="669"/>
    </row>
    <row r="310" spans="1:8" s="164" customFormat="1" ht="33.75">
      <c r="A310" s="152"/>
      <c r="B310" s="17" t="s">
        <v>412</v>
      </c>
      <c r="C310" s="130"/>
      <c r="D310" s="16"/>
      <c r="E310" s="16"/>
      <c r="F310" s="552"/>
      <c r="G310" s="670"/>
      <c r="H310" s="167"/>
    </row>
    <row r="311" spans="1:8" s="164" customFormat="1" ht="11.25" customHeight="1">
      <c r="A311" s="152"/>
      <c r="B311" s="17" t="s">
        <v>304</v>
      </c>
      <c r="G311" s="168"/>
    </row>
    <row r="312" spans="1:8" s="164" customFormat="1" ht="11.25" customHeight="1">
      <c r="A312" s="165"/>
      <c r="B312" s="48" t="s">
        <v>49</v>
      </c>
      <c r="C312" s="16" t="s">
        <v>36</v>
      </c>
      <c r="D312" s="16">
        <v>2</v>
      </c>
      <c r="E312" s="14"/>
      <c r="F312" s="70">
        <f>D312*E312</f>
        <v>0</v>
      </c>
      <c r="G312" s="667"/>
    </row>
    <row r="313" spans="1:8" s="164" customFormat="1" ht="11.25" customHeight="1">
      <c r="A313" s="165"/>
      <c r="B313" s="48"/>
      <c r="C313" s="16"/>
      <c r="D313" s="16"/>
      <c r="E313" s="14"/>
      <c r="F313" s="70"/>
      <c r="G313" s="667"/>
    </row>
    <row r="314" spans="1:8" s="164" customFormat="1" ht="11.25" customHeight="1">
      <c r="A314" s="626">
        <f>IF(B314&gt;0,MAX(A302:A$313)+1,"")</f>
        <v>3</v>
      </c>
      <c r="B314" s="89" t="s">
        <v>118</v>
      </c>
      <c r="C314" s="76"/>
      <c r="D314" s="14"/>
      <c r="E314" s="14"/>
      <c r="F314" s="552"/>
      <c r="G314" s="669"/>
    </row>
    <row r="315" spans="1:8" s="164" customFormat="1" ht="33.75">
      <c r="A315" s="152"/>
      <c r="B315" s="17" t="s">
        <v>413</v>
      </c>
      <c r="C315" s="130"/>
      <c r="D315" s="16"/>
      <c r="E315" s="16"/>
      <c r="F315" s="552"/>
      <c r="G315" s="670"/>
      <c r="H315" s="167"/>
    </row>
    <row r="316" spans="1:8" s="164" customFormat="1" ht="11.25" customHeight="1">
      <c r="A316" s="152"/>
      <c r="B316" s="17" t="s">
        <v>304</v>
      </c>
      <c r="G316" s="168"/>
    </row>
    <row r="317" spans="1:8" s="164" customFormat="1" ht="11.25" customHeight="1">
      <c r="A317" s="165"/>
      <c r="B317" s="48" t="s">
        <v>49</v>
      </c>
      <c r="C317" s="16" t="s">
        <v>36</v>
      </c>
      <c r="D317" s="16">
        <v>1</v>
      </c>
      <c r="E317" s="14"/>
      <c r="F317" s="70">
        <f>D317*E317</f>
        <v>0</v>
      </c>
      <c r="G317" s="667"/>
    </row>
    <row r="318" spans="1:8" s="164" customFormat="1" ht="11.25" customHeight="1">
      <c r="A318" s="165"/>
      <c r="B318" s="48"/>
      <c r="C318" s="16"/>
      <c r="D318" s="16"/>
      <c r="E318" s="14"/>
      <c r="F318" s="70"/>
      <c r="G318" s="667"/>
    </row>
    <row r="319" spans="1:8" s="140" customFormat="1">
      <c r="A319" s="18"/>
      <c r="B319" s="19" t="s">
        <v>38</v>
      </c>
      <c r="C319" s="20"/>
      <c r="D319" s="21"/>
      <c r="E319" s="21"/>
      <c r="F319" s="553"/>
      <c r="G319" s="668"/>
      <c r="H319" s="167"/>
    </row>
    <row r="320" spans="1:8" s="140" customFormat="1">
      <c r="A320" s="18"/>
      <c r="B320" s="19"/>
      <c r="C320" s="20"/>
      <c r="D320" s="21"/>
      <c r="E320" s="21"/>
      <c r="F320" s="553"/>
      <c r="G320" s="668"/>
      <c r="H320" s="167"/>
    </row>
    <row r="321" spans="1:32" s="164" customFormat="1" ht="11.25" customHeight="1">
      <c r="A321" s="626">
        <f>IF(B321&gt;0,MAX(A$303:A314)+1,"")</f>
        <v>4</v>
      </c>
      <c r="B321" s="89" t="s">
        <v>306</v>
      </c>
      <c r="C321" s="76"/>
      <c r="D321" s="14"/>
      <c r="E321" s="14"/>
      <c r="F321" s="552"/>
      <c r="G321" s="669"/>
    </row>
    <row r="322" spans="1:32" s="164" customFormat="1" ht="45">
      <c r="A322" s="152"/>
      <c r="B322" s="17" t="s">
        <v>334</v>
      </c>
      <c r="C322" s="130"/>
      <c r="D322" s="16"/>
      <c r="E322" s="16"/>
      <c r="F322" s="552"/>
      <c r="G322" s="670"/>
      <c r="H322" s="167"/>
    </row>
    <row r="323" spans="1:32" s="164" customFormat="1" ht="11.25" customHeight="1">
      <c r="A323" s="165"/>
      <c r="B323" s="48" t="s">
        <v>59</v>
      </c>
      <c r="C323" s="16" t="s">
        <v>63</v>
      </c>
      <c r="D323" s="16">
        <v>1</v>
      </c>
      <c r="E323" s="14"/>
      <c r="F323" s="70">
        <f>D323*E323</f>
        <v>0</v>
      </c>
      <c r="G323" s="667"/>
    </row>
    <row r="324" spans="1:32" s="164" customFormat="1" ht="11.25" customHeight="1">
      <c r="A324" s="165"/>
      <c r="B324" s="48"/>
      <c r="C324" s="16"/>
      <c r="D324" s="16"/>
      <c r="E324" s="14"/>
      <c r="F324" s="70"/>
      <c r="G324" s="667"/>
    </row>
    <row r="325" spans="1:32" s="164" customFormat="1" ht="11.25" customHeight="1">
      <c r="A325" s="748">
        <f>IF(B325&gt;0,MAX(A$303:A324)+1,"")</f>
        <v>5</v>
      </c>
      <c r="B325" s="705" t="s">
        <v>484</v>
      </c>
      <c r="C325" s="706"/>
      <c r="D325" s="700"/>
      <c r="E325" s="700"/>
      <c r="F325" s="707"/>
      <c r="G325" s="749"/>
    </row>
    <row r="326" spans="1:32" s="164" customFormat="1" ht="33.75">
      <c r="A326" s="334"/>
      <c r="B326" s="335" t="s">
        <v>485</v>
      </c>
      <c r="C326" s="704"/>
      <c r="D326" s="614"/>
      <c r="E326" s="614"/>
      <c r="F326" s="707"/>
      <c r="G326" s="750"/>
      <c r="H326" s="167"/>
    </row>
    <row r="327" spans="1:32" s="164" customFormat="1" ht="11.25" customHeight="1">
      <c r="A327" s="709"/>
      <c r="B327" s="703" t="s">
        <v>13</v>
      </c>
      <c r="C327" s="614" t="s">
        <v>14</v>
      </c>
      <c r="D327" s="614">
        <v>2.02</v>
      </c>
      <c r="E327" s="700"/>
      <c r="F327" s="701">
        <f>D327*E327</f>
        <v>0</v>
      </c>
      <c r="G327" s="708"/>
    </row>
    <row r="328" spans="1:32" s="140" customFormat="1">
      <c r="A328" s="18"/>
      <c r="B328" s="22"/>
      <c r="C328" s="20"/>
      <c r="D328" s="21"/>
      <c r="E328" s="21"/>
      <c r="F328" s="553"/>
      <c r="G328" s="668"/>
      <c r="H328" s="167"/>
    </row>
    <row r="329" spans="1:32">
      <c r="A329" s="122" t="s">
        <v>291</v>
      </c>
      <c r="B329" s="24" t="s">
        <v>72</v>
      </c>
      <c r="C329" s="25"/>
      <c r="D329" s="26"/>
      <c r="E329" s="26"/>
      <c r="F329" s="631">
        <f>SUM(F302:F328)</f>
        <v>0</v>
      </c>
      <c r="G329" s="666"/>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spans="1:32">
      <c r="A330" s="30"/>
      <c r="B330" s="31"/>
      <c r="C330" s="32"/>
      <c r="D330" s="33"/>
      <c r="E330" s="33"/>
      <c r="F330" s="526"/>
      <c r="G330" s="649"/>
    </row>
    <row r="331" spans="1:32">
      <c r="A331" s="23" t="s">
        <v>368</v>
      </c>
      <c r="B331" s="29" t="s">
        <v>73</v>
      </c>
      <c r="C331" s="25"/>
      <c r="D331" s="26"/>
      <c r="E331" s="26"/>
      <c r="F331" s="551"/>
      <c r="G331" s="666"/>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spans="1:32">
      <c r="A332" s="30"/>
      <c r="B332" s="31"/>
      <c r="C332" s="32"/>
      <c r="D332" s="33"/>
      <c r="E332" s="33"/>
      <c r="F332" s="526"/>
      <c r="G332" s="649"/>
    </row>
    <row r="333" spans="1:32" s="217" customFormat="1">
      <c r="A333" s="214"/>
      <c r="B333" s="34" t="s">
        <v>89</v>
      </c>
      <c r="C333" s="215"/>
      <c r="D333" s="216"/>
      <c r="E333" s="216"/>
      <c r="F333" s="554"/>
      <c r="G333" s="671"/>
      <c r="H333" s="687"/>
    </row>
    <row r="334" spans="1:32" s="217" customFormat="1" ht="45">
      <c r="A334" s="214"/>
      <c r="B334" s="35" t="s">
        <v>95</v>
      </c>
      <c r="C334" s="215"/>
      <c r="D334" s="216"/>
      <c r="E334" s="216"/>
      <c r="F334" s="554"/>
      <c r="G334" s="671"/>
      <c r="H334" s="687"/>
    </row>
    <row r="335" spans="1:32" s="217" customFormat="1" ht="225">
      <c r="A335" s="214"/>
      <c r="B335" s="35" t="s">
        <v>409</v>
      </c>
      <c r="C335" s="215"/>
      <c r="D335" s="216"/>
      <c r="E335" s="216"/>
      <c r="F335" s="554"/>
      <c r="G335" s="671"/>
      <c r="H335" s="687"/>
    </row>
    <row r="336" spans="1:32" s="217" customFormat="1" ht="258.75">
      <c r="A336" s="214"/>
      <c r="B336" s="48" t="s">
        <v>96</v>
      </c>
      <c r="C336" s="215"/>
      <c r="D336" s="216"/>
      <c r="E336" s="216"/>
      <c r="F336" s="554"/>
      <c r="G336" s="671"/>
      <c r="H336" s="687"/>
    </row>
    <row r="337" spans="1:8" s="217" customFormat="1" ht="22.5">
      <c r="A337" s="214"/>
      <c r="B337" s="15" t="s">
        <v>97</v>
      </c>
      <c r="C337" s="215"/>
      <c r="D337" s="216"/>
      <c r="E337" s="216"/>
      <c r="F337" s="554"/>
      <c r="G337" s="671"/>
      <c r="H337" s="687"/>
    </row>
    <row r="338" spans="1:8" s="140" customFormat="1">
      <c r="A338" s="18"/>
      <c r="B338" s="22"/>
      <c r="C338" s="20"/>
      <c r="D338" s="21"/>
      <c r="E338" s="21"/>
      <c r="F338" s="553"/>
      <c r="G338" s="668"/>
      <c r="H338" s="167"/>
    </row>
    <row r="339" spans="1:8" s="140" customFormat="1">
      <c r="A339" s="18"/>
      <c r="B339" s="19" t="s">
        <v>90</v>
      </c>
      <c r="C339" s="20"/>
      <c r="D339" s="21"/>
      <c r="E339" s="21"/>
      <c r="F339" s="553"/>
      <c r="G339" s="668"/>
      <c r="H339" s="167"/>
    </row>
    <row r="340" spans="1:8" s="217" customFormat="1">
      <c r="A340" s="214"/>
      <c r="B340" s="218"/>
      <c r="C340" s="215"/>
      <c r="D340" s="216"/>
      <c r="E340" s="216"/>
      <c r="F340" s="554"/>
      <c r="G340" s="671"/>
      <c r="H340" s="687"/>
    </row>
    <row r="341" spans="1:8" s="164" customFormat="1" ht="11.25" customHeight="1">
      <c r="A341" s="624">
        <v>1</v>
      </c>
      <c r="B341" s="89" t="s">
        <v>350</v>
      </c>
      <c r="C341" s="76"/>
      <c r="D341" s="14"/>
      <c r="E341" s="14"/>
      <c r="F341" s="552"/>
      <c r="G341" s="669"/>
    </row>
    <row r="342" spans="1:8" s="164" customFormat="1" ht="45">
      <c r="A342" s="152"/>
      <c r="B342" s="17" t="s">
        <v>414</v>
      </c>
      <c r="C342" s="130"/>
      <c r="D342" s="16"/>
      <c r="E342" s="16"/>
      <c r="F342" s="552"/>
      <c r="G342" s="670"/>
      <c r="H342" s="167"/>
    </row>
    <row r="343" spans="1:8" s="164" customFormat="1" ht="11.25" customHeight="1">
      <c r="A343" s="152"/>
      <c r="B343" s="17" t="s">
        <v>303</v>
      </c>
      <c r="C343" s="130"/>
      <c r="D343" s="16"/>
      <c r="E343" s="16"/>
      <c r="F343" s="552"/>
      <c r="G343" s="168"/>
    </row>
    <row r="344" spans="1:8" s="164" customFormat="1" ht="11.25" customHeight="1">
      <c r="A344" s="165"/>
      <c r="B344" s="48" t="s">
        <v>49</v>
      </c>
      <c r="C344" s="16" t="s">
        <v>36</v>
      </c>
      <c r="D344" s="16">
        <v>1</v>
      </c>
      <c r="E344" s="14"/>
      <c r="F344" s="70">
        <f t="shared" ref="F344" si="4">D344*E344</f>
        <v>0</v>
      </c>
      <c r="G344" s="667"/>
    </row>
    <row r="345" spans="1:8" s="217" customFormat="1">
      <c r="A345" s="214"/>
      <c r="B345" s="15"/>
      <c r="C345" s="215"/>
      <c r="D345" s="216"/>
      <c r="E345" s="216"/>
      <c r="F345" s="554"/>
      <c r="G345" s="671"/>
      <c r="H345" s="687"/>
    </row>
    <row r="346" spans="1:8" s="164" customFormat="1" ht="11.25" customHeight="1">
      <c r="A346" s="165"/>
      <c r="B346" s="49" t="s">
        <v>315</v>
      </c>
      <c r="C346" s="165"/>
      <c r="D346" s="166"/>
      <c r="E346" s="14"/>
      <c r="F346" s="166"/>
      <c r="G346" s="667"/>
    </row>
    <row r="347" spans="1:8" s="140" customFormat="1">
      <c r="A347" s="18"/>
      <c r="B347" s="22"/>
      <c r="C347" s="20"/>
      <c r="D347" s="21"/>
      <c r="E347" s="21"/>
      <c r="F347" s="553"/>
      <c r="G347" s="668"/>
      <c r="H347" s="167"/>
    </row>
    <row r="348" spans="1:8" s="164" customFormat="1" ht="11.25" customHeight="1">
      <c r="A348" s="625">
        <f>IF(B348&gt;0,MAX(A341:A$347)+1,"")</f>
        <v>2</v>
      </c>
      <c r="B348" s="89" t="s">
        <v>321</v>
      </c>
      <c r="C348" s="76"/>
      <c r="D348" s="14"/>
      <c r="E348" s="14"/>
      <c r="F348" s="163"/>
      <c r="G348" s="669"/>
    </row>
    <row r="349" spans="1:8" s="164" customFormat="1" ht="56.25">
      <c r="A349" s="152"/>
      <c r="B349" s="17" t="s">
        <v>425</v>
      </c>
      <c r="C349" s="130"/>
      <c r="D349" s="16"/>
      <c r="E349" s="614"/>
      <c r="F349" s="163"/>
      <c r="G349" s="670"/>
      <c r="H349" s="688"/>
    </row>
    <row r="350" spans="1:8" s="164" customFormat="1" ht="11.25" customHeight="1">
      <c r="A350" s="152"/>
      <c r="B350" s="17" t="s">
        <v>351</v>
      </c>
      <c r="C350" s="130"/>
      <c r="D350" s="16"/>
      <c r="E350" s="16"/>
      <c r="F350" s="163"/>
      <c r="G350" s="168"/>
    </row>
    <row r="351" spans="1:8" s="164" customFormat="1" ht="11.25" customHeight="1">
      <c r="A351" s="165"/>
      <c r="B351" s="48" t="s">
        <v>49</v>
      </c>
      <c r="C351" s="16" t="s">
        <v>36</v>
      </c>
      <c r="D351" s="16">
        <v>1</v>
      </c>
      <c r="E351" s="14"/>
      <c r="F351" s="602">
        <f t="shared" ref="F351" si="5">D351*E351</f>
        <v>0</v>
      </c>
      <c r="G351" s="667"/>
    </row>
    <row r="352" spans="1:8" s="217" customFormat="1">
      <c r="A352" s="214"/>
      <c r="B352" s="218"/>
      <c r="C352" s="215"/>
      <c r="D352" s="216"/>
      <c r="E352" s="216"/>
      <c r="F352" s="554"/>
      <c r="G352" s="671"/>
      <c r="H352" s="687"/>
    </row>
    <row r="353" spans="1:8" s="164" customFormat="1" ht="11.25" customHeight="1">
      <c r="A353" s="625">
        <f>IF(B353&gt;0,MAX(A$348:A352)+1,"")</f>
        <v>3</v>
      </c>
      <c r="B353" s="89" t="s">
        <v>321</v>
      </c>
      <c r="C353" s="76"/>
      <c r="D353" s="14"/>
      <c r="E353" s="14"/>
      <c r="F353" s="163"/>
      <c r="G353" s="669"/>
    </row>
    <row r="354" spans="1:8" s="164" customFormat="1" ht="45">
      <c r="A354" s="152"/>
      <c r="B354" s="17" t="s">
        <v>424</v>
      </c>
      <c r="C354" s="130"/>
      <c r="D354" s="16"/>
      <c r="E354" s="614"/>
      <c r="F354" s="163"/>
      <c r="G354" s="670"/>
      <c r="H354" s="688"/>
    </row>
    <row r="355" spans="1:8" s="164" customFormat="1" ht="11.25" customHeight="1">
      <c r="A355" s="152"/>
      <c r="B355" s="17" t="s">
        <v>323</v>
      </c>
      <c r="C355" s="130"/>
      <c r="D355" s="16"/>
      <c r="E355" s="16"/>
      <c r="F355" s="163"/>
      <c r="G355" s="168"/>
    </row>
    <row r="356" spans="1:8" s="164" customFormat="1" ht="11.25" customHeight="1">
      <c r="A356" s="165"/>
      <c r="B356" s="48" t="s">
        <v>49</v>
      </c>
      <c r="C356" s="16" t="s">
        <v>36</v>
      </c>
      <c r="D356" s="16">
        <v>2</v>
      </c>
      <c r="E356" s="14"/>
      <c r="F356" s="602">
        <f t="shared" ref="F356" si="6">D356*E356</f>
        <v>0</v>
      </c>
      <c r="G356" s="667"/>
    </row>
    <row r="357" spans="1:8" s="164" customFormat="1" ht="11.25" customHeight="1">
      <c r="A357" s="165"/>
      <c r="B357" s="48"/>
      <c r="C357" s="16"/>
      <c r="D357" s="16"/>
      <c r="E357" s="14"/>
      <c r="F357" s="602"/>
      <c r="G357" s="667"/>
    </row>
    <row r="358" spans="1:8" s="164" customFormat="1" ht="11.25" customHeight="1">
      <c r="A358" s="625">
        <f>IF(B358&gt;0,MAX(A$348:A357)+1,"")</f>
        <v>4</v>
      </c>
      <c r="B358" s="89" t="s">
        <v>321</v>
      </c>
      <c r="C358" s="76"/>
      <c r="D358" s="14"/>
      <c r="E358" s="14"/>
      <c r="F358" s="163"/>
      <c r="G358" s="669"/>
    </row>
    <row r="359" spans="1:8" s="164" customFormat="1" ht="45">
      <c r="A359" s="152"/>
      <c r="B359" s="17" t="s">
        <v>423</v>
      </c>
      <c r="C359" s="130"/>
      <c r="D359" s="16"/>
      <c r="E359" s="16"/>
      <c r="F359" s="163"/>
      <c r="G359" s="670"/>
      <c r="H359" s="688"/>
    </row>
    <row r="360" spans="1:8" s="164" customFormat="1" ht="11.25" customHeight="1">
      <c r="A360" s="152"/>
      <c r="B360" s="17" t="s">
        <v>322</v>
      </c>
      <c r="C360" s="130"/>
      <c r="D360" s="16"/>
      <c r="E360" s="16"/>
      <c r="F360" s="163"/>
      <c r="G360" s="168"/>
    </row>
    <row r="361" spans="1:8" s="164" customFormat="1" ht="11.25" customHeight="1">
      <c r="A361" s="165"/>
      <c r="B361" s="48" t="s">
        <v>49</v>
      </c>
      <c r="C361" s="16" t="s">
        <v>36</v>
      </c>
      <c r="D361" s="16">
        <v>2</v>
      </c>
      <c r="E361" s="14"/>
      <c r="F361" s="602">
        <f t="shared" ref="F361" si="7">D361*E361</f>
        <v>0</v>
      </c>
      <c r="G361" s="667"/>
    </row>
    <row r="362" spans="1:8" s="164" customFormat="1" ht="11.25" customHeight="1">
      <c r="A362" s="165"/>
      <c r="B362" s="48"/>
      <c r="C362" s="16"/>
      <c r="D362" s="16"/>
      <c r="E362" s="14"/>
      <c r="F362" s="602"/>
      <c r="G362" s="667"/>
    </row>
    <row r="363" spans="1:8" s="164" customFormat="1" ht="11.25" customHeight="1">
      <c r="A363" s="165"/>
      <c r="B363" s="49" t="s">
        <v>91</v>
      </c>
      <c r="C363" s="165"/>
      <c r="D363" s="166"/>
      <c r="E363" s="14"/>
      <c r="F363" s="166"/>
      <c r="G363" s="667"/>
    </row>
    <row r="364" spans="1:8" s="164" customFormat="1" ht="11.25" customHeight="1">
      <c r="A364" s="165"/>
      <c r="B364" s="48"/>
      <c r="C364" s="165"/>
      <c r="D364" s="166"/>
      <c r="E364" s="14"/>
      <c r="F364" s="166"/>
      <c r="G364" s="667"/>
    </row>
    <row r="365" spans="1:8" s="164" customFormat="1" ht="11.25" customHeight="1">
      <c r="A365" s="625">
        <f>IF(B365&gt;0,MAX(A$348:A364)+1,"")</f>
        <v>5</v>
      </c>
      <c r="B365" s="89" t="s">
        <v>119</v>
      </c>
      <c r="C365" s="76"/>
      <c r="D365" s="14"/>
      <c r="E365" s="14"/>
      <c r="F365" s="552"/>
      <c r="G365" s="669"/>
    </row>
    <row r="366" spans="1:8" s="164" customFormat="1" ht="33.75">
      <c r="A366" s="152"/>
      <c r="B366" s="17" t="s">
        <v>419</v>
      </c>
      <c r="C366" s="130"/>
      <c r="D366" s="16"/>
      <c r="E366" s="16"/>
      <c r="F366" s="552"/>
      <c r="G366" s="670"/>
      <c r="H366" s="167"/>
    </row>
    <row r="367" spans="1:8" s="164" customFormat="1" ht="11.25" customHeight="1">
      <c r="A367" s="152"/>
      <c r="B367" s="17" t="s">
        <v>308</v>
      </c>
      <c r="C367" s="130"/>
      <c r="D367" s="16"/>
      <c r="E367" s="16"/>
      <c r="F367" s="552"/>
      <c r="G367" s="168"/>
    </row>
    <row r="368" spans="1:8" s="164" customFormat="1" ht="11.25" customHeight="1">
      <c r="A368" s="165"/>
      <c r="B368" s="48" t="s">
        <v>49</v>
      </c>
      <c r="C368" s="16" t="s">
        <v>36</v>
      </c>
      <c r="D368" s="16">
        <v>3</v>
      </c>
      <c r="E368" s="21"/>
      <c r="F368" s="70">
        <f>D368*E368</f>
        <v>0</v>
      </c>
      <c r="G368" s="667"/>
    </row>
    <row r="369" spans="1:8" s="164" customFormat="1" ht="11.25" customHeight="1">
      <c r="A369" s="165"/>
      <c r="B369" s="48"/>
      <c r="C369" s="165"/>
      <c r="D369" s="166"/>
      <c r="E369" s="14"/>
      <c r="F369" s="166"/>
      <c r="G369" s="667"/>
    </row>
    <row r="370" spans="1:8" s="164" customFormat="1" ht="11.25" customHeight="1">
      <c r="A370" s="625">
        <f>IF(B370&gt;0,MAX(A$348:A369)+1,"")</f>
        <v>6</v>
      </c>
      <c r="B370" s="89" t="s">
        <v>119</v>
      </c>
      <c r="C370" s="76"/>
      <c r="D370" s="14"/>
      <c r="E370" s="14"/>
      <c r="F370" s="552"/>
      <c r="G370" s="669"/>
    </row>
    <row r="371" spans="1:8" s="164" customFormat="1" ht="45">
      <c r="A371" s="152"/>
      <c r="B371" s="17" t="s">
        <v>422</v>
      </c>
      <c r="C371" s="130"/>
      <c r="D371" s="16"/>
      <c r="E371" s="614"/>
      <c r="F371" s="552"/>
      <c r="G371" s="670"/>
      <c r="H371" s="167"/>
    </row>
    <row r="372" spans="1:8" s="164" customFormat="1" ht="11.25" customHeight="1">
      <c r="A372" s="152"/>
      <c r="B372" s="17" t="s">
        <v>309</v>
      </c>
      <c r="C372" s="130"/>
      <c r="D372" s="16"/>
      <c r="E372" s="16"/>
      <c r="F372" s="552"/>
      <c r="G372" s="168"/>
    </row>
    <row r="373" spans="1:8" s="164" customFormat="1" ht="11.25" customHeight="1">
      <c r="A373" s="165"/>
      <c r="B373" s="48" t="s">
        <v>49</v>
      </c>
      <c r="C373" s="16" t="s">
        <v>36</v>
      </c>
      <c r="D373" s="16">
        <v>1</v>
      </c>
      <c r="E373" s="21"/>
      <c r="F373" s="70">
        <f>D373*E373</f>
        <v>0</v>
      </c>
      <c r="G373" s="667"/>
    </row>
    <row r="374" spans="1:8" s="164" customFormat="1" ht="11.25" customHeight="1">
      <c r="A374" s="165"/>
      <c r="B374" s="48"/>
      <c r="C374" s="165"/>
      <c r="D374" s="166"/>
      <c r="E374" s="14"/>
      <c r="F374" s="166"/>
      <c r="G374" s="667"/>
    </row>
    <row r="375" spans="1:8" s="164" customFormat="1" ht="11.25" customHeight="1">
      <c r="A375" s="625">
        <f>IF(B375&gt;0,MAX(A$348:A374)+1,"")</f>
        <v>7</v>
      </c>
      <c r="B375" s="89" t="s">
        <v>119</v>
      </c>
      <c r="C375" s="76"/>
      <c r="D375" s="14"/>
      <c r="E375" s="14"/>
      <c r="F375" s="552"/>
      <c r="G375" s="669"/>
    </row>
    <row r="376" spans="1:8" s="164" customFormat="1" ht="45">
      <c r="A376" s="152"/>
      <c r="B376" s="17" t="s">
        <v>421</v>
      </c>
      <c r="C376" s="130"/>
      <c r="D376" s="16"/>
      <c r="E376" s="16"/>
      <c r="F376" s="552"/>
      <c r="G376" s="670"/>
      <c r="H376" s="167"/>
    </row>
    <row r="377" spans="1:8" s="164" customFormat="1" ht="11.25" customHeight="1">
      <c r="A377" s="152"/>
      <c r="B377" s="17" t="s">
        <v>314</v>
      </c>
      <c r="C377" s="130"/>
      <c r="D377" s="16"/>
      <c r="E377" s="16"/>
      <c r="F377" s="552"/>
      <c r="G377" s="168"/>
    </row>
    <row r="378" spans="1:8" s="164" customFormat="1" ht="11.25" customHeight="1">
      <c r="A378" s="165"/>
      <c r="B378" s="48" t="s">
        <v>49</v>
      </c>
      <c r="C378" s="16" t="s">
        <v>36</v>
      </c>
      <c r="D378" s="16">
        <v>1</v>
      </c>
      <c r="E378" s="21"/>
      <c r="F378" s="70">
        <f>D378*E378</f>
        <v>0</v>
      </c>
      <c r="G378" s="667"/>
    </row>
    <row r="379" spans="1:8" s="164" customFormat="1" ht="11.25" customHeight="1">
      <c r="A379" s="165"/>
      <c r="B379" s="48"/>
      <c r="C379" s="165"/>
      <c r="D379" s="166"/>
      <c r="E379" s="14"/>
      <c r="F379" s="166"/>
      <c r="G379" s="667"/>
    </row>
    <row r="380" spans="1:8" s="164" customFormat="1" ht="11.25" customHeight="1">
      <c r="A380" s="625">
        <f>IF(B380&gt;0,MAX(A$348:A379)+1,"")</f>
        <v>8</v>
      </c>
      <c r="B380" s="89" t="s">
        <v>119</v>
      </c>
      <c r="C380" s="76"/>
      <c r="D380" s="14"/>
      <c r="E380" s="14"/>
      <c r="F380" s="552"/>
      <c r="G380" s="669"/>
    </row>
    <row r="381" spans="1:8" s="164" customFormat="1" ht="45">
      <c r="A381" s="152"/>
      <c r="B381" s="17" t="s">
        <v>420</v>
      </c>
      <c r="C381" s="130"/>
      <c r="D381" s="16"/>
      <c r="E381" s="614"/>
      <c r="F381" s="552"/>
      <c r="G381" s="670"/>
      <c r="H381" s="167"/>
    </row>
    <row r="382" spans="1:8" s="164" customFormat="1" ht="11.25" customHeight="1">
      <c r="A382" s="152"/>
      <c r="B382" s="17" t="s">
        <v>314</v>
      </c>
      <c r="C382" s="130"/>
      <c r="D382" s="16"/>
      <c r="E382" s="16"/>
      <c r="F382" s="552"/>
      <c r="G382" s="168"/>
    </row>
    <row r="383" spans="1:8" s="164" customFormat="1" ht="11.25" customHeight="1">
      <c r="A383" s="165"/>
      <c r="B383" s="48" t="s">
        <v>49</v>
      </c>
      <c r="C383" s="16" t="s">
        <v>36</v>
      </c>
      <c r="D383" s="16">
        <v>1</v>
      </c>
      <c r="E383" s="21"/>
      <c r="F383" s="70">
        <f>D383*E383</f>
        <v>0</v>
      </c>
      <c r="G383" s="667"/>
    </row>
    <row r="384" spans="1:8" s="164" customFormat="1" ht="11.25" customHeight="1">
      <c r="A384" s="165"/>
      <c r="B384" s="48"/>
      <c r="C384" s="165"/>
      <c r="D384" s="166"/>
      <c r="E384" s="14"/>
      <c r="F384" s="166"/>
      <c r="G384" s="667"/>
    </row>
    <row r="385" spans="1:8" s="164" customFormat="1" ht="11.25" customHeight="1">
      <c r="A385" s="625">
        <f>IF(B385&gt;0,MAX(A$348:A384)+1,"")</f>
        <v>9</v>
      </c>
      <c r="B385" s="89" t="s">
        <v>119</v>
      </c>
      <c r="C385" s="76"/>
      <c r="D385" s="14"/>
      <c r="E385" s="14"/>
      <c r="F385" s="552"/>
      <c r="G385" s="669"/>
    </row>
    <row r="386" spans="1:8" s="164" customFormat="1" ht="33.75">
      <c r="A386" s="152"/>
      <c r="B386" s="17" t="s">
        <v>419</v>
      </c>
      <c r="C386" s="130"/>
      <c r="D386" s="16"/>
      <c r="E386" s="16"/>
      <c r="F386" s="552"/>
      <c r="G386" s="670"/>
      <c r="H386" s="167"/>
    </row>
    <row r="387" spans="1:8" s="164" customFormat="1" ht="11.25" customHeight="1">
      <c r="A387" s="152"/>
      <c r="B387" s="17" t="s">
        <v>311</v>
      </c>
      <c r="C387" s="130"/>
      <c r="D387" s="16"/>
      <c r="E387" s="16"/>
      <c r="F387" s="552"/>
      <c r="G387" s="168"/>
    </row>
    <row r="388" spans="1:8" s="164" customFormat="1" ht="11.25" customHeight="1">
      <c r="A388" s="165"/>
      <c r="B388" s="48" t="s">
        <v>49</v>
      </c>
      <c r="C388" s="16" t="s">
        <v>36</v>
      </c>
      <c r="D388" s="16">
        <v>1</v>
      </c>
      <c r="E388" s="21"/>
      <c r="F388" s="70">
        <f>D388*E388</f>
        <v>0</v>
      </c>
      <c r="G388" s="667"/>
    </row>
    <row r="389" spans="1:8" s="164" customFormat="1" ht="11.25" customHeight="1">
      <c r="A389" s="165"/>
      <c r="B389" s="48"/>
      <c r="C389" s="165"/>
      <c r="D389" s="166"/>
      <c r="E389" s="14"/>
      <c r="F389" s="166"/>
      <c r="G389" s="667"/>
    </row>
    <row r="390" spans="1:8" s="164" customFormat="1" ht="11.25" customHeight="1">
      <c r="A390" s="625">
        <f>IF(B390&gt;0,MAX(A$348:A389)+1,"")</f>
        <v>10</v>
      </c>
      <c r="B390" s="89" t="s">
        <v>119</v>
      </c>
      <c r="C390" s="76"/>
      <c r="D390" s="14"/>
      <c r="E390" s="14"/>
      <c r="F390" s="552"/>
      <c r="G390" s="669"/>
    </row>
    <row r="391" spans="1:8" s="164" customFormat="1" ht="33.75">
      <c r="A391" s="152"/>
      <c r="B391" s="17" t="s">
        <v>419</v>
      </c>
      <c r="C391" s="130"/>
      <c r="D391" s="16"/>
      <c r="E391" s="16"/>
      <c r="F391" s="552"/>
      <c r="G391" s="670"/>
      <c r="H391" s="167"/>
    </row>
    <row r="392" spans="1:8" s="164" customFormat="1" ht="11.25" customHeight="1">
      <c r="A392" s="152"/>
      <c r="B392" s="17" t="s">
        <v>312</v>
      </c>
      <c r="C392" s="130"/>
      <c r="D392" s="16"/>
      <c r="E392" s="16"/>
      <c r="F392" s="552"/>
      <c r="G392" s="168"/>
    </row>
    <row r="393" spans="1:8" s="164" customFormat="1" ht="11.25" customHeight="1">
      <c r="A393" s="165"/>
      <c r="B393" s="48" t="s">
        <v>49</v>
      </c>
      <c r="C393" s="16" t="s">
        <v>36</v>
      </c>
      <c r="D393" s="16">
        <v>1</v>
      </c>
      <c r="E393" s="21"/>
      <c r="F393" s="70">
        <f>D393*E393</f>
        <v>0</v>
      </c>
      <c r="G393" s="667"/>
    </row>
    <row r="394" spans="1:8" s="164" customFormat="1" ht="11.25" customHeight="1">
      <c r="A394" s="165"/>
      <c r="B394" s="48"/>
      <c r="C394" s="165"/>
      <c r="D394" s="166"/>
      <c r="E394" s="14"/>
      <c r="F394" s="166"/>
      <c r="G394" s="667"/>
    </row>
    <row r="395" spans="1:8" s="164" customFormat="1" ht="11.25" customHeight="1">
      <c r="A395" s="625">
        <f>IF(B395&gt;0,MAX(A$348:A394)+1,"")</f>
        <v>11</v>
      </c>
      <c r="B395" s="89" t="s">
        <v>119</v>
      </c>
      <c r="C395" s="76"/>
      <c r="D395" s="14"/>
      <c r="E395" s="14"/>
      <c r="F395" s="552"/>
      <c r="G395" s="669"/>
    </row>
    <row r="396" spans="1:8" s="164" customFormat="1" ht="33.75">
      <c r="A396" s="152"/>
      <c r="B396" s="17" t="s">
        <v>419</v>
      </c>
      <c r="C396" s="130"/>
      <c r="D396" s="16"/>
      <c r="E396" s="16"/>
      <c r="F396" s="552"/>
      <c r="G396" s="670"/>
      <c r="H396" s="167"/>
    </row>
    <row r="397" spans="1:8" s="164" customFormat="1" ht="11.25" customHeight="1">
      <c r="A397" s="152"/>
      <c r="B397" s="17" t="s">
        <v>310</v>
      </c>
      <c r="C397" s="130"/>
      <c r="D397" s="16"/>
      <c r="E397" s="16"/>
      <c r="F397" s="552"/>
      <c r="G397" s="168"/>
    </row>
    <row r="398" spans="1:8" s="164" customFormat="1" ht="11.25" customHeight="1">
      <c r="A398" s="165"/>
      <c r="B398" s="48" t="s">
        <v>49</v>
      </c>
      <c r="C398" s="16" t="s">
        <v>36</v>
      </c>
      <c r="D398" s="16">
        <v>1</v>
      </c>
      <c r="E398" s="21"/>
      <c r="F398" s="70">
        <f>D398*E398</f>
        <v>0</v>
      </c>
      <c r="G398" s="667"/>
    </row>
    <row r="399" spans="1:8" s="164" customFormat="1" ht="11.25" customHeight="1">
      <c r="A399" s="165"/>
      <c r="B399" s="48"/>
      <c r="C399" s="165"/>
      <c r="D399" s="166"/>
      <c r="E399" s="14"/>
      <c r="F399" s="166"/>
      <c r="G399" s="667"/>
    </row>
    <row r="400" spans="1:8" s="164" customFormat="1" ht="11.25" customHeight="1">
      <c r="A400" s="625">
        <f>IF(B400&gt;0,MAX(A$348:A399)+1,"")</f>
        <v>12</v>
      </c>
      <c r="B400" s="89" t="s">
        <v>119</v>
      </c>
      <c r="C400" s="76"/>
      <c r="D400" s="14"/>
      <c r="E400" s="14"/>
      <c r="F400" s="552"/>
      <c r="G400" s="669"/>
    </row>
    <row r="401" spans="1:8" s="164" customFormat="1" ht="33.75">
      <c r="A401" s="152"/>
      <c r="B401" s="17" t="s">
        <v>419</v>
      </c>
      <c r="C401" s="130"/>
      <c r="D401" s="16"/>
      <c r="E401" s="16"/>
      <c r="F401" s="552"/>
      <c r="G401" s="670"/>
      <c r="H401" s="167"/>
    </row>
    <row r="402" spans="1:8" s="164" customFormat="1" ht="11.25" customHeight="1">
      <c r="A402" s="152"/>
      <c r="B402" s="17" t="s">
        <v>355</v>
      </c>
      <c r="C402" s="130"/>
      <c r="D402" s="16"/>
      <c r="E402" s="16"/>
      <c r="F402" s="552"/>
      <c r="G402" s="168"/>
    </row>
    <row r="403" spans="1:8" s="164" customFormat="1" ht="11.25" customHeight="1">
      <c r="A403" s="165"/>
      <c r="B403" s="48" t="s">
        <v>49</v>
      </c>
      <c r="C403" s="16" t="s">
        <v>36</v>
      </c>
      <c r="D403" s="16">
        <v>1</v>
      </c>
      <c r="E403" s="21"/>
      <c r="F403" s="70">
        <f>D403*E403</f>
        <v>0</v>
      </c>
      <c r="G403" s="667"/>
    </row>
    <row r="404" spans="1:8" s="164" customFormat="1" ht="11.25" customHeight="1">
      <c r="A404" s="165"/>
      <c r="B404" s="48"/>
      <c r="C404" s="165"/>
      <c r="D404" s="166"/>
      <c r="E404" s="14"/>
      <c r="F404" s="166"/>
      <c r="G404" s="667"/>
    </row>
    <row r="405" spans="1:8" s="164" customFormat="1" ht="11.25" customHeight="1">
      <c r="A405" s="625">
        <f>IF(B405&gt;0,MAX(A$348:A404)+1,"")</f>
        <v>13</v>
      </c>
      <c r="B405" s="89" t="s">
        <v>386</v>
      </c>
      <c r="C405" s="76"/>
      <c r="D405" s="14"/>
      <c r="E405" s="14"/>
      <c r="F405" s="552"/>
      <c r="G405" s="669"/>
    </row>
    <row r="406" spans="1:8" s="164" customFormat="1" ht="33.75">
      <c r="A406" s="152"/>
      <c r="B406" s="17" t="s">
        <v>418</v>
      </c>
      <c r="C406" s="130"/>
      <c r="D406" s="16"/>
      <c r="E406" s="16"/>
      <c r="F406" s="552"/>
      <c r="G406" s="670"/>
      <c r="H406" s="167"/>
    </row>
    <row r="407" spans="1:8" s="164" customFormat="1" ht="11.25" customHeight="1">
      <c r="A407" s="152"/>
      <c r="B407" s="17" t="s">
        <v>313</v>
      </c>
      <c r="C407" s="130"/>
      <c r="D407" s="16"/>
      <c r="E407" s="16"/>
      <c r="F407" s="552"/>
      <c r="G407" s="168"/>
    </row>
    <row r="408" spans="1:8" s="164" customFormat="1" ht="11.25" customHeight="1">
      <c r="A408" s="165"/>
      <c r="B408" s="48" t="s">
        <v>49</v>
      </c>
      <c r="C408" s="16" t="s">
        <v>36</v>
      </c>
      <c r="D408" s="16">
        <v>2</v>
      </c>
      <c r="E408" s="21"/>
      <c r="F408" s="70">
        <f>D408*E408</f>
        <v>0</v>
      </c>
      <c r="G408" s="667"/>
    </row>
    <row r="409" spans="1:8" s="164" customFormat="1" ht="11.25" customHeight="1">
      <c r="A409" s="165"/>
      <c r="B409" s="48"/>
      <c r="C409" s="165"/>
      <c r="D409" s="166"/>
      <c r="E409" s="14"/>
      <c r="F409" s="166"/>
      <c r="G409" s="667"/>
    </row>
    <row r="410" spans="1:8" s="164" customFormat="1" ht="11.25" customHeight="1">
      <c r="A410" s="625">
        <f>IF(B410&gt;0,MAX(A$348:A409)+1,"")</f>
        <v>14</v>
      </c>
      <c r="B410" s="89" t="s">
        <v>386</v>
      </c>
      <c r="C410" s="76"/>
      <c r="D410" s="14"/>
      <c r="E410" s="14"/>
      <c r="F410" s="552"/>
      <c r="G410" s="669"/>
    </row>
    <row r="411" spans="1:8" s="164" customFormat="1" ht="45">
      <c r="A411" s="152"/>
      <c r="B411" s="17" t="s">
        <v>416</v>
      </c>
      <c r="C411" s="130"/>
      <c r="D411" s="16"/>
      <c r="E411" s="16"/>
      <c r="F411" s="552"/>
      <c r="G411" s="670"/>
      <c r="H411" s="167"/>
    </row>
    <row r="412" spans="1:8" s="164" customFormat="1" ht="11.25" customHeight="1">
      <c r="A412" s="152"/>
      <c r="B412" s="17" t="s">
        <v>326</v>
      </c>
      <c r="C412" s="130"/>
      <c r="D412" s="16"/>
      <c r="E412" s="16"/>
      <c r="F412" s="552"/>
      <c r="G412" s="168"/>
    </row>
    <row r="413" spans="1:8" s="164" customFormat="1" ht="11.25" customHeight="1">
      <c r="A413" s="165"/>
      <c r="B413" s="48" t="s">
        <v>49</v>
      </c>
      <c r="C413" s="16" t="s">
        <v>36</v>
      </c>
      <c r="D413" s="16">
        <v>1</v>
      </c>
      <c r="E413" s="21"/>
      <c r="F413" s="70">
        <f>D413*E413</f>
        <v>0</v>
      </c>
      <c r="G413" s="667"/>
    </row>
    <row r="414" spans="1:8" s="164" customFormat="1" ht="11.25" customHeight="1">
      <c r="A414" s="165"/>
      <c r="B414" s="48"/>
      <c r="C414" s="16"/>
      <c r="D414" s="16"/>
      <c r="E414" s="21"/>
      <c r="F414" s="70"/>
      <c r="G414" s="667"/>
    </row>
    <row r="415" spans="1:8" s="164" customFormat="1" ht="11.25" customHeight="1">
      <c r="A415" s="625">
        <f>IF(B415&gt;0,MAX(A$348:A414)+1,"")</f>
        <v>15</v>
      </c>
      <c r="B415" s="89" t="s">
        <v>324</v>
      </c>
      <c r="C415" s="76"/>
      <c r="D415" s="14"/>
      <c r="E415" s="14"/>
      <c r="F415" s="552"/>
      <c r="G415" s="669"/>
    </row>
    <row r="416" spans="1:8" s="164" customFormat="1" ht="45">
      <c r="A416" s="152"/>
      <c r="B416" s="17" t="s">
        <v>417</v>
      </c>
      <c r="C416" s="130"/>
      <c r="D416" s="16"/>
      <c r="E416" s="16"/>
      <c r="F416" s="552"/>
      <c r="G416" s="670"/>
      <c r="H416" s="167"/>
    </row>
    <row r="417" spans="1:8" s="164" customFormat="1" ht="11.25" customHeight="1">
      <c r="A417" s="152"/>
      <c r="B417" s="17" t="s">
        <v>325</v>
      </c>
      <c r="C417" s="130"/>
      <c r="D417" s="16"/>
      <c r="E417" s="16"/>
      <c r="F417" s="552"/>
      <c r="G417" s="168"/>
    </row>
    <row r="418" spans="1:8" s="164" customFormat="1" ht="11.25" customHeight="1">
      <c r="A418" s="165"/>
      <c r="B418" s="48" t="s">
        <v>49</v>
      </c>
      <c r="C418" s="16" t="s">
        <v>36</v>
      </c>
      <c r="D418" s="16">
        <v>1</v>
      </c>
      <c r="E418" s="21"/>
      <c r="F418" s="70">
        <f>D418*E418</f>
        <v>0</v>
      </c>
      <c r="G418" s="667"/>
    </row>
    <row r="419" spans="1:8" s="140" customFormat="1">
      <c r="A419" s="18"/>
      <c r="B419" s="22"/>
      <c r="C419" s="20"/>
      <c r="D419" s="21"/>
      <c r="E419" s="21"/>
      <c r="F419" s="553"/>
      <c r="G419" s="668"/>
      <c r="H419" s="167"/>
    </row>
    <row r="420" spans="1:8" s="140" customFormat="1">
      <c r="A420" s="18"/>
      <c r="B420" s="19" t="s">
        <v>92</v>
      </c>
      <c r="C420" s="20"/>
      <c r="D420" s="21"/>
      <c r="E420" s="21"/>
      <c r="F420" s="553"/>
      <c r="G420" s="668"/>
      <c r="H420" s="167"/>
    </row>
    <row r="421" spans="1:8" s="140" customFormat="1">
      <c r="A421" s="18"/>
      <c r="B421" s="22"/>
      <c r="C421" s="20"/>
      <c r="D421" s="21"/>
      <c r="E421" s="21"/>
      <c r="F421" s="553"/>
      <c r="G421" s="668"/>
      <c r="H421" s="167"/>
    </row>
    <row r="422" spans="1:8" s="164" customFormat="1" ht="11.25" customHeight="1">
      <c r="A422" s="625">
        <f>IF(B422&gt;0,MAX(A$348:A421)+1,"")</f>
        <v>16</v>
      </c>
      <c r="B422" s="89" t="s">
        <v>353</v>
      </c>
      <c r="C422" s="76"/>
      <c r="D422" s="14"/>
      <c r="E422" s="14"/>
      <c r="F422" s="552"/>
      <c r="G422" s="669"/>
    </row>
    <row r="423" spans="1:8" s="164" customFormat="1" ht="33.75">
      <c r="A423" s="152"/>
      <c r="B423" s="17" t="s">
        <v>415</v>
      </c>
      <c r="C423" s="130"/>
      <c r="D423" s="16"/>
      <c r="E423" s="16"/>
      <c r="F423" s="552"/>
      <c r="G423" s="670"/>
      <c r="H423" s="167"/>
    </row>
    <row r="424" spans="1:8" s="164" customFormat="1" ht="33.75">
      <c r="A424" s="152"/>
      <c r="B424" s="335" t="s">
        <v>475</v>
      </c>
      <c r="C424" s="130"/>
      <c r="D424" s="16"/>
      <c r="E424" s="16"/>
      <c r="F424" s="552"/>
      <c r="G424" s="670"/>
      <c r="H424" s="167"/>
    </row>
    <row r="425" spans="1:8" s="164" customFormat="1" ht="11.25" customHeight="1">
      <c r="A425" s="152"/>
      <c r="B425" s="48" t="s">
        <v>327</v>
      </c>
      <c r="C425" s="130"/>
      <c r="D425" s="16"/>
      <c r="E425" s="16"/>
      <c r="F425" s="552"/>
      <c r="G425" s="168"/>
    </row>
    <row r="426" spans="1:8" s="164" customFormat="1" ht="11.25" customHeight="1">
      <c r="A426" s="165"/>
      <c r="B426" s="48" t="s">
        <v>473</v>
      </c>
      <c r="C426" s="16" t="s">
        <v>36</v>
      </c>
      <c r="D426" s="16">
        <v>1</v>
      </c>
      <c r="E426" s="14"/>
      <c r="F426" s="70">
        <f>D426*E426</f>
        <v>0</v>
      </c>
      <c r="G426" s="667"/>
    </row>
    <row r="427" spans="1:8" s="164" customFormat="1" ht="11.25" customHeight="1">
      <c r="A427" s="152"/>
      <c r="B427" s="703" t="s">
        <v>474</v>
      </c>
      <c r="C427" s="704" t="s">
        <v>34</v>
      </c>
      <c r="D427" s="614">
        <v>37.14</v>
      </c>
      <c r="E427" s="16"/>
      <c r="F427" s="70">
        <f>D427*E427</f>
        <v>0</v>
      </c>
      <c r="G427" s="168"/>
    </row>
    <row r="428" spans="1:8">
      <c r="A428" s="30"/>
      <c r="B428" s="31"/>
      <c r="C428" s="32"/>
      <c r="D428" s="33"/>
      <c r="E428" s="33"/>
      <c r="F428" s="526"/>
      <c r="G428" s="649"/>
    </row>
    <row r="429" spans="1:8" s="164" customFormat="1" ht="11.25" customHeight="1">
      <c r="A429" s="625">
        <f>IF(B429&gt;0,MAX(A$348:A428)+1,"")</f>
        <v>17</v>
      </c>
      <c r="B429" s="89" t="s">
        <v>352</v>
      </c>
      <c r="C429" s="76"/>
      <c r="D429" s="14"/>
      <c r="E429" s="14"/>
      <c r="F429" s="552"/>
      <c r="G429" s="669"/>
    </row>
    <row r="430" spans="1:8" s="164" customFormat="1" ht="45">
      <c r="A430" s="152"/>
      <c r="B430" s="17" t="s">
        <v>426</v>
      </c>
      <c r="C430" s="130"/>
      <c r="D430" s="16"/>
      <c r="E430" s="16"/>
      <c r="F430" s="552"/>
      <c r="G430" s="670"/>
      <c r="H430" s="167"/>
    </row>
    <row r="431" spans="1:8" s="164" customFormat="1" ht="11.25" customHeight="1">
      <c r="A431" s="152"/>
      <c r="B431" s="48" t="s">
        <v>354</v>
      </c>
      <c r="C431" s="130"/>
      <c r="D431" s="16"/>
      <c r="E431" s="16"/>
      <c r="F431" s="552"/>
      <c r="G431" s="168"/>
    </row>
    <row r="432" spans="1:8" s="164" customFormat="1" ht="11.25" customHeight="1">
      <c r="A432" s="165"/>
      <c r="B432" s="48" t="s">
        <v>49</v>
      </c>
      <c r="C432" s="16" t="s">
        <v>36</v>
      </c>
      <c r="D432" s="16">
        <v>1</v>
      </c>
      <c r="E432" s="14"/>
      <c r="F432" s="70">
        <f>D432*E432</f>
        <v>0</v>
      </c>
      <c r="G432" s="667"/>
    </row>
    <row r="433" spans="1:8">
      <c r="A433" s="30"/>
      <c r="B433" s="31"/>
      <c r="C433" s="32"/>
      <c r="D433" s="33"/>
      <c r="E433" s="33"/>
      <c r="F433" s="526"/>
      <c r="G433" s="649"/>
    </row>
    <row r="434" spans="1:8" s="164" customFormat="1" ht="11.25" customHeight="1">
      <c r="A434" s="165"/>
      <c r="B434" s="49" t="s">
        <v>38</v>
      </c>
      <c r="C434" s="16"/>
      <c r="D434" s="16"/>
      <c r="E434" s="14"/>
      <c r="F434" s="70"/>
      <c r="G434" s="667"/>
    </row>
    <row r="435" spans="1:8" s="164" customFormat="1" ht="11.25" customHeight="1">
      <c r="A435" s="165"/>
      <c r="B435" s="48"/>
      <c r="C435" s="16"/>
      <c r="D435" s="16"/>
      <c r="E435" s="14"/>
      <c r="F435" s="70"/>
      <c r="G435" s="667"/>
    </row>
    <row r="436" spans="1:8" s="164" customFormat="1" ht="11.25" customHeight="1">
      <c r="A436" s="625">
        <f>IF(B436&gt;0,MAX(A$348:A435)+1,"")</f>
        <v>18</v>
      </c>
      <c r="B436" s="89" t="s">
        <v>120</v>
      </c>
      <c r="C436" s="76"/>
      <c r="D436" s="14"/>
      <c r="E436" s="14"/>
      <c r="F436" s="552"/>
      <c r="G436" s="667"/>
    </row>
    <row r="437" spans="1:8" s="164" customFormat="1" ht="33.75">
      <c r="A437" s="152"/>
      <c r="B437" s="17" t="s">
        <v>427</v>
      </c>
      <c r="C437" s="130"/>
      <c r="D437" s="16"/>
      <c r="E437" s="16"/>
      <c r="F437" s="552"/>
      <c r="G437" s="667"/>
    </row>
    <row r="438" spans="1:8" s="164" customFormat="1" ht="11.25" customHeight="1">
      <c r="A438" s="152"/>
      <c r="B438" s="17" t="s">
        <v>307</v>
      </c>
      <c r="C438" s="130"/>
      <c r="D438" s="16"/>
      <c r="E438" s="16"/>
      <c r="F438" s="552"/>
      <c r="G438" s="667"/>
    </row>
    <row r="439" spans="1:8" s="164" customFormat="1" ht="11.25" customHeight="1">
      <c r="A439" s="165"/>
      <c r="B439" s="48" t="s">
        <v>49</v>
      </c>
      <c r="C439" s="16" t="s">
        <v>36</v>
      </c>
      <c r="D439" s="16">
        <v>1</v>
      </c>
      <c r="E439" s="14"/>
      <c r="F439" s="70">
        <f>D439*E439</f>
        <v>0</v>
      </c>
      <c r="G439" s="667"/>
    </row>
    <row r="440" spans="1:8" s="164" customFormat="1" ht="11.25" customHeight="1">
      <c r="A440" s="165"/>
      <c r="B440" s="48"/>
      <c r="C440" s="16"/>
      <c r="D440" s="16"/>
      <c r="E440" s="14"/>
      <c r="F440" s="70"/>
      <c r="G440" s="667"/>
    </row>
    <row r="441" spans="1:8" s="164" customFormat="1" ht="11.25" customHeight="1">
      <c r="A441" s="710">
        <f>IF(B441&gt;0,MAX(A$348:A440)+1,"")</f>
        <v>19</v>
      </c>
      <c r="B441" s="711" t="s">
        <v>333</v>
      </c>
      <c r="C441" s="712"/>
      <c r="D441" s="713"/>
      <c r="E441" s="713"/>
      <c r="F441" s="714"/>
      <c r="G441" s="715"/>
    </row>
    <row r="442" spans="1:8" s="164" customFormat="1" ht="90">
      <c r="A442" s="716"/>
      <c r="B442" s="717" t="s">
        <v>450</v>
      </c>
      <c r="C442" s="718"/>
      <c r="D442" s="719"/>
      <c r="E442" s="719"/>
      <c r="F442" s="714"/>
      <c r="G442" s="715"/>
    </row>
    <row r="443" spans="1:8" s="472" customFormat="1">
      <c r="A443" s="720"/>
      <c r="B443" s="721" t="s">
        <v>363</v>
      </c>
      <c r="C443" s="722"/>
      <c r="D443" s="723"/>
      <c r="E443" s="723"/>
      <c r="F443" s="724"/>
      <c r="G443" s="725"/>
      <c r="H443" s="646"/>
    </row>
    <row r="444" spans="1:8" s="164" customFormat="1" ht="11.25" customHeight="1">
      <c r="A444" s="726"/>
      <c r="B444" s="727" t="s">
        <v>329</v>
      </c>
      <c r="C444" s="719" t="s">
        <v>34</v>
      </c>
      <c r="D444" s="719">
        <v>0</v>
      </c>
      <c r="E444" s="713"/>
      <c r="F444" s="728"/>
      <c r="G444" s="715"/>
    </row>
    <row r="445" spans="1:8" s="164" customFormat="1" ht="11.25" customHeight="1">
      <c r="A445" s="165"/>
      <c r="B445" s="48"/>
      <c r="C445" s="16"/>
      <c r="D445" s="16"/>
      <c r="E445" s="14"/>
      <c r="F445" s="70"/>
      <c r="G445" s="667"/>
    </row>
    <row r="446" spans="1:8" s="164" customFormat="1" ht="11.25" customHeight="1">
      <c r="A446" s="710">
        <f>IF(B446&gt;0,MAX(A$348:A445)+1,"")</f>
        <v>20</v>
      </c>
      <c r="B446" s="711" t="s">
        <v>328</v>
      </c>
      <c r="C446" s="712"/>
      <c r="D446" s="713"/>
      <c r="E446" s="713"/>
      <c r="F446" s="714"/>
      <c r="G446" s="715"/>
    </row>
    <row r="447" spans="1:8" s="164" customFormat="1" ht="67.5">
      <c r="A447" s="716"/>
      <c r="B447" s="717" t="s">
        <v>411</v>
      </c>
      <c r="C447" s="718"/>
      <c r="D447" s="719"/>
      <c r="E447" s="719"/>
      <c r="F447" s="714"/>
      <c r="G447" s="715"/>
    </row>
    <row r="448" spans="1:8" s="633" customFormat="1">
      <c r="A448" s="729"/>
      <c r="B448" s="729" t="s">
        <v>410</v>
      </c>
      <c r="C448" s="730"/>
      <c r="D448" s="731"/>
      <c r="E448" s="732"/>
      <c r="F448" s="731"/>
      <c r="G448" s="733"/>
    </row>
    <row r="449" spans="1:32" s="472" customFormat="1">
      <c r="A449" s="720"/>
      <c r="B449" s="721" t="s">
        <v>387</v>
      </c>
      <c r="C449" s="722"/>
      <c r="D449" s="723"/>
      <c r="E449" s="723"/>
      <c r="F449" s="724"/>
      <c r="G449" s="725"/>
      <c r="H449" s="646"/>
    </row>
    <row r="450" spans="1:32" s="164" customFormat="1" ht="11.25" customHeight="1">
      <c r="A450" s="726"/>
      <c r="B450" s="727" t="s">
        <v>59</v>
      </c>
      <c r="C450" s="719" t="s">
        <v>63</v>
      </c>
      <c r="D450" s="719">
        <v>0</v>
      </c>
      <c r="E450" s="713"/>
      <c r="F450" s="728">
        <f>D450*E450</f>
        <v>0</v>
      </c>
      <c r="G450" s="715"/>
    </row>
    <row r="451" spans="1:32" s="167" customFormat="1" ht="11.25" customHeight="1">
      <c r="A451" s="220"/>
      <c r="B451" s="221"/>
      <c r="C451" s="222"/>
      <c r="D451" s="223"/>
      <c r="E451" s="223"/>
      <c r="F451" s="555"/>
      <c r="G451" s="672"/>
      <c r="I451" s="140"/>
      <c r="J451" s="140"/>
      <c r="K451" s="140"/>
      <c r="L451" s="140"/>
      <c r="M451" s="140"/>
      <c r="N451" s="140"/>
      <c r="O451" s="140"/>
      <c r="P451" s="140"/>
      <c r="Q451" s="140"/>
      <c r="R451" s="140"/>
      <c r="S451" s="140"/>
      <c r="T451" s="140"/>
      <c r="U451" s="140"/>
      <c r="V451" s="140"/>
      <c r="W451" s="140"/>
      <c r="X451" s="140"/>
      <c r="Y451" s="140"/>
      <c r="Z451" s="140"/>
      <c r="AA451" s="140"/>
      <c r="AB451" s="140"/>
      <c r="AC451" s="140"/>
      <c r="AD451" s="140"/>
      <c r="AE451" s="140"/>
      <c r="AF451" s="140"/>
    </row>
    <row r="452" spans="1:32">
      <c r="A452" s="23" t="s">
        <v>368</v>
      </c>
      <c r="B452" s="24" t="s">
        <v>74</v>
      </c>
      <c r="C452" s="25"/>
      <c r="D452" s="26"/>
      <c r="E452" s="26"/>
      <c r="F452" s="631">
        <f>SUM(F351:F451)</f>
        <v>0</v>
      </c>
      <c r="G452" s="666"/>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row>
    <row r="453" spans="1:32">
      <c r="A453" s="102"/>
      <c r="B453" s="224"/>
      <c r="C453" s="32"/>
      <c r="D453" s="33"/>
      <c r="E453" s="33"/>
      <c r="F453" s="526"/>
      <c r="G453" s="649"/>
    </row>
    <row r="454" spans="1:32" s="164" customFormat="1" ht="11.25" customHeight="1">
      <c r="A454" s="78"/>
      <c r="B454" s="79" t="s">
        <v>46</v>
      </c>
      <c r="C454" s="80"/>
      <c r="D454" s="81"/>
      <c r="E454" s="81"/>
      <c r="F454" s="556"/>
      <c r="G454" s="673"/>
      <c r="H454" s="689"/>
    </row>
    <row r="455" spans="1:32" s="164" customFormat="1" ht="11.25" customHeight="1">
      <c r="A455" s="82"/>
      <c r="B455" s="83"/>
      <c r="C455" s="76"/>
      <c r="D455" s="14"/>
      <c r="E455" s="14"/>
      <c r="F455" s="62"/>
      <c r="G455" s="669"/>
      <c r="H455" s="689"/>
    </row>
    <row r="456" spans="1:32" s="164" customFormat="1" ht="11.25" customHeight="1">
      <c r="A456" s="84" t="s">
        <v>52</v>
      </c>
      <c r="B456" s="85" t="s">
        <v>53</v>
      </c>
      <c r="C456" s="86"/>
      <c r="D456" s="87"/>
      <c r="E456" s="87"/>
      <c r="F456" s="557"/>
      <c r="G456" s="674"/>
      <c r="H456" s="689"/>
    </row>
    <row r="457" spans="1:32">
      <c r="A457" s="102" t="str">
        <f>A103</f>
        <v>B.01.</v>
      </c>
      <c r="B457" s="102" t="str">
        <f>B103</f>
        <v>ZAVRŠNO MONTAŽERSKI RADOVI UKUPNO:</v>
      </c>
      <c r="C457" s="102"/>
      <c r="D457" s="102"/>
      <c r="E457" s="102"/>
      <c r="F457" s="558">
        <f>F103</f>
        <v>0</v>
      </c>
      <c r="G457" s="675"/>
    </row>
    <row r="458" spans="1:32">
      <c r="A458" s="102" t="str">
        <f>A172</f>
        <v>B.02.</v>
      </c>
      <c r="B458" s="102" t="str">
        <f>B172</f>
        <v>KERAMIČARSKI RADOVI UKUPNO:</v>
      </c>
      <c r="C458" s="102"/>
      <c r="D458" s="102"/>
      <c r="E458" s="102"/>
      <c r="F458" s="558">
        <f>F172</f>
        <v>0</v>
      </c>
      <c r="G458" s="675"/>
    </row>
    <row r="459" spans="1:32">
      <c r="A459" s="102" t="str">
        <f>A244</f>
        <v>B.03.</v>
      </c>
      <c r="B459" s="102" t="str">
        <f>B244</f>
        <v>PODOPOLAGAČKI RADOVI UKUPNO:</v>
      </c>
      <c r="C459" s="102"/>
      <c r="D459" s="102"/>
      <c r="E459" s="102"/>
      <c r="F459" s="558">
        <f>F244</f>
        <v>0</v>
      </c>
      <c r="G459" s="676"/>
    </row>
    <row r="460" spans="1:32">
      <c r="A460" s="102" t="str">
        <f>A290</f>
        <v>B.04.</v>
      </c>
      <c r="B460" s="102" t="str">
        <f t="shared" ref="B460:F460" si="8">B290</f>
        <v>SOBOSLIKARSKO LIČILAČKI RADOVI UKUPNO:</v>
      </c>
      <c r="C460" s="102"/>
      <c r="D460" s="102"/>
      <c r="E460" s="102"/>
      <c r="F460" s="558">
        <f t="shared" si="8"/>
        <v>0</v>
      </c>
      <c r="G460" s="676"/>
    </row>
    <row r="461" spans="1:32">
      <c r="A461" s="102" t="str">
        <f>A329</f>
        <v>B.05.</v>
      </c>
      <c r="B461" s="102" t="str">
        <f>B329</f>
        <v>STOLARSKI RADOVI UKUPNO:</v>
      </c>
      <c r="C461" s="103"/>
      <c r="D461" s="104"/>
      <c r="E461" s="104"/>
      <c r="F461" s="559">
        <f>F329</f>
        <v>0</v>
      </c>
      <c r="G461" s="676"/>
    </row>
    <row r="462" spans="1:32">
      <c r="A462" s="102" t="str">
        <f>A452</f>
        <v>B.06.</v>
      </c>
      <c r="B462" s="102" t="str">
        <f>B452</f>
        <v>BRAVARSKI RADOVI UKUPNO:</v>
      </c>
      <c r="C462" s="103"/>
      <c r="D462" s="104"/>
      <c r="E462" s="104"/>
      <c r="F462" s="559">
        <f>F452</f>
        <v>0</v>
      </c>
      <c r="G462" s="676"/>
    </row>
    <row r="463" spans="1:32">
      <c r="A463" s="105" t="str">
        <f>A456</f>
        <v>B.</v>
      </c>
      <c r="B463" s="106" t="s">
        <v>61</v>
      </c>
      <c r="C463" s="107"/>
      <c r="D463" s="108"/>
      <c r="E463" s="108"/>
      <c r="F463" s="539">
        <f>SUM(F457:F462)</f>
        <v>0</v>
      </c>
      <c r="G463" s="677"/>
    </row>
    <row r="464" spans="1:32">
      <c r="A464" s="102"/>
      <c r="B464" s="224"/>
      <c r="C464" s="32"/>
      <c r="D464" s="33"/>
      <c r="E464" s="33"/>
      <c r="F464" s="526"/>
      <c r="G464" s="649"/>
    </row>
    <row r="465" spans="8:8">
      <c r="H465" s="690"/>
    </row>
    <row r="466" spans="8:8">
      <c r="H466" s="690"/>
    </row>
    <row r="467" spans="8:8">
      <c r="H467" s="690"/>
    </row>
  </sheetData>
  <mergeCells count="7">
    <mergeCell ref="G1:G2"/>
    <mergeCell ref="A1:A2"/>
    <mergeCell ref="B1:B2"/>
    <mergeCell ref="C1:C2"/>
    <mergeCell ref="D1:D2"/>
    <mergeCell ref="E1:E2"/>
    <mergeCell ref="F1:F2"/>
  </mergeCells>
  <phoneticPr fontId="23" type="noConversion"/>
  <printOptions horizontalCentered="1"/>
  <pageMargins left="0.43604166666666666" right="0.64458333333333329" top="0.84399509803921569" bottom="0.74803149606299213" header="0.31496062992125984" footer="0.31496062992125984"/>
  <pageSetup paperSize="9" scale="91" fitToHeight="0" orientation="portrait" r:id="rId1"/>
  <headerFooter>
    <oddHeader>&amp;C&amp;"Arial,Regular"&amp;8Obrtnički radovi</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7BEE6-7599-4C31-8620-B7F5C05DE1F1}">
  <dimension ref="A3:G62"/>
  <sheetViews>
    <sheetView topLeftCell="A37" workbookViewId="0">
      <selection activeCell="F70" sqref="F70"/>
    </sheetView>
  </sheetViews>
  <sheetFormatPr defaultRowHeight="15"/>
  <cols>
    <col min="2" max="2" width="34.42578125" customWidth="1"/>
    <col min="5" max="5" width="11.85546875" customWidth="1"/>
    <col min="6" max="6" width="16.42578125" customWidth="1"/>
  </cols>
  <sheetData>
    <row r="3" spans="1:7">
      <c r="A3" s="799" t="s">
        <v>2</v>
      </c>
      <c r="B3" s="797" t="s">
        <v>3</v>
      </c>
      <c r="C3" s="797" t="s">
        <v>4</v>
      </c>
      <c r="D3" s="801" t="s">
        <v>75</v>
      </c>
      <c r="E3" s="802" t="s">
        <v>76</v>
      </c>
      <c r="F3" s="803" t="s">
        <v>5</v>
      </c>
      <c r="G3" s="797" t="s">
        <v>6</v>
      </c>
    </row>
    <row r="4" spans="1:7">
      <c r="A4" s="798"/>
      <c r="B4" s="798"/>
      <c r="C4" s="800"/>
      <c r="D4" s="801"/>
      <c r="E4" s="802"/>
      <c r="F4" s="804"/>
      <c r="G4" s="798"/>
    </row>
    <row r="5" spans="1:7" ht="31.5">
      <c r="A5" s="770"/>
      <c r="B5" s="775" t="s">
        <v>539</v>
      </c>
      <c r="C5" s="771"/>
      <c r="D5" s="772"/>
      <c r="E5" s="773"/>
      <c r="F5" s="774"/>
    </row>
    <row r="6" spans="1:7" ht="15.75">
      <c r="A6" s="776"/>
      <c r="B6" s="777"/>
      <c r="C6" s="778"/>
      <c r="D6" s="779"/>
      <c r="E6" s="780"/>
      <c r="F6" s="781"/>
    </row>
    <row r="7" spans="1:7" ht="15.75">
      <c r="A7" s="776" t="s">
        <v>503</v>
      </c>
      <c r="B7" s="777" t="s">
        <v>504</v>
      </c>
      <c r="C7" s="778" t="s">
        <v>63</v>
      </c>
      <c r="D7" s="779">
        <v>1</v>
      </c>
      <c r="E7" s="780"/>
      <c r="F7" s="781">
        <f t="shared" ref="F7:F16" si="0">D7*E7</f>
        <v>0</v>
      </c>
    </row>
    <row r="8" spans="1:7" ht="45">
      <c r="A8" s="776" t="s">
        <v>505</v>
      </c>
      <c r="B8" s="777" t="s">
        <v>506</v>
      </c>
      <c r="C8" s="778" t="s">
        <v>15</v>
      </c>
      <c r="D8" s="779">
        <f>(5.16+1.73+1.77+6-1.53+1.05)*0.3*0.5</f>
        <v>2.13</v>
      </c>
      <c r="E8" s="780"/>
      <c r="F8" s="781">
        <f t="shared" si="0"/>
        <v>0</v>
      </c>
    </row>
    <row r="9" spans="1:7" ht="30">
      <c r="A9" s="776" t="s">
        <v>507</v>
      </c>
      <c r="B9" s="777" t="s">
        <v>508</v>
      </c>
      <c r="C9" s="778" t="s">
        <v>14</v>
      </c>
      <c r="D9" s="779">
        <f>(5.16+1.73+1.77+6-1.53+1.05)*4</f>
        <v>56.72</v>
      </c>
      <c r="E9" s="780"/>
      <c r="F9" s="781">
        <f t="shared" si="0"/>
        <v>0</v>
      </c>
    </row>
    <row r="10" spans="1:7" ht="30">
      <c r="A10" s="776" t="s">
        <v>509</v>
      </c>
      <c r="B10" s="777" t="s">
        <v>540</v>
      </c>
      <c r="C10" s="778" t="s">
        <v>15</v>
      </c>
      <c r="D10" s="779">
        <f>(5.16+1.73+1.77+6-1.53+1.05)*4*0.4</f>
        <v>22.69</v>
      </c>
      <c r="E10" s="780"/>
      <c r="F10" s="781">
        <f t="shared" si="0"/>
        <v>0</v>
      </c>
    </row>
    <row r="11" spans="1:7" ht="30">
      <c r="A11" s="776" t="s">
        <v>510</v>
      </c>
      <c r="B11" s="777" t="s">
        <v>511</v>
      </c>
      <c r="C11" s="778" t="s">
        <v>15</v>
      </c>
      <c r="D11" s="779">
        <f>(4.16+3.14*0.9/2+4+3.14*1.1*0.5+0.8+3.14*0.9*0.5+1.76)*1.3*0.5</f>
        <v>9.93</v>
      </c>
      <c r="E11" s="780"/>
      <c r="F11" s="781">
        <f t="shared" si="0"/>
        <v>0</v>
      </c>
    </row>
    <row r="12" spans="1:7" ht="45">
      <c r="A12" s="776" t="s">
        <v>512</v>
      </c>
      <c r="B12" s="777" t="s">
        <v>513</v>
      </c>
      <c r="C12" s="778" t="s">
        <v>14</v>
      </c>
      <c r="D12" s="779">
        <f>(4.16+3.14*0.9/2+4+3.14*1.1*0.5+0.8+3.14*0.9*0.5+1.76)*0.5*2</f>
        <v>15.27</v>
      </c>
      <c r="E12" s="780"/>
      <c r="F12" s="781">
        <f t="shared" si="0"/>
        <v>0</v>
      </c>
    </row>
    <row r="13" spans="1:7" ht="30">
      <c r="A13" s="776" t="s">
        <v>514</v>
      </c>
      <c r="B13" s="777" t="s">
        <v>515</v>
      </c>
      <c r="C13" s="778" t="s">
        <v>15</v>
      </c>
      <c r="D13" s="779">
        <v>4.9000000000000004</v>
      </c>
      <c r="E13" s="780"/>
      <c r="F13" s="781">
        <f t="shared" si="0"/>
        <v>0</v>
      </c>
    </row>
    <row r="14" spans="1:7" ht="30">
      <c r="A14" s="776" t="s">
        <v>516</v>
      </c>
      <c r="B14" s="777" t="s">
        <v>517</v>
      </c>
      <c r="C14" s="778" t="s">
        <v>14</v>
      </c>
      <c r="D14" s="779">
        <f>(4.16+3.14*0.9/2+4+3.14*1.1*0.5+0.8+3.14*0.9*0.5+1.76)*1.5*2</f>
        <v>45.82</v>
      </c>
      <c r="E14" s="780"/>
      <c r="F14" s="781">
        <f t="shared" si="0"/>
        <v>0</v>
      </c>
    </row>
    <row r="15" spans="1:7" ht="30">
      <c r="A15" s="776" t="s">
        <v>518</v>
      </c>
      <c r="B15" s="777" t="s">
        <v>541</v>
      </c>
      <c r="C15" s="778" t="s">
        <v>34</v>
      </c>
      <c r="D15" s="779">
        <f>375.66+314.73</f>
        <v>690.39</v>
      </c>
      <c r="E15" s="780"/>
      <c r="F15" s="781">
        <f t="shared" si="0"/>
        <v>0</v>
      </c>
    </row>
    <row r="16" spans="1:7" ht="30">
      <c r="A16" s="776" t="s">
        <v>519</v>
      </c>
      <c r="B16" s="777" t="s">
        <v>542</v>
      </c>
      <c r="C16" s="778" t="s">
        <v>15</v>
      </c>
      <c r="D16" s="779">
        <f>(4.16+3.14*0.9/2+4+3.14*1.1*0.5+0.8+3.14*0.9*0.5+1.76)*1.5*2</f>
        <v>45.82</v>
      </c>
      <c r="E16" s="780"/>
      <c r="F16" s="781">
        <f t="shared" si="0"/>
        <v>0</v>
      </c>
    </row>
    <row r="18" spans="1:6" ht="60">
      <c r="B18" s="782" t="s">
        <v>543</v>
      </c>
    </row>
    <row r="20" spans="1:6" ht="15.75">
      <c r="A20" s="776" t="s">
        <v>503</v>
      </c>
      <c r="B20" s="777" t="s">
        <v>544</v>
      </c>
      <c r="C20" s="778" t="s">
        <v>520</v>
      </c>
      <c r="D20" s="779">
        <v>1</v>
      </c>
      <c r="E20" s="780"/>
      <c r="F20" s="781">
        <f t="shared" ref="F20:F25" si="1">D20*E20</f>
        <v>0</v>
      </c>
    </row>
    <row r="21" spans="1:6" ht="45">
      <c r="A21" s="776" t="s">
        <v>505</v>
      </c>
      <c r="B21" s="777" t="s">
        <v>545</v>
      </c>
      <c r="C21" s="778" t="s">
        <v>520</v>
      </c>
      <c r="D21" s="779">
        <v>1</v>
      </c>
      <c r="E21" s="780"/>
      <c r="F21" s="781">
        <f t="shared" si="1"/>
        <v>0</v>
      </c>
    </row>
    <row r="22" spans="1:6" ht="30">
      <c r="A22" s="776" t="s">
        <v>507</v>
      </c>
      <c r="B22" s="777" t="s">
        <v>521</v>
      </c>
      <c r="C22" s="778" t="s">
        <v>520</v>
      </c>
      <c r="D22" s="779">
        <v>1</v>
      </c>
      <c r="E22" s="780"/>
      <c r="F22" s="781">
        <f t="shared" si="1"/>
        <v>0</v>
      </c>
    </row>
    <row r="23" spans="1:6" ht="15.75">
      <c r="A23" s="776" t="s">
        <v>509</v>
      </c>
      <c r="B23" s="777" t="s">
        <v>522</v>
      </c>
      <c r="C23" s="778" t="s">
        <v>15</v>
      </c>
      <c r="D23" s="779">
        <v>16.8</v>
      </c>
      <c r="E23" s="780"/>
      <c r="F23" s="781">
        <f t="shared" si="1"/>
        <v>0</v>
      </c>
    </row>
    <row r="24" spans="1:6" ht="45">
      <c r="A24" s="776" t="s">
        <v>510</v>
      </c>
      <c r="B24" s="777" t="s">
        <v>546</v>
      </c>
      <c r="C24" s="778" t="s">
        <v>15</v>
      </c>
      <c r="D24" s="779">
        <v>4.8</v>
      </c>
      <c r="E24" s="780"/>
      <c r="F24" s="781">
        <f t="shared" si="1"/>
        <v>0</v>
      </c>
    </row>
    <row r="25" spans="1:6" ht="30">
      <c r="A25" s="776" t="s">
        <v>512</v>
      </c>
      <c r="B25" s="777" t="s">
        <v>523</v>
      </c>
      <c r="C25" s="778" t="s">
        <v>14</v>
      </c>
      <c r="D25" s="779">
        <v>24</v>
      </c>
      <c r="E25" s="780"/>
      <c r="F25" s="781">
        <f t="shared" si="1"/>
        <v>0</v>
      </c>
    </row>
    <row r="26" spans="1:6" ht="30">
      <c r="A26" s="776" t="s">
        <v>514</v>
      </c>
      <c r="B26" s="777" t="s">
        <v>524</v>
      </c>
      <c r="C26" s="778"/>
      <c r="D26" s="779"/>
      <c r="E26" s="780"/>
      <c r="F26" s="781"/>
    </row>
    <row r="27" spans="1:6" ht="15.75">
      <c r="A27" s="776" t="s">
        <v>516</v>
      </c>
      <c r="B27" s="777" t="s">
        <v>80</v>
      </c>
      <c r="C27" s="778" t="s">
        <v>15</v>
      </c>
      <c r="D27" s="779">
        <v>3.6</v>
      </c>
      <c r="E27" s="780"/>
      <c r="F27" s="781">
        <f>D27*E27</f>
        <v>0</v>
      </c>
    </row>
    <row r="28" spans="1:6" ht="15.75">
      <c r="A28" s="776" t="s">
        <v>518</v>
      </c>
      <c r="B28" s="777" t="s">
        <v>81</v>
      </c>
      <c r="C28" s="778" t="s">
        <v>14</v>
      </c>
      <c r="D28" s="779">
        <v>14.7</v>
      </c>
      <c r="E28" s="780"/>
      <c r="F28" s="781">
        <f>D28*E28</f>
        <v>0</v>
      </c>
    </row>
    <row r="29" spans="1:6" ht="30">
      <c r="A29" s="776" t="s">
        <v>519</v>
      </c>
      <c r="B29" s="777" t="s">
        <v>525</v>
      </c>
      <c r="C29" s="778"/>
      <c r="D29" s="779"/>
      <c r="E29" s="780"/>
      <c r="F29" s="781"/>
    </row>
    <row r="30" spans="1:6" ht="15.75">
      <c r="A30" s="776" t="s">
        <v>526</v>
      </c>
      <c r="B30" s="777" t="s">
        <v>80</v>
      </c>
      <c r="C30" s="778" t="s">
        <v>15</v>
      </c>
      <c r="D30" s="779">
        <v>3.3</v>
      </c>
      <c r="E30" s="780"/>
      <c r="F30" s="781">
        <f>D30*E30</f>
        <v>0</v>
      </c>
    </row>
    <row r="31" spans="1:6" ht="15.75">
      <c r="A31" s="776" t="s">
        <v>527</v>
      </c>
      <c r="B31" s="777" t="s">
        <v>81</v>
      </c>
      <c r="C31" s="778" t="s">
        <v>14</v>
      </c>
      <c r="D31" s="779">
        <v>33.299999999999997</v>
      </c>
      <c r="E31" s="780"/>
      <c r="F31" s="781">
        <f>D31*E31</f>
        <v>0</v>
      </c>
    </row>
    <row r="32" spans="1:6" ht="15.75">
      <c r="A32" s="776" t="s">
        <v>528</v>
      </c>
      <c r="B32" s="777" t="s">
        <v>529</v>
      </c>
      <c r="C32" s="778" t="s">
        <v>34</v>
      </c>
      <c r="D32" s="779">
        <v>814.2</v>
      </c>
      <c r="E32" s="780"/>
      <c r="F32" s="781">
        <f>D32*E32</f>
        <v>0</v>
      </c>
    </row>
    <row r="33" spans="1:6" ht="45">
      <c r="A33" s="776" t="s">
        <v>530</v>
      </c>
      <c r="B33" s="777" t="s">
        <v>547</v>
      </c>
      <c r="C33" s="778" t="s">
        <v>531</v>
      </c>
      <c r="D33" s="779">
        <v>24</v>
      </c>
      <c r="E33" s="780"/>
      <c r="F33" s="781">
        <f>D33*E33</f>
        <v>0</v>
      </c>
    </row>
    <row r="34" spans="1:6" ht="45">
      <c r="A34" s="776" t="s">
        <v>532</v>
      </c>
      <c r="B34" s="777" t="s">
        <v>548</v>
      </c>
      <c r="C34" s="778" t="s">
        <v>36</v>
      </c>
      <c r="D34" s="779">
        <v>1</v>
      </c>
      <c r="E34" s="780"/>
      <c r="F34" s="781">
        <f>D34*E34</f>
        <v>0</v>
      </c>
    </row>
    <row r="36" spans="1:6">
      <c r="B36" s="783" t="s">
        <v>533</v>
      </c>
    </row>
    <row r="38" spans="1:6" ht="30">
      <c r="A38" s="776" t="s">
        <v>503</v>
      </c>
      <c r="B38" s="777" t="s">
        <v>521</v>
      </c>
      <c r="C38" s="778" t="s">
        <v>520</v>
      </c>
      <c r="D38" s="779">
        <v>1</v>
      </c>
      <c r="E38" s="780"/>
      <c r="F38" s="781">
        <f>D38*E38</f>
        <v>0</v>
      </c>
    </row>
    <row r="39" spans="1:6" ht="15.75">
      <c r="A39" s="776" t="s">
        <v>505</v>
      </c>
      <c r="B39" s="777" t="s">
        <v>549</v>
      </c>
      <c r="C39" s="778" t="s">
        <v>15</v>
      </c>
      <c r="D39" s="779">
        <f>(35.54*2+24.67)*1.5*0.5</f>
        <v>71.81</v>
      </c>
      <c r="E39" s="780"/>
      <c r="F39" s="781">
        <f>D39*E39</f>
        <v>0</v>
      </c>
    </row>
    <row r="40" spans="1:6" ht="30">
      <c r="A40" s="776" t="s">
        <v>507</v>
      </c>
      <c r="B40" s="777" t="s">
        <v>550</v>
      </c>
      <c r="C40" s="778" t="s">
        <v>15</v>
      </c>
      <c r="D40" s="779">
        <f>(35.54*2+24.67)*1.5*1.3</f>
        <v>186.71</v>
      </c>
      <c r="E40" s="780"/>
      <c r="F40" s="781">
        <f>D40*E40</f>
        <v>0</v>
      </c>
    </row>
    <row r="41" spans="1:6" ht="30">
      <c r="A41" s="776" t="s">
        <v>509</v>
      </c>
      <c r="B41" s="777" t="s">
        <v>523</v>
      </c>
      <c r="C41" s="778" t="s">
        <v>14</v>
      </c>
      <c r="D41" s="779">
        <f>1.5*(2*35.54+24.67)</f>
        <v>143.63</v>
      </c>
      <c r="E41" s="780"/>
      <c r="F41" s="781">
        <f>D41*E41</f>
        <v>0</v>
      </c>
    </row>
    <row r="42" spans="1:6" ht="15.75">
      <c r="A42" s="776" t="s">
        <v>510</v>
      </c>
      <c r="B42" s="777" t="s">
        <v>534</v>
      </c>
      <c r="C42" s="778"/>
      <c r="D42" s="779"/>
      <c r="E42" s="780"/>
      <c r="F42" s="781"/>
    </row>
    <row r="43" spans="1:6" ht="15.75">
      <c r="A43" s="776" t="s">
        <v>512</v>
      </c>
      <c r="B43" s="777" t="s">
        <v>80</v>
      </c>
      <c r="C43" s="778" t="s">
        <v>15</v>
      </c>
      <c r="D43" s="779">
        <f>1.2*(2*35.54+24.67)*0.5</f>
        <v>57.45</v>
      </c>
      <c r="E43" s="780"/>
      <c r="F43" s="781">
        <f>D43*E43</f>
        <v>0</v>
      </c>
    </row>
    <row r="44" spans="1:6" ht="15.75">
      <c r="A44" s="776" t="s">
        <v>514</v>
      </c>
      <c r="B44" s="777" t="s">
        <v>81</v>
      </c>
      <c r="C44" s="778" t="s">
        <v>14</v>
      </c>
      <c r="D44" s="779">
        <f>1*(2*35.54+24.67)</f>
        <v>95.75</v>
      </c>
      <c r="E44" s="780"/>
      <c r="F44" s="781">
        <f>D44*E44</f>
        <v>0</v>
      </c>
    </row>
    <row r="45" spans="1:6" ht="15.75">
      <c r="A45" s="776" t="s">
        <v>516</v>
      </c>
      <c r="B45" s="777" t="s">
        <v>535</v>
      </c>
      <c r="C45" s="778"/>
      <c r="D45" s="779"/>
      <c r="E45" s="780"/>
      <c r="F45" s="781"/>
    </row>
    <row r="46" spans="1:6" ht="15.75">
      <c r="A46" s="776" t="s">
        <v>518</v>
      </c>
      <c r="B46" s="777" t="s">
        <v>80</v>
      </c>
      <c r="C46" s="778" t="s">
        <v>15</v>
      </c>
      <c r="D46" s="779">
        <f>1.35*0.2*(2*35.54+24.67)</f>
        <v>25.85</v>
      </c>
      <c r="E46" s="780"/>
      <c r="F46" s="781">
        <f>D46*E46</f>
        <v>0</v>
      </c>
    </row>
    <row r="47" spans="1:6" ht="15.75">
      <c r="A47" s="776" t="s">
        <v>519</v>
      </c>
      <c r="B47" s="777" t="s">
        <v>81</v>
      </c>
      <c r="C47" s="778" t="s">
        <v>14</v>
      </c>
      <c r="D47" s="779">
        <f>1.35*2*(2*35.54+24.67)</f>
        <v>258.52999999999997</v>
      </c>
      <c r="E47" s="780"/>
      <c r="F47" s="781">
        <f>D47*E47</f>
        <v>0</v>
      </c>
    </row>
    <row r="48" spans="1:6" ht="15.75">
      <c r="A48" s="776" t="s">
        <v>526</v>
      </c>
      <c r="B48" s="777" t="s">
        <v>529</v>
      </c>
      <c r="C48" s="778" t="s">
        <v>34</v>
      </c>
      <c r="D48" s="779">
        <f>D46+D43*70</f>
        <v>4047.35</v>
      </c>
      <c r="E48" s="780"/>
      <c r="F48" s="781">
        <f>D48*E48</f>
        <v>0</v>
      </c>
    </row>
    <row r="49" spans="1:6" ht="45">
      <c r="A49" s="776" t="s">
        <v>527</v>
      </c>
      <c r="B49" s="777" t="s">
        <v>547</v>
      </c>
      <c r="C49" s="778" t="s">
        <v>531</v>
      </c>
      <c r="D49" s="779">
        <f>35.54*2+24.67</f>
        <v>95.75</v>
      </c>
      <c r="E49" s="780"/>
      <c r="F49" s="781">
        <f>D49*E49</f>
        <v>0</v>
      </c>
    </row>
    <row r="50" spans="1:6" ht="45">
      <c r="A50" s="776" t="s">
        <v>528</v>
      </c>
      <c r="B50" s="777" t="s">
        <v>548</v>
      </c>
      <c r="C50" s="778" t="s">
        <v>36</v>
      </c>
      <c r="D50" s="779">
        <v>2</v>
      </c>
      <c r="E50" s="780"/>
      <c r="F50" s="781">
        <f>D50*E50</f>
        <v>0</v>
      </c>
    </row>
    <row r="52" spans="1:6" ht="15.75">
      <c r="A52" s="784"/>
      <c r="B52" s="785" t="s">
        <v>536</v>
      </c>
      <c r="C52" s="786"/>
      <c r="D52" s="787"/>
      <c r="E52" s="788"/>
      <c r="F52" s="789">
        <f>SUM(F11:F50)</f>
        <v>0</v>
      </c>
    </row>
    <row r="54" spans="1:6" ht="15.75">
      <c r="A54" s="776" t="s">
        <v>526</v>
      </c>
      <c r="B54" s="777" t="s">
        <v>537</v>
      </c>
      <c r="C54" s="778" t="s">
        <v>538</v>
      </c>
      <c r="D54" s="779">
        <v>10</v>
      </c>
      <c r="E54" s="780"/>
      <c r="F54" s="781">
        <f>D54*E54/100</f>
        <v>0</v>
      </c>
    </row>
    <row r="55" spans="1:6" ht="15.75">
      <c r="A55" s="790"/>
      <c r="B55" s="777"/>
      <c r="C55" s="778"/>
      <c r="D55" s="779"/>
      <c r="E55" s="780"/>
      <c r="F55" s="781"/>
    </row>
    <row r="56" spans="1:6" ht="15.75">
      <c r="A56" s="784"/>
      <c r="B56" s="785" t="s">
        <v>536</v>
      </c>
      <c r="C56" s="786"/>
      <c r="D56" s="787"/>
      <c r="E56" s="788"/>
      <c r="F56" s="789">
        <f>F52+F54</f>
        <v>0</v>
      </c>
    </row>
    <row r="57" spans="1:6" ht="15.75">
      <c r="A57" s="790"/>
      <c r="B57" s="777"/>
      <c r="C57" s="778"/>
      <c r="D57" s="779"/>
      <c r="E57" s="780"/>
      <c r="F57" s="781"/>
    </row>
    <row r="58" spans="1:6" ht="15.75">
      <c r="A58" s="790"/>
      <c r="B58" s="777" t="s">
        <v>551</v>
      </c>
      <c r="C58" s="808">
        <v>0.25</v>
      </c>
      <c r="D58" s="808"/>
      <c r="E58" s="780"/>
      <c r="F58" s="781">
        <f>F56*C58</f>
        <v>0</v>
      </c>
    </row>
    <row r="59" spans="1:6" ht="15.75">
      <c r="A59" s="790"/>
      <c r="B59" s="777"/>
      <c r="C59" s="778"/>
      <c r="D59" s="779"/>
      <c r="E59" s="780"/>
      <c r="F59" s="781"/>
    </row>
    <row r="60" spans="1:6" ht="16.5" thickBot="1">
      <c r="A60" s="791"/>
      <c r="B60" s="792" t="s">
        <v>552</v>
      </c>
      <c r="C60" s="793"/>
      <c r="D60" s="794"/>
      <c r="E60" s="795"/>
      <c r="F60" s="796">
        <f>F56+F58</f>
        <v>0</v>
      </c>
    </row>
    <row r="61" spans="1:6" ht="15.75" thickTop="1"/>
    <row r="62" spans="1:6">
      <c r="B62" t="s">
        <v>553</v>
      </c>
    </row>
  </sheetData>
  <mergeCells count="8">
    <mergeCell ref="F3:F4"/>
    <mergeCell ref="G3:G4"/>
    <mergeCell ref="C58:D58"/>
    <mergeCell ref="A3:A4"/>
    <mergeCell ref="B3:B4"/>
    <mergeCell ref="C3:C4"/>
    <mergeCell ref="D3:D4"/>
    <mergeCell ref="E3: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NASLOVNICA</vt:lpstr>
      <vt:lpstr>REKAPITULACIJA</vt:lpstr>
      <vt:lpstr>A.GRAĐEVINSKI RADOVI</vt:lpstr>
      <vt:lpstr>B.OBRTNIČKI RADOVI</vt:lpstr>
      <vt:lpstr>C.POTPORNI ZID I PARAPET</vt:lpstr>
      <vt:lpstr>'B.OBRTNIČKI RADOVI'!Print_Area</vt:lpstr>
      <vt:lpstr>NASLOVNICA!Print_Area</vt:lpstr>
      <vt:lpstr>REKAPITULACIJA!Print_Area</vt:lpstr>
      <vt:lpstr>'B.OBRTNIČKI RADOVI'!Print_Titles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Renato-ZG</dc:creator>
  <cp:lastModifiedBy>Ivan Cakaric</cp:lastModifiedBy>
  <cp:lastPrinted>2021-09-15T13:53:46Z</cp:lastPrinted>
  <dcterms:created xsi:type="dcterms:W3CDTF">2015-06-05T18:19:34Z</dcterms:created>
  <dcterms:modified xsi:type="dcterms:W3CDTF">2025-06-24T16:03:06Z</dcterms:modified>
</cp:coreProperties>
</file>