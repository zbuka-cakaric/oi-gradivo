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K:\2026\JAVNA NABAVA\KAMOD\raspis\"/>
    </mc:Choice>
  </mc:AlternateContent>
  <xr:revisionPtr revIDLastSave="0" documentId="13_ncr:1_{D35B6B4D-F018-4763-BADE-6C7FE208E2B7}" xr6:coauthVersionLast="47" xr6:coauthVersionMax="47" xr10:uidLastSave="{00000000-0000-0000-0000-000000000000}"/>
  <bookViews>
    <workbookView xWindow="-110" yWindow="-110" windowWidth="25820" windowHeight="14020" tabRatio="939" firstSheet="2" activeTab="3" xr2:uid="{00000000-000D-0000-FFFF-FFFF00000000}"/>
  </bookViews>
  <sheets>
    <sheet name="Nasl SVE" sheetId="4" r:id="rId1"/>
    <sheet name="UKUPNA REKAPITULACIJA" sheetId="1" r:id="rId2"/>
    <sheet name="01 Nasl GiO" sheetId="5" r:id="rId3"/>
    <sheet name="01 GRAĐ I OBRT" sheetId="6" r:id="rId4"/>
    <sheet name="01 GiO-rekap" sheetId="7" r:id="rId5"/>
  </sheets>
  <definedNames>
    <definedName name="_rbr">#N/A</definedName>
    <definedName name="_rbr2">#REF!</definedName>
    <definedName name="_xlnm.Print_Area" localSheetId="4">'01 GiO-rekap'!$A$1:$D$43</definedName>
    <definedName name="_xlnm.Print_Area" localSheetId="3">'01 GRAĐ I OBRT'!$A$3:$F$500</definedName>
    <definedName name="_xlnm.Print_Area" localSheetId="2">'01 Nasl GiO'!$A$1:$F$61</definedName>
    <definedName name="_xlnm.Print_Area" localSheetId="0">'Nasl SVE'!$A$1:$F$59</definedName>
    <definedName name="_xlnm.Print_Area" localSheetId="1">'UKUPNA REKAPITULACIJA'!$A$1:$C$50</definedName>
    <definedName name="_xlnm.Print_Titles" localSheetId="3">'01 GRAĐ I OBRT'!$1:$1</definedName>
  </definedNames>
  <calcPr calcId="181029"/>
</workbook>
</file>

<file path=xl/calcChain.xml><?xml version="1.0" encoding="utf-8"?>
<calcChain xmlns="http://schemas.openxmlformats.org/spreadsheetml/2006/main">
  <c r="F364" i="6" l="1"/>
  <c r="F358" i="6"/>
  <c r="F351" i="6"/>
  <c r="F343" i="6"/>
  <c r="F337" i="6"/>
  <c r="F331" i="6"/>
  <c r="F324" i="6"/>
  <c r="F317" i="6"/>
  <c r="C32" i="1" l="1"/>
  <c r="C24" i="1" l="1"/>
  <c r="C28" i="1"/>
  <c r="F495" i="6" l="1"/>
  <c r="F486" i="6"/>
  <c r="F477" i="6"/>
  <c r="F468" i="6"/>
  <c r="F458" i="6"/>
  <c r="F449" i="6"/>
  <c r="F442" i="6"/>
  <c r="F435" i="6"/>
  <c r="F434" i="6"/>
  <c r="F426" i="6"/>
  <c r="F419" i="6"/>
  <c r="F412" i="6"/>
  <c r="F407" i="6"/>
  <c r="F400" i="6"/>
  <c r="F392" i="6"/>
  <c r="D18" i="7"/>
  <c r="F307" i="6"/>
  <c r="F306" i="6"/>
  <c r="F305" i="6"/>
  <c r="F304" i="6"/>
  <c r="F303" i="6"/>
  <c r="F302" i="6"/>
  <c r="F301" i="6"/>
  <c r="F296" i="6"/>
  <c r="F295" i="6"/>
  <c r="F294" i="6"/>
  <c r="F293" i="6"/>
  <c r="F288" i="6"/>
  <c r="F281" i="6"/>
  <c r="F273" i="6"/>
  <c r="F263" i="6"/>
  <c r="F256" i="6"/>
  <c r="F249" i="6"/>
  <c r="F244" i="6"/>
  <c r="F236" i="6"/>
  <c r="F228" i="6"/>
  <c r="F221" i="6"/>
  <c r="F220" i="6"/>
  <c r="F219" i="6"/>
  <c r="F215" i="6"/>
  <c r="F210" i="6"/>
  <c r="F205" i="6"/>
  <c r="F199" i="6"/>
  <c r="F193" i="6"/>
  <c r="F187" i="6"/>
  <c r="F181" i="6"/>
  <c r="F175" i="6"/>
  <c r="D15" i="7"/>
  <c r="F150" i="6"/>
  <c r="F144" i="6"/>
  <c r="F137" i="6"/>
  <c r="F131" i="6"/>
  <c r="F125" i="6"/>
  <c r="F119" i="6"/>
  <c r="F113" i="6"/>
  <c r="F107" i="6"/>
  <c r="F101" i="6"/>
  <c r="F95" i="6"/>
  <c r="F89" i="6"/>
  <c r="F83" i="6"/>
  <c r="F77" i="6"/>
  <c r="F70" i="6"/>
  <c r="F69" i="6"/>
  <c r="F68" i="6"/>
  <c r="F62" i="6"/>
  <c r="F61" i="6"/>
  <c r="F60" i="6"/>
  <c r="F59" i="6"/>
  <c r="F58" i="6"/>
  <c r="F57" i="6"/>
  <c r="F56" i="6"/>
  <c r="F55" i="6"/>
  <c r="F54" i="6"/>
  <c r="F53" i="6"/>
  <c r="F47" i="6"/>
  <c r="F46" i="6"/>
  <c r="F41" i="6"/>
  <c r="F40" i="6"/>
  <c r="F39" i="6"/>
  <c r="F38" i="6"/>
  <c r="F37" i="6"/>
  <c r="F36" i="6"/>
  <c r="F35" i="6"/>
  <c r="F34" i="6"/>
  <c r="F33" i="6"/>
  <c r="F32" i="6"/>
  <c r="F31" i="6"/>
  <c r="F30" i="6"/>
  <c r="F29" i="6"/>
  <c r="F28" i="6"/>
  <c r="F27" i="6"/>
  <c r="F26" i="6"/>
  <c r="F25" i="6"/>
  <c r="F24" i="6"/>
  <c r="F23" i="6"/>
  <c r="F22" i="6"/>
  <c r="F21" i="6"/>
  <c r="F498" i="6" l="1"/>
  <c r="D31" i="7" s="1"/>
  <c r="D34" i="7"/>
  <c r="D32" i="7"/>
  <c r="D14" i="7"/>
  <c r="F153" i="6"/>
  <c r="D8" i="7" s="1"/>
  <c r="D35" i="7"/>
  <c r="D33" i="7"/>
  <c r="D30" i="7"/>
  <c r="D29" i="7"/>
  <c r="D28" i="7"/>
  <c r="D27" i="7"/>
  <c r="D26" i="7"/>
  <c r="D19" i="7"/>
  <c r="D17" i="7"/>
  <c r="F309" i="6"/>
  <c r="D16" i="7" s="1"/>
  <c r="D13" i="7"/>
  <c r="F366" i="6" l="1"/>
  <c r="D21" i="7"/>
  <c r="C20" i="1"/>
  <c r="C12" i="1"/>
  <c r="D37" i="7"/>
  <c r="D40" i="7" l="1"/>
  <c r="C16" i="1"/>
  <c r="C8" i="1" l="1"/>
  <c r="D41" i="7"/>
  <c r="D43" i="7" s="1"/>
  <c r="C37" i="1"/>
  <c r="C39" i="1" s="1"/>
  <c r="C41" i="1" s="1"/>
</calcChain>
</file>

<file path=xl/sharedStrings.xml><?xml version="1.0" encoding="utf-8"?>
<sst xmlns="http://schemas.openxmlformats.org/spreadsheetml/2006/main" count="628" uniqueCount="343">
  <si>
    <t xml:space="preserve">SVEUKUPNO : </t>
  </si>
  <si>
    <t>1.</t>
  </si>
  <si>
    <t>2.</t>
  </si>
  <si>
    <t>3.</t>
  </si>
  <si>
    <t>4.</t>
  </si>
  <si>
    <t>5.</t>
  </si>
  <si>
    <t xml:space="preserve">UKUPNO (s PDV-om) : </t>
  </si>
  <si>
    <t xml:space="preserve">PDV (25 %) : </t>
  </si>
  <si>
    <t>TROŠKOVNIK VODOVODA I KANALIZACIJE:</t>
  </si>
  <si>
    <t>TROŠKOVNIK GRAĐEVINSKIH I OBRTNIČKIH RADOVA:</t>
  </si>
  <si>
    <t>SVEUKUPNA REKAPITULACIJA TROŠKOVA</t>
  </si>
  <si>
    <t>6.</t>
  </si>
  <si>
    <t>TROŠKOVNIK VATRODOJAVE:</t>
  </si>
  <si>
    <t>TROŠKOVNIK ELEKTROTEHNIČKIH INSTALACIJA:</t>
  </si>
  <si>
    <t>TROŠKOVNIK STROJARSKIH INSTALACIJA:</t>
  </si>
  <si>
    <t>INVESTITOR:</t>
  </si>
  <si>
    <t>GRAD KARLOVAC</t>
  </si>
  <si>
    <t>Banjavčićeva 9, KARLOVAC</t>
  </si>
  <si>
    <t>GRAĐEVINA:</t>
  </si>
  <si>
    <r>
      <t>LOKACIJA:</t>
    </r>
    <r>
      <rPr>
        <sz val="12"/>
        <rFont val="Arial CE"/>
        <charset val="238"/>
      </rPr>
      <t/>
    </r>
  </si>
  <si>
    <t>ZAJEDNIČKA OZNAKA:</t>
  </si>
  <si>
    <t>TROŠKOVNIK</t>
  </si>
  <si>
    <t>KARLOVAC, Ulica Josipa Kraša 2</t>
  </si>
  <si>
    <t>k.č.br. 1071, k.o. Karlovac II</t>
  </si>
  <si>
    <t>TROŠKOVNIK UREĐENJA VANJSKIH POVRŠINA:</t>
  </si>
  <si>
    <t>7.</t>
  </si>
  <si>
    <t>TROŠKOVNIK DIZALA:</t>
  </si>
  <si>
    <t>GRAĐEVINSKIH, OBRTNIČKIH I INSTALATERSKIH RADOVA</t>
  </si>
  <si>
    <t>POSLOVNA ZGRADA - cjelovita obnova</t>
  </si>
  <si>
    <t>- projekt za cjelovitu obnovu zgrade u kulturno-povijesnoj cjelini Karlovca</t>
  </si>
  <si>
    <t>P.O. - 6/23</t>
  </si>
  <si>
    <t>BROJ PROJEKTA:</t>
  </si>
  <si>
    <t>P - 6/23</t>
  </si>
  <si>
    <t>GRAĐEVINSKIH I OBRTNIČKIH RADOVA</t>
  </si>
  <si>
    <t>GLAVNI PROJEKTANT:</t>
  </si>
  <si>
    <r>
      <rPr>
        <b/>
        <sz val="10"/>
        <rFont val="Verdana"/>
        <family val="2"/>
        <charset val="238"/>
      </rPr>
      <t xml:space="preserve">Stjepan Lipšinić, </t>
    </r>
    <r>
      <rPr>
        <sz val="10"/>
        <rFont val="Verdana"/>
        <family val="2"/>
        <charset val="238"/>
      </rPr>
      <t>d.i.a. ovlašteni arhitekt</t>
    </r>
  </si>
  <si>
    <t>PROJEKTANT:</t>
  </si>
  <si>
    <r>
      <rPr>
        <b/>
        <sz val="10"/>
        <rFont val="Verdana"/>
        <family val="2"/>
        <charset val="238"/>
      </rPr>
      <t xml:space="preserve">Luka Lipšinić, </t>
    </r>
    <r>
      <rPr>
        <sz val="10"/>
        <rFont val="Verdana"/>
        <family val="2"/>
        <charset val="238"/>
      </rPr>
      <t>d.i.a. ovlašteni arhitekt</t>
    </r>
  </si>
  <si>
    <t>opis stavke</t>
  </si>
  <si>
    <t>količina</t>
  </si>
  <si>
    <t>jedinična cijena</t>
  </si>
  <si>
    <t>ukupna cijena</t>
  </si>
  <si>
    <t>A. RUŠENJA, DEMONTAŽE I SLIČNO</t>
  </si>
  <si>
    <t>OPĆI UVJETI ZA RUŠENJA, DEMONTAŽE I SLIČNO</t>
  </si>
  <si>
    <t>Radove na razgrađivanju - rušenju, odobrenom od strane Konzervatorskog odjela, Karlovac potrebno je izvoditi uz maksimalnu opreznost i primjenu svih zaštitnih mjera. 
Niti jedan rad na rušenju konstruktivnih dijelova objekta ne može se izvoditi bez suglasnosti projektanta konstrukcije.</t>
  </si>
  <si>
    <t>1
2
3
4</t>
  </si>
  <si>
    <t>Prije razgrađivanja - rušenja dijelova objekta izvođač radova je dužan napraviti detaljni operativni plan rušenja sa svim aktivnostima, razrađeno po vremenu trajanja rušenja za pojedine dijelove objekta i načinu rušenja odnosno od kojih dijelova konstrukcija započeti sa rušenjem, da se paralelno izvode i sanacioni radovi.</t>
  </si>
  <si>
    <t>Takav operativni plan dostaviti će se projektantu konstrukcije. Dok se oprerativni plan rušenja ne odobri ne mogu se izvoditi radovi na rušenju bilo kojeg konstruktivnog dijela objekta.</t>
  </si>
  <si>
    <t>1
2</t>
  </si>
  <si>
    <t>Prije početka radova na rušenjima potrebno je ispitati slijedeće:
- da li su zidovi koji se ruše ili se u njima probijaju otvori nosivi ili pregradni, te kojeg su sastava.</t>
  </si>
  <si>
    <t>1
2
3</t>
  </si>
  <si>
    <t>- za sve konstruktivne dijelove građevine (nosivi zidovi, stupovi, grede, stropovi i temelji) zatražiti od statičara statički proračun i način na koji će se izvršiti rušenje, odnosno zaštita ostalih dijelova građevine. Bez pismenog odobrenja statičara ne smije se pristupiti rušenju.</t>
  </si>
  <si>
    <t>- utvrditi koje se instalacije nalaze u građevini (zidovima, stropovima i podovima): elektrika, vodovod, kanalizacija.
- zatražiti od nadležnog komunalnog poduzeća isključenje pojedinih instalacija.</t>
  </si>
  <si>
    <t>Prije izvršenja navedenih ispitivanja kao i isključenja svih instalacija ne smije se započeti s rušenjem. Isključenje instalacija evidentira se dnevnikom. Sve radove na rušenju izvesti prema važećim mjerama zaštite na radu i zaštite okoliša. Kod probijanja otvora u zidovima i stropu potrebno je izvršiti podupiranje, ugraditi nove grede ili nadvoje i nakon toga prići probijanju.</t>
  </si>
  <si>
    <t>1
2
3
4
5</t>
  </si>
  <si>
    <t>Sav materijal dobiven rušenjem ili demontažom odstranit će se na gradilišnu deponiju, tj. na mjesto koje odredi nadzorni inženjer ili će se organizirati direktni utovar I odvoz na gradsku deponiju. Pri tome treba donijeti tehnološko rješenje rušenja s točno određenim postupkom rješavanja otpadnog materijala s odvajanjem šute od ostalog smeća, kao i dogovor s investitorom o načinu korištenja otpadnog materijala.</t>
  </si>
  <si>
    <t>U jediničnoj cijeni je sadržano:
- sav rad oko rušenja i demontaže
- sva poduhvatanja, podupiranja i osiguranja konstruktivnih dijelova građevine
- sve potrebne skele s propisnom ogradom i zaštitom od prašine</t>
  </si>
  <si>
    <t>- svi prijenosi i prijevozi materijala na gradilištu ili direktni utovar u prijevozno sredstvo i odvoz na gradsku deponiju udaljenu do 5 km od gradilišta
- zalijevanje šute prije utovara i zaštita okoliša od zagađenja
- naknada za čišćenje javnih prometnih površina i održavanje čistoće prilikom izvođenja radova</t>
  </si>
  <si>
    <t>- podmirivanje svih društvenih obveza i komunalnih davanja za adekvatno zbrinjavanje otpada
- otežani uvjeti rada kod adaptacija i rad pod umjetnom rasvjetom
- priključak, razvod i amortizacija privremene instalacije za rasvjetu i priključak strojeva
- izrada boxova i organizacija gradilišne deponije
- troškovi osiguranja gradilišta</t>
  </si>
  <si>
    <t>Potrebno je pridržavati se Posebnih uvjeta i Prethodnog odobrenja izdanih od:
Uprava za zaštitu kulturne baštine, Konzervatorski odjel u Karlovcu
Nazivi svih prostorija unutar ovih radova se odnose na grafički prikaz postojećeg stanja!</t>
  </si>
  <si>
    <t>Demontaža drvenih (OSB ploče) pregradnih stijena i odvoz na deponiju. Stijena su djelomično ustakljene i imaju vrata.</t>
  </si>
  <si>
    <t>Sve komplet</t>
  </si>
  <si>
    <t xml:space="preserve">- prizemlje - veličine 60x112 cm: </t>
  </si>
  <si>
    <t>kom</t>
  </si>
  <si>
    <t xml:space="preserve">- prizemlje - veličine 100x169 cm: </t>
  </si>
  <si>
    <t xml:space="preserve">- prizemlje - veličine 114x169 cm: </t>
  </si>
  <si>
    <t xml:space="preserve">- prizemlje - veličine 114x180 cm: </t>
  </si>
  <si>
    <t xml:space="preserve">- prizemlje - veličine 115x275 cm: </t>
  </si>
  <si>
    <t xml:space="preserve">- prizemlje - veličine 120x219 cm: </t>
  </si>
  <si>
    <t xml:space="preserve">- prizemlje - veličine 151x250 cm: </t>
  </si>
  <si>
    <t xml:space="preserve">- prizemlje - veličine 217x272 cm: </t>
  </si>
  <si>
    <t xml:space="preserve">- prizemlje - veličine 218x300 cm: </t>
  </si>
  <si>
    <t xml:space="preserve">- prizemlje - veličine 220x301 cm: </t>
  </si>
  <si>
    <t xml:space="preserve">- prizemlje - veličine 300x301 cm: </t>
  </si>
  <si>
    <t xml:space="preserve">- prizemlje - veličine 353x182 cm: </t>
  </si>
  <si>
    <t xml:space="preserve">- prizemlje - veličine 363x182 cm: </t>
  </si>
  <si>
    <t xml:space="preserve">- 1. kat - veličine 113x175 cm: </t>
  </si>
  <si>
    <t xml:space="preserve">- 1. kat - veličine 118x187 cm: </t>
  </si>
  <si>
    <t xml:space="preserve">- 1. kat - veličine 143x280 cm: </t>
  </si>
  <si>
    <t xml:space="preserve">- 1. kat - veličine 162x140 cm: </t>
  </si>
  <si>
    <t xml:space="preserve">- 1. kat - veličine 353x182 cm: </t>
  </si>
  <si>
    <t xml:space="preserve">- 1. kat - veličine 363x182 cm: </t>
  </si>
  <si>
    <t xml:space="preserve">- tavan - veličine 60x112 cm: </t>
  </si>
  <si>
    <t xml:space="preserve">- tavan - veličine 106x176 cm: </t>
  </si>
  <si>
    <t>Rušenje tanjih zidova (pregrade) od pune opeke, te djelomično odvoz na deponiju. Jedan dio opeke treba očistiti, a ista će se koristiti za zazidavanje otvora ili dijelova otvora. Točna količina zazidavanja će se vidjeti u stavkama zidarskih radova.</t>
  </si>
  <si>
    <t xml:space="preserve">- 1. kat - zid debljine 20 cm: </t>
  </si>
  <si>
    <r>
      <t>m</t>
    </r>
    <r>
      <rPr>
        <vertAlign val="superscript"/>
        <sz val="10"/>
        <rFont val="Arial CE"/>
        <charset val="238"/>
      </rPr>
      <t>2</t>
    </r>
  </si>
  <si>
    <t xml:space="preserve">- 1. kat - zid debljine 12 cm: </t>
  </si>
  <si>
    <t xml:space="preserve">Rušenje cijelih ili dijelova nosivih zidova i djelomično odvoz na deponiju. Zidovi su od pune opeke starog formata. Podupiranje prema uputama statičara i nadzornog inženjera. </t>
  </si>
  <si>
    <t>Jedan dio opeke treba očistiti, a ista će se koristiti za zazidavanje otvora ili dijelova otvora. Točna količina zazidavanja će se vidjeti u stavkama zidarskih radova.</t>
  </si>
  <si>
    <t xml:space="preserve">- prizemlje - zid debljine 90 cm: </t>
  </si>
  <si>
    <t xml:space="preserve">- prizemlje - zid debljine 75 cm: </t>
  </si>
  <si>
    <t xml:space="preserve">- prizemlje - zid debljine 65 cm: </t>
  </si>
  <si>
    <t xml:space="preserve">- prizemlje - zid debljine 55 cm: </t>
  </si>
  <si>
    <t xml:space="preserve">- 1. kat - zid debljine 65 cm: </t>
  </si>
  <si>
    <t xml:space="preserve">- 1. kat - zid debljine 60 cm: </t>
  </si>
  <si>
    <t xml:space="preserve">- 1. kat - zid debljine 50 cm: </t>
  </si>
  <si>
    <t xml:space="preserve">- 1. kat - zid debljine 40 cm: </t>
  </si>
  <si>
    <t xml:space="preserve">- 1. kat - zid debljine 35 cm: </t>
  </si>
  <si>
    <t xml:space="preserve">- 1. kat - zid debljine 30 cm: </t>
  </si>
  <si>
    <t xml:space="preserve">Rušenje postojećih nadvoja i dijelova nosivih zidova na mjestima postojećih otvora u visini od 10 i 25 cm i djelomično odvoz na deponiju. Zidovi su od pune opeke starog formata. Podupiranje prema uputama statičara i nadzornog inženjera. </t>
  </si>
  <si>
    <t xml:space="preserve">- 1. kat - zid debljine 70 cm, visina 25 cm: </t>
  </si>
  <si>
    <t xml:space="preserve">- 1. kat - zid debljine 70 cm, visina 10 cm: </t>
  </si>
  <si>
    <t xml:space="preserve">- 1. kat - zid debljine 20 cm, visina 25 cm: </t>
  </si>
  <si>
    <r>
      <t>m</t>
    </r>
    <r>
      <rPr>
        <vertAlign val="superscript"/>
        <sz val="10"/>
        <rFont val="Arial CE"/>
        <charset val="238"/>
      </rPr>
      <t>1</t>
    </r>
  </si>
  <si>
    <t>8.</t>
  </si>
  <si>
    <t>9.</t>
  </si>
  <si>
    <t>Uklanjanje dijela armirano betonskog vijenca u dijelu zuba gdje dolazi izlaz budućeg panoramskog lifta. Zub vijenca je dimenzija 31x11 cm.</t>
  </si>
  <si>
    <t>Stavka uključuje utovar I odvoz na deponiju.</t>
  </si>
  <si>
    <t>10.</t>
  </si>
  <si>
    <t>Uklanjanje dijela armirano betonskog vijenca, te horizontalnog serklaža u dijelu gdje će se graditi ravni krov prizemnog aneksa. Zub vijenca je dimenzija 41x20 cm.</t>
  </si>
  <si>
    <t>11.</t>
  </si>
  <si>
    <t>Razbijanje i uklanjanje armirano betonske ploče debljine 20 cm, kao I ostatka kamenog tempona do visinske kote +0.03 (111.88), te odvoz na deponiju. Radovi se odnose na prostoriju prizemlja 2.1.4</t>
  </si>
  <si>
    <r>
      <t>m</t>
    </r>
    <r>
      <rPr>
        <vertAlign val="superscript"/>
        <sz val="10"/>
        <rFont val="Arial CE"/>
        <charset val="238"/>
      </rPr>
      <t>3</t>
    </r>
  </si>
  <si>
    <t>12.</t>
  </si>
  <si>
    <t>Uklanjanje viška betona s podne armirano betonske ploče u prostoriji prizemlja 1.1.4 i 2.1.1, 3.1.2 i prostorijama 1. kata 1.1.5  i izravnavanje plohe na okolnu nižu visinsku kotu ploče, te odvoz uklonjenog materijala na deponiju. Postupak uklanjanja I izravnjavanja se odnosi prvenstveno na mjesta gdje se taj višak nalazi, poput glavnih ulaznih otvora ili na krajevima hodnika.</t>
  </si>
  <si>
    <t>13.</t>
  </si>
  <si>
    <t>Uklanjanje stare žbuke sa svih unutarnjih površina zidova, osim prostorija 1.1.1, 1.1.2, 1.1.7 i 2.2.1 - prizemlje, te 1.1.1 i 1.1.7 - 1. kat.</t>
  </si>
  <si>
    <t>Žbuka je djelomično trusna, u prizemlju i vlažna. Odnosi se na površine nakon rušenja za to predviđenih zidova. Stavka uključuje utovar i odvoz na gradsku deponiju.</t>
  </si>
  <si>
    <t>14.</t>
  </si>
  <si>
    <t>Uklanjanje dijela stare žbuke sa oslikanih unutarnjih površina zidova, u prostorijama 1.1.1, 1.1.2, 1.1.7 i 2.2.1 - prizemlje, te 1.1.1 i 1.1.7 - 1. kat.</t>
  </si>
  <si>
    <t>Žbuka je djelomično trusna, u prizemlju i vlažna. Odnosi se na površine nakon rušenja za to predviđenih zidova. Uklanjanje ovih površina izvode ovlaštene osobe u dogovoru s "Konzervatorskim odjelom u Karlovcu". Stavka uključuje utovar i odvoz na gradsku deponiju.</t>
  </si>
  <si>
    <t>15.</t>
  </si>
  <si>
    <t>Uklanjanje stare žbuke sa unutarnjih površina složenih bačvastih stropova, osim u prostorijama 2.2.1 - prizemlje, te 1.1.7 - 1. kat.</t>
  </si>
  <si>
    <t>Žbuka je djelomično trusna. Odnosi se na površine nakon rušenja za to predviđenih zidova. Stavka uključuje utovar i odvoz na gradsku deponiju.</t>
  </si>
  <si>
    <t>16.</t>
  </si>
  <si>
    <t>Uklanjanje dijela stare žbuke sa oslikanih unutarnjih površina složenih bačvastih stropova, u prostorijama 2.2.1 - prizemlje, te 1.1.7 - 1. kat.</t>
  </si>
  <si>
    <t>Žbuka je djelomično trusna. Odnosi se na površine nakon rušenja za to predviđenih zidova. Uklanjanje ovih površina izvode ovlaštene osobe u dogovoru s "Konzervatorskim odjelom u Karlovcu". Stavka uključuje utovar i odvoz na gradsku deponiju.</t>
  </si>
  <si>
    <t>17.</t>
  </si>
  <si>
    <t>Uklanjanje stare žbuke sa unutarnjih površina stropova prizemlja. Odnosi se na prostorije 2.1.1 (djelomično), 2.1.17, 1.1.4, 1.1.5, 1.1.6, 1.1.7.</t>
  </si>
  <si>
    <t>Žbuka u kompletu s podložnim letvicama. Odnosi se na površine nakon rušenja za to predviđenih zidova. Stavka uključuje utovar i odvoz na gradsku deponiju.</t>
  </si>
  <si>
    <t>18.</t>
  </si>
  <si>
    <t>Uklanjanje stare žbuke sa unutarnjih površina stropova prizemlja. Odnosi se na prostorije 3.1.2 i 2.1.4.</t>
  </si>
  <si>
    <t>Žbuka u kompletu s trstikom i daščanom oplatom. Odnosi se na površine nakon rušenja za to predviđenih zidova. Stavka uključuje utovar i odvoz na gradsku deponiju.</t>
  </si>
  <si>
    <t>19.</t>
  </si>
  <si>
    <t>Uklanjanje stare žbuke sa unutarnjih površina stropova 1. kata. Odnosi se na sve prostorije osim 1.1.1, 1.1.2, 1.1.7.</t>
  </si>
  <si>
    <t>20.</t>
  </si>
  <si>
    <t>23.</t>
  </si>
  <si>
    <t>Uklanjanje stare žbuke sa unutarnjih površina zidova.</t>
  </si>
  <si>
    <t>Žbuka je djelomično trusna i vlažna. Odnosi se na površine u podrumskom prostoru. Stavka uključuje utovar i odvoz na gradsku deponiju.</t>
  </si>
  <si>
    <t>24.</t>
  </si>
  <si>
    <t>Uklanjanje stare žbuke sa unutarnjih površina stropova.</t>
  </si>
  <si>
    <t>Žbuka je djelomično trusna. Odnosi se na površine u podrumskom prostoru. Stavka uključuje utovar i odvoz na gradsku deponiju.</t>
  </si>
  <si>
    <t>UKUPNO RUŠENJA, DEMONTAŽE I SLIČNO:</t>
  </si>
  <si>
    <t>Sve komplet.</t>
  </si>
  <si>
    <t>IV. ZIDARSKI  RADOVI</t>
  </si>
  <si>
    <t>OPĆI UVJETI ZA ZIDARSKE RADOVE</t>
  </si>
  <si>
    <t>Zidarski radovi moraju se izvesti u skladu sa "Pravilnikom o tehničkim mjerama i uvjetima za izvođenje zidova zgrade".</t>
  </si>
  <si>
    <t>Odstupanje od projektom predviđenih dimenzija dozvoljeno je samo u dogovoru s nadzornim inženjerom i projektantom. Isto vrijedi i za materijal koji se ugrađuje.Zidanje blok ili običnom opekom mora biti čisto s pravilnim vezom i sa dobro zalivenim spojnicama. Redovi moraju biti vodoravni sa spojnicama maksimalne debljine 1 cm. Za zidanje se ne smiju koristiti elementi od pečene gline marke manje od MO-10.</t>
  </si>
  <si>
    <t>Zidanje plino ili pjenobetonskim blokovima izvoditi u pravilu na isti način kao sa opečnim blokovima, samo su reške maksimalne debljine 0,5 cm. Blokovi moraju biti pravilne standardne dimenzije i atestirani od tvornice. Kod manipuliranja tim materijalom treba posebno paziti da se ne oštećuje i da je zaštićen od oborina i smrzavice.</t>
  </si>
  <si>
    <r>
      <t xml:space="preserve">Zidanje nije dozvoljeno kod temperatura </t>
    </r>
    <r>
      <rPr>
        <u/>
        <sz val="10"/>
        <rFont val="Arial CE"/>
        <charset val="238"/>
      </rPr>
      <t>nižih od 0 °C</t>
    </r>
    <r>
      <rPr>
        <sz val="10"/>
        <rFont val="Arial CE"/>
        <charset val="238"/>
      </rPr>
      <t>. Sve eventualno smrznute zidove treba srušiti i ponovo sazidati.</t>
    </r>
  </si>
  <si>
    <t>Mort za pojedine namjene mora imati slijedeće omjere, ako stavkom troškovnika nije drugačije određeno :
-vapneni mort 1:1 - za žbukanje stropova, 
-vapneni mort 1:3 - za unutarnje žbukanje,</t>
  </si>
  <si>
    <t>-produžni cementni mort 1:2:5 - za zidanje zidova ispune i pregradnih zidova od 1/2 opeke na dalje,
-cementni mort 1:4 - za cementnu glazuru podova i ugradbu željeznih predmeta.</t>
  </si>
  <si>
    <t>Vapno za žbukanje mora biti odležano barem 3 mjeseca. Pijesak mora biti oštar i čist. Cementno mlijeko za prskanje zidova mora sadržavati 10 % čistog oštrog pijeska. Fina žbuka izvodi se u pravilu na već potpuno osušenu grubu žbuku, a izrađuje se od finog prosijanog pijeska.</t>
  </si>
  <si>
    <t>Ukupna debljina žbuke je 1,5 do 2 cm. Ne smiju se vidjeti tragovi glačalice, niti pukotine od naglog sušenja. Ugradbe treba izvoditi prema opisu, nacrtima i propisima. Ako za ugradbe treba dubiti zidove ili stropove, onda se to mora vršiti pažljivo, bez suvišnih oštećenja. Armatura se u tom slučaju, kao ni tlačna zona betona, ne smije dirati.</t>
  </si>
  <si>
    <t>Prilikom zidanja treba ostaviti otvore za kanale ventilacije i prodore drugih instalacija prema nacrtima, što se posebno ne odbija od kvadrature, ali i ne dodaje na cijenu izvedbe.</t>
  </si>
  <si>
    <t>U jediničnim cijenama uračunati su svi radovi pojedine stavke, s dobavom potrebnog materijala i građevnih dijelova, s istovarom i uskladištenjem na gradilištu, sav horizontalni i vertikalni transport do radnog mjesta, kao i sva potrebna radna snaga i režijski troškovi.</t>
  </si>
  <si>
    <t>Sve potrebne skele za građevinske radove moraju biti uračunate u jediničnim cijenama pojedinih stavaka troškovnika, te se ne smiju posebno obračunavati (ovo se ne odnosi na fasadnu skelu). Kod zidarskih ugradbi nije uračunata izrada ili dobava elemenata koji se ugrađuju, osim kada se to u stavci troškovnika posebno traži.</t>
  </si>
  <si>
    <t>Zidanje novog nosivog stuba od pune opeke.  Izvodi se starom punom opekom dobivenom rušenjem postojećih zidova, u produžnom mortu M-10, tlocrtnih dimenzija 78x78 cm. Dobava materijala i izvedba s upotrebom potrebne skele.</t>
  </si>
  <si>
    <t>Odnosi se samo na otvore u prostoriji 2.1.1.</t>
  </si>
  <si>
    <t>Dobava materijala i izvedba. Sve komplet.</t>
  </si>
  <si>
    <t>Zazidavanje postojećih manjih otvora u zidovima od pune opeke. Izvodi se starom punom opekom dobivenom rušenjem postojećih zidova, u produžnom mortu M-10.</t>
  </si>
  <si>
    <t>Opeku dobro otprašiti i oprati vodom. Uključena upotreba potrebne skele.</t>
  </si>
  <si>
    <t>Zidanje novih nosivih vanjskih zidova  deb. 30 cm.
Izvodi se s opečnim blokovima dim. 30x25x24 cm,  u produžnom mortu M-10. Dobava materijala i izvedba s upotrebom potrebne skele.</t>
  </si>
  <si>
    <t>Kod zidanja izvode se razmaci 25 cm za vertikalne serklaže. Obračunata stvarna količina zidova, pri čemu je površina otvora odbijena.</t>
  </si>
  <si>
    <t>U sredini visine punih zidova dolaze horizontalni serklaži. Dobava materijala i izvedba. Sve komplet.</t>
  </si>
  <si>
    <t>Zidanje novih nosivih unutarnjih zidova  deb. 25 cm.
Izvodi se s opečnim blokovima dim. 25x38x24 cm,  u produžnom mortu M-10. Dobava materijala i izvedba s upotrebom potrebne skele.</t>
  </si>
  <si>
    <t>Zidanje novih unutarnjih pregradnih zidova  deb. 20 cm.
Izvodi se s opečnim blokovima dim. 20x50x24 cm,  u produžnom mortu M-10. Dobava materijala i izvedba s upotrebom potrebne skele.</t>
  </si>
  <si>
    <t>Obračunata stvarna količina zidova, pri čemu je površina otvora odbijena.</t>
  </si>
  <si>
    <t xml:space="preserve"> </t>
  </si>
  <si>
    <t>Zidanje novih unutarnjih pregradnih zidova  deb. 10 cm.
Izvodi se s opečnim blokovima dim. 10x50x24 cm,  u produžnom mortu M-10. Dobava materijala i izvedba s upotrebom potrebne skele.</t>
  </si>
  <si>
    <t>Tipski nadvoji u pregradnim zidovima.
Dobava i montaža tipskih (gotovih) nadvoja u pregradnim zidovima debljine 10 i 20 cm. Izvedeni su iz opečnih elemenata širine 10 cm i visine 8,5 cm, armirani 6x2,5 mm, a ispunjeni sitnozrnatim betonom C-40/50.</t>
  </si>
  <si>
    <t xml:space="preserve">- dužine 125 cm: </t>
  </si>
  <si>
    <r>
      <t>Sanacija kapilarne vlage</t>
    </r>
    <r>
      <rPr>
        <u/>
        <sz val="10"/>
        <rFont val="Arial CE"/>
        <charset val="238"/>
      </rPr>
      <t xml:space="preserve"> u svim unutarnjim postojećim zidovima prizemlja</t>
    </r>
    <r>
      <rPr>
        <sz val="10"/>
        <rFont val="Arial CE"/>
        <charset val="238"/>
      </rPr>
      <t xml:space="preserve"> koja se izvodi </t>
    </r>
    <r>
      <rPr>
        <b/>
        <sz val="10"/>
        <rFont val="Arial CE"/>
        <charset val="238"/>
      </rPr>
      <t>u razini sloja hidroizolacijske membrane</t>
    </r>
    <r>
      <rPr>
        <sz val="10"/>
        <rFont val="Arial CE"/>
        <charset val="238"/>
      </rPr>
      <t>, sredstvima za prekid kapilarne vlage hidroizolacijskim mortom na bazi silikona (silan).</t>
    </r>
  </si>
  <si>
    <r>
      <t xml:space="preserve">a) Otprašivanje i čišćenje unutarnjih zidova s kojih je uklonjena žbuka </t>
    </r>
    <r>
      <rPr>
        <b/>
        <sz val="10"/>
        <rFont val="Arial CE"/>
      </rPr>
      <t>u visini od 1,0 m.</t>
    </r>
  </si>
  <si>
    <t>b) Presijecanje vlage sa vodoobojnom kremastom hidroizolacijskom masom na bazi silana (pakirana u 600ml porcijama ili 300ml kartušama namjenjene aplikacijskim pištoljima). Prije postupka ubrizgavanja potrebno je napraviti napraviti rupe promejra 12 mm horizontalno centrirane, izbušene na razmacima ne većim od 120 mm. Rupe izbušiti horizontalno, direktno u fugu uz krejeve opeke. Nakon bušenja, svaku rupu temeljito očistiti ispuhivanjem komprimiranim zrakom.</t>
  </si>
  <si>
    <r>
      <t xml:space="preserve">Za zidove deb. do 45 cm injektiranje se vrši </t>
    </r>
    <r>
      <rPr>
        <u/>
        <sz val="10"/>
        <rFont val="Arial CE"/>
        <charset val="238"/>
      </rPr>
      <t>s jedne strane</t>
    </r>
    <r>
      <rPr>
        <sz val="10"/>
        <rFont val="Arial CE"/>
        <charset val="238"/>
      </rPr>
      <t xml:space="preserve"> i to tako da se izbuše horizontalne rupe na razmacima do 10 cm, s dubinom rupe 2 cm od suprotne strane zida.</t>
    </r>
  </si>
  <si>
    <t xml:space="preserve">Za zidove deb. preko 45 cm injektiranje se vrši s obje strane i to tako da se izbuše horizontalne rupe na razmacima do 15 cm unakrsno, s dubinom rupe 4 cm od suprotne strane zida.   </t>
  </si>
  <si>
    <t>- zid sa žbukom deb. 50 cm i slične:</t>
  </si>
  <si>
    <t>- zid sa žbukom deb. 70 cm i slične:</t>
  </si>
  <si>
    <t>- zid sa žbukom deb. 90 cm i slične:</t>
  </si>
  <si>
    <r>
      <t xml:space="preserve">Ručno žbukanje opečnih (starih) zidova </t>
    </r>
    <r>
      <rPr>
        <u/>
        <sz val="10"/>
        <rFont val="Arial CE"/>
        <charset val="238"/>
      </rPr>
      <t>žbukom za isušivanje vlage</t>
    </r>
    <r>
      <rPr>
        <sz val="10"/>
        <rFont val="Arial CE"/>
        <charset val="238"/>
      </rPr>
      <t>. Žbukanje se izvodi debljine 2 cm i visine 200 cm od nivoa hidroizolacije podova - u prizemlju.</t>
    </r>
  </si>
  <si>
    <t>Odnosi se na unutarnje žbukanje starih zidova sa kojih je prethodno otučena žbuka i izvršena sanacija kapilarne vlage. Nakon grubog žbukanja, nanošenje fine sanacijske žbuke debljine 2 mm.</t>
  </si>
  <si>
    <t>Stavka uključuje pripremu podloge i žbukanje isključivo prema uputama proizvođača, kao i upotrebu skele.</t>
  </si>
  <si>
    <r>
      <t xml:space="preserve">Strojno žbukanje postojećih opečnih zidova </t>
    </r>
    <r>
      <rPr>
        <u/>
        <sz val="10"/>
        <rFont val="Arial CE"/>
        <charset val="238"/>
      </rPr>
      <t>gips vapnenom</t>
    </r>
    <r>
      <rPr>
        <sz val="10"/>
        <rFont val="Arial CE"/>
        <charset val="238"/>
      </rPr>
      <t xml:space="preserve"> žbukom debljine 2 cm, uključivo sa ugradnjom aluminijskih kutnika. 
Izvodi se s finom završnom obradom.</t>
    </r>
  </si>
  <si>
    <t>U cijenu stavke uključen sav potreban materijal, prijevoz, skela, predkrpanja, zaštita bravarije, stolarije i ostalih prethodno ugrađenih elemenata, sav rad, te čišćenje nakon završenih radova.</t>
  </si>
  <si>
    <r>
      <t xml:space="preserve">Posebno voditi računa na spojeve sa žbukom za isušivanje u prizemlju, kao i prethodno otprašivanje i pranje. </t>
    </r>
    <r>
      <rPr>
        <sz val="10"/>
        <rFont val="Arial CE"/>
        <charset val="238"/>
      </rPr>
      <t>Visina zidova do 425 cm.</t>
    </r>
  </si>
  <si>
    <t>Prizemlje i 1. kat - sve prostorije osim sanitarija, te prostorija 1.1.1, 1.1.2, 1.1.3, 1.1.9 i 2.2.1 u prizemlju i 1.1.1, 1.1.15 na 1. katu.</t>
  </si>
  <si>
    <r>
      <t xml:space="preserve">Strojno žbukanje postojećih opečnih zidova i djelomično novih </t>
    </r>
    <r>
      <rPr>
        <u/>
        <sz val="10"/>
        <rFont val="Arial CE"/>
        <charset val="238"/>
      </rPr>
      <t>vapneno cementnom</t>
    </r>
    <r>
      <rPr>
        <sz val="10"/>
        <rFont val="Arial CE"/>
        <charset val="238"/>
      </rPr>
      <t xml:space="preserve"> žbukom debljine 2 cm, uključivo sa ugradnjom aluminijskih kutnika. 
Izvodi se s finom završnom obradom. U sanitarijama fina obrada iznad 2,0 m.</t>
    </r>
  </si>
  <si>
    <r>
      <t xml:space="preserve">Posebno voditi računa na spojeve sa žbukom za isušivanje u prizemlju. </t>
    </r>
    <r>
      <rPr>
        <sz val="10"/>
        <rFont val="Arial CE"/>
        <charset val="238"/>
      </rPr>
      <t>Visina zidova do 350 cm.</t>
    </r>
  </si>
  <si>
    <t>Prostorije sanitarija u prizemlju i na 1. katu.</t>
  </si>
  <si>
    <t>Obzidavanje - oblaganje vanjske površine zida, te vanjskih podgleda stropnih ploča.
Izvodi se pjenobetonskim pločama debljine 12,0 cm. Ugradnja se vrši mortom (ljepilom) od istog proizvođača. Podgled na visini do 420 cm.</t>
  </si>
  <si>
    <r>
      <t xml:space="preserve">Strojno žbukanje novih opečnih zidova </t>
    </r>
    <r>
      <rPr>
        <u/>
        <sz val="10"/>
        <rFont val="Arial CE"/>
        <charset val="238"/>
      </rPr>
      <t>vapneno cementnom</t>
    </r>
    <r>
      <rPr>
        <sz val="10"/>
        <rFont val="Arial CE"/>
        <charset val="238"/>
      </rPr>
      <t xml:space="preserve"> žbukom debljine 2 cm, uključivo sa ugradnjom aluminijskih kutnika. 
Izvodi se s finom završnom obradom. U sanitarijama fina obrada iznad 2,0 m.</t>
    </r>
  </si>
  <si>
    <t>Visina zidova do 408 cm.</t>
  </si>
  <si>
    <r>
      <t xml:space="preserve">Strojno žbukanje opečnih svodova i lukova </t>
    </r>
    <r>
      <rPr>
        <u/>
        <sz val="10"/>
        <rFont val="Arial CE"/>
        <charset val="238"/>
      </rPr>
      <t>vapneno cementnom</t>
    </r>
    <r>
      <rPr>
        <sz val="10"/>
        <rFont val="Arial CE"/>
        <charset val="238"/>
      </rPr>
      <t xml:space="preserve"> žbukom debljine 2 cm. Izvodi se u tri prostorije prizemlja.</t>
    </r>
  </si>
  <si>
    <t>Površina s finom završnom obradom.
Svodovi visine do 325 cm. Ne odnosi se na prostorije 2.2.1 u prizemlju i 1.1.15 na 1. katu.</t>
  </si>
  <si>
    <r>
      <t xml:space="preserve">Ručno žbukanje postojećih oslikanih opečnih zidova </t>
    </r>
    <r>
      <rPr>
        <u/>
        <sz val="10"/>
        <rFont val="Arial CE"/>
        <charset val="238"/>
      </rPr>
      <t>gips vapnenom</t>
    </r>
    <r>
      <rPr>
        <sz val="10"/>
        <rFont val="Arial CE"/>
        <charset val="238"/>
      </rPr>
      <t xml:space="preserve"> žbukom debljine 2 cm, uključivo sa ugradnjom aluminijskih kutnika. 
Izvodi se s finom završnom obradom.</t>
    </r>
  </si>
  <si>
    <r>
      <t xml:space="preserve">Posebno voditi računa na spojeve sa žbukom za isušivanje u prizemlju, kao i prethodno otprašivanje i pranje. </t>
    </r>
    <r>
      <rPr>
        <sz val="10"/>
        <rFont val="Arial CE"/>
        <charset val="238"/>
      </rPr>
      <t>Visina zidova do 350 cm.</t>
    </r>
  </si>
  <si>
    <t>Ukupna površina zidova.</t>
  </si>
  <si>
    <t>Odnosi se na prostorije 1.1.1, 1.1.2, 1.1.3, 1.1.9 i 2.2.1 u prizemlju i 1.1.1 i 1.1.15 na 1. katu.</t>
  </si>
  <si>
    <r>
      <t>Ovu stavku izvoditi isključivo u dogovoru s Konzervatorima.</t>
    </r>
    <r>
      <rPr>
        <sz val="10"/>
        <rFont val="Arial CE"/>
        <charset val="238"/>
      </rPr>
      <t xml:space="preserve"> Sve komplet.</t>
    </r>
  </si>
  <si>
    <r>
      <t xml:space="preserve">Ručno žbukanje postojećih </t>
    </r>
    <r>
      <rPr>
        <u/>
        <sz val="10"/>
        <rFont val="Arial CE"/>
        <charset val="238"/>
      </rPr>
      <t>oslikanih</t>
    </r>
    <r>
      <rPr>
        <sz val="10"/>
        <rFont val="Arial CE"/>
        <charset val="238"/>
      </rPr>
      <t xml:space="preserve"> opečnih svodova i lukova </t>
    </r>
    <r>
      <rPr>
        <u/>
        <sz val="10"/>
        <rFont val="Arial CE"/>
        <charset val="238"/>
      </rPr>
      <t>vapneno cementnom</t>
    </r>
    <r>
      <rPr>
        <sz val="10"/>
        <rFont val="Arial CE"/>
        <charset val="238"/>
      </rPr>
      <t xml:space="preserve"> žbukom debljine 2 cm.</t>
    </r>
  </si>
  <si>
    <t>U cijenu stavke uključen sav potreban materijal, prijevoz, skela, predkrpanja, te čišćenje nakon završenih radova.</t>
  </si>
  <si>
    <t>Površina s finom završnom obradom.
Svodovi visine do 350 cm. Odnosi se na prostorije 2.2.1 u prizemlju i 1.1.15 na 1. katu.</t>
  </si>
  <si>
    <t>Ukupna površina svodova i lukova.</t>
  </si>
  <si>
    <r>
      <t xml:space="preserve">Strojno žbukanje ravnih armirano betonskih stropnih ploča  </t>
    </r>
    <r>
      <rPr>
        <u/>
        <sz val="10"/>
        <rFont val="Arial CE"/>
        <charset val="238"/>
      </rPr>
      <t>vapneno cementnom</t>
    </r>
    <r>
      <rPr>
        <sz val="10"/>
        <rFont val="Arial CE"/>
        <charset val="238"/>
      </rPr>
      <t xml:space="preserve"> žbukom debljine 2 cm. Izvodi se u spremištu ispod stubišta u prizemlju.</t>
    </r>
  </si>
  <si>
    <t>Površina s finom završnom obradom.</t>
  </si>
  <si>
    <r>
      <t>Izrada armiranog cementnog estriha u podovima prizemlja i 1. kata</t>
    </r>
    <r>
      <rPr>
        <sz val="10"/>
        <rFont val="Arial CE"/>
        <charset val="238"/>
      </rPr>
      <t>. Debljina estriha 3,0 do 6,0 cm. Armiranje jednostrukim mrežama Q139 (</t>
    </r>
    <r>
      <rPr>
        <sz val="10"/>
        <rFont val="Calibri"/>
        <family val="2"/>
        <charset val="238"/>
      </rPr>
      <t xml:space="preserve">Φ </t>
    </r>
    <r>
      <rPr>
        <sz val="10"/>
        <rFont val="Arial CE"/>
        <charset val="238"/>
      </rPr>
      <t>4,2/100/100). Površina horizontalna i zaglađena.</t>
    </r>
  </si>
  <si>
    <t xml:space="preserve">- debljine 3,0 cm: </t>
  </si>
  <si>
    <t xml:space="preserve">- debljine 4,0 i 4,5 cm: </t>
  </si>
  <si>
    <t xml:space="preserve">- debljine 5,0 i 5,5 cm: </t>
  </si>
  <si>
    <t xml:space="preserve">- debljine 6,0 cm: </t>
  </si>
  <si>
    <r>
      <t>Izrada armiranog cementnog estriha u podovima prizemlja i 1. kata (</t>
    </r>
    <r>
      <rPr>
        <u/>
        <sz val="10"/>
        <rFont val="Arial CE"/>
        <charset val="238"/>
      </rPr>
      <t>sanitarije</t>
    </r>
    <r>
      <rPr>
        <sz val="10"/>
        <rFont val="Arial CE"/>
        <charset val="238"/>
      </rPr>
      <t>). Debljina estriha 4,0 do 6,0 cm. Armiranje jednostrukim mrežama Q139 (</t>
    </r>
    <r>
      <rPr>
        <sz val="10"/>
        <rFont val="Calibri"/>
        <family val="2"/>
        <charset val="238"/>
      </rPr>
      <t xml:space="preserve">Φ </t>
    </r>
    <r>
      <rPr>
        <sz val="10"/>
        <rFont val="Arial CE"/>
        <charset val="238"/>
      </rPr>
      <t>4,2/100/100). Površina djelomično u nagibu i zaglađena.</t>
    </r>
  </si>
  <si>
    <t>Čišćenje objekta u toku gradnje, te završno čišćenje i pranje prije primopredaje. 
Obračun po netto korisnoj površini građevine. U ovoj stavci treba obuhvatiti kompletne troškove rada, transporta i materijala za čišćenje koje obuhvaća.</t>
  </si>
  <si>
    <t>a) Grubo zidarsko čišćenje objekta u svim fazama građenja s odvozom šute i otpadaka</t>
  </si>
  <si>
    <t>b) Fino čišćenje i pranje svih keramičkih opločenja, podova od parketa, svih sanitarnih uređaja, svih stakala, prozora, vrata i sl.</t>
  </si>
  <si>
    <t>UKUPNO ZIDARSKI RADOVI:</t>
  </si>
  <si>
    <t>1
2
3
4
5
6</t>
  </si>
  <si>
    <t>VI. FASADERSKI  RADOVI</t>
  </si>
  <si>
    <t>OPĆI UVJETI ZA FASADERSKE RADOVE</t>
  </si>
  <si>
    <t>Sve pobrojene fasaderske radove potrebno je voditi  uz stalni konzervatorski nadzor. Ovim troškovnikom je obuhvaćeno uređenje fasade zgrade s korištenjem jednoznačno određenog fasadnog sustava za sanaciju i renoviranje ''povijesnih'' fasada. Kvaliteta fasadnog sustava je jednoznačna prema posebnim zahtjevima konzervatorske službe, ali uz njihovo dopuštenje moguće je primjena jedankovrijednog sustava.</t>
  </si>
  <si>
    <t>S obzirom na stanje fasade, utvrđeno je u očevidu obavljenom prije izrade ovog troškovnika, da će se predmetni radovi na postojećem dijelu fasade vršiti kao njena sanacija i renoviranje u tri oblika, i to:</t>
  </si>
  <si>
    <r>
      <rPr>
        <u/>
        <sz val="10"/>
        <rFont val="Arial CE"/>
        <charset val="238"/>
      </rPr>
      <t xml:space="preserve"> 1. oblik za dio fasade koji je destruiran u cijeloj debljini sustava, do zida, a imati će slijedeće faze: </t>
    </r>
    <r>
      <rPr>
        <sz val="10"/>
        <rFont val="Arial CE"/>
        <charset val="238"/>
      </rPr>
      <t xml:space="preserve">
- skidanje destruirane  fasadne žbuke uz suho čišćenje (bez pranja) obijene zidne površine,</t>
    </r>
  </si>
  <si>
    <t>- izvedba radova na učvršćenju labavih ili nadomjesku nestalih detalja zida ili zidne plastike s istim materijalom kao i postojeći, te  nanošenjem hidrauličko vapnenog špricanog morta odabranog fasadnog sustava,</t>
  </si>
  <si>
    <t>- nanošenje hidrauličko vapnene grube žbuke za renoviranje u debljini kao i postojeća s izradom svih oblikovnih elemenata fasade, te s izravnanjem podloge,
- nanošenje hidrauličko vapnene fine tankoslojne žbuke sa zaglađivanje nažbukanih površina,</t>
  </si>
  <si>
    <t>- premazivanje zaglađenih zidnih površina dubinskom podlogom za boje, te završno nanošenje parodifuzne silikatne boje u tonu po odabiru;</t>
  </si>
  <si>
    <r>
      <rPr>
        <u/>
        <sz val="10"/>
        <rFont val="Arial CE"/>
        <charset val="238"/>
      </rPr>
      <t xml:space="preserve">2. oblik za dio fasade koji je destruiran na površini u debljini finog fasadnog nanosa postojećeg sustava, koji će imati slijedeće faze: </t>
    </r>
    <r>
      <rPr>
        <sz val="10"/>
        <rFont val="Arial CE"/>
        <charset val="238"/>
      </rPr>
      <t xml:space="preserve">
- skidanje destruiranog sloja do kompaktnog  ili konzistentnog dijela, uz suho čišćenje (bez pranja) zidne površine,</t>
    </r>
  </si>
  <si>
    <t>- nanošenje mineralne žbuke za renoviranje i izjednačavanje, u potrebnoj debljini, sa zaglađivanjem nažbukanih površina,
- nanošenje hidrauličko vapnene fine tankoslojne žbuke sa zaglađivanje nažbukanih površina,
- premazivanje zaglađenih zidnih površina dubinskom podlogom za boje, te završno nanošenje parodifuzne silikatne boje u tonu po odabiru (kao i kod 1. oblika);</t>
  </si>
  <si>
    <t>3. oblik za preostali dio fasade koji se sastoji od složene zidne plastike koji je konzistentan i kompaktan ili destruiran u završnom sloju postojećeg sustava, koji će  imati slijedeće faze:</t>
  </si>
  <si>
    <t>- skidanje postojećeg završnog sloja boje i njene podloge (Hirofa) do konzistentnog dijela uz čišćenje podloge otprašivanjem (bez pranja), 
- premazivanje zidnih površina dubinskom podlogom za boje, te završno nanošenje parodifuzne silikatne boje u tonu po odabiru (kao i kod 1. i 2. oblika);
Sve radove žbukanja i pripreme podloge izvesti u tehnici „vapnene žbuke“ uz korištenje prikladnog alata.</t>
  </si>
  <si>
    <t>Radove izvoditi na način da se onemoguće štete koje bi nastale uslijed neprikladnih vremenskih uvjeta, što znači da se mora uzeti u obzir kompletiranje postojeće skele potrebnim štitnicima od sunca i sl. (obuhvaćeno u B/V. SKELA).</t>
  </si>
  <si>
    <t>U cijenu stavki treba uzeti u obzir troškove potrebnih mjera zaštite na radu uobičajenih za odvijanje radova na visini, kao i troškove manipulacije s materijalom za izvođenje, te sve druge direktne i indirektne troškove koji mogu nastati do izvršenja fasaderskih radova.</t>
  </si>
  <si>
    <t>ČIŠĆENJA, SKIDANJA I DEMONTAŽE</t>
  </si>
  <si>
    <t>Izrada šablona i alata 
Šablone za profile na fasadi, potrebne za izradu alata od lima, na uobičajen način 
(zarezivanjem profila prije obijanja te iscrtavanjem njegove siluete na limu ili kartonu).</t>
  </si>
  <si>
    <t>Stavka uključuje i izradu alata od čeličnog lima prema uzetim šablonama za sve profile na fasadi koji se uklanjaju. Prema očevidu biti će potrebno izraditi alat:</t>
  </si>
  <si>
    <t>- krovni zabatni vijenac
- strešni vijenac 1
- strešni vijenac 2
- srednji vijenac glavne fasade</t>
  </si>
  <si>
    <t>- profilacija balkona
- bordura balkonskih vrata
- bordura svih ostalih prozora</t>
  </si>
  <si>
    <t>Dobava materijala i ručno izvođenje hidroizolacijske žbuke sokla po cijeloj fasadnoj dužini objekta (vanjska i atrij). Izvodi se ispod nivoa budućeg terena cca 20 cm i iznad cca 8 cm, pomoću tvornički pripremljene žbuke na osnovi trans cementa.</t>
  </si>
  <si>
    <t>Žbuka treba imati sljedeće karakteristike: vodonepropusna, netopiva u vodi, trajno otporna na vlagu, velika čvrstoća i otporna na vodu pod tlakom do 1,5 bara.
Žbuka se ne obrađuje bojenjem.</t>
  </si>
  <si>
    <t>Gornji rub, spoj sa isušivajućom žbukom, se izvodi kao fuga širine 3,0 cm.</t>
  </si>
  <si>
    <r>
      <t>Obračun po m</t>
    </r>
    <r>
      <rPr>
        <vertAlign val="superscript"/>
        <sz val="10"/>
        <rFont val="Arial CE"/>
        <charset val="238"/>
      </rPr>
      <t>1</t>
    </r>
    <r>
      <rPr>
        <sz val="10"/>
        <rFont val="Arial CE"/>
        <charset val="238"/>
      </rPr>
      <t>, sa svim slojevima prema uputama proizvođača. Debljina žbukanja 2,0 cm.</t>
    </r>
  </si>
  <si>
    <t>FASADA</t>
  </si>
  <si>
    <t>Obloga sokla zidova ekstrudanim polistirenom - XPS-R</t>
  </si>
  <si>
    <t>Dobava materijala i postava ekstrudiranog polistirena - XPS-R debljine 8,0 cm kao sokl obloge vanjske strane zidova. Obloga se ugrađuje prema uputama proizvođača na očišćene vertikalne plohe zidova.</t>
  </si>
  <si>
    <t>Dobava materijala i postava ekstrudiranog polistirena - XPS-R debljine 11,0 cm kao sokl obloge vanjske strane zidova. Obloga se ugrađuje prema uputama proizvođača na očišćene vertikalne plohe zidova.</t>
  </si>
  <si>
    <t>Završna obrada sokla dograđenog dijela
Dobava materijala i izvedba završne obrade sokla zgrade na već postavljeni sloj toplinske izolacije od ekstrudiranog polistirena (XPS-R), koja se sastoji od nanošenja:</t>
  </si>
  <si>
    <t>-polimer-cementno ljepilo + staklena mrežica  5 mm  
-impregnirani predpremaz
-rabicirana vodootporna ''solk žbuka'' debljine 1 cm, u boji po izboru.</t>
  </si>
  <si>
    <t>Prema stanju prionljivosti tolinskog sloja na beton nadozida procijeniti primjenu mehaničkih spojnih sredstava po shemi „W'' prije nanošenja prvog sloja.</t>
  </si>
  <si>
    <t>Fasada vanjskih zidova.
Izvedba fasade vanjskih zidova postavljanjem kontaktnog kompozitnog fasadnog sustava ''Etics'', koji se sastoji od slijedećih slojeva:</t>
  </si>
  <si>
    <r>
      <t>- mineralna vuna, ploče (gustoće 110 kg/m</t>
    </r>
    <r>
      <rPr>
        <vertAlign val="superscript"/>
        <sz val="10"/>
        <rFont val="Arial CE"/>
        <charset val="238"/>
      </rPr>
      <t>3</t>
    </r>
    <r>
      <rPr>
        <sz val="10"/>
        <rFont val="Arial CE"/>
        <charset val="238"/>
      </rPr>
      <t>) deblj. 8 cm, koje se na zidove lijepe punoplošno, što znači linijski po rubovima i točkasto po sredini (cca. 40% površine ploče), polimerno-cementnim ljepilom za ljepljenje proizvoda od mineralne vune, deb. sloja ne veće od 0,5 cm, uz obaveznu primjenu mehaničkih spojnih sredstava po shemi „W''.
- polimercementno ljepilo + staklena mrežica  5 mm;
-</t>
    </r>
    <r>
      <rPr>
        <sz val="10"/>
        <rFont val="Arial CE"/>
        <charset val="238"/>
      </rPr>
      <t xml:space="preserve"> impregnacija i dekorativna silikatna žbuka 3 mm.</t>
    </r>
  </si>
  <si>
    <t>Stavka obuhvaća i ugradnju tipskih kutnih aluminijskih profila na sve rubove. U cijenu je uključen sav potreban materijal, prijevoz, potrebna skela, zaštita stolarije i ostalih prethodno ugrađenih elemenata, sav rad, te čišćenje nakon završenih radova. 
Fasada se izvodi na zidu od pune opeke, blok opeke i armirano betonskih zidnih elemenata.</t>
  </si>
  <si>
    <r>
      <t xml:space="preserve">Nanošenje žbuke za renoviranje-tehnika nanosa „vapnene žbuke“ </t>
    </r>
    <r>
      <rPr>
        <u/>
        <sz val="10"/>
        <rFont val="Arial CE"/>
        <charset val="238"/>
      </rPr>
      <t>RAVNE PLOHE S KANELURAMA</t>
    </r>
    <r>
      <rPr>
        <sz val="10"/>
        <rFont val="Arial CE"/>
        <charset val="238"/>
      </rPr>
      <t xml:space="preserve"> deb. 3,0 cm.</t>
    </r>
  </si>
  <si>
    <r>
      <t>a.) Dobava materijala, te ručno nanošenje fasadnog sloja za renoviranje hidrauličko vapnena gruba žbuka, na prethodno „mat“ navlaženu podlogu, koji će se nanositi u debljine sloja do 3</t>
    </r>
    <r>
      <rPr>
        <sz val="10"/>
        <rFont val="Arial CE"/>
        <charset val="238"/>
      </rPr>
      <t>,0 cm, višeslojno, a minimalno u dvije ''ruke''.</t>
    </r>
  </si>
  <si>
    <t>Kod toga će prva ruka biti zapunjavanje sljubnica i podravnavanje, a zadnja ruka konačno zaravnanje i priprema za nanošenje završnog sloja kao i izvođenje potrebnih kanelura prema postojećem stanju s korištenjem odgovarajućeg alata.</t>
  </si>
  <si>
    <t>Sve ostalo kao u prethodnoj stavci (C/VI/6.).
Ova stavka uključuje žbukanje špaleta.</t>
  </si>
  <si>
    <t>- ravne plohe:</t>
  </si>
  <si>
    <t xml:space="preserve">- kanelure: </t>
  </si>
  <si>
    <r>
      <t xml:space="preserve">Nanošenje žbuke za renoviranje-tehnika nanosa „vapnene žbuke“ </t>
    </r>
    <r>
      <rPr>
        <u/>
        <sz val="10"/>
        <rFont val="Arial CE"/>
        <charset val="238"/>
      </rPr>
      <t>BORDURE NA GLAVNOJ FASADI</t>
    </r>
    <r>
      <rPr>
        <sz val="10"/>
        <rFont val="Arial CE"/>
        <charset val="238"/>
      </rPr>
      <t xml:space="preserve"> deb. 3,0 cm.</t>
    </r>
  </si>
  <si>
    <r>
      <t>a.) Dobava materijala, te ručno nanošenje fasadnog sloja za renoviranje hidrauličko vapnena gruba žbuka, na prethodno „mat“ navlaženu podlogu, koji će se nanositi u debljine sloja do 3</t>
    </r>
    <r>
      <rPr>
        <sz val="10"/>
        <rFont val="Arial CE"/>
        <charset val="238"/>
      </rPr>
      <t>,0 cm, višeslojno, a minimalno u dvije ''ruke''. Kod toga će prva ruka biti nanošenje preko stavke C/VI/6., a zadnja ruka konačno zaravnanje i priprema za nanošenje završnog sloja s korištenjem odgovarajućeg alata.</t>
    </r>
  </si>
  <si>
    <t>Bordure su širine do 50 cm (izvesti kao i postojeće).
Sve ostalo kao u stavci (C/VI/6.).</t>
  </si>
  <si>
    <r>
      <t xml:space="preserve">Nanošenje žbuke za renoviranje-tehnika nanosa „vapnene žbuke“ </t>
    </r>
    <r>
      <rPr>
        <u/>
        <sz val="10"/>
        <rFont val="Arial CE"/>
        <charset val="238"/>
      </rPr>
      <t>BORDURE OKO PROZORA</t>
    </r>
    <r>
      <rPr>
        <sz val="10"/>
        <rFont val="Arial CE"/>
        <charset val="238"/>
      </rPr>
      <t xml:space="preserve"> deb. 3,0 cm.</t>
    </r>
  </si>
  <si>
    <r>
      <t>a.) Dobava materijala, te ručno nanošenje fasadnog sloja za renoviranje hidrauličko vapnena gruba žbuka, na prethodno „mat“ navlaženu podlogu, koji će se nanositi u debljine sloja do 3</t>
    </r>
    <r>
      <rPr>
        <sz val="10"/>
        <rFont val="Arial CE"/>
        <charset val="238"/>
      </rPr>
      <t>,0 cm, višeslojno, a minimalno u dvije ''ruke''. Kod toga će prva ruka biti nanošenje preko stavaka C/VI/6. i 7., a zadnja ruka konačno zaravnanje i priprema za nanošenje završnog sloja s korištenjem odgovarajućeg alata.</t>
    </r>
  </si>
  <si>
    <t>Bordure su širine cca 17 cm (izvesti kao i postojeće).
Sve ostalo kao u stavci (C/VI/6.).</t>
  </si>
  <si>
    <r>
      <t xml:space="preserve">Nanošenje žbuke za renoviranje-tehnika nanosa „vapnene žbuke“ </t>
    </r>
    <r>
      <rPr>
        <u/>
        <sz val="10"/>
        <rFont val="Arial CE"/>
        <charset val="238"/>
      </rPr>
      <t>SREDNJI VIJENAC GLAVNE FASADE.</t>
    </r>
  </si>
  <si>
    <t>a.) Dobava materijala, te ručno nanošenje fasadnog sloja za renoviranje hidrauličko vapnena gruba žbuka, na prethodno „mat“ navlaženu podlogu, koji će se nanositi u više slojeva kako be se formirala profilacija vijenca visine cca 27,0 cm i istaka cca 9,0 cm. Žbuka je tvornički pripremljena i s dodatkom staklenih vlakana.</t>
  </si>
  <si>
    <t>b) Dobava materijala te ručno nanošenje završnog fasadnog sloja hidrauličko vapnene fine žbuke, koji će se nanositi u ukupnoj debljini od 2,0 do 3,0 mm, u dva sloja. Kod izvođenja navedenog višeslojnog nanošenja (tehnika nanosa vapnene žbuke) pojedinačni nanosi ne smiju prelaziti trostruku debljinu zrna fine žbuke.</t>
  </si>
  <si>
    <t>Podlogu je potrebno prethodno „mat“ navlažiti prije nanošenja fine žbuke. Zaravnava se na način da bude podloga za nanošenje silikatne fasadne boje, uz izvođenje potrebnih kanelura prema postojećem predlošku s  korištenjem odgovarajućeg alata.</t>
  </si>
  <si>
    <r>
      <t xml:space="preserve">Žbuka se izvodi preko ugrađenog špric morta.
</t>
    </r>
    <r>
      <rPr>
        <b/>
        <u/>
        <sz val="10"/>
        <rFont val="Arial CE"/>
        <charset val="238"/>
      </rPr>
      <t>Naneseni sloj žbuke mora stariti  2 do 3 mjeseca do nanošenja fasadne boje.</t>
    </r>
  </si>
  <si>
    <r>
      <t xml:space="preserve">Dobava materijala i izrada profilacija </t>
    </r>
    <r>
      <rPr>
        <u/>
        <sz val="10"/>
        <rFont val="Arial CE"/>
        <charset val="238"/>
      </rPr>
      <t>SREDNJEG VIJENCA</t>
    </r>
    <r>
      <rPr>
        <sz val="10"/>
        <rFont val="Arial CE"/>
        <charset val="238"/>
      </rPr>
      <t xml:space="preserve"> na bočnim fasadama.</t>
    </r>
  </si>
  <si>
    <t>Vijenci se izvode kao odljevak u kalupu dužine 1,0 m i profilacije jednake kao u prethodnoj stavci (C/VI/11.). Stavka obuhvaća izradu i korištenje kalupa.</t>
  </si>
  <si>
    <t>Odljevci se izvode tvornički pripremljenom masom za renoviranje, na bazi rimskog cementa i ima sastav:</t>
  </si>
  <si>
    <r>
      <t>- rimski cement
- prirodno hidrauličko vapno (NHL)</t>
    </r>
    <r>
      <rPr>
        <sz val="10"/>
        <rFont val="Arial CE"/>
        <charset val="238"/>
      </rPr>
      <t xml:space="preserve">
- ne sadrži portland cement
- fini vapneni pijesak okruglog zrna
- usporivač sušenja
- ne sadrži organske komponente
- bez umjetnih disperzivnih tvari</t>
    </r>
  </si>
  <si>
    <t>Ugradba profilacija na fasadu pomoću ljepila koje predloži proizvođač mase profila. Nakon stvrdnjavanja ljepila, profilacija se po potrebi obrađuje u fino.</t>
  </si>
  <si>
    <t>Ukoliko bi se od strane nadzornog inženjera utvrdilo da je profilaciju potrebno dodatno učvrstiti sidrenim trnovima, izvođenje istog uskladiti s proizvođačem.</t>
  </si>
  <si>
    <r>
      <t xml:space="preserve">Nanošenje žbuke za renoviranje-tehnika nanosa „vapnene žbuke“ </t>
    </r>
    <r>
      <rPr>
        <u/>
        <sz val="10"/>
        <rFont val="Arial CE"/>
        <charset val="238"/>
      </rPr>
      <t>KROVNI VIJENAC PROFILIRANI - STREHA.</t>
    </r>
  </si>
  <si>
    <t>a.) Dobava materijala, te ručno nanošenje fasadnog sloja za renoviranje hidrauličko vapnena gruba žbuka, na prethodno „mat“ navlaženu podlogu u više slojeva kako be se formirala profilacija vijenca visine cca 42,0 cm i istaka cca 30,0 cm. Žbuka je tvornički pripremljena i s dodatkom staklenih vlakana.</t>
  </si>
  <si>
    <r>
      <t xml:space="preserve">Nanošenje žbuke za renoviranje-tehnika nanosa „vapnene žbuke“ </t>
    </r>
    <r>
      <rPr>
        <u/>
        <sz val="10"/>
        <rFont val="Arial CE"/>
        <charset val="238"/>
      </rPr>
      <t>KROVNI VIJENAC ZAOBLJENI - STREHA.</t>
    </r>
  </si>
  <si>
    <t>a.) Dobava materijala, te ručno nanošenje fasadnog sloja za renoviranje hidrauličko vapnena gruba žbuka, na prethodno „mat“ navlaženu podlogu u više slojeva kako be se formiralo zaobljenje vijenca visine cca 42,0 cm i istaka cca 30,0 cm. Žbuka je tvornički pripremljena i s dodatkom staklenih vlakana.</t>
  </si>
  <si>
    <r>
      <t xml:space="preserve">Nanošenje žbuke za renoviranje-tehnika nanosa „vapnene žbuke“ </t>
    </r>
    <r>
      <rPr>
        <u/>
        <sz val="10"/>
        <rFont val="Arial CE"/>
        <charset val="238"/>
      </rPr>
      <t>ZABATNI VIJENAC ZAOBLJENI - STREHA.</t>
    </r>
  </si>
  <si>
    <t>a.) Dobava materijala, te ručno nanošenje fasadnog sloja za renoviranje hidrauličko vapnena gruba žbuka, na prethodno „mat“ navlaženu podlogu u više slojeva kako be se formiralo zaobljenje vijenca visine cca 30,0 cm i istaka cca 20,0 cm. Žbuka je tvornički pripremljena i s dodatkom staklenih vlakana.</t>
  </si>
  <si>
    <t>UKUPNO FASADERSKI RADOVI:</t>
  </si>
  <si>
    <t>REKAPITULACIJA TROŠKOVA</t>
  </si>
  <si>
    <t>A/</t>
  </si>
  <si>
    <t>RUŠENJA, DEMONTAŽE I SLIČNO</t>
  </si>
  <si>
    <t>RUŠENJA, DEMONTAŽE I SLIČNO :</t>
  </si>
  <si>
    <t>B/</t>
  </si>
  <si>
    <t xml:space="preserve">GRAĐEVINSKI RADOVI </t>
  </si>
  <si>
    <t>I</t>
  </si>
  <si>
    <t>ZEMLJANI RADOVI</t>
  </si>
  <si>
    <t>II</t>
  </si>
  <si>
    <t>BETONSKI I ARMIRANOBETONSKI RADOVI</t>
  </si>
  <si>
    <t>III</t>
  </si>
  <si>
    <t>ARMIRAČKI RADOVI</t>
  </si>
  <si>
    <t>IV</t>
  </si>
  <si>
    <t>ZIDARSKI RADOVI</t>
  </si>
  <si>
    <t>V</t>
  </si>
  <si>
    <t>TESARSKI RADOVI</t>
  </si>
  <si>
    <t>VI</t>
  </si>
  <si>
    <t>SKELA</t>
  </si>
  <si>
    <t>VII</t>
  </si>
  <si>
    <t>IZOLATERSKI RADOVI</t>
  </si>
  <si>
    <t>UKUPNO GRAĐEVINSKI RADOVI :</t>
  </si>
  <si>
    <t>C/</t>
  </si>
  <si>
    <t>OBRTNIČKI RADOVI</t>
  </si>
  <si>
    <t>STOLARSKI RADOVI</t>
  </si>
  <si>
    <t>BRAVARSKI RADOVI - inox čelik, crna i pocinčana bravarija</t>
  </si>
  <si>
    <t>LIMARSKI RADOVI</t>
  </si>
  <si>
    <t>KROVOPOKRIVAČKI RADOVI</t>
  </si>
  <si>
    <t>GIPSARSKI RADOVI</t>
  </si>
  <si>
    <t>FASADERSKI RADOVI</t>
  </si>
  <si>
    <t>PARKETARSKI RADOVI</t>
  </si>
  <si>
    <t>VIII</t>
  </si>
  <si>
    <t>KERAMIČARSKI I KAMENOREZAČKI RADOVI</t>
  </si>
  <si>
    <t>IX</t>
  </si>
  <si>
    <t>SOBOSLIKARSKI RADOVI</t>
  </si>
  <si>
    <t>X</t>
  </si>
  <si>
    <t>OSTALI RADOVI</t>
  </si>
  <si>
    <t>UKUPNO OBRTNIČKI RADOVI :</t>
  </si>
  <si>
    <t xml:space="preserve">A+B+C SVEUKUPNO : </t>
  </si>
  <si>
    <t xml:space="preserve">UKUPNO (sa PDV-om) : </t>
  </si>
  <si>
    <t>TERMOIZOLACIJE</t>
  </si>
  <si>
    <t>Dobava i postava toplinske izolacije podova prizemlja (na tlu).</t>
  </si>
  <si>
    <r>
      <t>Slojevi navedeni odozdo prema gore, a postavljaju se na izvedenu hidroizolaciju:
- PVC folija (1000 kg/m</t>
    </r>
    <r>
      <rPr>
        <vertAlign val="superscript"/>
        <sz val="10"/>
        <rFont val="Arial CE"/>
        <charset val="238"/>
      </rPr>
      <t>3</t>
    </r>
    <r>
      <rPr>
        <sz val="10"/>
        <rFont val="Arial CE"/>
        <charset val="238"/>
      </rPr>
      <t>) 0,02 cm
- elastificirani ekspandirani polistiren EPS-T (12 kg/m</t>
    </r>
    <r>
      <rPr>
        <vertAlign val="superscript"/>
        <sz val="10"/>
        <rFont val="Arial CE"/>
        <charset val="238"/>
      </rPr>
      <t>3</t>
    </r>
    <r>
      <rPr>
        <sz val="10"/>
        <rFont val="Arial CE"/>
        <charset val="238"/>
      </rPr>
      <t>) 2x2,0 cm
- ekspandirani polistiren XPS (30 kg/m</t>
    </r>
    <r>
      <rPr>
        <vertAlign val="superscript"/>
        <sz val="10"/>
        <rFont val="Arial CE"/>
        <charset val="238"/>
      </rPr>
      <t>3</t>
    </r>
    <r>
      <rPr>
        <sz val="10"/>
        <rFont val="Arial CE"/>
        <charset val="238"/>
      </rPr>
      <t>) 6,0 cm
- PVC folija (1000 kg/m</t>
    </r>
    <r>
      <rPr>
        <vertAlign val="superscript"/>
        <sz val="10"/>
        <rFont val="Arial CE"/>
        <charset val="238"/>
      </rPr>
      <t>3</t>
    </r>
    <r>
      <rPr>
        <sz val="10"/>
        <rFont val="Arial CE"/>
        <charset val="238"/>
      </rPr>
      <t>) 0,02 cm</t>
    </r>
  </si>
  <si>
    <t>Odnosi se na sve prostorije prizemlja.</t>
  </si>
  <si>
    <t>Dobava i postava toplinske izolacije podova u potkrovlju.</t>
  </si>
  <si>
    <r>
      <t>Slojevi navedeni odozdo prema gore, a postavljaju se na izvedenu betonsku ploču:
- elastificirani ekspandirani polistiren EPS-T (12 kg/m</t>
    </r>
    <r>
      <rPr>
        <vertAlign val="superscript"/>
        <sz val="10"/>
        <rFont val="Arial CE"/>
        <charset val="238"/>
      </rPr>
      <t>3</t>
    </r>
    <r>
      <rPr>
        <sz val="10"/>
        <rFont val="Arial CE"/>
        <charset val="238"/>
      </rPr>
      <t>) 4,0 cm
- ekspandirani polistiren XPS (30 kg/m</t>
    </r>
    <r>
      <rPr>
        <vertAlign val="superscript"/>
        <sz val="10"/>
        <rFont val="Arial CE"/>
        <charset val="238"/>
      </rPr>
      <t>3</t>
    </r>
    <r>
      <rPr>
        <sz val="10"/>
        <rFont val="Arial CE"/>
        <charset val="238"/>
      </rPr>
      <t>) 4,0 cm
- PVC folija (1000 kg/m</t>
    </r>
    <r>
      <rPr>
        <vertAlign val="superscript"/>
        <sz val="10"/>
        <rFont val="Arial CE"/>
        <charset val="238"/>
      </rPr>
      <t>3</t>
    </r>
    <r>
      <rPr>
        <sz val="10"/>
        <rFont val="Arial CE"/>
        <charset val="238"/>
      </rPr>
      <t>) 0,02 cm</t>
    </r>
  </si>
  <si>
    <t>Odnosi se na prostorije 2.1.1 i 2.1.2</t>
  </si>
  <si>
    <t>Dobava i postava toplinske izolacije podova u 1. katu.</t>
  </si>
  <si>
    <r>
      <t>Slojevi navedeni odozdo prema gore, a postavljaju se na izvedenu betonsku ploču:
- elastificirani ekspandirani polistiren EPS-T (12 kg/m</t>
    </r>
    <r>
      <rPr>
        <vertAlign val="superscript"/>
        <sz val="10"/>
        <rFont val="Arial CE"/>
        <charset val="238"/>
      </rPr>
      <t>3</t>
    </r>
    <r>
      <rPr>
        <sz val="10"/>
        <rFont val="Arial CE"/>
        <charset val="238"/>
      </rPr>
      <t>) 2,0 cm
- ekspandirani polistiren XPS (30 kg/m</t>
    </r>
    <r>
      <rPr>
        <vertAlign val="superscript"/>
        <sz val="10"/>
        <rFont val="Arial CE"/>
        <charset val="238"/>
      </rPr>
      <t>3</t>
    </r>
    <r>
      <rPr>
        <sz val="10"/>
        <rFont val="Arial CE"/>
        <charset val="238"/>
      </rPr>
      <t>) 2,0 cm
- PVC folija (1000 kg/m</t>
    </r>
    <r>
      <rPr>
        <vertAlign val="superscript"/>
        <sz val="10"/>
        <rFont val="Arial CE"/>
        <charset val="238"/>
      </rPr>
      <t>3</t>
    </r>
    <r>
      <rPr>
        <sz val="10"/>
        <rFont val="Arial CE"/>
        <charset val="238"/>
      </rPr>
      <t>) 0,02 cm</t>
    </r>
  </si>
  <si>
    <t>Odnosi se na prostorije 1.1.2, 1.1.4, 1.1.5, 1.1.6, 1.1.7, 1.1.8, 1.1.9, 1.1.10, 1.1.11, 1.1.12, 1.1.13, 1.1.14, 1.1.15, 1.1.16.</t>
  </si>
  <si>
    <t>Odnosi se na prostorije 2.1.1, 2.1.2</t>
  </si>
  <si>
    <r>
      <t>Slojevi navedeni odozdo prema gore, a postavljaju se na izvedenu betonsku ploču:
- ekspandirani polistiren XPS (30kg/m</t>
    </r>
    <r>
      <rPr>
        <vertAlign val="superscript"/>
        <sz val="10"/>
        <rFont val="Arial CE"/>
        <charset val="238"/>
      </rPr>
      <t>3</t>
    </r>
    <r>
      <rPr>
        <sz val="10"/>
        <rFont val="Arial CE"/>
        <charset val="238"/>
      </rPr>
      <t>) u padu 3,0-9,0 cm</t>
    </r>
  </si>
  <si>
    <t>Odnosi se na prostorije 1.1.17 i 1.1.18</t>
  </si>
  <si>
    <t>Dobava materijala i izvedba svih slojeva na ravnom krovu.</t>
  </si>
  <si>
    <r>
      <t>Slojevi se ugrađuju preko izvedenog betona u nagibu, slijedećim redoslijedom:
- parna brana (1100 kg/m</t>
    </r>
    <r>
      <rPr>
        <vertAlign val="superscript"/>
        <sz val="10"/>
        <rFont val="Arial CE"/>
        <charset val="238"/>
      </rPr>
      <t>3</t>
    </r>
    <r>
      <rPr>
        <sz val="10"/>
        <rFont val="Arial CE"/>
        <charset val="238"/>
      </rPr>
      <t>)
- mineralna vuna (110 kg/m</t>
    </r>
    <r>
      <rPr>
        <vertAlign val="superscript"/>
        <sz val="10"/>
        <rFont val="Arial CE"/>
        <charset val="238"/>
      </rPr>
      <t>3</t>
    </r>
    <r>
      <rPr>
        <sz val="10"/>
        <rFont val="Arial CE"/>
        <charset val="238"/>
      </rPr>
      <t xml:space="preserve">) 16,0 cm
</t>
    </r>
  </si>
  <si>
    <r>
      <rPr>
        <sz val="10"/>
        <rFont val="Arial CE"/>
        <charset val="238"/>
      </rPr>
      <t>- hidroizolacijska membrana na bazi FPO/TPO (1100 kg/m3) 0,18 cm
- PES filc (geotekstil) kao mehanička zaštita (140 g/m</t>
    </r>
    <r>
      <rPr>
        <vertAlign val="superscript"/>
        <sz val="10"/>
        <rFont val="Arial CE"/>
        <charset val="238"/>
      </rPr>
      <t>2</t>
    </r>
    <r>
      <rPr>
        <sz val="10"/>
        <rFont val="Arial CE"/>
        <charset val="238"/>
      </rPr>
      <t>) 0,3 cm
- kulir ploče na gumenim podmetačima (4+3 cm) 7,0 cm</t>
    </r>
  </si>
  <si>
    <t>Napomena: Sastav parne brane je slijedeći:
- hladni premaz
- bitumenska hidroizolacijska traka s uloškom od aluminijske folije debljine 0,2 mm, debljine 5 mm, polaže se postupkom punoplošnog varenja na betonsku podlogu koja je zaglađena, očišćena od prašine, premazana hladnim bitumenskim premazom i isti se sušio 24 sata.</t>
  </si>
  <si>
    <t>Dobava i postava toplinske izolacije podova tavana.</t>
  </si>
  <si>
    <r>
      <t>Slojevi navedeni odozdo prema gore, a postavljaju se na izvedenu betonsku ploču:
- elastificirani ekspandirani polistiren EPS-T (12 kg/m</t>
    </r>
    <r>
      <rPr>
        <vertAlign val="superscript"/>
        <sz val="10"/>
        <rFont val="Arial CE"/>
        <charset val="238"/>
      </rPr>
      <t>3</t>
    </r>
    <r>
      <rPr>
        <sz val="10"/>
        <rFont val="Arial CE"/>
        <charset val="238"/>
      </rPr>
      <t>) 2,0 cm
- ekspandirani polistiren XPS (30 kg/m</t>
    </r>
    <r>
      <rPr>
        <vertAlign val="superscript"/>
        <sz val="10"/>
        <rFont val="Arial CE"/>
        <charset val="238"/>
      </rPr>
      <t>3</t>
    </r>
    <r>
      <rPr>
        <sz val="10"/>
        <rFont val="Arial CE"/>
        <charset val="238"/>
      </rPr>
      <t>) 14,0 cm
- PVC folija (1000 kg/m</t>
    </r>
    <r>
      <rPr>
        <vertAlign val="superscript"/>
        <sz val="10"/>
        <rFont val="Arial CE"/>
        <charset val="238"/>
      </rPr>
      <t>3</t>
    </r>
    <r>
      <rPr>
        <sz val="10"/>
        <rFont val="Arial CE"/>
        <charset val="238"/>
      </rPr>
      <t>) 0,02 cm</t>
    </r>
  </si>
  <si>
    <t>Odnosi se na sve prostorije tavana</t>
  </si>
  <si>
    <t>Dobava i postava toplinske izolacije u padu poda balkona.</t>
  </si>
  <si>
    <r>
      <t>Slojevi navedeni odozdo prema gore, a postavljaju se na izvedenu betonsku ploču:
- ekspandirani polistiren XPS (30 kg/m</t>
    </r>
    <r>
      <rPr>
        <vertAlign val="superscript"/>
        <sz val="10"/>
        <rFont val="Arial CE"/>
        <charset val="238"/>
      </rPr>
      <t>3</t>
    </r>
    <r>
      <rPr>
        <sz val="10"/>
        <rFont val="Arial CE"/>
        <charset val="238"/>
      </rPr>
      <t>) 3,0 - 9,0 cm
- PVC folija (1000 kg/m</t>
    </r>
    <r>
      <rPr>
        <vertAlign val="superscript"/>
        <sz val="10"/>
        <rFont val="Arial CE"/>
        <charset val="238"/>
      </rPr>
      <t>3</t>
    </r>
    <r>
      <rPr>
        <sz val="10"/>
        <rFont val="Arial CE"/>
        <charset val="238"/>
      </rPr>
      <t>) 0,02 cm</t>
    </r>
  </si>
  <si>
    <t>UKUPNO IZOLATERSKI RADOVI: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</si>
</sst>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 _k_n_-;\-* #,##0.00\ _k_n_-;_-* &quot;-&quot;??\ _k_n_-;_-@_-"/>
    <numFmt numFmtId="165" formatCode="#,##0.00\ [$kn-41A];\-#,##0.00\ [$kn-41A]"/>
    <numFmt numFmtId="166" formatCode="#,##0.00\ &quot;kn&quot;"/>
    <numFmt numFmtId="167" formatCode="#,##0.00\ [$kn-41A]"/>
    <numFmt numFmtId="168" formatCode="h:mm;@"/>
    <numFmt numFmtId="169" formatCode="[$-41A]General"/>
    <numFmt numFmtId="170" formatCode="#,##0.00\ [$€-41A]"/>
    <numFmt numFmtId="171" formatCode="#,##0.00\ [$€-1]"/>
    <numFmt numFmtId="172" formatCode="0.000"/>
  </numFmts>
  <fonts count="38" x14ac:knownFonts="1">
    <font>
      <sz val="10"/>
      <name val="Arial CE"/>
      <charset val="238"/>
    </font>
    <font>
      <sz val="10"/>
      <name val="Arial CE"/>
      <charset val="238"/>
    </font>
    <font>
      <b/>
      <sz val="10"/>
      <name val="Arial CE"/>
      <charset val="238"/>
    </font>
    <font>
      <b/>
      <sz val="14"/>
      <name val="Arial CE"/>
      <charset val="238"/>
    </font>
    <font>
      <sz val="14"/>
      <name val="Arial CE"/>
      <charset val="238"/>
    </font>
    <font>
      <sz val="10"/>
      <name val="Arial CE"/>
      <charset val="238"/>
    </font>
    <font>
      <b/>
      <i/>
      <u/>
      <sz val="16"/>
      <name val="Arial CE"/>
      <charset val="238"/>
    </font>
    <font>
      <sz val="16"/>
      <name val="Arial CE"/>
      <charset val="238"/>
    </font>
    <font>
      <b/>
      <sz val="12"/>
      <name val="Arial CE"/>
      <charset val="238"/>
    </font>
    <font>
      <sz val="12"/>
      <name val="Arial CE"/>
      <charset val="238"/>
    </font>
    <font>
      <sz val="11"/>
      <color indexed="8"/>
      <name val="Calibri"/>
      <family val="2"/>
      <charset val="238"/>
    </font>
    <font>
      <sz val="10"/>
      <name val="Verdana"/>
      <family val="2"/>
      <charset val="238"/>
    </font>
    <font>
      <b/>
      <sz val="10"/>
      <name val="Verdana"/>
      <family val="2"/>
      <charset val="238"/>
    </font>
    <font>
      <b/>
      <u/>
      <sz val="10"/>
      <name val="Verdana"/>
      <family val="2"/>
      <charset val="238"/>
    </font>
    <font>
      <b/>
      <i/>
      <sz val="10"/>
      <name val="Verdana"/>
      <family val="2"/>
      <charset val="238"/>
    </font>
    <font>
      <b/>
      <u/>
      <sz val="16"/>
      <name val="Verdana"/>
      <family val="2"/>
      <charset val="238"/>
    </font>
    <font>
      <b/>
      <u/>
      <sz val="14"/>
      <name val="Verdana"/>
      <family val="2"/>
      <charset val="238"/>
    </font>
    <font>
      <b/>
      <u/>
      <sz val="12"/>
      <name val="Verdana"/>
      <family val="2"/>
      <charset val="238"/>
    </font>
    <font>
      <sz val="10"/>
      <name val="Arial"/>
      <family val="2"/>
      <charset val="238"/>
    </font>
    <font>
      <i/>
      <sz val="10"/>
      <name val="Verdana"/>
      <family val="2"/>
      <charset val="238"/>
    </font>
    <font>
      <sz val="8"/>
      <name val="Arial CE"/>
      <charset val="238"/>
    </font>
    <font>
      <b/>
      <i/>
      <sz val="10"/>
      <name val="Arial CE"/>
      <charset val="238"/>
    </font>
    <font>
      <u/>
      <sz val="10"/>
      <name val="Arial CE"/>
      <charset val="238"/>
    </font>
    <font>
      <vertAlign val="superscript"/>
      <sz val="10"/>
      <name val="Arial CE"/>
      <charset val="238"/>
    </font>
    <font>
      <b/>
      <sz val="11"/>
      <name val="Arial CE"/>
      <charset val="238"/>
    </font>
    <font>
      <b/>
      <i/>
      <sz val="14"/>
      <name val="Arial CE"/>
      <charset val="238"/>
    </font>
    <font>
      <sz val="10"/>
      <name val="Calibri"/>
      <family val="2"/>
      <charset val="238"/>
    </font>
    <font>
      <b/>
      <sz val="10"/>
      <name val="Arial CE"/>
    </font>
    <font>
      <sz val="11"/>
      <name val="Arial CE"/>
      <charset val="238"/>
    </font>
    <font>
      <b/>
      <u/>
      <sz val="11"/>
      <name val="Arial CE"/>
      <charset val="238"/>
    </font>
    <font>
      <b/>
      <i/>
      <u/>
      <sz val="16"/>
      <name val="Arial CE"/>
      <family val="2"/>
      <charset val="238"/>
    </font>
    <font>
      <b/>
      <u/>
      <sz val="10"/>
      <name val="Arial CE"/>
      <charset val="238"/>
    </font>
    <font>
      <b/>
      <sz val="8"/>
      <name val="Arial CE"/>
      <charset val="238"/>
    </font>
    <font>
      <sz val="16"/>
      <name val="Arial CE"/>
      <family val="2"/>
      <charset val="238"/>
    </font>
    <font>
      <sz val="12"/>
      <name val="Arial CE"/>
      <family val="2"/>
      <charset val="238"/>
    </font>
    <font>
      <sz val="10"/>
      <name val="Arial"/>
      <family val="2"/>
    </font>
    <font>
      <sz val="10"/>
      <color rgb="FFFF0000"/>
      <name val="Arial CE"/>
      <charset val="238"/>
    </font>
    <font>
      <b/>
      <sz val="10"/>
      <color rgb="FFFF0000"/>
      <name val="Arial CE"/>
      <charset val="238"/>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20">
    <border>
      <left/>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
    <xf numFmtId="0" fontId="0" fillId="0" borderId="0"/>
    <xf numFmtId="0" fontId="18" fillId="0" borderId="0"/>
    <xf numFmtId="164" fontId="18" fillId="0" borderId="0" applyFont="0" applyFill="0" applyBorder="0" applyAlignment="0" applyProtection="0"/>
    <xf numFmtId="43" fontId="18" fillId="0" borderId="0" applyFont="0" applyFill="0" applyBorder="0" applyAlignment="0" applyProtection="0"/>
    <xf numFmtId="169" fontId="10" fillId="0" borderId="0"/>
    <xf numFmtId="0" fontId="18" fillId="0" borderId="0"/>
    <xf numFmtId="0" fontId="18" fillId="0" borderId="0"/>
    <xf numFmtId="0" fontId="18" fillId="0" borderId="0"/>
    <xf numFmtId="0" fontId="10" fillId="0" borderId="0"/>
    <xf numFmtId="0" fontId="18" fillId="0" borderId="0"/>
    <xf numFmtId="0" fontId="35" fillId="0" borderId="0"/>
    <xf numFmtId="43" fontId="1" fillId="0" borderId="0" applyFont="0" applyFill="0" applyBorder="0" applyAlignment="0" applyProtection="0"/>
    <xf numFmtId="43" fontId="5"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35" fillId="0" borderId="0" applyFont="0" applyFill="0" applyBorder="0" applyAlignment="0" applyProtection="0"/>
    <xf numFmtId="0" fontId="18" fillId="0" borderId="0"/>
  </cellStyleXfs>
  <cellXfs count="221">
    <xf numFmtId="0" fontId="0" fillId="0" borderId="0" xfId="0"/>
    <xf numFmtId="0" fontId="2" fillId="0" borderId="0" xfId="0" applyFont="1" applyAlignment="1">
      <alignment horizontal="right"/>
    </xf>
    <xf numFmtId="43" fontId="0" fillId="0" borderId="0" xfId="11" applyFont="1" applyBorder="1" applyAlignment="1"/>
    <xf numFmtId="43" fontId="0" fillId="0" borderId="0" xfId="11" applyFont="1" applyAlignment="1"/>
    <xf numFmtId="0" fontId="2" fillId="0" borderId="0" xfId="0" applyFont="1" applyAlignment="1">
      <alignment horizontal="left" vertical="center"/>
    </xf>
    <xf numFmtId="0" fontId="2" fillId="0" borderId="1" xfId="0" applyFont="1" applyBorder="1" applyAlignment="1">
      <alignment vertical="center"/>
    </xf>
    <xf numFmtId="0" fontId="2" fillId="0" borderId="1" xfId="0" applyFont="1" applyBorder="1"/>
    <xf numFmtId="43" fontId="2" fillId="0" borderId="0" xfId="11" applyFont="1" applyBorder="1" applyAlignment="1"/>
    <xf numFmtId="0" fontId="2" fillId="0" borderId="0" xfId="0" applyFont="1" applyAlignment="1">
      <alignment vertical="center"/>
    </xf>
    <xf numFmtId="0" fontId="2" fillId="0" borderId="0" xfId="0" applyFont="1"/>
    <xf numFmtId="0" fontId="4" fillId="0" borderId="0" xfId="0" applyFont="1"/>
    <xf numFmtId="0" fontId="2" fillId="0" borderId="2" xfId="0" applyFont="1" applyBorder="1" applyAlignment="1">
      <alignment vertical="center"/>
    </xf>
    <xf numFmtId="0" fontId="2" fillId="0" borderId="2" xfId="0" applyFont="1" applyBorder="1"/>
    <xf numFmtId="0" fontId="2" fillId="0" borderId="1" xfId="0" applyFont="1" applyBorder="1" applyAlignment="1">
      <alignment wrapText="1"/>
    </xf>
    <xf numFmtId="14" fontId="0" fillId="0" borderId="0" xfId="0" applyNumberFormat="1" applyAlignment="1">
      <alignment horizontal="left" vertical="center" wrapText="1"/>
    </xf>
    <xf numFmtId="0" fontId="0" fillId="0" borderId="0" xfId="0" quotePrefix="1" applyAlignment="1">
      <alignment horizontal="right" wrapText="1"/>
    </xf>
    <xf numFmtId="166" fontId="0" fillId="0" borderId="0" xfId="0" applyNumberFormat="1"/>
    <xf numFmtId="0" fontId="7" fillId="0" borderId="0" xfId="0" applyFont="1"/>
    <xf numFmtId="0" fontId="0" fillId="0" borderId="0" xfId="0" applyAlignment="1">
      <alignment vertical="center"/>
    </xf>
    <xf numFmtId="0" fontId="0" fillId="0" borderId="0" xfId="0" applyAlignment="1">
      <alignment horizontal="left" vertical="center"/>
    </xf>
    <xf numFmtId="0" fontId="9" fillId="0" borderId="0" xfId="0" applyFont="1"/>
    <xf numFmtId="0" fontId="8" fillId="0" borderId="0" xfId="0" applyFont="1" applyAlignment="1">
      <alignment horizontal="right"/>
    </xf>
    <xf numFmtId="0" fontId="11" fillId="0" borderId="0" xfId="0" applyFont="1" applyAlignment="1">
      <alignment horizontal="left" vertical="center"/>
    </xf>
    <xf numFmtId="0" fontId="11" fillId="0" borderId="0" xfId="0" applyFont="1"/>
    <xf numFmtId="0" fontId="11" fillId="0" borderId="0" xfId="0" applyFont="1" applyAlignment="1">
      <alignment horizontal="center"/>
    </xf>
    <xf numFmtId="166" fontId="11" fillId="0" borderId="0" xfId="0" applyNumberFormat="1" applyFont="1"/>
    <xf numFmtId="167" fontId="11" fillId="0" borderId="0" xfId="0" applyNumberFormat="1" applyFont="1"/>
    <xf numFmtId="43" fontId="11" fillId="0" borderId="0" xfId="12" applyFont="1" applyAlignment="1"/>
    <xf numFmtId="0" fontId="12" fillId="0" borderId="0" xfId="0" applyFont="1"/>
    <xf numFmtId="0" fontId="13" fillId="0" borderId="0" xfId="0" applyFont="1"/>
    <xf numFmtId="0" fontId="11" fillId="0" borderId="0" xfId="0" applyFont="1" applyAlignment="1">
      <alignment horizontal="left"/>
    </xf>
    <xf numFmtId="168" fontId="11" fillId="0" borderId="0" xfId="0" applyNumberFormat="1" applyFont="1"/>
    <xf numFmtId="0" fontId="14" fillId="0" borderId="0" xfId="0" applyFont="1"/>
    <xf numFmtId="43" fontId="11" fillId="0" borderId="0" xfId="12" applyFont="1" applyFill="1" applyBorder="1" applyAlignment="1"/>
    <xf numFmtId="0" fontId="16" fillId="0" borderId="0" xfId="0" applyFont="1" applyAlignment="1">
      <alignment horizontal="center"/>
    </xf>
    <xf numFmtId="43" fontId="16" fillId="0" borderId="0" xfId="12" applyFont="1" applyFill="1" applyBorder="1" applyAlignment="1">
      <alignment horizontal="center"/>
    </xf>
    <xf numFmtId="43" fontId="11" fillId="0" borderId="0" xfId="12" applyFont="1" applyBorder="1" applyAlignment="1"/>
    <xf numFmtId="0" fontId="12" fillId="0" borderId="0" xfId="0" applyFont="1" applyAlignment="1">
      <alignment horizontal="left" wrapText="1"/>
    </xf>
    <xf numFmtId="0" fontId="11" fillId="0" borderId="3" xfId="0" applyFont="1" applyBorder="1" applyAlignment="1">
      <alignment horizontal="left" vertical="center"/>
    </xf>
    <xf numFmtId="0" fontId="11" fillId="0" borderId="2" xfId="0" applyFont="1" applyBorder="1"/>
    <xf numFmtId="0" fontId="11" fillId="0" borderId="2" xfId="0" applyFont="1" applyBorder="1" applyAlignment="1">
      <alignment horizontal="center"/>
    </xf>
    <xf numFmtId="166" fontId="11" fillId="0" borderId="4" xfId="0" applyNumberFormat="1" applyFont="1" applyBorder="1"/>
    <xf numFmtId="0" fontId="11" fillId="0" borderId="5" xfId="0" applyFont="1" applyBorder="1" applyAlignment="1">
      <alignment horizontal="left" vertical="center"/>
    </xf>
    <xf numFmtId="166" fontId="11" fillId="0" borderId="6" xfId="0" applyNumberFormat="1" applyFont="1" applyBorder="1"/>
    <xf numFmtId="0" fontId="11" fillId="0" borderId="7" xfId="0" applyFont="1" applyBorder="1" applyAlignment="1">
      <alignment horizontal="left" vertical="center"/>
    </xf>
    <xf numFmtId="0" fontId="11" fillId="0" borderId="8" xfId="0" applyFont="1" applyBorder="1"/>
    <xf numFmtId="0" fontId="11" fillId="0" borderId="8" xfId="0" applyFont="1" applyBorder="1" applyAlignment="1">
      <alignment horizontal="center"/>
    </xf>
    <xf numFmtId="166" fontId="11" fillId="0" borderId="9" xfId="0" applyNumberFormat="1" applyFont="1" applyBorder="1"/>
    <xf numFmtId="0" fontId="11" fillId="0" borderId="0" xfId="0" quotePrefix="1" applyFont="1" applyAlignment="1">
      <alignment wrapText="1"/>
    </xf>
    <xf numFmtId="170" fontId="0" fillId="0" borderId="1" xfId="0" applyNumberFormat="1" applyBorder="1" applyAlignment="1">
      <alignment horizontal="right"/>
    </xf>
    <xf numFmtId="170" fontId="0" fillId="0" borderId="2" xfId="0" applyNumberFormat="1" applyBorder="1"/>
    <xf numFmtId="170" fontId="0" fillId="0" borderId="0" xfId="0" applyNumberFormat="1"/>
    <xf numFmtId="170" fontId="5" fillId="0" borderId="1" xfId="11" applyNumberFormat="1" applyFont="1" applyBorder="1" applyAlignment="1">
      <alignment horizontal="right"/>
    </xf>
    <xf numFmtId="170" fontId="8" fillId="0" borderId="10" xfId="0" applyNumberFormat="1" applyFont="1" applyBorder="1" applyAlignment="1">
      <alignment horizontal="right"/>
    </xf>
    <xf numFmtId="170" fontId="8" fillId="0" borderId="0" xfId="0" applyNumberFormat="1" applyFont="1" applyAlignment="1">
      <alignment horizontal="right"/>
    </xf>
    <xf numFmtId="170" fontId="2" fillId="0" borderId="1" xfId="0" applyNumberFormat="1" applyFont="1" applyBorder="1" applyAlignment="1">
      <alignment horizontal="right"/>
    </xf>
    <xf numFmtId="170" fontId="2" fillId="0" borderId="0" xfId="0" applyNumberFormat="1" applyFont="1" applyAlignment="1">
      <alignment horizontal="right"/>
    </xf>
    <xf numFmtId="170" fontId="3" fillId="0" borderId="11" xfId="0" applyNumberFormat="1" applyFont="1" applyBorder="1"/>
    <xf numFmtId="0" fontId="3" fillId="0" borderId="12" xfId="0" applyFont="1" applyBorder="1" applyAlignment="1">
      <alignment horizontal="right"/>
    </xf>
    <xf numFmtId="0" fontId="20" fillId="0" borderId="14"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5" xfId="0" applyFont="1" applyBorder="1" applyAlignment="1">
      <alignment horizontal="center" vertical="center" wrapText="1"/>
    </xf>
    <xf numFmtId="4" fontId="20" fillId="0" borderId="15" xfId="12" applyNumberFormat="1" applyFont="1" applyFill="1" applyBorder="1" applyAlignment="1">
      <alignment horizontal="right" vertical="center" wrapText="1"/>
    </xf>
    <xf numFmtId="166" fontId="20" fillId="0" borderId="16" xfId="0" applyNumberFormat="1" applyFont="1" applyBorder="1" applyAlignment="1">
      <alignment horizontal="right" vertical="center" wrapText="1"/>
    </xf>
    <xf numFmtId="171" fontId="20" fillId="0" borderId="16" xfId="0" applyNumberFormat="1" applyFont="1" applyBorder="1" applyAlignment="1">
      <alignment horizontal="right" vertical="center" wrapText="1"/>
    </xf>
    <xf numFmtId="0" fontId="20" fillId="0" borderId="0" xfId="0" applyFont="1"/>
    <xf numFmtId="0" fontId="20" fillId="0" borderId="0" xfId="0" applyFont="1" applyAlignment="1">
      <alignment horizontal="center" vertical="center" wrapText="1"/>
    </xf>
    <xf numFmtId="4" fontId="20" fillId="0" borderId="0" xfId="12" applyNumberFormat="1" applyFont="1" applyFill="1" applyBorder="1" applyAlignment="1">
      <alignment horizontal="right" vertical="center" wrapText="1"/>
    </xf>
    <xf numFmtId="166" fontId="20" fillId="0" borderId="0" xfId="0" applyNumberFormat="1" applyFont="1" applyAlignment="1">
      <alignment horizontal="right" vertical="center" wrapText="1"/>
    </xf>
    <xf numFmtId="171" fontId="20" fillId="0" borderId="0" xfId="0" applyNumberFormat="1" applyFont="1" applyAlignment="1">
      <alignment horizontal="right" vertical="center" wrapText="1"/>
    </xf>
    <xf numFmtId="0" fontId="21" fillId="0" borderId="0" xfId="0" applyFont="1" applyAlignment="1">
      <alignment horizontal="right" vertical="center"/>
    </xf>
    <xf numFmtId="0" fontId="21" fillId="0" borderId="0" xfId="0" applyFont="1" applyAlignment="1">
      <alignment horizontal="justify" vertical="top"/>
    </xf>
    <xf numFmtId="0" fontId="5" fillId="0" borderId="0" xfId="0" applyFont="1" applyAlignment="1">
      <alignment horizontal="center"/>
    </xf>
    <xf numFmtId="43" fontId="5" fillId="0" borderId="0" xfId="12" applyFont="1" applyFill="1" applyBorder="1" applyAlignment="1"/>
    <xf numFmtId="171" fontId="0" fillId="0" borderId="0" xfId="0" applyNumberFormat="1"/>
    <xf numFmtId="0" fontId="5" fillId="0" borderId="0" xfId="0" applyFont="1"/>
    <xf numFmtId="0" fontId="2" fillId="0" borderId="0" xfId="0" applyFont="1" applyAlignment="1">
      <alignment horizontal="right" vertical="center"/>
    </xf>
    <xf numFmtId="0" fontId="2" fillId="0" borderId="0" xfId="0" applyFont="1" applyAlignment="1">
      <alignment horizontal="justify" vertical="top"/>
    </xf>
    <xf numFmtId="0" fontId="0" fillId="0" borderId="0" xfId="0" applyAlignment="1">
      <alignment horizontal="center"/>
    </xf>
    <xf numFmtId="4" fontId="0" fillId="0" borderId="0" xfId="12" applyNumberFormat="1" applyFont="1" applyFill="1" applyBorder="1" applyAlignment="1"/>
    <xf numFmtId="0" fontId="0" fillId="0" borderId="0" xfId="0" applyAlignment="1">
      <alignment horizontal="right" vertical="center"/>
    </xf>
    <xf numFmtId="0" fontId="0" fillId="0" borderId="0" xfId="0" applyAlignment="1">
      <alignment horizontal="justify" vertical="top" wrapText="1"/>
    </xf>
    <xf numFmtId="167" fontId="0" fillId="0" borderId="0" xfId="0" applyNumberFormat="1"/>
    <xf numFmtId="172" fontId="0" fillId="0" borderId="0" xfId="12" applyNumberFormat="1" applyFont="1" applyBorder="1" applyAlignment="1"/>
    <xf numFmtId="172" fontId="0" fillId="0" borderId="0" xfId="0" applyNumberFormat="1"/>
    <xf numFmtId="2" fontId="0" fillId="0" borderId="0" xfId="0" applyNumberFormat="1"/>
    <xf numFmtId="0" fontId="0" fillId="0" borderId="0" xfId="0" applyAlignment="1">
      <alignment vertical="top" wrapText="1"/>
    </xf>
    <xf numFmtId="0" fontId="0" fillId="0" borderId="0" xfId="0" applyAlignment="1">
      <alignment horizontal="right" vertical="center" wrapText="1"/>
    </xf>
    <xf numFmtId="0" fontId="0" fillId="0" borderId="0" xfId="0" quotePrefix="1" applyAlignment="1">
      <alignment horizontal="justify" vertical="top" wrapText="1"/>
    </xf>
    <xf numFmtId="0" fontId="0" fillId="0" borderId="0" xfId="0" applyAlignment="1">
      <alignment horizontal="left" vertical="top" wrapText="1"/>
    </xf>
    <xf numFmtId="43" fontId="0" fillId="0" borderId="0" xfId="12" applyFont="1" applyFill="1" applyBorder="1" applyAlignment="1"/>
    <xf numFmtId="43" fontId="0" fillId="0" borderId="0" xfId="12" applyFont="1" applyBorder="1" applyAlignment="1"/>
    <xf numFmtId="0" fontId="0" fillId="0" borderId="0" xfId="0" quotePrefix="1" applyAlignment="1">
      <alignment horizontal="left" vertical="top" wrapText="1"/>
    </xf>
    <xf numFmtId="0" fontId="0" fillId="0" borderId="0" xfId="0" quotePrefix="1" applyAlignment="1">
      <alignment horizontal="right"/>
    </xf>
    <xf numFmtId="3" fontId="0" fillId="0" borderId="0" xfId="12" applyNumberFormat="1" applyFont="1" applyFill="1" applyBorder="1" applyAlignment="1"/>
    <xf numFmtId="4" fontId="0" fillId="0" borderId="0" xfId="0" applyNumberFormat="1" applyAlignment="1">
      <alignment horizontal="right"/>
    </xf>
    <xf numFmtId="0" fontId="2" fillId="0" borderId="0" xfId="0" quotePrefix="1" applyFont="1" applyAlignment="1">
      <alignment horizontal="right" vertical="top" wrapText="1"/>
    </xf>
    <xf numFmtId="43" fontId="5" fillId="0" borderId="0" xfId="12" applyFont="1" applyFill="1" applyAlignment="1"/>
    <xf numFmtId="3" fontId="5" fillId="0" borderId="0" xfId="12" applyNumberFormat="1" applyFont="1" applyFill="1" applyBorder="1" applyAlignment="1"/>
    <xf numFmtId="0" fontId="0" fillId="0" borderId="0" xfId="0" applyAlignment="1">
      <alignment horizontal="justify" vertical="top"/>
    </xf>
    <xf numFmtId="4" fontId="5" fillId="0" borderId="0" xfId="12" applyNumberFormat="1" applyFont="1" applyFill="1" applyBorder="1" applyAlignment="1"/>
    <xf numFmtId="43" fontId="0" fillId="0" borderId="0" xfId="12" applyFont="1" applyFill="1" applyAlignment="1"/>
    <xf numFmtId="166" fontId="0" fillId="0" borderId="1" xfId="0" applyNumberFormat="1" applyBorder="1"/>
    <xf numFmtId="171" fontId="2" fillId="0" borderId="1" xfId="0" applyNumberFormat="1" applyFont="1" applyBorder="1"/>
    <xf numFmtId="167" fontId="2" fillId="0" borderId="0" xfId="0" applyNumberFormat="1" applyFont="1" applyAlignment="1">
      <alignment horizontal="right"/>
    </xf>
    <xf numFmtId="171" fontId="2" fillId="0" borderId="0" xfId="0" applyNumberFormat="1" applyFont="1" applyAlignment="1">
      <alignment horizontal="right"/>
    </xf>
    <xf numFmtId="0" fontId="25" fillId="0" borderId="0" xfId="0" applyFont="1" applyAlignment="1">
      <alignment horizontal="right" vertical="center"/>
    </xf>
    <xf numFmtId="0" fontId="25" fillId="0" borderId="0" xfId="0" applyFont="1"/>
    <xf numFmtId="0" fontId="4" fillId="0" borderId="0" xfId="0" applyFont="1" applyAlignment="1">
      <alignment horizontal="center"/>
    </xf>
    <xf numFmtId="4" fontId="4" fillId="0" borderId="0" xfId="12" applyNumberFormat="1" applyFont="1" applyFill="1" applyBorder="1" applyAlignment="1"/>
    <xf numFmtId="166" fontId="4" fillId="0" borderId="0" xfId="0" applyNumberFormat="1" applyFont="1"/>
    <xf numFmtId="171" fontId="4" fillId="0" borderId="0" xfId="0" applyNumberFormat="1" applyFont="1"/>
    <xf numFmtId="0" fontId="2" fillId="0" borderId="0" xfId="0" applyFont="1" applyAlignment="1">
      <alignment horizontal="right" vertical="center" wrapText="1"/>
    </xf>
    <xf numFmtId="4" fontId="0" fillId="0" borderId="0" xfId="12" applyNumberFormat="1" applyFont="1" applyFill="1" applyAlignment="1"/>
    <xf numFmtId="0" fontId="2" fillId="0" borderId="0" xfId="0" quotePrefix="1" applyFont="1" applyAlignment="1">
      <alignment horizontal="right" vertical="top"/>
    </xf>
    <xf numFmtId="0" fontId="21" fillId="0" borderId="0" xfId="0" applyFont="1"/>
    <xf numFmtId="166" fontId="25" fillId="0" borderId="0" xfId="0" applyNumberFormat="1" applyFont="1"/>
    <xf numFmtId="171" fontId="25" fillId="0" borderId="0" xfId="0" applyNumberFormat="1" applyFont="1"/>
    <xf numFmtId="49" fontId="0" fillId="0" borderId="0" xfId="0" applyNumberFormat="1" applyAlignment="1">
      <alignment horizontal="justify" vertical="top" wrapText="1"/>
    </xf>
    <xf numFmtId="0" fontId="22" fillId="0" borderId="0" xfId="0" applyFont="1" applyAlignment="1">
      <alignment horizontal="justify" vertical="top" wrapText="1"/>
    </xf>
    <xf numFmtId="172" fontId="0" fillId="0" borderId="0" xfId="12" applyNumberFormat="1" applyFont="1" applyAlignment="1"/>
    <xf numFmtId="171" fontId="2" fillId="0" borderId="0" xfId="0" applyNumberFormat="1" applyFont="1"/>
    <xf numFmtId="0" fontId="2" fillId="0" borderId="0" xfId="0" applyFont="1" applyAlignment="1">
      <alignment horizontal="left" vertical="top" wrapText="1"/>
    </xf>
    <xf numFmtId="2" fontId="5" fillId="0" borderId="0" xfId="12" applyNumberFormat="1" applyFont="1" applyFill="1" applyBorder="1" applyAlignment="1"/>
    <xf numFmtId="0" fontId="28" fillId="0" borderId="0" xfId="0" applyFont="1"/>
    <xf numFmtId="0" fontId="24" fillId="0" borderId="0" xfId="0" applyFont="1" applyAlignment="1">
      <alignment horizontal="right" vertical="center"/>
    </xf>
    <xf numFmtId="0" fontId="29" fillId="0" borderId="0" xfId="0" applyFont="1"/>
    <xf numFmtId="0" fontId="28" fillId="0" borderId="0" xfId="0" applyFont="1" applyAlignment="1">
      <alignment horizontal="center"/>
    </xf>
    <xf numFmtId="171" fontId="28" fillId="0" borderId="0" xfId="0" applyNumberFormat="1" applyFont="1"/>
    <xf numFmtId="2" fontId="0" fillId="0" borderId="0" xfId="12" applyNumberFormat="1" applyFont="1" applyFill="1" applyBorder="1" applyAlignment="1"/>
    <xf numFmtId="0" fontId="0" fillId="0" borderId="0" xfId="0" applyAlignment="1">
      <alignment wrapText="1"/>
    </xf>
    <xf numFmtId="0" fontId="5" fillId="0" borderId="0" xfId="12" applyNumberFormat="1" applyFont="1" applyFill="1" applyBorder="1" applyAlignment="1"/>
    <xf numFmtId="43" fontId="0" fillId="0" borderId="0" xfId="12" applyFont="1" applyAlignment="1"/>
    <xf numFmtId="0" fontId="21" fillId="0" borderId="0" xfId="0" applyFont="1" applyAlignment="1">
      <alignment horizontal="center"/>
    </xf>
    <xf numFmtId="43" fontId="25" fillId="0" borderId="0" xfId="12" applyFont="1" applyFill="1" applyBorder="1" applyAlignment="1"/>
    <xf numFmtId="0" fontId="0" fillId="0" borderId="0" xfId="12" applyNumberFormat="1" applyFont="1" applyFill="1" applyBorder="1" applyAlignment="1"/>
    <xf numFmtId="43" fontId="28" fillId="0" borderId="0" xfId="12" applyFont="1" applyFill="1" applyBorder="1" applyAlignment="1"/>
    <xf numFmtId="166" fontId="28" fillId="0" borderId="0" xfId="0" applyNumberFormat="1" applyFont="1"/>
    <xf numFmtId="43" fontId="28" fillId="0" borderId="0" xfId="12" applyFont="1" applyBorder="1" applyAlignment="1"/>
    <xf numFmtId="172" fontId="28" fillId="0" borderId="0" xfId="12" applyNumberFormat="1" applyFont="1" applyBorder="1" applyAlignment="1"/>
    <xf numFmtId="172" fontId="28" fillId="0" borderId="0" xfId="0" applyNumberFormat="1" applyFont="1"/>
    <xf numFmtId="2" fontId="28" fillId="0" borderId="0" xfId="0" applyNumberFormat="1" applyFont="1"/>
    <xf numFmtId="0" fontId="31" fillId="0" borderId="0" xfId="0" applyFont="1"/>
    <xf numFmtId="2" fontId="36" fillId="0" borderId="0" xfId="12" applyNumberFormat="1" applyFont="1" applyFill="1" applyBorder="1" applyAlignment="1"/>
    <xf numFmtId="171" fontId="36" fillId="0" borderId="0" xfId="0" applyNumberFormat="1" applyFont="1"/>
    <xf numFmtId="167" fontId="37" fillId="0" borderId="1" xfId="0" applyNumberFormat="1" applyFont="1" applyBorder="1"/>
    <xf numFmtId="167" fontId="37" fillId="0" borderId="0" xfId="0" applyNumberFormat="1" applyFont="1" applyAlignment="1">
      <alignment horizontal="right"/>
    </xf>
    <xf numFmtId="171" fontId="37" fillId="0" borderId="0" xfId="0" applyNumberFormat="1" applyFont="1" applyAlignment="1">
      <alignment horizontal="right"/>
    </xf>
    <xf numFmtId="4" fontId="0" fillId="0" borderId="0" xfId="12" applyNumberFormat="1" applyFont="1" applyAlignment="1"/>
    <xf numFmtId="0" fontId="32" fillId="0" borderId="0" xfId="0" applyFont="1" applyAlignment="1">
      <alignment horizontal="right" vertical="center"/>
    </xf>
    <xf numFmtId="166" fontId="20" fillId="0" borderId="0" xfId="0" applyNumberFormat="1" applyFont="1"/>
    <xf numFmtId="171" fontId="20" fillId="0" borderId="0" xfId="0" applyNumberFormat="1" applyFont="1"/>
    <xf numFmtId="43" fontId="20" fillId="0" borderId="0" xfId="12" applyFont="1" applyBorder="1" applyAlignment="1"/>
    <xf numFmtId="2" fontId="20" fillId="0" borderId="0" xfId="0" applyNumberFormat="1" applyFont="1"/>
    <xf numFmtId="0" fontId="33" fillId="0" borderId="0" xfId="0" applyFont="1"/>
    <xf numFmtId="2" fontId="33" fillId="0" borderId="0" xfId="0" applyNumberFormat="1" applyFont="1"/>
    <xf numFmtId="0" fontId="8" fillId="0" borderId="0" xfId="0" applyFont="1" applyAlignment="1">
      <alignment horizontal="right" vertical="center"/>
    </xf>
    <xf numFmtId="0" fontId="8" fillId="0" borderId="0" xfId="0" applyFont="1"/>
    <xf numFmtId="166" fontId="34" fillId="0" borderId="0" xfId="0" applyNumberFormat="1" applyFont="1"/>
    <xf numFmtId="171" fontId="34" fillId="0" borderId="0" xfId="0" applyNumberFormat="1" applyFont="1"/>
    <xf numFmtId="43" fontId="34" fillId="0" borderId="0" xfId="12" applyFont="1" applyBorder="1" applyAlignment="1"/>
    <xf numFmtId="0" fontId="24" fillId="0" borderId="1" xfId="0" applyFont="1" applyBorder="1" applyAlignment="1">
      <alignment horizontal="right" vertical="center"/>
    </xf>
    <xf numFmtId="0" fontId="24" fillId="0" borderId="1" xfId="0" applyFont="1" applyBorder="1"/>
    <xf numFmtId="166" fontId="24" fillId="0" borderId="1" xfId="0" applyNumberFormat="1" applyFont="1" applyBorder="1"/>
    <xf numFmtId="171" fontId="24" fillId="0" borderId="1" xfId="0" applyNumberFormat="1" applyFont="1" applyBorder="1"/>
    <xf numFmtId="43" fontId="24" fillId="0" borderId="0" xfId="12" applyFont="1" applyBorder="1" applyAlignment="1"/>
    <xf numFmtId="0" fontId="32" fillId="0" borderId="0" xfId="0" applyFont="1"/>
    <xf numFmtId="166" fontId="32" fillId="0" borderId="0" xfId="0" applyNumberFormat="1" applyFont="1" applyAlignment="1">
      <alignment horizontal="right"/>
    </xf>
    <xf numFmtId="171" fontId="32" fillId="0" borderId="0" xfId="0" applyNumberFormat="1" applyFont="1" applyAlignment="1">
      <alignment horizontal="right"/>
    </xf>
    <xf numFmtId="43" fontId="32" fillId="0" borderId="0" xfId="12" applyFont="1" applyBorder="1" applyAlignment="1"/>
    <xf numFmtId="0" fontId="2" fillId="0" borderId="1" xfId="0" applyFont="1" applyBorder="1" applyAlignment="1">
      <alignment horizontal="right" vertical="center"/>
    </xf>
    <xf numFmtId="0" fontId="0" fillId="0" borderId="1" xfId="0" applyBorder="1"/>
    <xf numFmtId="171" fontId="0" fillId="0" borderId="1" xfId="0" applyNumberFormat="1" applyBorder="1"/>
    <xf numFmtId="2" fontId="21" fillId="0" borderId="0" xfId="0" applyNumberFormat="1" applyFont="1"/>
    <xf numFmtId="0" fontId="8" fillId="0" borderId="17" xfId="0" applyFont="1" applyBorder="1" applyAlignment="1">
      <alignment horizontal="right"/>
    </xf>
    <xf numFmtId="166" fontId="8" fillId="0" borderId="17" xfId="0" applyNumberFormat="1" applyFont="1" applyBorder="1"/>
    <xf numFmtId="171" fontId="8" fillId="0" borderId="17" xfId="0" applyNumberFormat="1" applyFont="1" applyBorder="1"/>
    <xf numFmtId="2" fontId="9" fillId="0" borderId="0" xfId="0" applyNumberFormat="1" applyFont="1"/>
    <xf numFmtId="0" fontId="2" fillId="0" borderId="8" xfId="0" applyFont="1" applyBorder="1" applyAlignment="1">
      <alignment horizontal="right"/>
    </xf>
    <xf numFmtId="166" fontId="2" fillId="0" borderId="8" xfId="0" applyNumberFormat="1" applyFont="1" applyBorder="1"/>
    <xf numFmtId="171" fontId="2" fillId="0" borderId="8" xfId="0" applyNumberFormat="1" applyFont="1" applyBorder="1"/>
    <xf numFmtId="0" fontId="32" fillId="0" borderId="0" xfId="0" applyFont="1" applyAlignment="1">
      <alignment horizontal="right"/>
    </xf>
    <xf numFmtId="171" fontId="32" fillId="0" borderId="0" xfId="0" applyNumberFormat="1" applyFont="1"/>
    <xf numFmtId="165" fontId="3" fillId="0" borderId="18" xfId="0" applyNumberFormat="1" applyFont="1" applyBorder="1"/>
    <xf numFmtId="171" fontId="8" fillId="0" borderId="19" xfId="0" applyNumberFormat="1" applyFont="1" applyBorder="1"/>
    <xf numFmtId="43" fontId="20" fillId="0" borderId="0" xfId="12" applyFont="1" applyAlignment="1"/>
    <xf numFmtId="0" fontId="0" fillId="2" borderId="0" xfId="0" applyFill="1" applyAlignment="1">
      <alignment horizontal="justify" vertical="top" wrapText="1"/>
    </xf>
    <xf numFmtId="0" fontId="17" fillId="0" borderId="5" xfId="0" applyFont="1" applyBorder="1" applyAlignment="1">
      <alignment horizontal="center"/>
    </xf>
    <xf numFmtId="0" fontId="17" fillId="0" borderId="0" xfId="0" applyFont="1" applyAlignment="1">
      <alignment horizontal="center"/>
    </xf>
    <xf numFmtId="0" fontId="17" fillId="0" borderId="6" xfId="0" applyFont="1" applyBorder="1" applyAlignment="1">
      <alignment horizontal="center"/>
    </xf>
    <xf numFmtId="0" fontId="11" fillId="0" borderId="0" xfId="0" applyFont="1"/>
    <xf numFmtId="0" fontId="11" fillId="0" borderId="6" xfId="0" applyFont="1" applyBorder="1"/>
    <xf numFmtId="0" fontId="12" fillId="0" borderId="0" xfId="0" applyFont="1" applyAlignment="1">
      <alignment horizontal="left"/>
    </xf>
    <xf numFmtId="0" fontId="11" fillId="0" borderId="0" xfId="0" applyFont="1" applyAlignment="1">
      <alignment horizontal="center"/>
    </xf>
    <xf numFmtId="0" fontId="19" fillId="0" borderId="0" xfId="0" applyFont="1" applyAlignment="1">
      <alignment horizontal="left"/>
    </xf>
    <xf numFmtId="0" fontId="12" fillId="0" borderId="0" xfId="0" applyFont="1" applyAlignment="1">
      <alignment horizontal="left" wrapText="1"/>
    </xf>
    <xf numFmtId="0" fontId="15" fillId="0" borderId="5" xfId="0" applyFont="1" applyBorder="1" applyAlignment="1">
      <alignment horizontal="center"/>
    </xf>
    <xf numFmtId="0" fontId="15" fillId="0" borderId="0" xfId="0" applyFont="1" applyAlignment="1">
      <alignment horizontal="center"/>
    </xf>
    <xf numFmtId="0" fontId="15" fillId="0" borderId="6" xfId="0" applyFont="1" applyBorder="1" applyAlignment="1">
      <alignment horizontal="center"/>
    </xf>
    <xf numFmtId="0" fontId="2" fillId="0" borderId="1" xfId="0" applyFont="1" applyBorder="1" applyAlignment="1">
      <alignment horizontal="right"/>
    </xf>
    <xf numFmtId="0" fontId="3" fillId="0" borderId="12" xfId="0" applyFont="1" applyBorder="1" applyAlignment="1">
      <alignment horizontal="right"/>
    </xf>
    <xf numFmtId="0" fontId="3" fillId="0" borderId="13" xfId="0" applyFont="1" applyBorder="1" applyAlignment="1">
      <alignment horizontal="right"/>
    </xf>
    <xf numFmtId="0" fontId="8" fillId="0" borderId="10" xfId="0" applyFont="1" applyBorder="1" applyAlignment="1">
      <alignment horizontal="right"/>
    </xf>
    <xf numFmtId="0" fontId="6"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center"/>
    </xf>
    <xf numFmtId="0" fontId="0" fillId="0" borderId="0" xfId="0" applyAlignment="1">
      <alignment horizontal="justify" vertical="top" wrapText="1"/>
    </xf>
    <xf numFmtId="0" fontId="0" fillId="0" borderId="0" xfId="0" quotePrefix="1" applyAlignment="1">
      <alignment horizontal="justify"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22" fillId="0" borderId="0" xfId="0" applyFont="1" applyAlignment="1">
      <alignment horizontal="left" vertical="top" wrapText="1"/>
    </xf>
    <xf numFmtId="0" fontId="24" fillId="0" borderId="1" xfId="0" applyFont="1" applyBorder="1" applyAlignment="1">
      <alignment horizontal="right"/>
    </xf>
    <xf numFmtId="0" fontId="31" fillId="0" borderId="0" xfId="0" applyFont="1" applyAlignment="1">
      <alignment horizontal="justify" vertical="top" wrapText="1"/>
    </xf>
    <xf numFmtId="0" fontId="22" fillId="0" borderId="0" xfId="0" applyFont="1" applyAlignment="1">
      <alignment horizontal="justify" vertical="top" wrapText="1"/>
    </xf>
    <xf numFmtId="0" fontId="30" fillId="0" borderId="0" xfId="0" applyFont="1" applyAlignment="1">
      <alignment horizontal="center"/>
    </xf>
    <xf numFmtId="0" fontId="0" fillId="3" borderId="0" xfId="0" applyFill="1" applyAlignment="1">
      <alignment horizontal="justify" vertical="top" wrapText="1"/>
    </xf>
    <xf numFmtId="4" fontId="28" fillId="0" borderId="0" xfId="12" applyNumberFormat="1" applyFont="1" applyFill="1" applyBorder="1" applyAlignment="1"/>
    <xf numFmtId="4" fontId="28" fillId="0" borderId="0" xfId="0" applyNumberFormat="1" applyFont="1" applyAlignment="1">
      <alignment horizontal="right"/>
    </xf>
    <xf numFmtId="2" fontId="1" fillId="0" borderId="0" xfId="12" applyNumberFormat="1" applyFont="1" applyFill="1" applyBorder="1" applyAlignment="1"/>
    <xf numFmtId="0" fontId="0" fillId="0" borderId="0" xfId="0" quotePrefix="1" applyAlignment="1">
      <alignment horizontal="left"/>
    </xf>
    <xf numFmtId="4" fontId="1" fillId="0" borderId="0" xfId="12" applyNumberFormat="1" applyFont="1" applyFill="1" applyBorder="1" applyAlignment="1"/>
  </cellXfs>
  <cellStyles count="17">
    <cellStyle name="A4 Small 210 x 297 mm" xfId="1" xr:uid="{00000000-0005-0000-0000-000000000000}"/>
    <cellStyle name="Comma" xfId="11" builtinId="3"/>
    <cellStyle name="Comma 3" xfId="2" xr:uid="{00000000-0005-0000-0000-000001000000}"/>
    <cellStyle name="Comma 39" xfId="3" xr:uid="{00000000-0005-0000-0000-000002000000}"/>
    <cellStyle name="Excel Built-in Normal" xfId="4" xr:uid="{00000000-0005-0000-0000-000003000000}"/>
    <cellStyle name="Normal" xfId="0" builtinId="0"/>
    <cellStyle name="Normal 13" xfId="16" xr:uid="{00000000-0005-0000-0000-000004000000}"/>
    <cellStyle name="Normal 2" xfId="5" xr:uid="{00000000-0005-0000-0000-000005000000}"/>
    <cellStyle name="Normal 2 2" xfId="6" xr:uid="{00000000-0005-0000-0000-000006000000}"/>
    <cellStyle name="Normal 2 2 2" xfId="7" xr:uid="{00000000-0005-0000-0000-000007000000}"/>
    <cellStyle name="Normal 8" xfId="8" xr:uid="{00000000-0005-0000-0000-000008000000}"/>
    <cellStyle name="Normalno 2" xfId="9" xr:uid="{00000000-0005-0000-0000-00000C000000}"/>
    <cellStyle name="Normalno 3" xfId="10" xr:uid="{00000000-0005-0000-0000-00000D000000}"/>
    <cellStyle name="Zarez 2" xfId="12" xr:uid="{00000000-0005-0000-0000-00000F000000}"/>
    <cellStyle name="Zarez 2 2" xfId="13" xr:uid="{00000000-0005-0000-0000-000010000000}"/>
    <cellStyle name="Zarez 3" xfId="14" xr:uid="{00000000-0005-0000-0000-000011000000}"/>
    <cellStyle name="Zarez 4" xfId="15"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2524125</xdr:colOff>
      <xdr:row>41</xdr:row>
      <xdr:rowOff>19050</xdr:rowOff>
    </xdr:from>
    <xdr:to>
      <xdr:col>5</xdr:col>
      <xdr:colOff>66675</xdr:colOff>
      <xdr:row>46</xdr:row>
      <xdr:rowOff>66675</xdr:rowOff>
    </xdr:to>
    <xdr:pic>
      <xdr:nvPicPr>
        <xdr:cNvPr id="2057" name="Slika 1">
          <a:extLst>
            <a:ext uri="{FF2B5EF4-FFF2-40B4-BE49-F238E27FC236}">
              <a16:creationId xmlns:a16="http://schemas.microsoft.com/office/drawing/2014/main" id="{00000000-0008-0000-0200-000009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1950" y="7029450"/>
          <a:ext cx="15525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2514600</xdr:colOff>
      <xdr:row>46</xdr:row>
      <xdr:rowOff>57150</xdr:rowOff>
    </xdr:from>
    <xdr:to>
      <xdr:col>5</xdr:col>
      <xdr:colOff>104775</xdr:colOff>
      <xdr:row>50</xdr:row>
      <xdr:rowOff>142875</xdr:rowOff>
    </xdr:to>
    <xdr:pic>
      <xdr:nvPicPr>
        <xdr:cNvPr id="2058" name="Slika 1">
          <a:extLst>
            <a:ext uri="{FF2B5EF4-FFF2-40B4-BE49-F238E27FC236}">
              <a16:creationId xmlns:a16="http://schemas.microsoft.com/office/drawing/2014/main" id="{00000000-0008-0000-0200-00000A08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7877175"/>
          <a:ext cx="16002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P64"/>
  <sheetViews>
    <sheetView zoomScaleNormal="100" zoomScaleSheetLayoutView="145" workbookViewId="0">
      <selection activeCell="A59" sqref="A59:F59"/>
    </sheetView>
  </sheetViews>
  <sheetFormatPr defaultColWidth="9.1796875" defaultRowHeight="13.5" x14ac:dyDescent="0.3"/>
  <cols>
    <col min="1" max="1" width="7.453125" style="23" customWidth="1"/>
    <col min="2" max="2" width="17.26953125" style="23" customWidth="1"/>
    <col min="3" max="3" width="48.7265625" style="23" customWidth="1"/>
    <col min="4" max="4" width="4" style="23" customWidth="1"/>
    <col min="5" max="5" width="7.453125" style="23" customWidth="1"/>
    <col min="6" max="6" width="8.81640625" style="23" customWidth="1"/>
    <col min="7" max="16384" width="9.1796875" style="23"/>
  </cols>
  <sheetData>
    <row r="1" spans="1:16" x14ac:dyDescent="0.3">
      <c r="A1" s="22"/>
      <c r="B1" s="22"/>
      <c r="D1" s="24"/>
      <c r="E1" s="25"/>
      <c r="F1" s="26"/>
      <c r="I1" s="27"/>
    </row>
    <row r="2" spans="1:16" x14ac:dyDescent="0.3">
      <c r="A2" s="22"/>
      <c r="B2" s="22"/>
      <c r="D2" s="24"/>
      <c r="E2" s="25"/>
      <c r="F2" s="26"/>
      <c r="I2" s="27"/>
    </row>
    <row r="3" spans="1:16" x14ac:dyDescent="0.3">
      <c r="A3" s="22"/>
      <c r="B3" s="22"/>
      <c r="D3" s="24"/>
      <c r="E3" s="25"/>
      <c r="F3" s="26"/>
      <c r="I3" s="27"/>
    </row>
    <row r="4" spans="1:16" x14ac:dyDescent="0.3">
      <c r="A4" s="28" t="s">
        <v>15</v>
      </c>
      <c r="C4" s="23" t="s">
        <v>16</v>
      </c>
      <c r="E4" s="25"/>
      <c r="F4" s="26"/>
    </row>
    <row r="5" spans="1:16" x14ac:dyDescent="0.3">
      <c r="C5" s="23" t="s">
        <v>17</v>
      </c>
      <c r="E5" s="25"/>
      <c r="F5" s="26"/>
    </row>
    <row r="6" spans="1:16" x14ac:dyDescent="0.3">
      <c r="A6" s="22"/>
      <c r="B6" s="22"/>
      <c r="D6" s="24"/>
      <c r="E6" s="25"/>
      <c r="F6" s="26"/>
      <c r="I6" s="27"/>
    </row>
    <row r="7" spans="1:16" x14ac:dyDescent="0.3">
      <c r="A7" s="22"/>
      <c r="B7" s="22"/>
      <c r="D7" s="24"/>
      <c r="E7" s="25"/>
      <c r="F7" s="26"/>
      <c r="I7" s="27"/>
    </row>
    <row r="8" spans="1:16" x14ac:dyDescent="0.3">
      <c r="A8" s="22"/>
      <c r="B8" s="22"/>
      <c r="D8" s="24"/>
      <c r="E8" s="25"/>
      <c r="F8" s="26"/>
      <c r="I8" s="27"/>
    </row>
    <row r="9" spans="1:16" x14ac:dyDescent="0.3">
      <c r="A9" s="192" t="s">
        <v>18</v>
      </c>
      <c r="B9" s="192"/>
      <c r="C9" s="23" t="s">
        <v>28</v>
      </c>
      <c r="D9" s="29"/>
      <c r="E9" s="29"/>
      <c r="F9" s="29"/>
    </row>
    <row r="10" spans="1:16" ht="27" x14ac:dyDescent="0.3">
      <c r="A10" s="30"/>
      <c r="B10" s="30"/>
      <c r="C10" s="48" t="s">
        <v>29</v>
      </c>
      <c r="D10" s="29"/>
      <c r="E10" s="29"/>
      <c r="F10" s="29"/>
    </row>
    <row r="11" spans="1:16" x14ac:dyDescent="0.3">
      <c r="A11" s="22"/>
      <c r="B11" s="22"/>
      <c r="D11" s="24"/>
      <c r="E11" s="25"/>
      <c r="F11" s="26"/>
      <c r="I11" s="27"/>
    </row>
    <row r="12" spans="1:16" x14ac:dyDescent="0.3">
      <c r="A12" s="22"/>
      <c r="B12" s="22"/>
      <c r="D12" s="24"/>
      <c r="E12" s="25"/>
      <c r="F12" s="26"/>
      <c r="I12" s="27"/>
    </row>
    <row r="13" spans="1:16" x14ac:dyDescent="0.3">
      <c r="A13" s="22"/>
      <c r="B13" s="22"/>
      <c r="D13" s="24"/>
      <c r="E13" s="25"/>
      <c r="F13" s="26"/>
      <c r="I13" s="27"/>
    </row>
    <row r="14" spans="1:16" ht="15.5" x14ac:dyDescent="0.35">
      <c r="A14" s="192" t="s">
        <v>19</v>
      </c>
      <c r="B14" s="192"/>
      <c r="C14" s="23" t="s">
        <v>22</v>
      </c>
      <c r="E14" s="25"/>
      <c r="F14" s="26"/>
      <c r="P14" s="31"/>
    </row>
    <row r="15" spans="1:16" x14ac:dyDescent="0.3">
      <c r="A15" s="32"/>
      <c r="B15" s="32"/>
      <c r="C15" s="194" t="s">
        <v>23</v>
      </c>
      <c r="D15" s="194"/>
      <c r="E15" s="194"/>
      <c r="F15" s="194"/>
    </row>
    <row r="16" spans="1:16" x14ac:dyDescent="0.3">
      <c r="A16" s="22"/>
      <c r="B16" s="22"/>
      <c r="D16" s="24"/>
      <c r="E16" s="25"/>
      <c r="F16" s="26"/>
      <c r="I16" s="27"/>
    </row>
    <row r="17" spans="1:9" x14ac:dyDescent="0.3">
      <c r="A17" s="22"/>
      <c r="B17" s="22"/>
      <c r="D17" s="24"/>
      <c r="E17" s="25"/>
      <c r="F17" s="26"/>
      <c r="I17" s="27"/>
    </row>
    <row r="18" spans="1:9" x14ac:dyDescent="0.3">
      <c r="A18" s="22"/>
      <c r="B18" s="22"/>
      <c r="D18" s="24"/>
      <c r="E18" s="25"/>
      <c r="F18" s="26"/>
      <c r="I18" s="27"/>
    </row>
    <row r="19" spans="1:9" x14ac:dyDescent="0.3">
      <c r="A19" s="195" t="s">
        <v>20</v>
      </c>
      <c r="B19" s="195"/>
      <c r="C19" s="23" t="s">
        <v>30</v>
      </c>
      <c r="E19" s="25"/>
      <c r="F19" s="26"/>
    </row>
    <row r="20" spans="1:9" x14ac:dyDescent="0.3">
      <c r="A20" s="37"/>
      <c r="B20" s="37"/>
      <c r="E20" s="25"/>
      <c r="F20" s="26"/>
    </row>
    <row r="21" spans="1:9" x14ac:dyDescent="0.3">
      <c r="A21" s="37"/>
      <c r="B21" s="37"/>
      <c r="E21" s="25"/>
      <c r="F21" s="26"/>
    </row>
    <row r="22" spans="1:9" x14ac:dyDescent="0.3">
      <c r="A22" s="37"/>
      <c r="B22" s="37"/>
      <c r="E22" s="25"/>
      <c r="F22" s="26"/>
    </row>
    <row r="23" spans="1:9" x14ac:dyDescent="0.3">
      <c r="A23" s="192"/>
      <c r="B23" s="192"/>
      <c r="E23" s="26"/>
    </row>
    <row r="24" spans="1:9" x14ac:dyDescent="0.3">
      <c r="A24" s="22"/>
      <c r="B24" s="22"/>
      <c r="D24" s="24"/>
      <c r="E24" s="25"/>
      <c r="F24" s="26"/>
      <c r="I24" s="27"/>
    </row>
    <row r="25" spans="1:9" x14ac:dyDescent="0.3">
      <c r="A25" s="22"/>
      <c r="B25" s="22"/>
      <c r="D25" s="24"/>
      <c r="E25" s="25"/>
      <c r="F25" s="26"/>
      <c r="I25" s="27"/>
    </row>
    <row r="26" spans="1:9" x14ac:dyDescent="0.3">
      <c r="A26" s="22"/>
      <c r="B26" s="22"/>
      <c r="D26" s="24"/>
      <c r="E26" s="25"/>
      <c r="F26" s="26"/>
      <c r="I26" s="27"/>
    </row>
    <row r="27" spans="1:9" x14ac:dyDescent="0.3">
      <c r="A27" s="22"/>
      <c r="B27" s="22"/>
      <c r="D27" s="24"/>
      <c r="E27" s="25"/>
      <c r="F27" s="26"/>
      <c r="I27" s="27"/>
    </row>
    <row r="28" spans="1:9" x14ac:dyDescent="0.3">
      <c r="A28" s="22"/>
      <c r="B28" s="22"/>
      <c r="D28" s="24"/>
      <c r="E28" s="25"/>
      <c r="F28" s="26"/>
      <c r="I28" s="27"/>
    </row>
    <row r="29" spans="1:9" x14ac:dyDescent="0.3">
      <c r="A29" s="22"/>
      <c r="B29" s="38"/>
      <c r="C29" s="39"/>
      <c r="D29" s="40"/>
      <c r="E29" s="41"/>
      <c r="F29" s="26"/>
      <c r="I29" s="33"/>
    </row>
    <row r="30" spans="1:9" ht="19.5" x14ac:dyDescent="0.35">
      <c r="A30" s="22"/>
      <c r="B30" s="196" t="s">
        <v>21</v>
      </c>
      <c r="C30" s="197"/>
      <c r="D30" s="197"/>
      <c r="E30" s="198"/>
      <c r="F30" s="26"/>
    </row>
    <row r="31" spans="1:9" ht="12.75" customHeight="1" x14ac:dyDescent="0.35">
      <c r="A31" s="22"/>
      <c r="B31" s="42"/>
      <c r="C31" s="34"/>
      <c r="D31" s="34"/>
      <c r="E31" s="43"/>
      <c r="F31" s="26"/>
      <c r="I31" s="35"/>
    </row>
    <row r="32" spans="1:9" ht="18" customHeight="1" x14ac:dyDescent="0.3">
      <c r="A32" s="22"/>
      <c r="B32" s="187" t="s">
        <v>27</v>
      </c>
      <c r="C32" s="188"/>
      <c r="D32" s="188"/>
      <c r="E32" s="189"/>
      <c r="F32" s="26"/>
    </row>
    <row r="33" spans="1:9" ht="15" x14ac:dyDescent="0.3">
      <c r="A33" s="22"/>
      <c r="B33" s="42"/>
      <c r="C33" s="188"/>
      <c r="D33" s="190"/>
      <c r="E33" s="191"/>
      <c r="F33" s="26"/>
    </row>
    <row r="34" spans="1:9" x14ac:dyDescent="0.3">
      <c r="A34" s="22"/>
      <c r="B34" s="44"/>
      <c r="C34" s="45"/>
      <c r="D34" s="46"/>
      <c r="E34" s="47"/>
      <c r="F34" s="26"/>
      <c r="I34" s="33"/>
    </row>
    <row r="35" spans="1:9" x14ac:dyDescent="0.3">
      <c r="A35" s="22"/>
      <c r="B35" s="22"/>
      <c r="D35" s="24"/>
      <c r="E35" s="25"/>
      <c r="F35" s="26"/>
      <c r="I35" s="36"/>
    </row>
    <row r="36" spans="1:9" x14ac:dyDescent="0.3">
      <c r="A36" s="22"/>
      <c r="B36" s="22"/>
      <c r="D36" s="24"/>
      <c r="E36" s="25"/>
      <c r="F36" s="26"/>
      <c r="I36" s="36"/>
    </row>
    <row r="37" spans="1:9" x14ac:dyDescent="0.3">
      <c r="A37" s="22"/>
      <c r="B37" s="22"/>
      <c r="D37" s="24"/>
      <c r="E37" s="25"/>
      <c r="F37" s="26"/>
      <c r="I37" s="36"/>
    </row>
    <row r="38" spans="1:9" x14ac:dyDescent="0.3">
      <c r="A38" s="22"/>
      <c r="B38" s="22"/>
      <c r="D38" s="24"/>
      <c r="E38" s="25"/>
      <c r="F38" s="26"/>
      <c r="I38" s="36"/>
    </row>
    <row r="39" spans="1:9" x14ac:dyDescent="0.3">
      <c r="A39" s="22"/>
      <c r="B39" s="22"/>
      <c r="D39" s="24"/>
      <c r="E39" s="25"/>
      <c r="F39" s="26"/>
      <c r="I39" s="36"/>
    </row>
    <row r="40" spans="1:9" x14ac:dyDescent="0.3">
      <c r="A40" s="22"/>
      <c r="B40" s="22"/>
      <c r="D40" s="24"/>
      <c r="E40" s="25"/>
      <c r="F40" s="26"/>
      <c r="I40" s="36"/>
    </row>
    <row r="41" spans="1:9" x14ac:dyDescent="0.3">
      <c r="A41" s="22"/>
      <c r="B41" s="22"/>
      <c r="D41" s="24"/>
      <c r="E41" s="25"/>
      <c r="F41" s="26"/>
      <c r="I41" s="36"/>
    </row>
    <row r="42" spans="1:9" x14ac:dyDescent="0.3">
      <c r="A42" s="22"/>
      <c r="B42" s="22"/>
      <c r="D42" s="24"/>
      <c r="E42" s="25"/>
      <c r="F42" s="26"/>
      <c r="I42" s="36"/>
    </row>
    <row r="43" spans="1:9" x14ac:dyDescent="0.3">
      <c r="A43" s="22"/>
      <c r="B43" s="22"/>
      <c r="D43" s="24"/>
      <c r="E43" s="25"/>
      <c r="F43" s="26"/>
      <c r="I43" s="36"/>
    </row>
    <row r="44" spans="1:9" x14ac:dyDescent="0.3">
      <c r="A44" s="22"/>
      <c r="B44" s="22"/>
      <c r="D44" s="24"/>
      <c r="E44" s="25"/>
      <c r="F44" s="26"/>
      <c r="I44" s="36"/>
    </row>
    <row r="46" spans="1:9" x14ac:dyDescent="0.3">
      <c r="A46" s="22"/>
      <c r="B46" s="22"/>
      <c r="C46" s="22"/>
      <c r="D46" s="25"/>
      <c r="G46" s="36"/>
    </row>
    <row r="47" spans="1:9" x14ac:dyDescent="0.3">
      <c r="A47" s="22"/>
      <c r="B47" s="22"/>
      <c r="D47" s="24"/>
      <c r="E47" s="25"/>
      <c r="F47" s="26"/>
      <c r="I47" s="36"/>
    </row>
    <row r="48" spans="1:9" x14ac:dyDescent="0.3">
      <c r="A48" s="22"/>
      <c r="B48" s="22"/>
      <c r="D48" s="24"/>
      <c r="E48" s="25"/>
      <c r="F48" s="26"/>
      <c r="I48" s="36"/>
    </row>
    <row r="49" spans="1:9" x14ac:dyDescent="0.3">
      <c r="A49" s="22"/>
      <c r="B49" s="22"/>
      <c r="D49" s="24"/>
      <c r="E49" s="25"/>
      <c r="F49" s="26"/>
      <c r="I49" s="36"/>
    </row>
    <row r="50" spans="1:9" x14ac:dyDescent="0.3">
      <c r="A50" s="22"/>
      <c r="B50" s="22"/>
      <c r="D50" s="24"/>
      <c r="E50" s="25"/>
      <c r="F50" s="26"/>
      <c r="I50" s="36"/>
    </row>
    <row r="51" spans="1:9" x14ac:dyDescent="0.3">
      <c r="A51" s="22"/>
      <c r="B51" s="22"/>
      <c r="D51" s="24"/>
      <c r="E51" s="25"/>
      <c r="F51" s="26"/>
      <c r="I51" s="36"/>
    </row>
    <row r="52" spans="1:9" x14ac:dyDescent="0.3">
      <c r="A52" s="22"/>
      <c r="B52" s="22"/>
      <c r="D52" s="24"/>
      <c r="E52" s="25"/>
      <c r="F52" s="26"/>
      <c r="I52" s="36"/>
    </row>
    <row r="53" spans="1:9" x14ac:dyDescent="0.3">
      <c r="A53" s="22"/>
      <c r="B53" s="22"/>
      <c r="D53" s="24"/>
      <c r="E53" s="25"/>
      <c r="F53" s="26"/>
      <c r="I53" s="36"/>
    </row>
    <row r="54" spans="1:9" x14ac:dyDescent="0.3">
      <c r="A54" s="22"/>
      <c r="B54" s="22"/>
      <c r="D54" s="24"/>
      <c r="E54" s="25"/>
      <c r="F54" s="26"/>
      <c r="I54" s="36"/>
    </row>
    <row r="55" spans="1:9" x14ac:dyDescent="0.3">
      <c r="A55" s="22"/>
      <c r="B55" s="22"/>
      <c r="D55" s="24"/>
      <c r="E55" s="25"/>
      <c r="F55" s="26"/>
      <c r="I55" s="36"/>
    </row>
    <row r="56" spans="1:9" x14ac:dyDescent="0.3">
      <c r="A56" s="22"/>
      <c r="B56" s="22"/>
      <c r="D56" s="24"/>
      <c r="E56" s="25"/>
      <c r="F56" s="26"/>
      <c r="I56" s="36"/>
    </row>
    <row r="57" spans="1:9" x14ac:dyDescent="0.3">
      <c r="A57" s="22"/>
      <c r="B57" s="22"/>
      <c r="D57" s="24"/>
      <c r="E57" s="25"/>
      <c r="F57" s="26"/>
      <c r="I57" s="36"/>
    </row>
    <row r="58" spans="1:9" x14ac:dyDescent="0.3">
      <c r="A58" s="22"/>
      <c r="B58" s="22"/>
      <c r="D58" s="24"/>
      <c r="E58" s="25"/>
      <c r="F58" s="26"/>
      <c r="I58" s="36"/>
    </row>
    <row r="59" spans="1:9" x14ac:dyDescent="0.3">
      <c r="A59" s="193"/>
      <c r="B59" s="193"/>
      <c r="C59" s="193"/>
      <c r="D59" s="193"/>
      <c r="E59" s="190"/>
      <c r="F59" s="190"/>
      <c r="I59" s="27"/>
    </row>
    <row r="64" spans="1:9" x14ac:dyDescent="0.3">
      <c r="A64" s="193"/>
      <c r="B64" s="193"/>
      <c r="C64" s="193"/>
      <c r="D64" s="193"/>
      <c r="E64" s="190"/>
      <c r="F64" s="190"/>
    </row>
  </sheetData>
  <mergeCells count="10">
    <mergeCell ref="A9:B9"/>
    <mergeCell ref="A14:B14"/>
    <mergeCell ref="C15:F15"/>
    <mergeCell ref="A19:B19"/>
    <mergeCell ref="B30:E30"/>
    <mergeCell ref="B32:E32"/>
    <mergeCell ref="C33:E33"/>
    <mergeCell ref="A23:B23"/>
    <mergeCell ref="A59:F59"/>
    <mergeCell ref="A64:F64"/>
  </mergeCells>
  <pageMargins left="0.78740157480314965" right="0.19685039370078741" top="0.31496062992125984" bottom="0.6692913385826772" header="0.31496062992125984" footer="0.39370078740157483"/>
  <pageSetup paperSize="9" firstPageNumber="4294967295" fitToHeight="0"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2:F42"/>
  <sheetViews>
    <sheetView zoomScaleNormal="100" zoomScaleSheetLayoutView="100" workbookViewId="0">
      <selection activeCell="C8" sqref="C8"/>
    </sheetView>
  </sheetViews>
  <sheetFormatPr defaultRowHeight="12.5" x14ac:dyDescent="0.25"/>
  <cols>
    <col min="1" max="1" width="4.26953125" style="19" customWidth="1"/>
    <col min="2" max="2" width="64.26953125" customWidth="1"/>
    <col min="3" max="3" width="25.7265625" style="16" customWidth="1"/>
    <col min="6" max="6" width="13.453125" style="3" customWidth="1"/>
  </cols>
  <sheetData>
    <row r="2" spans="1:6" x14ac:dyDescent="0.25">
      <c r="A2" s="14"/>
      <c r="B2" s="15"/>
    </row>
    <row r="3" spans="1:6" s="17" customFormat="1" ht="20" x14ac:dyDescent="0.4">
      <c r="A3" s="203" t="s">
        <v>10</v>
      </c>
      <c r="B3" s="204"/>
      <c r="C3" s="204"/>
    </row>
    <row r="4" spans="1:6" x14ac:dyDescent="0.25">
      <c r="A4" s="18"/>
      <c r="F4" s="2"/>
    </row>
    <row r="5" spans="1:6" x14ac:dyDescent="0.25">
      <c r="A5" s="18"/>
      <c r="F5" s="2"/>
    </row>
    <row r="6" spans="1:6" x14ac:dyDescent="0.25">
      <c r="A6" s="18"/>
      <c r="F6" s="2"/>
    </row>
    <row r="7" spans="1:6" x14ac:dyDescent="0.25">
      <c r="A7" s="18"/>
      <c r="F7" s="2"/>
    </row>
    <row r="8" spans="1:6" ht="13" x14ac:dyDescent="0.3">
      <c r="A8" s="5" t="s">
        <v>1</v>
      </c>
      <c r="B8" s="13" t="s">
        <v>9</v>
      </c>
      <c r="C8" s="49" t="e">
        <f>'01 GiO-rekap'!D40</f>
        <v>#REF!</v>
      </c>
      <c r="F8" s="7"/>
    </row>
    <row r="9" spans="1:6" ht="13" x14ac:dyDescent="0.3">
      <c r="A9" s="11"/>
      <c r="B9" s="12"/>
      <c r="C9" s="50"/>
      <c r="F9" s="7"/>
    </row>
    <row r="10" spans="1:6" ht="13" x14ac:dyDescent="0.3">
      <c r="A10" s="8"/>
      <c r="B10" s="9"/>
      <c r="C10" s="51"/>
      <c r="F10" s="7"/>
    </row>
    <row r="11" spans="1:6" x14ac:dyDescent="0.25">
      <c r="A11" s="18"/>
      <c r="C11" s="51"/>
      <c r="F11" s="2"/>
    </row>
    <row r="12" spans="1:6" ht="13" x14ac:dyDescent="0.3">
      <c r="A12" s="5" t="s">
        <v>2</v>
      </c>
      <c r="B12" s="6" t="s">
        <v>8</v>
      </c>
      <c r="C12" s="49" t="e">
        <f>#REF!</f>
        <v>#REF!</v>
      </c>
      <c r="F12" s="7"/>
    </row>
    <row r="13" spans="1:6" ht="13" x14ac:dyDescent="0.3">
      <c r="A13" s="11"/>
      <c r="B13" s="12"/>
      <c r="C13" s="50"/>
      <c r="F13" s="7"/>
    </row>
    <row r="14" spans="1:6" ht="13" x14ac:dyDescent="0.3">
      <c r="A14" s="8"/>
      <c r="B14" s="9"/>
      <c r="C14" s="51"/>
      <c r="F14" s="7"/>
    </row>
    <row r="15" spans="1:6" ht="13" x14ac:dyDescent="0.3">
      <c r="C15" s="51"/>
      <c r="F15" s="7"/>
    </row>
    <row r="16" spans="1:6" ht="13" x14ac:dyDescent="0.3">
      <c r="A16" s="5" t="s">
        <v>3</v>
      </c>
      <c r="B16" s="13" t="s">
        <v>13</v>
      </c>
      <c r="C16" s="52" t="e">
        <f>#REF!+#REF!</f>
        <v>#REF!</v>
      </c>
      <c r="F16" s="7"/>
    </row>
    <row r="17" spans="1:6" ht="13" x14ac:dyDescent="0.3">
      <c r="A17" s="11"/>
      <c r="B17" s="12"/>
      <c r="C17" s="50"/>
      <c r="F17" s="7"/>
    </row>
    <row r="18" spans="1:6" ht="13" x14ac:dyDescent="0.3">
      <c r="A18" s="8"/>
      <c r="B18" s="9"/>
      <c r="C18" s="51"/>
      <c r="F18" s="7"/>
    </row>
    <row r="19" spans="1:6" ht="13" x14ac:dyDescent="0.3">
      <c r="C19" s="51"/>
      <c r="F19" s="7"/>
    </row>
    <row r="20" spans="1:6" ht="13" x14ac:dyDescent="0.3">
      <c r="A20" s="5" t="s">
        <v>4</v>
      </c>
      <c r="B20" s="13" t="s">
        <v>12</v>
      </c>
      <c r="C20" s="52" t="e">
        <f>#REF!</f>
        <v>#REF!</v>
      </c>
      <c r="F20" s="7"/>
    </row>
    <row r="21" spans="1:6" ht="13" x14ac:dyDescent="0.3">
      <c r="A21" s="11"/>
      <c r="B21" s="12"/>
      <c r="C21" s="50"/>
      <c r="F21" s="7"/>
    </row>
    <row r="22" spans="1:6" ht="13" x14ac:dyDescent="0.3">
      <c r="A22" s="8"/>
      <c r="B22" s="9"/>
      <c r="C22" s="51"/>
      <c r="F22" s="7"/>
    </row>
    <row r="23" spans="1:6" x14ac:dyDescent="0.25">
      <c r="C23" s="51"/>
      <c r="F23" s="2"/>
    </row>
    <row r="24" spans="1:6" ht="13" x14ac:dyDescent="0.3">
      <c r="A24" s="5" t="s">
        <v>5</v>
      </c>
      <c r="B24" s="13" t="s">
        <v>14</v>
      </c>
      <c r="C24" s="52" t="e">
        <f>#REF!</f>
        <v>#REF!</v>
      </c>
      <c r="F24" s="7"/>
    </row>
    <row r="25" spans="1:6" ht="13" x14ac:dyDescent="0.3">
      <c r="A25" s="11"/>
      <c r="B25" s="12"/>
      <c r="C25" s="50"/>
      <c r="F25" s="7"/>
    </row>
    <row r="26" spans="1:6" ht="13" x14ac:dyDescent="0.3">
      <c r="A26" s="8"/>
      <c r="B26" s="9"/>
      <c r="C26" s="51"/>
      <c r="F26" s="7"/>
    </row>
    <row r="27" spans="1:6" x14ac:dyDescent="0.25">
      <c r="C27" s="51"/>
      <c r="F27" s="2"/>
    </row>
    <row r="28" spans="1:6" ht="13" x14ac:dyDescent="0.3">
      <c r="A28" s="5" t="s">
        <v>11</v>
      </c>
      <c r="B28" s="13" t="s">
        <v>26</v>
      </c>
      <c r="C28" s="52" t="e">
        <f>#REF!</f>
        <v>#REF!</v>
      </c>
      <c r="F28" s="7"/>
    </row>
    <row r="29" spans="1:6" ht="13" x14ac:dyDescent="0.3">
      <c r="A29" s="11"/>
      <c r="B29" s="12"/>
      <c r="C29" s="50"/>
      <c r="F29" s="7"/>
    </row>
    <row r="30" spans="1:6" ht="13" x14ac:dyDescent="0.3">
      <c r="A30" s="8"/>
      <c r="B30" s="9"/>
      <c r="C30" s="51"/>
      <c r="F30" s="7"/>
    </row>
    <row r="31" spans="1:6" x14ac:dyDescent="0.25">
      <c r="C31" s="51"/>
      <c r="F31" s="2"/>
    </row>
    <row r="32" spans="1:6" ht="13" x14ac:dyDescent="0.3">
      <c r="A32" s="5" t="s">
        <v>25</v>
      </c>
      <c r="B32" s="13" t="s">
        <v>24</v>
      </c>
      <c r="C32" s="52" t="e">
        <f>#REF!</f>
        <v>#REF!</v>
      </c>
      <c r="F32" s="7"/>
    </row>
    <row r="33" spans="1:6" ht="13" x14ac:dyDescent="0.3">
      <c r="A33" s="11"/>
      <c r="B33" s="12"/>
      <c r="C33" s="50"/>
      <c r="F33" s="7"/>
    </row>
    <row r="34" spans="1:6" ht="13" x14ac:dyDescent="0.3">
      <c r="A34" s="8"/>
      <c r="B34" s="9"/>
      <c r="C34" s="51"/>
      <c r="F34" s="7"/>
    </row>
    <row r="35" spans="1:6" ht="13" x14ac:dyDescent="0.3">
      <c r="A35" s="8"/>
      <c r="B35" s="9"/>
      <c r="C35" s="51"/>
      <c r="F35" s="7"/>
    </row>
    <row r="36" spans="1:6" ht="13" thickBot="1" x14ac:dyDescent="0.3">
      <c r="A36" s="18"/>
      <c r="C36" s="51"/>
      <c r="F36" s="2"/>
    </row>
    <row r="37" spans="1:6" s="20" customFormat="1" ht="16" thickBot="1" x14ac:dyDescent="0.4">
      <c r="A37" s="202" t="s">
        <v>0</v>
      </c>
      <c r="B37" s="202"/>
      <c r="C37" s="53" t="e">
        <f>SUM(C8:C36)</f>
        <v>#REF!</v>
      </c>
    </row>
    <row r="38" spans="1:6" s="20" customFormat="1" ht="15.5" x14ac:dyDescent="0.35">
      <c r="A38" s="21"/>
      <c r="B38" s="21"/>
      <c r="C38" s="54"/>
    </row>
    <row r="39" spans="1:6" ht="13" x14ac:dyDescent="0.3">
      <c r="A39" s="199" t="s">
        <v>7</v>
      </c>
      <c r="B39" s="199"/>
      <c r="C39" s="55" t="e">
        <f>C37*0.25</f>
        <v>#REF!</v>
      </c>
      <c r="F39"/>
    </row>
    <row r="40" spans="1:6" ht="13.5" thickBot="1" x14ac:dyDescent="0.35">
      <c r="A40" s="4"/>
      <c r="B40" s="1"/>
      <c r="C40" s="56"/>
      <c r="F40" s="1"/>
    </row>
    <row r="41" spans="1:6" s="10" customFormat="1" ht="19" thickTop="1" thickBot="1" x14ac:dyDescent="0.45">
      <c r="A41" s="200" t="s">
        <v>6</v>
      </c>
      <c r="B41" s="201"/>
      <c r="C41" s="57" t="e">
        <f>C37+C39</f>
        <v>#REF!</v>
      </c>
    </row>
    <row r="42" spans="1:6" ht="13" thickTop="1" x14ac:dyDescent="0.25"/>
  </sheetData>
  <mergeCells count="4">
    <mergeCell ref="A39:B39"/>
    <mergeCell ref="A41:B41"/>
    <mergeCell ref="A37:B37"/>
    <mergeCell ref="A3:C3"/>
  </mergeCells>
  <phoneticPr fontId="0" type="noConversion"/>
  <pageMargins left="0.78740157480314965" right="0.19685039370078741" top="0.9055118110236221" bottom="0.78740157480314965" header="0.35433070866141736" footer="0.39370078740157483"/>
  <pageSetup paperSize="9" orientation="portrait" r:id="rId1"/>
  <headerFooter>
    <oddHeader>&amp;L&amp;"Verdana,Uobičajeno"&amp;9GRAĐEVINA: Poslovna zgrada - cjelovita obnova
- projekt za cjelovitu obnovu zgrade u kulturno-povijesnoj cjelini Karlovca
Karlovac, Ul. J. Kraša 2&amp;R&amp;"Verdana,Uobičajeno"&amp;9INVESTITOR: Grad Karlovac
Banjavčićeva 9, KARLOVAC</oddHeader>
    <oddFooter>&amp;L&amp;"Verdana,Uobičajeno"&amp;9A•C•M Projektni biro d.o.o., Karlovac&amp;R&amp;"Verdana,Uobičajeno"&amp;9Troškovnik: P.O. - 6/23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P66"/>
  <sheetViews>
    <sheetView zoomScaleNormal="100" zoomScaleSheetLayoutView="145" workbookViewId="0">
      <selection activeCell="A61" sqref="A61:F61"/>
    </sheetView>
  </sheetViews>
  <sheetFormatPr defaultColWidth="9.1796875" defaultRowHeight="13.5" x14ac:dyDescent="0.3"/>
  <cols>
    <col min="1" max="1" width="7.453125" style="23" customWidth="1"/>
    <col min="2" max="2" width="17.26953125" style="23" customWidth="1"/>
    <col min="3" max="3" width="48.7265625" style="23" customWidth="1"/>
    <col min="4" max="4" width="4" style="23" customWidth="1"/>
    <col min="5" max="5" width="7.453125" style="23" customWidth="1"/>
    <col min="6" max="6" width="8.81640625" style="23" customWidth="1"/>
    <col min="7" max="16384" width="9.1796875" style="23"/>
  </cols>
  <sheetData>
    <row r="1" spans="1:16" x14ac:dyDescent="0.3">
      <c r="A1" s="22"/>
      <c r="B1" s="22"/>
      <c r="D1" s="24"/>
      <c r="E1" s="25"/>
      <c r="F1" s="26"/>
      <c r="I1" s="27"/>
    </row>
    <row r="2" spans="1:16" x14ac:dyDescent="0.3">
      <c r="A2" s="22"/>
      <c r="B2" s="22"/>
      <c r="D2" s="24"/>
      <c r="E2" s="25"/>
      <c r="F2" s="26"/>
      <c r="I2" s="27"/>
    </row>
    <row r="3" spans="1:16" x14ac:dyDescent="0.3">
      <c r="A3" s="22"/>
      <c r="B3" s="22"/>
      <c r="D3" s="24"/>
      <c r="E3" s="25"/>
      <c r="F3" s="26"/>
      <c r="I3" s="27"/>
    </row>
    <row r="4" spans="1:16" x14ac:dyDescent="0.3">
      <c r="A4" s="28" t="s">
        <v>15</v>
      </c>
      <c r="C4" s="23" t="s">
        <v>16</v>
      </c>
      <c r="E4" s="25"/>
      <c r="F4" s="26"/>
    </row>
    <row r="5" spans="1:16" x14ac:dyDescent="0.3">
      <c r="C5" s="23" t="s">
        <v>17</v>
      </c>
      <c r="E5" s="25"/>
      <c r="F5" s="26"/>
    </row>
    <row r="6" spans="1:16" x14ac:dyDescent="0.3">
      <c r="A6" s="22"/>
      <c r="B6" s="22"/>
      <c r="D6" s="24"/>
      <c r="E6" s="25"/>
      <c r="F6" s="26"/>
      <c r="I6" s="27"/>
    </row>
    <row r="7" spans="1:16" x14ac:dyDescent="0.3">
      <c r="A7" s="22"/>
      <c r="B7" s="22"/>
      <c r="D7" s="24"/>
      <c r="E7" s="25"/>
      <c r="F7" s="26"/>
      <c r="I7" s="27"/>
    </row>
    <row r="8" spans="1:16" x14ac:dyDescent="0.3">
      <c r="A8" s="22"/>
      <c r="B8" s="22"/>
      <c r="D8" s="24"/>
      <c r="E8" s="25"/>
      <c r="F8" s="26"/>
      <c r="I8" s="27"/>
    </row>
    <row r="9" spans="1:16" x14ac:dyDescent="0.3">
      <c r="A9" s="192" t="s">
        <v>18</v>
      </c>
      <c r="B9" s="192"/>
      <c r="C9" s="23" t="s">
        <v>28</v>
      </c>
      <c r="D9" s="29"/>
      <c r="E9" s="29"/>
      <c r="F9" s="29"/>
    </row>
    <row r="10" spans="1:16" ht="27" x14ac:dyDescent="0.3">
      <c r="A10" s="30"/>
      <c r="B10" s="30"/>
      <c r="C10" s="48" t="s">
        <v>29</v>
      </c>
      <c r="D10" s="29"/>
      <c r="E10" s="29"/>
      <c r="F10" s="29"/>
    </row>
    <row r="11" spans="1:16" x14ac:dyDescent="0.3">
      <c r="A11" s="22"/>
      <c r="B11" s="22"/>
      <c r="D11" s="24"/>
      <c r="E11" s="25"/>
      <c r="F11" s="26"/>
      <c r="I11" s="27"/>
    </row>
    <row r="12" spans="1:16" x14ac:dyDescent="0.3">
      <c r="A12" s="22"/>
      <c r="B12" s="22"/>
      <c r="D12" s="24"/>
      <c r="E12" s="25"/>
      <c r="F12" s="26"/>
      <c r="I12" s="27"/>
    </row>
    <row r="13" spans="1:16" x14ac:dyDescent="0.3">
      <c r="A13" s="22"/>
      <c r="B13" s="22"/>
      <c r="D13" s="24"/>
      <c r="E13" s="25"/>
      <c r="F13" s="26"/>
      <c r="I13" s="27"/>
    </row>
    <row r="14" spans="1:16" ht="15.5" x14ac:dyDescent="0.35">
      <c r="A14" s="192" t="s">
        <v>19</v>
      </c>
      <c r="B14" s="192"/>
      <c r="C14" s="23" t="s">
        <v>22</v>
      </c>
      <c r="E14" s="25"/>
      <c r="F14" s="26"/>
      <c r="P14" s="31"/>
    </row>
    <row r="15" spans="1:16" x14ac:dyDescent="0.3">
      <c r="A15" s="32"/>
      <c r="B15" s="32"/>
      <c r="C15" s="194" t="s">
        <v>23</v>
      </c>
      <c r="D15" s="194"/>
      <c r="E15" s="194"/>
      <c r="F15" s="194"/>
    </row>
    <row r="16" spans="1:16" x14ac:dyDescent="0.3">
      <c r="A16" s="22"/>
      <c r="B16" s="22"/>
      <c r="D16" s="24"/>
      <c r="E16" s="25"/>
      <c r="F16" s="26"/>
      <c r="I16" s="27"/>
    </row>
    <row r="17" spans="1:9" x14ac:dyDescent="0.3">
      <c r="A17" s="22"/>
      <c r="B17" s="22"/>
      <c r="D17" s="24"/>
      <c r="E17" s="25"/>
      <c r="F17" s="26"/>
      <c r="I17" s="27"/>
    </row>
    <row r="18" spans="1:9" x14ac:dyDescent="0.3">
      <c r="A18" s="22"/>
      <c r="B18" s="22"/>
      <c r="D18" s="24"/>
      <c r="E18" s="25"/>
      <c r="F18" s="26"/>
      <c r="I18" s="27"/>
    </row>
    <row r="19" spans="1:9" x14ac:dyDescent="0.3">
      <c r="A19" s="195" t="s">
        <v>20</v>
      </c>
      <c r="B19" s="195"/>
      <c r="C19" s="23" t="s">
        <v>30</v>
      </c>
      <c r="E19" s="25"/>
      <c r="F19" s="26"/>
    </row>
    <row r="20" spans="1:9" x14ac:dyDescent="0.3">
      <c r="A20" s="37"/>
      <c r="B20" s="37"/>
      <c r="E20" s="25"/>
      <c r="F20" s="26"/>
    </row>
    <row r="21" spans="1:9" x14ac:dyDescent="0.3">
      <c r="A21" s="30"/>
      <c r="B21" s="30"/>
      <c r="C21" s="28"/>
      <c r="E21" s="25"/>
      <c r="F21" s="26"/>
    </row>
    <row r="22" spans="1:9" x14ac:dyDescent="0.3">
      <c r="A22" s="30"/>
      <c r="B22" s="30"/>
      <c r="C22" s="28"/>
      <c r="E22" s="25"/>
      <c r="F22" s="26"/>
    </row>
    <row r="23" spans="1:9" x14ac:dyDescent="0.3">
      <c r="A23" s="192" t="s">
        <v>31</v>
      </c>
      <c r="B23" s="192"/>
      <c r="C23" s="23" t="s">
        <v>32</v>
      </c>
      <c r="E23" s="25"/>
      <c r="F23" s="26"/>
    </row>
    <row r="24" spans="1:9" x14ac:dyDescent="0.3">
      <c r="A24" s="22"/>
      <c r="B24" s="22"/>
      <c r="D24" s="24"/>
      <c r="E24" s="25"/>
      <c r="F24" s="26"/>
      <c r="I24" s="27"/>
    </row>
    <row r="25" spans="1:9" x14ac:dyDescent="0.3">
      <c r="A25" s="22"/>
      <c r="B25" s="22"/>
      <c r="D25" s="24"/>
      <c r="E25" s="25"/>
      <c r="F25" s="26"/>
      <c r="I25" s="27"/>
    </row>
    <row r="26" spans="1:9" x14ac:dyDescent="0.3">
      <c r="A26" s="22"/>
      <c r="B26" s="22"/>
      <c r="D26" s="24"/>
      <c r="E26" s="25"/>
      <c r="F26" s="26"/>
      <c r="I26" s="27"/>
    </row>
    <row r="27" spans="1:9" x14ac:dyDescent="0.3">
      <c r="A27" s="22"/>
      <c r="B27" s="22"/>
      <c r="D27" s="24"/>
      <c r="E27" s="25"/>
      <c r="F27" s="26"/>
      <c r="I27" s="27"/>
    </row>
    <row r="28" spans="1:9" x14ac:dyDescent="0.3">
      <c r="A28" s="22"/>
      <c r="B28" s="22"/>
      <c r="D28" s="24"/>
      <c r="E28" s="25"/>
      <c r="F28" s="26"/>
      <c r="I28" s="27"/>
    </row>
    <row r="29" spans="1:9" x14ac:dyDescent="0.3">
      <c r="A29" s="22"/>
      <c r="B29" s="38"/>
      <c r="C29" s="39"/>
      <c r="D29" s="40"/>
      <c r="E29" s="41"/>
      <c r="F29" s="26"/>
      <c r="I29" s="33"/>
    </row>
    <row r="30" spans="1:9" ht="19.5" x14ac:dyDescent="0.35">
      <c r="A30" s="22"/>
      <c r="B30" s="196" t="s">
        <v>21</v>
      </c>
      <c r="C30" s="197"/>
      <c r="D30" s="197"/>
      <c r="E30" s="198"/>
      <c r="F30" s="26"/>
    </row>
    <row r="31" spans="1:9" ht="12.75" customHeight="1" x14ac:dyDescent="0.35">
      <c r="A31" s="22"/>
      <c r="B31" s="42"/>
      <c r="C31" s="34"/>
      <c r="D31" s="34"/>
      <c r="E31" s="43"/>
      <c r="F31" s="26"/>
      <c r="I31" s="35"/>
    </row>
    <row r="32" spans="1:9" ht="18" customHeight="1" x14ac:dyDescent="0.3">
      <c r="A32" s="22"/>
      <c r="B32" s="187" t="s">
        <v>33</v>
      </c>
      <c r="C32" s="188"/>
      <c r="D32" s="188"/>
      <c r="E32" s="189"/>
      <c r="F32" s="26"/>
    </row>
    <row r="33" spans="1:9" ht="15" x14ac:dyDescent="0.3">
      <c r="A33" s="22"/>
      <c r="B33" s="42"/>
      <c r="C33" s="188"/>
      <c r="D33" s="190"/>
      <c r="E33" s="191"/>
      <c r="F33" s="26"/>
    </row>
    <row r="34" spans="1:9" x14ac:dyDescent="0.3">
      <c r="A34" s="22"/>
      <c r="B34" s="44"/>
      <c r="C34" s="45"/>
      <c r="D34" s="46"/>
      <c r="E34" s="47"/>
      <c r="F34" s="26"/>
      <c r="I34" s="33"/>
    </row>
    <row r="35" spans="1:9" x14ac:dyDescent="0.3">
      <c r="A35" s="22"/>
      <c r="B35" s="22"/>
      <c r="D35" s="24"/>
      <c r="E35" s="25"/>
      <c r="F35" s="26"/>
      <c r="I35" s="36"/>
    </row>
    <row r="36" spans="1:9" x14ac:dyDescent="0.3">
      <c r="A36" s="22"/>
      <c r="B36" s="22"/>
      <c r="D36" s="24"/>
      <c r="E36" s="25"/>
      <c r="F36" s="26"/>
      <c r="I36" s="36"/>
    </row>
    <row r="37" spans="1:9" x14ac:dyDescent="0.3">
      <c r="A37" s="22"/>
      <c r="B37" s="22"/>
      <c r="D37" s="24"/>
      <c r="E37" s="25"/>
      <c r="F37" s="26"/>
      <c r="I37" s="36"/>
    </row>
    <row r="38" spans="1:9" x14ac:dyDescent="0.3">
      <c r="A38" s="22"/>
      <c r="B38" s="22"/>
      <c r="D38" s="24"/>
      <c r="E38" s="25"/>
      <c r="F38" s="26"/>
      <c r="I38" s="36"/>
    </row>
    <row r="39" spans="1:9" x14ac:dyDescent="0.3">
      <c r="A39" s="22"/>
      <c r="B39" s="22"/>
      <c r="D39" s="24"/>
      <c r="E39" s="25"/>
      <c r="F39" s="26"/>
      <c r="I39" s="36"/>
    </row>
    <row r="40" spans="1:9" x14ac:dyDescent="0.3">
      <c r="A40" s="22"/>
      <c r="B40" s="22"/>
      <c r="D40" s="24"/>
      <c r="E40" s="25"/>
      <c r="F40" s="26"/>
      <c r="I40" s="36"/>
    </row>
    <row r="41" spans="1:9" x14ac:dyDescent="0.3">
      <c r="A41" s="22"/>
      <c r="B41" s="22"/>
      <c r="D41" s="24"/>
      <c r="E41" s="25"/>
      <c r="F41" s="26"/>
      <c r="I41" s="36"/>
    </row>
    <row r="42" spans="1:9" x14ac:dyDescent="0.3">
      <c r="A42" s="22"/>
      <c r="B42" s="22"/>
      <c r="D42" s="24"/>
      <c r="E42" s="25"/>
      <c r="F42" s="26"/>
      <c r="I42" s="36"/>
    </row>
    <row r="43" spans="1:9" x14ac:dyDescent="0.3">
      <c r="A43" s="22"/>
      <c r="B43" s="22"/>
      <c r="D43" s="24"/>
      <c r="E43" s="25"/>
      <c r="F43" s="26"/>
      <c r="I43" s="36"/>
    </row>
    <row r="44" spans="1:9" x14ac:dyDescent="0.3">
      <c r="A44" s="22"/>
      <c r="B44" s="22"/>
      <c r="D44" s="24"/>
      <c r="E44" s="25"/>
      <c r="F44" s="26"/>
      <c r="I44" s="36"/>
    </row>
    <row r="45" spans="1:9" x14ac:dyDescent="0.3">
      <c r="A45" s="192" t="s">
        <v>34</v>
      </c>
      <c r="B45" s="192"/>
      <c r="C45" s="23" t="s">
        <v>35</v>
      </c>
      <c r="E45" s="26"/>
    </row>
    <row r="46" spans="1:9" x14ac:dyDescent="0.3">
      <c r="A46" s="22"/>
      <c r="B46" s="22"/>
      <c r="C46" s="22"/>
      <c r="D46" s="25"/>
      <c r="G46" s="36"/>
    </row>
    <row r="47" spans="1:9" x14ac:dyDescent="0.3">
      <c r="A47" s="22"/>
      <c r="B47" s="22"/>
      <c r="C47" s="22"/>
      <c r="D47" s="25"/>
      <c r="G47" s="36"/>
    </row>
    <row r="48" spans="1:9" x14ac:dyDescent="0.3">
      <c r="A48" s="192" t="s">
        <v>36</v>
      </c>
      <c r="B48" s="192"/>
      <c r="C48" s="23" t="s">
        <v>37</v>
      </c>
      <c r="E48" s="26"/>
    </row>
    <row r="49" spans="1:9" x14ac:dyDescent="0.3">
      <c r="A49" s="22"/>
      <c r="B49" s="22"/>
      <c r="D49" s="24"/>
      <c r="E49" s="25"/>
      <c r="F49" s="26"/>
      <c r="I49" s="36"/>
    </row>
    <row r="50" spans="1:9" x14ac:dyDescent="0.3">
      <c r="A50" s="22"/>
      <c r="B50" s="22"/>
      <c r="D50" s="24"/>
      <c r="E50" s="25"/>
      <c r="F50" s="26"/>
      <c r="I50" s="36"/>
    </row>
    <row r="51" spans="1:9" x14ac:dyDescent="0.3">
      <c r="A51" s="22"/>
      <c r="B51" s="22"/>
      <c r="D51" s="24"/>
      <c r="E51" s="25"/>
      <c r="F51" s="26"/>
      <c r="I51" s="36"/>
    </row>
    <row r="52" spans="1:9" x14ac:dyDescent="0.3">
      <c r="A52" s="22"/>
      <c r="B52" s="22"/>
      <c r="D52" s="24"/>
      <c r="E52" s="25"/>
      <c r="F52" s="26"/>
      <c r="I52" s="36"/>
    </row>
    <row r="53" spans="1:9" x14ac:dyDescent="0.3">
      <c r="A53" s="22"/>
      <c r="B53" s="22"/>
      <c r="D53" s="24"/>
      <c r="E53" s="25"/>
      <c r="F53" s="26"/>
      <c r="I53" s="36"/>
    </row>
    <row r="54" spans="1:9" x14ac:dyDescent="0.3">
      <c r="A54" s="22"/>
      <c r="B54" s="22"/>
      <c r="D54" s="24"/>
      <c r="E54" s="25"/>
      <c r="F54" s="26"/>
      <c r="I54" s="36"/>
    </row>
    <row r="55" spans="1:9" x14ac:dyDescent="0.3">
      <c r="A55" s="22"/>
      <c r="B55" s="22"/>
      <c r="D55" s="24"/>
      <c r="E55" s="25"/>
      <c r="F55" s="26"/>
      <c r="I55" s="36"/>
    </row>
    <row r="56" spans="1:9" x14ac:dyDescent="0.3">
      <c r="A56" s="22"/>
      <c r="B56" s="22"/>
      <c r="D56" s="24"/>
      <c r="E56" s="25"/>
      <c r="F56" s="26"/>
      <c r="I56" s="36"/>
    </row>
    <row r="57" spans="1:9" x14ac:dyDescent="0.3">
      <c r="A57" s="22"/>
      <c r="B57" s="22"/>
      <c r="D57" s="24"/>
      <c r="E57" s="25"/>
      <c r="F57" s="26"/>
      <c r="I57" s="36"/>
    </row>
    <row r="58" spans="1:9" x14ac:dyDescent="0.3">
      <c r="A58" s="22"/>
      <c r="B58" s="22"/>
      <c r="D58" s="24"/>
      <c r="E58" s="25"/>
      <c r="F58" s="26"/>
      <c r="I58" s="36"/>
    </row>
    <row r="59" spans="1:9" x14ac:dyDescent="0.3">
      <c r="A59" s="22"/>
      <c r="B59" s="22"/>
      <c r="D59" s="24"/>
      <c r="E59" s="25"/>
      <c r="F59" s="26"/>
      <c r="I59" s="36"/>
    </row>
    <row r="60" spans="1:9" x14ac:dyDescent="0.3">
      <c r="A60" s="22"/>
      <c r="B60" s="22"/>
      <c r="D60" s="24"/>
      <c r="E60" s="25"/>
      <c r="F60" s="26"/>
      <c r="I60" s="36"/>
    </row>
    <row r="61" spans="1:9" x14ac:dyDescent="0.3">
      <c r="A61" s="193"/>
      <c r="B61" s="193"/>
      <c r="C61" s="193"/>
      <c r="D61" s="193"/>
      <c r="E61" s="190"/>
      <c r="F61" s="190"/>
      <c r="I61" s="27"/>
    </row>
    <row r="66" spans="1:6" x14ac:dyDescent="0.3">
      <c r="A66" s="193"/>
      <c r="B66" s="193"/>
      <c r="C66" s="193"/>
      <c r="D66" s="193"/>
      <c r="E66" s="190"/>
      <c r="F66" s="190"/>
    </row>
  </sheetData>
  <mergeCells count="12">
    <mergeCell ref="A61:F61"/>
    <mergeCell ref="A66:F66"/>
    <mergeCell ref="B30:E30"/>
    <mergeCell ref="B32:E32"/>
    <mergeCell ref="C33:E33"/>
    <mergeCell ref="A45:B45"/>
    <mergeCell ref="A48:B48"/>
    <mergeCell ref="A9:B9"/>
    <mergeCell ref="A14:B14"/>
    <mergeCell ref="C15:F15"/>
    <mergeCell ref="A19:B19"/>
    <mergeCell ref="A23:B23"/>
  </mergeCells>
  <pageMargins left="0.78740157480314965" right="0.19685039370078741" top="0.31496062992125984" bottom="0.6692913385826772" header="0.31496062992125984" footer="0.39370078740157483"/>
  <pageSetup paperSize="9" firstPageNumber="4294967295" fitToHeight="0" orientation="portrait" useFirstPageNumber="1"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T500"/>
  <sheetViews>
    <sheetView tabSelected="1" topLeftCell="A274" zoomScaleNormal="100" zoomScaleSheetLayoutView="100" workbookViewId="0">
      <selection activeCell="B353" sqref="B353"/>
    </sheetView>
  </sheetViews>
  <sheetFormatPr defaultRowHeight="13" x14ac:dyDescent="0.25"/>
  <cols>
    <col min="1" max="1" width="4" style="76" customWidth="1"/>
    <col min="2" max="2" width="49.81640625" customWidth="1"/>
    <col min="3" max="3" width="4.54296875" style="78" bestFit="1" customWidth="1"/>
    <col min="4" max="4" width="9.1796875" style="148" bestFit="1" customWidth="1"/>
    <col min="5" max="5" width="11.453125" style="16" bestFit="1" customWidth="1"/>
    <col min="6" max="6" width="15.7265625" style="74" customWidth="1"/>
    <col min="7" max="8" width="9.1796875" customWidth="1"/>
    <col min="19" max="19" width="4.81640625" customWidth="1"/>
    <col min="20" max="20" width="4.81640625" hidden="1" customWidth="1"/>
    <col min="21" max="21" width="4.81640625" customWidth="1"/>
  </cols>
  <sheetData>
    <row r="1" spans="1:20" s="65" customFormat="1" ht="10" x14ac:dyDescent="0.2">
      <c r="A1" s="59"/>
      <c r="B1" s="60" t="s">
        <v>38</v>
      </c>
      <c r="C1" s="61"/>
      <c r="D1" s="62" t="s">
        <v>39</v>
      </c>
      <c r="E1" s="63" t="s">
        <v>40</v>
      </c>
      <c r="F1" s="64" t="s">
        <v>41</v>
      </c>
    </row>
    <row r="2" spans="1:20" s="65" customFormat="1" ht="10" x14ac:dyDescent="0.2">
      <c r="A2" s="66"/>
      <c r="B2" s="66"/>
      <c r="C2" s="66"/>
      <c r="D2" s="67"/>
      <c r="E2" s="68"/>
      <c r="F2" s="69"/>
    </row>
    <row r="3" spans="1:20" s="17" customFormat="1" ht="20" x14ac:dyDescent="0.4">
      <c r="A3" s="204" t="s">
        <v>42</v>
      </c>
      <c r="B3" s="205"/>
      <c r="C3" s="205"/>
      <c r="D3" s="205"/>
      <c r="E3" s="205"/>
      <c r="F3" s="205"/>
    </row>
    <row r="4" spans="1:20" s="75" customFormat="1" x14ac:dyDescent="0.25">
      <c r="A4" s="70"/>
      <c r="B4" s="71"/>
      <c r="C4" s="72"/>
      <c r="D4" s="73"/>
      <c r="E4" s="16"/>
      <c r="F4" s="74"/>
    </row>
    <row r="5" spans="1:20" x14ac:dyDescent="0.25">
      <c r="B5" s="77" t="s">
        <v>43</v>
      </c>
      <c r="D5" s="79"/>
    </row>
    <row r="6" spans="1:20" ht="50" x14ac:dyDescent="0.25">
      <c r="A6" s="80"/>
      <c r="B6" s="206" t="s">
        <v>44</v>
      </c>
      <c r="C6" s="206"/>
      <c r="D6" s="206"/>
      <c r="E6" s="206"/>
      <c r="G6" s="82"/>
      <c r="J6" s="83"/>
      <c r="K6" s="84"/>
      <c r="L6" s="84"/>
      <c r="M6" s="85"/>
      <c r="N6" s="85"/>
      <c r="O6" s="85"/>
      <c r="T6" s="86" t="s">
        <v>45</v>
      </c>
    </row>
    <row r="7" spans="1:20" ht="50" x14ac:dyDescent="0.25">
      <c r="A7" s="80"/>
      <c r="B7" s="206" t="s">
        <v>46</v>
      </c>
      <c r="C7" s="206"/>
      <c r="D7" s="206"/>
      <c r="E7" s="206"/>
      <c r="G7" s="82"/>
      <c r="J7" s="83"/>
      <c r="K7" s="84"/>
      <c r="L7" s="84"/>
      <c r="M7" s="85"/>
      <c r="N7" s="85"/>
      <c r="O7" s="85"/>
      <c r="T7" s="86" t="s">
        <v>45</v>
      </c>
    </row>
    <row r="8" spans="1:20" ht="25" x14ac:dyDescent="0.25">
      <c r="A8" s="80"/>
      <c r="B8" s="206" t="s">
        <v>47</v>
      </c>
      <c r="C8" s="206"/>
      <c r="D8" s="206"/>
      <c r="E8" s="206"/>
      <c r="G8" s="82"/>
      <c r="J8" s="83"/>
      <c r="K8" s="84"/>
      <c r="L8" s="84"/>
      <c r="M8" s="85"/>
      <c r="N8" s="85"/>
      <c r="O8" s="85"/>
      <c r="T8" s="86" t="s">
        <v>48</v>
      </c>
    </row>
    <row r="9" spans="1:20" ht="37.5" x14ac:dyDescent="0.25">
      <c r="A9" s="87"/>
      <c r="B9" s="206" t="s">
        <v>49</v>
      </c>
      <c r="C9" s="206"/>
      <c r="D9" s="206"/>
      <c r="E9" s="206"/>
      <c r="G9" s="82"/>
      <c r="J9" s="84"/>
      <c r="K9" s="84"/>
      <c r="L9" s="84"/>
      <c r="M9" s="85"/>
      <c r="N9" s="85"/>
      <c r="O9" s="85"/>
      <c r="T9" s="86" t="s">
        <v>50</v>
      </c>
    </row>
    <row r="10" spans="1:20" ht="37.5" x14ac:dyDescent="0.25">
      <c r="A10" s="87"/>
      <c r="B10" s="207" t="s">
        <v>51</v>
      </c>
      <c r="C10" s="206"/>
      <c r="D10" s="206"/>
      <c r="E10" s="206"/>
      <c r="G10" s="82"/>
      <c r="J10" s="84"/>
      <c r="K10" s="84"/>
      <c r="L10" s="84"/>
      <c r="M10" s="85"/>
      <c r="N10" s="85"/>
      <c r="O10" s="85"/>
      <c r="T10" s="86" t="s">
        <v>50</v>
      </c>
    </row>
    <row r="11" spans="1:20" ht="37.5" x14ac:dyDescent="0.25">
      <c r="A11" s="87"/>
      <c r="B11" s="207" t="s">
        <v>52</v>
      </c>
      <c r="C11" s="206"/>
      <c r="D11" s="206"/>
      <c r="E11" s="206"/>
      <c r="G11" s="82"/>
      <c r="J11" s="84"/>
      <c r="K11" s="84"/>
      <c r="L11" s="84"/>
      <c r="M11" s="85"/>
      <c r="N11" s="85"/>
      <c r="O11" s="85"/>
      <c r="T11" s="86" t="s">
        <v>50</v>
      </c>
    </row>
    <row r="12" spans="1:20" ht="62.5" x14ac:dyDescent="0.25">
      <c r="A12" s="87"/>
      <c r="B12" s="206" t="s">
        <v>53</v>
      </c>
      <c r="C12" s="206"/>
      <c r="D12" s="206"/>
      <c r="E12" s="206"/>
      <c r="G12" s="82"/>
      <c r="J12" s="84"/>
      <c r="K12" s="84"/>
      <c r="L12" s="84"/>
      <c r="M12" s="85"/>
      <c r="N12" s="85"/>
      <c r="O12" s="85"/>
      <c r="T12" s="86" t="s">
        <v>54</v>
      </c>
    </row>
    <row r="13" spans="1:20" ht="62.5" x14ac:dyDescent="0.25">
      <c r="A13" s="87"/>
      <c r="B13" s="206" t="s">
        <v>55</v>
      </c>
      <c r="C13" s="206"/>
      <c r="D13" s="206"/>
      <c r="E13" s="206"/>
      <c r="G13" s="82"/>
      <c r="J13" s="84"/>
      <c r="K13" s="84"/>
      <c r="L13" s="84"/>
      <c r="M13" s="85"/>
      <c r="N13" s="85"/>
      <c r="O13" s="85"/>
      <c r="T13" s="86" t="s">
        <v>54</v>
      </c>
    </row>
    <row r="14" spans="1:20" ht="50" x14ac:dyDescent="0.25">
      <c r="A14" s="80"/>
      <c r="B14" s="208" t="s">
        <v>56</v>
      </c>
      <c r="C14" s="208"/>
      <c r="D14" s="208"/>
      <c r="E14" s="208"/>
      <c r="G14" s="90"/>
      <c r="H14" s="91"/>
      <c r="J14" s="83"/>
      <c r="K14" s="84"/>
      <c r="L14" s="84"/>
      <c r="M14" s="85"/>
      <c r="N14" s="85"/>
      <c r="O14" s="85"/>
      <c r="T14" s="86" t="s">
        <v>45</v>
      </c>
    </row>
    <row r="15" spans="1:20" ht="62.5" x14ac:dyDescent="0.25">
      <c r="A15" s="80"/>
      <c r="B15" s="209" t="s">
        <v>57</v>
      </c>
      <c r="C15" s="208"/>
      <c r="D15" s="208"/>
      <c r="E15" s="208"/>
      <c r="G15" s="90"/>
      <c r="H15" s="91"/>
      <c r="J15" s="83"/>
      <c r="K15" s="84"/>
      <c r="L15" s="84"/>
      <c r="M15" s="85"/>
      <c r="N15" s="85"/>
      <c r="O15" s="85"/>
      <c r="T15" s="86" t="s">
        <v>54</v>
      </c>
    </row>
    <row r="16" spans="1:20" ht="62.5" x14ac:dyDescent="0.25">
      <c r="A16" s="80"/>
      <c r="B16" s="209" t="s">
        <v>58</v>
      </c>
      <c r="C16" s="208"/>
      <c r="D16" s="208"/>
      <c r="E16" s="208"/>
      <c r="G16" s="90"/>
      <c r="H16" s="91"/>
      <c r="J16" s="83"/>
      <c r="K16" s="84"/>
      <c r="L16" s="84"/>
      <c r="M16" s="85"/>
      <c r="N16" s="85"/>
      <c r="O16" s="85"/>
      <c r="T16" s="86" t="s">
        <v>54</v>
      </c>
    </row>
    <row r="17" spans="1:20" ht="39.75" customHeight="1" x14ac:dyDescent="0.25">
      <c r="B17" s="210" t="s">
        <v>59</v>
      </c>
      <c r="C17" s="208"/>
      <c r="D17" s="208"/>
      <c r="E17" s="208"/>
      <c r="T17" s="86" t="s">
        <v>48</v>
      </c>
    </row>
    <row r="18" spans="1:20" x14ac:dyDescent="0.25">
      <c r="B18" s="93"/>
      <c r="D18" s="94"/>
      <c r="E18" s="95"/>
      <c r="G18" s="82"/>
    </row>
    <row r="19" spans="1:20" ht="30" customHeight="1" x14ac:dyDescent="0.25">
      <c r="A19" s="96" t="s">
        <v>1</v>
      </c>
      <c r="B19" s="81" t="s">
        <v>60</v>
      </c>
      <c r="D19" s="97"/>
      <c r="E19" s="95"/>
    </row>
    <row r="20" spans="1:20" x14ac:dyDescent="0.25">
      <c r="A20" s="96"/>
      <c r="B20" s="81" t="s">
        <v>61</v>
      </c>
      <c r="D20" s="97"/>
      <c r="E20" s="95"/>
    </row>
    <row r="21" spans="1:20" x14ac:dyDescent="0.25">
      <c r="B21" s="93" t="s">
        <v>62</v>
      </c>
      <c r="C21" s="78" t="s">
        <v>63</v>
      </c>
      <c r="D21" s="98">
        <v>1</v>
      </c>
      <c r="E21" s="95"/>
      <c r="F21" s="74">
        <f t="shared" ref="F21:F41" si="0">D21*E21</f>
        <v>0</v>
      </c>
      <c r="G21" s="82"/>
    </row>
    <row r="22" spans="1:20" x14ac:dyDescent="0.25">
      <c r="B22" s="93" t="s">
        <v>64</v>
      </c>
      <c r="C22" s="78" t="s">
        <v>63</v>
      </c>
      <c r="D22" s="98">
        <v>3</v>
      </c>
      <c r="E22" s="95"/>
      <c r="F22" s="74">
        <f t="shared" si="0"/>
        <v>0</v>
      </c>
      <c r="G22" s="82"/>
    </row>
    <row r="23" spans="1:20" x14ac:dyDescent="0.25">
      <c r="B23" s="93" t="s">
        <v>65</v>
      </c>
      <c r="C23" s="78" t="s">
        <v>63</v>
      </c>
      <c r="D23" s="98">
        <v>21</v>
      </c>
      <c r="E23" s="95"/>
      <c r="F23" s="74">
        <f t="shared" si="0"/>
        <v>0</v>
      </c>
      <c r="G23" s="82"/>
    </row>
    <row r="24" spans="1:20" x14ac:dyDescent="0.25">
      <c r="B24" s="93" t="s">
        <v>66</v>
      </c>
      <c r="C24" s="78" t="s">
        <v>63</v>
      </c>
      <c r="D24" s="98">
        <v>2</v>
      </c>
      <c r="E24" s="95"/>
      <c r="F24" s="74">
        <f t="shared" si="0"/>
        <v>0</v>
      </c>
      <c r="G24" s="82"/>
    </row>
    <row r="25" spans="1:20" x14ac:dyDescent="0.25">
      <c r="B25" s="93" t="s">
        <v>67</v>
      </c>
      <c r="C25" s="78" t="s">
        <v>63</v>
      </c>
      <c r="D25" s="98">
        <v>1</v>
      </c>
      <c r="E25" s="95"/>
      <c r="F25" s="74">
        <f t="shared" si="0"/>
        <v>0</v>
      </c>
      <c r="G25" s="82"/>
    </row>
    <row r="26" spans="1:20" x14ac:dyDescent="0.25">
      <c r="B26" s="93" t="s">
        <v>68</v>
      </c>
      <c r="C26" s="78" t="s">
        <v>63</v>
      </c>
      <c r="D26" s="98">
        <v>1</v>
      </c>
      <c r="E26" s="95"/>
      <c r="F26" s="74">
        <f t="shared" si="0"/>
        <v>0</v>
      </c>
      <c r="G26" s="82"/>
    </row>
    <row r="27" spans="1:20" x14ac:dyDescent="0.25">
      <c r="B27" s="93" t="s">
        <v>69</v>
      </c>
      <c r="C27" s="78" t="s">
        <v>63</v>
      </c>
      <c r="D27" s="98">
        <v>1</v>
      </c>
      <c r="E27" s="95"/>
      <c r="F27" s="74">
        <f t="shared" si="0"/>
        <v>0</v>
      </c>
      <c r="G27" s="82"/>
    </row>
    <row r="28" spans="1:20" x14ac:dyDescent="0.25">
      <c r="B28" s="93" t="s">
        <v>70</v>
      </c>
      <c r="C28" s="78" t="s">
        <v>63</v>
      </c>
      <c r="D28" s="98">
        <v>4</v>
      </c>
      <c r="E28" s="95"/>
      <c r="F28" s="74">
        <f t="shared" si="0"/>
        <v>0</v>
      </c>
      <c r="G28" s="82"/>
    </row>
    <row r="29" spans="1:20" x14ac:dyDescent="0.25">
      <c r="B29" s="93" t="s">
        <v>71</v>
      </c>
      <c r="C29" s="78" t="s">
        <v>63</v>
      </c>
      <c r="D29" s="98">
        <v>1</v>
      </c>
      <c r="E29" s="95"/>
      <c r="F29" s="74">
        <f t="shared" si="0"/>
        <v>0</v>
      </c>
      <c r="G29" s="82"/>
    </row>
    <row r="30" spans="1:20" x14ac:dyDescent="0.25">
      <c r="B30" s="93" t="s">
        <v>72</v>
      </c>
      <c r="C30" s="78" t="s">
        <v>63</v>
      </c>
      <c r="D30" s="98">
        <v>2</v>
      </c>
      <c r="E30" s="95"/>
      <c r="F30" s="74">
        <f t="shared" si="0"/>
        <v>0</v>
      </c>
      <c r="G30" s="82"/>
    </row>
    <row r="31" spans="1:20" x14ac:dyDescent="0.25">
      <c r="B31" s="93" t="s">
        <v>73</v>
      </c>
      <c r="C31" s="78" t="s">
        <v>63</v>
      </c>
      <c r="D31" s="98">
        <v>1</v>
      </c>
      <c r="E31" s="95"/>
      <c r="F31" s="74">
        <f t="shared" si="0"/>
        <v>0</v>
      </c>
      <c r="G31" s="82"/>
    </row>
    <row r="32" spans="1:20" x14ac:dyDescent="0.25">
      <c r="B32" s="93" t="s">
        <v>74</v>
      </c>
      <c r="C32" s="78" t="s">
        <v>63</v>
      </c>
      <c r="D32" s="98">
        <v>1</v>
      </c>
      <c r="E32" s="95"/>
      <c r="F32" s="74">
        <f t="shared" si="0"/>
        <v>0</v>
      </c>
      <c r="G32" s="82"/>
    </row>
    <row r="33" spans="1:7" x14ac:dyDescent="0.25">
      <c r="B33" s="93" t="s">
        <v>75</v>
      </c>
      <c r="C33" s="78" t="s">
        <v>63</v>
      </c>
      <c r="D33" s="98">
        <v>1</v>
      </c>
      <c r="E33" s="95"/>
      <c r="F33" s="74">
        <f t="shared" si="0"/>
        <v>0</v>
      </c>
      <c r="G33" s="82"/>
    </row>
    <row r="34" spans="1:7" x14ac:dyDescent="0.25">
      <c r="B34" s="93" t="s">
        <v>76</v>
      </c>
      <c r="C34" s="78" t="s">
        <v>63</v>
      </c>
      <c r="D34" s="98">
        <v>4</v>
      </c>
      <c r="E34" s="95"/>
      <c r="F34" s="74">
        <f t="shared" si="0"/>
        <v>0</v>
      </c>
      <c r="G34" s="82"/>
    </row>
    <row r="35" spans="1:7" x14ac:dyDescent="0.25">
      <c r="B35" s="93" t="s">
        <v>77</v>
      </c>
      <c r="C35" s="78" t="s">
        <v>63</v>
      </c>
      <c r="D35" s="98">
        <v>19</v>
      </c>
      <c r="E35" s="95"/>
      <c r="F35" s="74">
        <f t="shared" si="0"/>
        <v>0</v>
      </c>
      <c r="G35" s="82"/>
    </row>
    <row r="36" spans="1:7" x14ac:dyDescent="0.25">
      <c r="B36" s="93" t="s">
        <v>78</v>
      </c>
      <c r="C36" s="78" t="s">
        <v>63</v>
      </c>
      <c r="D36" s="98">
        <v>1</v>
      </c>
      <c r="E36" s="95"/>
      <c r="F36" s="74">
        <f t="shared" si="0"/>
        <v>0</v>
      </c>
      <c r="G36" s="82"/>
    </row>
    <row r="37" spans="1:7" x14ac:dyDescent="0.25">
      <c r="B37" s="93" t="s">
        <v>79</v>
      </c>
      <c r="C37" s="78" t="s">
        <v>63</v>
      </c>
      <c r="D37" s="98">
        <v>1</v>
      </c>
      <c r="E37" s="95"/>
      <c r="F37" s="74">
        <f t="shared" si="0"/>
        <v>0</v>
      </c>
      <c r="G37" s="82"/>
    </row>
    <row r="38" spans="1:7" x14ac:dyDescent="0.25">
      <c r="B38" s="93" t="s">
        <v>80</v>
      </c>
      <c r="C38" s="78" t="s">
        <v>63</v>
      </c>
      <c r="D38" s="98">
        <v>1</v>
      </c>
      <c r="E38" s="95"/>
      <c r="F38" s="74">
        <f t="shared" si="0"/>
        <v>0</v>
      </c>
      <c r="G38" s="82"/>
    </row>
    <row r="39" spans="1:7" x14ac:dyDescent="0.25">
      <c r="B39" s="93" t="s">
        <v>81</v>
      </c>
      <c r="C39" s="78" t="s">
        <v>63</v>
      </c>
      <c r="D39" s="98">
        <v>1</v>
      </c>
      <c r="E39" s="95"/>
      <c r="F39" s="74">
        <f t="shared" si="0"/>
        <v>0</v>
      </c>
      <c r="G39" s="82"/>
    </row>
    <row r="40" spans="1:7" x14ac:dyDescent="0.25">
      <c r="B40" s="93" t="s">
        <v>82</v>
      </c>
      <c r="C40" s="78" t="s">
        <v>63</v>
      </c>
      <c r="D40" s="98">
        <v>1</v>
      </c>
      <c r="E40" s="95"/>
      <c r="F40" s="74">
        <f t="shared" si="0"/>
        <v>0</v>
      </c>
      <c r="G40" s="82"/>
    </row>
    <row r="41" spans="1:7" x14ac:dyDescent="0.25">
      <c r="B41" s="93" t="s">
        <v>83</v>
      </c>
      <c r="C41" s="78" t="s">
        <v>63</v>
      </c>
      <c r="D41" s="98">
        <v>1</v>
      </c>
      <c r="E41" s="95"/>
      <c r="F41" s="74">
        <f t="shared" si="0"/>
        <v>0</v>
      </c>
      <c r="G41" s="82"/>
    </row>
    <row r="42" spans="1:7" x14ac:dyDescent="0.25">
      <c r="B42" s="93"/>
      <c r="D42" s="98"/>
      <c r="E42" s="95"/>
      <c r="G42" s="82"/>
    </row>
    <row r="43" spans="1:7" x14ac:dyDescent="0.25">
      <c r="B43" s="99"/>
      <c r="D43" s="90"/>
      <c r="E43" s="95"/>
    </row>
    <row r="44" spans="1:7" ht="62.5" x14ac:dyDescent="0.25">
      <c r="A44" s="96" t="s">
        <v>2</v>
      </c>
      <c r="B44" s="81" t="s">
        <v>84</v>
      </c>
      <c r="D44" s="97"/>
      <c r="E44" s="95"/>
    </row>
    <row r="45" spans="1:7" x14ac:dyDescent="0.25">
      <c r="A45" s="96"/>
      <c r="B45" s="81" t="s">
        <v>61</v>
      </c>
      <c r="D45" s="97"/>
      <c r="E45" s="95"/>
    </row>
    <row r="46" spans="1:7" ht="14.5" x14ac:dyDescent="0.25">
      <c r="B46" s="93" t="s">
        <v>85</v>
      </c>
      <c r="C46" s="78" t="s">
        <v>86</v>
      </c>
      <c r="D46" s="100">
        <v>10</v>
      </c>
      <c r="E46" s="95"/>
      <c r="F46" s="74">
        <f>D46*E46</f>
        <v>0</v>
      </c>
      <c r="G46" s="82"/>
    </row>
    <row r="47" spans="1:7" ht="14.5" x14ac:dyDescent="0.25">
      <c r="B47" s="93" t="s">
        <v>87</v>
      </c>
      <c r="C47" s="78" t="s">
        <v>86</v>
      </c>
      <c r="D47" s="100">
        <v>24</v>
      </c>
      <c r="E47" s="95"/>
      <c r="F47" s="74">
        <f>D47*E47</f>
        <v>0</v>
      </c>
      <c r="G47" s="82"/>
    </row>
    <row r="48" spans="1:7" x14ac:dyDescent="0.25">
      <c r="B48" s="93"/>
      <c r="D48" s="94"/>
      <c r="E48" s="95"/>
      <c r="G48" s="82"/>
    </row>
    <row r="49" spans="1:7" x14ac:dyDescent="0.25">
      <c r="B49" s="99"/>
      <c r="D49" s="90"/>
      <c r="E49" s="95"/>
    </row>
    <row r="50" spans="1:7" ht="37.5" x14ac:dyDescent="0.25">
      <c r="A50" s="96" t="s">
        <v>3</v>
      </c>
      <c r="B50" s="81" t="s">
        <v>88</v>
      </c>
      <c r="D50" s="97"/>
      <c r="E50" s="95"/>
    </row>
    <row r="51" spans="1:7" ht="37.5" x14ac:dyDescent="0.25">
      <c r="A51" s="96"/>
      <c r="B51" s="81" t="s">
        <v>89</v>
      </c>
      <c r="D51" s="97"/>
      <c r="E51" s="95"/>
    </row>
    <row r="52" spans="1:7" x14ac:dyDescent="0.25">
      <c r="A52" s="96"/>
      <c r="B52" s="81" t="s">
        <v>61</v>
      </c>
      <c r="D52" s="97"/>
      <c r="E52" s="95"/>
    </row>
    <row r="53" spans="1:7" ht="14.5" x14ac:dyDescent="0.25">
      <c r="B53" s="93" t="s">
        <v>90</v>
      </c>
      <c r="C53" s="78" t="s">
        <v>86</v>
      </c>
      <c r="D53" s="100">
        <v>3</v>
      </c>
      <c r="E53" s="95"/>
      <c r="F53" s="74">
        <f>D53*E53</f>
        <v>0</v>
      </c>
      <c r="G53" s="82"/>
    </row>
    <row r="54" spans="1:7" ht="14.5" x14ac:dyDescent="0.25">
      <c r="B54" s="93" t="s">
        <v>91</v>
      </c>
      <c r="C54" s="78" t="s">
        <v>86</v>
      </c>
      <c r="D54" s="100">
        <v>16</v>
      </c>
      <c r="E54" s="95"/>
      <c r="F54" s="74">
        <f>D54*E54</f>
        <v>0</v>
      </c>
      <c r="G54" s="82"/>
    </row>
    <row r="55" spans="1:7" ht="14.5" x14ac:dyDescent="0.25">
      <c r="B55" s="93" t="s">
        <v>92</v>
      </c>
      <c r="C55" s="78" t="s">
        <v>86</v>
      </c>
      <c r="D55" s="100">
        <v>4</v>
      </c>
      <c r="E55" s="95"/>
      <c r="F55" s="74">
        <f t="shared" ref="F55:F61" si="1">D55*E55</f>
        <v>0</v>
      </c>
      <c r="G55" s="82"/>
    </row>
    <row r="56" spans="1:7" ht="14.5" x14ac:dyDescent="0.25">
      <c r="B56" s="93" t="s">
        <v>93</v>
      </c>
      <c r="C56" s="78" t="s">
        <v>86</v>
      </c>
      <c r="D56" s="100">
        <v>10</v>
      </c>
      <c r="E56" s="95"/>
      <c r="F56" s="74">
        <f t="shared" si="1"/>
        <v>0</v>
      </c>
      <c r="G56" s="82"/>
    </row>
    <row r="57" spans="1:7" ht="14.5" x14ac:dyDescent="0.25">
      <c r="B57" s="93" t="s">
        <v>94</v>
      </c>
      <c r="C57" s="78" t="s">
        <v>86</v>
      </c>
      <c r="D57" s="100">
        <v>5</v>
      </c>
      <c r="E57" s="95"/>
      <c r="F57" s="74">
        <f t="shared" si="1"/>
        <v>0</v>
      </c>
      <c r="G57" s="82"/>
    </row>
    <row r="58" spans="1:7" ht="14.5" x14ac:dyDescent="0.25">
      <c r="B58" s="93" t="s">
        <v>95</v>
      </c>
      <c r="C58" s="78" t="s">
        <v>86</v>
      </c>
      <c r="D58" s="100">
        <v>5</v>
      </c>
      <c r="E58" s="95"/>
      <c r="F58" s="74">
        <f t="shared" si="1"/>
        <v>0</v>
      </c>
      <c r="G58" s="82"/>
    </row>
    <row r="59" spans="1:7" ht="14.5" x14ac:dyDescent="0.25">
      <c r="B59" s="93" t="s">
        <v>96</v>
      </c>
      <c r="C59" s="78" t="s">
        <v>86</v>
      </c>
      <c r="D59" s="100">
        <v>2</v>
      </c>
      <c r="E59" s="95"/>
      <c r="F59" s="74">
        <f>D59*E59</f>
        <v>0</v>
      </c>
      <c r="G59" s="82"/>
    </row>
    <row r="60" spans="1:7" ht="14.5" x14ac:dyDescent="0.25">
      <c r="B60" s="93" t="s">
        <v>97</v>
      </c>
      <c r="C60" s="78" t="s">
        <v>86</v>
      </c>
      <c r="D60" s="100">
        <v>3</v>
      </c>
      <c r="E60" s="95"/>
      <c r="F60" s="74">
        <f t="shared" si="1"/>
        <v>0</v>
      </c>
      <c r="G60" s="82"/>
    </row>
    <row r="61" spans="1:7" ht="14.5" x14ac:dyDescent="0.25">
      <c r="B61" s="93" t="s">
        <v>98</v>
      </c>
      <c r="C61" s="78" t="s">
        <v>86</v>
      </c>
      <c r="D61" s="100">
        <v>5</v>
      </c>
      <c r="E61" s="95"/>
      <c r="F61" s="74">
        <f t="shared" si="1"/>
        <v>0</v>
      </c>
      <c r="G61" s="82"/>
    </row>
    <row r="62" spans="1:7" ht="14.5" x14ac:dyDescent="0.25">
      <c r="B62" s="93" t="s">
        <v>99</v>
      </c>
      <c r="C62" s="78" t="s">
        <v>86</v>
      </c>
      <c r="D62" s="100">
        <v>3</v>
      </c>
      <c r="E62" s="95"/>
      <c r="F62" s="74">
        <f>D62*E62</f>
        <v>0</v>
      </c>
      <c r="G62" s="82"/>
    </row>
    <row r="63" spans="1:7" x14ac:dyDescent="0.25">
      <c r="B63" s="93"/>
      <c r="D63" s="100"/>
      <c r="E63" s="95"/>
      <c r="G63" s="82"/>
    </row>
    <row r="64" spans="1:7" x14ac:dyDescent="0.25">
      <c r="B64" s="93"/>
      <c r="D64" s="94"/>
      <c r="E64" s="95"/>
      <c r="G64" s="82"/>
    </row>
    <row r="65" spans="1:7" ht="62.5" x14ac:dyDescent="0.25">
      <c r="A65" s="96" t="s">
        <v>4</v>
      </c>
      <c r="B65" s="81" t="s">
        <v>100</v>
      </c>
      <c r="D65" s="97"/>
      <c r="E65" s="95"/>
    </row>
    <row r="66" spans="1:7" ht="37.5" x14ac:dyDescent="0.25">
      <c r="A66" s="96"/>
      <c r="B66" s="81" t="s">
        <v>89</v>
      </c>
      <c r="D66" s="97"/>
      <c r="E66" s="95"/>
    </row>
    <row r="67" spans="1:7" x14ac:dyDescent="0.25">
      <c r="A67" s="96"/>
      <c r="B67" s="81" t="s">
        <v>61</v>
      </c>
      <c r="D67" s="97"/>
      <c r="E67" s="95"/>
    </row>
    <row r="68" spans="1:7" ht="14.5" x14ac:dyDescent="0.25">
      <c r="B68" s="93" t="s">
        <v>101</v>
      </c>
      <c r="C68" s="78" t="s">
        <v>86</v>
      </c>
      <c r="D68" s="100">
        <v>1</v>
      </c>
      <c r="E68" s="95"/>
      <c r="F68" s="74">
        <f>D68*E68</f>
        <v>0</v>
      </c>
      <c r="G68" s="82"/>
    </row>
    <row r="69" spans="1:7" ht="14.5" x14ac:dyDescent="0.25">
      <c r="B69" s="93" t="s">
        <v>102</v>
      </c>
      <c r="C69" s="78" t="s">
        <v>86</v>
      </c>
      <c r="D69" s="100">
        <v>2</v>
      </c>
      <c r="E69" s="95"/>
      <c r="F69" s="74">
        <f>D69*E69</f>
        <v>0</v>
      </c>
      <c r="G69" s="82"/>
    </row>
    <row r="70" spans="1:7" ht="14.5" x14ac:dyDescent="0.25">
      <c r="B70" s="93" t="s">
        <v>103</v>
      </c>
      <c r="C70" s="78" t="s">
        <v>86</v>
      </c>
      <c r="D70" s="100">
        <v>1</v>
      </c>
      <c r="E70" s="95"/>
      <c r="F70" s="74">
        <f>D70*E70</f>
        <v>0</v>
      </c>
      <c r="G70" s="82"/>
    </row>
    <row r="71" spans="1:7" x14ac:dyDescent="0.25">
      <c r="B71" s="93"/>
      <c r="D71" s="100"/>
      <c r="E71" s="95"/>
      <c r="G71" s="82"/>
    </row>
    <row r="72" spans="1:7" x14ac:dyDescent="0.25">
      <c r="B72" s="99"/>
      <c r="D72" s="90"/>
      <c r="E72" s="95"/>
    </row>
    <row r="73" spans="1:7" x14ac:dyDescent="0.25">
      <c r="B73" s="93"/>
      <c r="D73" s="94"/>
      <c r="E73" s="95"/>
      <c r="G73" s="82"/>
    </row>
    <row r="74" spans="1:7" ht="37.5" x14ac:dyDescent="0.25">
      <c r="A74" s="96" t="s">
        <v>106</v>
      </c>
      <c r="B74" s="81" t="s">
        <v>107</v>
      </c>
      <c r="D74" s="97"/>
      <c r="E74" s="95"/>
    </row>
    <row r="75" spans="1:7" x14ac:dyDescent="0.25">
      <c r="A75" s="96"/>
      <c r="B75" s="81" t="s">
        <v>108</v>
      </c>
      <c r="D75" s="97"/>
      <c r="E75" s="95"/>
    </row>
    <row r="76" spans="1:7" x14ac:dyDescent="0.25">
      <c r="A76" s="96"/>
      <c r="B76" s="81" t="s">
        <v>61</v>
      </c>
      <c r="D76" s="97"/>
      <c r="E76" s="95"/>
    </row>
    <row r="77" spans="1:7" ht="14.5" x14ac:dyDescent="0.25">
      <c r="B77" s="93"/>
      <c r="C77" s="78" t="s">
        <v>104</v>
      </c>
      <c r="D77" s="100">
        <v>3</v>
      </c>
      <c r="E77" s="95"/>
      <c r="F77" s="74">
        <f>D77*E77</f>
        <v>0</v>
      </c>
      <c r="G77" s="82"/>
    </row>
    <row r="78" spans="1:7" x14ac:dyDescent="0.25">
      <c r="B78" s="93"/>
      <c r="D78" s="100"/>
      <c r="E78" s="95"/>
      <c r="G78" s="82"/>
    </row>
    <row r="79" spans="1:7" x14ac:dyDescent="0.25">
      <c r="B79" s="93"/>
      <c r="D79" s="100"/>
      <c r="E79" s="95"/>
      <c r="G79" s="82"/>
    </row>
    <row r="80" spans="1:7" ht="39.75" customHeight="1" x14ac:dyDescent="0.25">
      <c r="A80" s="96" t="s">
        <v>109</v>
      </c>
      <c r="B80" s="81" t="s">
        <v>110</v>
      </c>
      <c r="D80" s="97"/>
      <c r="E80" s="95"/>
    </row>
    <row r="81" spans="1:7" x14ac:dyDescent="0.25">
      <c r="A81" s="96"/>
      <c r="B81" s="81" t="s">
        <v>108</v>
      </c>
      <c r="D81" s="97"/>
      <c r="E81" s="95"/>
    </row>
    <row r="82" spans="1:7" x14ac:dyDescent="0.25">
      <c r="A82" s="96"/>
      <c r="B82" s="81" t="s">
        <v>61</v>
      </c>
      <c r="D82" s="97"/>
      <c r="E82" s="95"/>
    </row>
    <row r="83" spans="1:7" ht="13.5" customHeight="1" x14ac:dyDescent="0.25">
      <c r="B83" s="93"/>
      <c r="C83" s="78" t="s">
        <v>104</v>
      </c>
      <c r="D83" s="100">
        <v>3</v>
      </c>
      <c r="E83" s="95"/>
      <c r="F83" s="74">
        <f>D83*E83</f>
        <v>0</v>
      </c>
      <c r="G83" s="82"/>
    </row>
    <row r="84" spans="1:7" ht="13.5" customHeight="1" x14ac:dyDescent="0.25">
      <c r="B84" s="93"/>
      <c r="D84" s="100"/>
      <c r="E84" s="95"/>
      <c r="G84" s="82"/>
    </row>
    <row r="85" spans="1:7" x14ac:dyDescent="0.25">
      <c r="B85" s="93"/>
      <c r="D85" s="100"/>
      <c r="E85" s="95"/>
      <c r="G85" s="82"/>
    </row>
    <row r="86" spans="1:7" ht="50" x14ac:dyDescent="0.25">
      <c r="A86" s="96" t="s">
        <v>111</v>
      </c>
      <c r="B86" s="81" t="s">
        <v>112</v>
      </c>
      <c r="D86" s="97"/>
      <c r="E86" s="95"/>
    </row>
    <row r="87" spans="1:7" x14ac:dyDescent="0.25">
      <c r="A87" s="96"/>
      <c r="B87" s="81" t="s">
        <v>108</v>
      </c>
      <c r="D87" s="97"/>
      <c r="E87" s="95"/>
    </row>
    <row r="88" spans="1:7" x14ac:dyDescent="0.25">
      <c r="A88" s="96"/>
      <c r="B88" s="81" t="s">
        <v>61</v>
      </c>
      <c r="D88" s="97"/>
      <c r="E88" s="95"/>
    </row>
    <row r="89" spans="1:7" ht="13.5" customHeight="1" x14ac:dyDescent="0.25">
      <c r="B89" s="93"/>
      <c r="C89" s="78" t="s">
        <v>113</v>
      </c>
      <c r="D89" s="100">
        <v>22</v>
      </c>
      <c r="E89" s="95"/>
      <c r="F89" s="74">
        <f>D89*E89</f>
        <v>0</v>
      </c>
      <c r="G89" s="82"/>
    </row>
    <row r="90" spans="1:7" ht="13.5" customHeight="1" x14ac:dyDescent="0.25">
      <c r="B90" s="93"/>
      <c r="D90" s="100"/>
      <c r="E90" s="95"/>
      <c r="G90" s="82"/>
    </row>
    <row r="91" spans="1:7" ht="13.5" customHeight="1" x14ac:dyDescent="0.25">
      <c r="B91" s="93"/>
      <c r="D91" s="100"/>
      <c r="E91" s="95"/>
      <c r="G91" s="82"/>
    </row>
    <row r="92" spans="1:7" ht="87.5" x14ac:dyDescent="0.25">
      <c r="A92" s="96" t="s">
        <v>114</v>
      </c>
      <c r="B92" s="81" t="s">
        <v>115</v>
      </c>
      <c r="D92" s="97"/>
      <c r="E92" s="95"/>
    </row>
    <row r="93" spans="1:7" x14ac:dyDescent="0.25">
      <c r="A93" s="96"/>
      <c r="B93" s="81" t="s">
        <v>108</v>
      </c>
      <c r="D93" s="97"/>
      <c r="E93" s="95"/>
    </row>
    <row r="94" spans="1:7" x14ac:dyDescent="0.25">
      <c r="A94" s="96"/>
      <c r="B94" s="81" t="s">
        <v>61</v>
      </c>
      <c r="D94" s="97"/>
      <c r="E94" s="95"/>
    </row>
    <row r="95" spans="1:7" ht="13.5" customHeight="1" x14ac:dyDescent="0.25">
      <c r="B95" s="93"/>
      <c r="C95" s="78" t="s">
        <v>86</v>
      </c>
      <c r="D95" s="100">
        <v>48</v>
      </c>
      <c r="E95" s="95"/>
      <c r="F95" s="74">
        <f>D95*E95</f>
        <v>0</v>
      </c>
      <c r="G95" s="82"/>
    </row>
    <row r="96" spans="1:7" ht="13.5" customHeight="1" x14ac:dyDescent="0.25">
      <c r="B96" s="93"/>
      <c r="D96" s="100"/>
      <c r="E96" s="95"/>
      <c r="G96" s="82"/>
    </row>
    <row r="97" spans="1:7" x14ac:dyDescent="0.25">
      <c r="B97" s="99"/>
      <c r="D97" s="90"/>
      <c r="E97" s="95"/>
      <c r="G97" s="82"/>
    </row>
    <row r="98" spans="1:7" ht="37.5" x14ac:dyDescent="0.25">
      <c r="A98" s="96" t="s">
        <v>116</v>
      </c>
      <c r="B98" s="186" t="s">
        <v>117</v>
      </c>
      <c r="D98" s="101"/>
      <c r="E98" s="95"/>
      <c r="G98" s="82"/>
    </row>
    <row r="99" spans="1:7" ht="37.5" x14ac:dyDescent="0.25">
      <c r="A99" s="96"/>
      <c r="B99" s="88" t="s">
        <v>118</v>
      </c>
      <c r="D99" s="101"/>
      <c r="E99" s="95"/>
      <c r="G99" s="82"/>
    </row>
    <row r="100" spans="1:7" x14ac:dyDescent="0.25">
      <c r="A100" s="96"/>
      <c r="B100" s="81" t="s">
        <v>61</v>
      </c>
      <c r="D100" s="101"/>
      <c r="E100" s="95"/>
    </row>
    <row r="101" spans="1:7" ht="14.5" x14ac:dyDescent="0.25">
      <c r="B101" s="93"/>
      <c r="C101" s="78" t="s">
        <v>86</v>
      </c>
      <c r="D101" s="100">
        <v>1750</v>
      </c>
      <c r="E101" s="95"/>
      <c r="F101" s="74">
        <f>D101*E101</f>
        <v>0</v>
      </c>
    </row>
    <row r="102" spans="1:7" x14ac:dyDescent="0.25">
      <c r="B102" s="93"/>
      <c r="D102" s="94"/>
      <c r="E102" s="95"/>
    </row>
    <row r="103" spans="1:7" x14ac:dyDescent="0.25">
      <c r="B103" s="99"/>
      <c r="D103" s="90"/>
      <c r="E103" s="95"/>
    </row>
    <row r="104" spans="1:7" ht="37.5" x14ac:dyDescent="0.25">
      <c r="A104" s="96" t="s">
        <v>119</v>
      </c>
      <c r="B104" s="186" t="s">
        <v>120</v>
      </c>
      <c r="D104" s="101"/>
      <c r="E104" s="95"/>
      <c r="G104" s="82"/>
    </row>
    <row r="105" spans="1:7" ht="62.5" x14ac:dyDescent="0.25">
      <c r="A105" s="96"/>
      <c r="B105" s="88" t="s">
        <v>121</v>
      </c>
      <c r="D105" s="101"/>
      <c r="E105" s="95"/>
      <c r="G105" s="82"/>
    </row>
    <row r="106" spans="1:7" x14ac:dyDescent="0.25">
      <c r="A106" s="96"/>
      <c r="B106" s="81" t="s">
        <v>61</v>
      </c>
      <c r="D106" s="101"/>
      <c r="E106" s="95"/>
    </row>
    <row r="107" spans="1:7" ht="14.5" x14ac:dyDescent="0.25">
      <c r="B107" s="93"/>
      <c r="C107" s="78" t="s">
        <v>86</v>
      </c>
      <c r="D107" s="100">
        <v>475</v>
      </c>
      <c r="E107" s="95"/>
      <c r="F107" s="74">
        <f>D107*E107</f>
        <v>0</v>
      </c>
    </row>
    <row r="108" spans="1:7" x14ac:dyDescent="0.25">
      <c r="B108" s="93"/>
      <c r="D108" s="94"/>
      <c r="E108" s="95"/>
    </row>
    <row r="109" spans="1:7" x14ac:dyDescent="0.25">
      <c r="B109" s="99"/>
      <c r="D109" s="90"/>
      <c r="E109" s="95"/>
    </row>
    <row r="110" spans="1:7" ht="37.5" x14ac:dyDescent="0.25">
      <c r="A110" s="96" t="s">
        <v>122</v>
      </c>
      <c r="B110" s="186" t="s">
        <v>123</v>
      </c>
      <c r="D110" s="101"/>
      <c r="E110" s="95"/>
      <c r="G110" s="82"/>
    </row>
    <row r="111" spans="1:7" ht="37.5" x14ac:dyDescent="0.25">
      <c r="A111" s="96"/>
      <c r="B111" s="88" t="s">
        <v>124</v>
      </c>
      <c r="D111" s="101"/>
      <c r="E111" s="95"/>
      <c r="G111" s="82"/>
    </row>
    <row r="112" spans="1:7" x14ac:dyDescent="0.25">
      <c r="A112" s="96"/>
      <c r="B112" s="81" t="s">
        <v>61</v>
      </c>
      <c r="D112" s="101"/>
      <c r="E112" s="95"/>
    </row>
    <row r="113" spans="1:7" ht="14.5" x14ac:dyDescent="0.25">
      <c r="B113" s="93"/>
      <c r="C113" s="78" t="s">
        <v>86</v>
      </c>
      <c r="D113" s="100">
        <v>69</v>
      </c>
      <c r="E113" s="95"/>
      <c r="F113" s="74">
        <f>D113*E113</f>
        <v>0</v>
      </c>
    </row>
    <row r="114" spans="1:7" x14ac:dyDescent="0.25">
      <c r="B114" s="93"/>
      <c r="D114" s="94"/>
      <c r="E114" s="95"/>
    </row>
    <row r="115" spans="1:7" x14ac:dyDescent="0.25">
      <c r="B115" s="99"/>
      <c r="D115" s="90"/>
      <c r="E115" s="95"/>
    </row>
    <row r="116" spans="1:7" ht="37.5" x14ac:dyDescent="0.25">
      <c r="A116" s="96" t="s">
        <v>125</v>
      </c>
      <c r="B116" s="186" t="s">
        <v>126</v>
      </c>
      <c r="D116" s="101"/>
      <c r="E116" s="95"/>
      <c r="G116" s="82"/>
    </row>
    <row r="117" spans="1:7" ht="62.5" x14ac:dyDescent="0.25">
      <c r="A117" s="96"/>
      <c r="B117" s="88" t="s">
        <v>127</v>
      </c>
      <c r="D117" s="101"/>
      <c r="E117" s="95"/>
      <c r="G117" s="82"/>
    </row>
    <row r="118" spans="1:7" x14ac:dyDescent="0.25">
      <c r="A118" s="96"/>
      <c r="B118" s="81" t="s">
        <v>61</v>
      </c>
      <c r="D118" s="101"/>
      <c r="E118" s="95"/>
    </row>
    <row r="119" spans="1:7" ht="14.5" x14ac:dyDescent="0.25">
      <c r="B119" s="93"/>
      <c r="C119" s="78" t="s">
        <v>86</v>
      </c>
      <c r="D119" s="100">
        <v>72</v>
      </c>
      <c r="E119" s="95"/>
      <c r="F119" s="74">
        <f>D119*E119</f>
        <v>0</v>
      </c>
    </row>
    <row r="120" spans="1:7" x14ac:dyDescent="0.25">
      <c r="B120" s="93"/>
      <c r="D120" s="94"/>
      <c r="E120" s="95"/>
    </row>
    <row r="121" spans="1:7" x14ac:dyDescent="0.25">
      <c r="B121" s="99"/>
      <c r="D121" s="90"/>
      <c r="E121" s="95"/>
    </row>
    <row r="122" spans="1:7" ht="37.5" x14ac:dyDescent="0.25">
      <c r="A122" s="96" t="s">
        <v>128</v>
      </c>
      <c r="B122" s="186" t="s">
        <v>129</v>
      </c>
      <c r="D122" s="101"/>
      <c r="E122" s="95"/>
      <c r="G122" s="82"/>
    </row>
    <row r="123" spans="1:7" ht="37.5" x14ac:dyDescent="0.25">
      <c r="A123" s="96"/>
      <c r="B123" s="88" t="s">
        <v>130</v>
      </c>
      <c r="D123" s="101"/>
      <c r="E123" s="95"/>
      <c r="G123" s="82"/>
    </row>
    <row r="124" spans="1:7" x14ac:dyDescent="0.25">
      <c r="A124" s="96"/>
      <c r="B124" s="81" t="s">
        <v>61</v>
      </c>
      <c r="D124" s="101"/>
      <c r="E124" s="95"/>
    </row>
    <row r="125" spans="1:7" ht="14.5" x14ac:dyDescent="0.25">
      <c r="B125" s="93"/>
      <c r="C125" s="78" t="s">
        <v>86</v>
      </c>
      <c r="D125" s="100">
        <v>87</v>
      </c>
      <c r="E125" s="95"/>
      <c r="F125" s="74">
        <f>D125*E125</f>
        <v>0</v>
      </c>
    </row>
    <row r="126" spans="1:7" x14ac:dyDescent="0.25">
      <c r="B126" s="93"/>
      <c r="D126" s="94"/>
      <c r="E126" s="95"/>
    </row>
    <row r="127" spans="1:7" x14ac:dyDescent="0.25">
      <c r="B127" s="99"/>
      <c r="D127" s="90"/>
      <c r="E127" s="95"/>
    </row>
    <row r="128" spans="1:7" ht="25" x14ac:dyDescent="0.25">
      <c r="A128" s="96" t="s">
        <v>131</v>
      </c>
      <c r="B128" s="186" t="s">
        <v>132</v>
      </c>
      <c r="D128" s="101"/>
      <c r="E128" s="95"/>
      <c r="G128" s="82"/>
    </row>
    <row r="129" spans="1:7" ht="42.75" customHeight="1" x14ac:dyDescent="0.25">
      <c r="A129" s="96"/>
      <c r="B129" s="88" t="s">
        <v>133</v>
      </c>
      <c r="D129" s="101"/>
      <c r="E129" s="95"/>
      <c r="G129" s="82"/>
    </row>
    <row r="130" spans="1:7" x14ac:dyDescent="0.25">
      <c r="A130" s="96"/>
      <c r="B130" s="81" t="s">
        <v>61</v>
      </c>
      <c r="D130" s="101"/>
      <c r="E130" s="95"/>
    </row>
    <row r="131" spans="1:7" ht="14.5" x14ac:dyDescent="0.25">
      <c r="B131" s="93"/>
      <c r="C131" s="78" t="s">
        <v>86</v>
      </c>
      <c r="D131" s="100">
        <v>110</v>
      </c>
      <c r="E131" s="95"/>
      <c r="F131" s="74">
        <f>D131*E131</f>
        <v>0</v>
      </c>
    </row>
    <row r="132" spans="1:7" x14ac:dyDescent="0.25">
      <c r="B132" s="93"/>
      <c r="D132" s="94"/>
      <c r="E132" s="95"/>
    </row>
    <row r="133" spans="1:7" x14ac:dyDescent="0.25">
      <c r="B133" s="99"/>
      <c r="D133" s="90"/>
      <c r="E133" s="95"/>
    </row>
    <row r="134" spans="1:7" ht="25" x14ac:dyDescent="0.25">
      <c r="A134" s="96" t="s">
        <v>134</v>
      </c>
      <c r="B134" s="186" t="s">
        <v>135</v>
      </c>
      <c r="D134" s="101"/>
      <c r="E134" s="95"/>
      <c r="G134" s="82"/>
    </row>
    <row r="135" spans="1:7" ht="42" customHeight="1" x14ac:dyDescent="0.25">
      <c r="A135" s="96"/>
      <c r="B135" s="88" t="s">
        <v>133</v>
      </c>
      <c r="D135" s="101"/>
      <c r="E135" s="95"/>
      <c r="G135" s="82"/>
    </row>
    <row r="136" spans="1:7" x14ac:dyDescent="0.25">
      <c r="A136" s="96"/>
      <c r="B136" s="81" t="s">
        <v>61</v>
      </c>
      <c r="D136" s="101"/>
      <c r="E136" s="95"/>
    </row>
    <row r="137" spans="1:7" ht="14.5" x14ac:dyDescent="0.25">
      <c r="B137" s="93"/>
      <c r="C137" s="78" t="s">
        <v>86</v>
      </c>
      <c r="D137" s="100">
        <v>325</v>
      </c>
      <c r="E137" s="95"/>
      <c r="F137" s="74">
        <f>D137*E137</f>
        <v>0</v>
      </c>
    </row>
    <row r="138" spans="1:7" x14ac:dyDescent="0.25">
      <c r="B138" s="93"/>
      <c r="D138" s="94"/>
      <c r="E138" s="95"/>
    </row>
    <row r="139" spans="1:7" x14ac:dyDescent="0.25">
      <c r="B139" s="99"/>
      <c r="D139" s="90"/>
      <c r="E139" s="95"/>
    </row>
    <row r="140" spans="1:7" x14ac:dyDescent="0.25">
      <c r="B140" s="99"/>
      <c r="D140" s="90"/>
      <c r="E140" s="95"/>
    </row>
    <row r="141" spans="1:7" x14ac:dyDescent="0.25">
      <c r="A141" s="96" t="s">
        <v>137</v>
      </c>
      <c r="B141" s="186" t="s">
        <v>138</v>
      </c>
      <c r="D141" s="101"/>
      <c r="E141" s="95"/>
      <c r="G141" s="82"/>
    </row>
    <row r="142" spans="1:7" ht="37.5" x14ac:dyDescent="0.25">
      <c r="A142" s="96"/>
      <c r="B142" s="88" t="s">
        <v>139</v>
      </c>
      <c r="D142" s="101"/>
      <c r="E142" s="95"/>
      <c r="G142" s="82"/>
    </row>
    <row r="143" spans="1:7" x14ac:dyDescent="0.25">
      <c r="A143" s="96"/>
      <c r="B143" s="81" t="s">
        <v>61</v>
      </c>
      <c r="D143" s="101"/>
      <c r="E143" s="95"/>
    </row>
    <row r="144" spans="1:7" ht="14.5" x14ac:dyDescent="0.25">
      <c r="B144" s="93"/>
      <c r="C144" s="78" t="s">
        <v>86</v>
      </c>
      <c r="D144" s="100">
        <v>86</v>
      </c>
      <c r="E144" s="95"/>
      <c r="F144" s="74">
        <f>D144*E144</f>
        <v>0</v>
      </c>
    </row>
    <row r="145" spans="1:20" x14ac:dyDescent="0.25">
      <c r="B145" s="93"/>
      <c r="D145" s="94"/>
      <c r="E145" s="95"/>
    </row>
    <row r="146" spans="1:20" x14ac:dyDescent="0.25">
      <c r="B146" s="99"/>
      <c r="D146" s="90"/>
      <c r="E146" s="95"/>
    </row>
    <row r="147" spans="1:20" x14ac:dyDescent="0.25">
      <c r="A147" s="96" t="s">
        <v>140</v>
      </c>
      <c r="B147" s="186" t="s">
        <v>141</v>
      </c>
      <c r="D147" s="101"/>
      <c r="E147" s="95"/>
      <c r="G147" s="82"/>
    </row>
    <row r="148" spans="1:20" ht="37.5" x14ac:dyDescent="0.25">
      <c r="A148" s="96"/>
      <c r="B148" s="88" t="s">
        <v>142</v>
      </c>
      <c r="D148" s="101"/>
      <c r="E148" s="95"/>
      <c r="G148" s="82"/>
    </row>
    <row r="149" spans="1:20" x14ac:dyDescent="0.25">
      <c r="A149" s="96"/>
      <c r="B149" s="81" t="s">
        <v>61</v>
      </c>
      <c r="D149" s="101"/>
      <c r="E149" s="95"/>
    </row>
    <row r="150" spans="1:20" ht="14.5" x14ac:dyDescent="0.25">
      <c r="B150" s="93"/>
      <c r="C150" s="78" t="s">
        <v>86</v>
      </c>
      <c r="D150" s="100">
        <v>41</v>
      </c>
      <c r="E150" s="95"/>
      <c r="F150" s="74">
        <f>D150*E150</f>
        <v>0</v>
      </c>
    </row>
    <row r="151" spans="1:20" x14ac:dyDescent="0.25">
      <c r="B151" s="93"/>
      <c r="D151" s="94"/>
      <c r="E151" s="95"/>
    </row>
    <row r="152" spans="1:20" x14ac:dyDescent="0.25">
      <c r="B152" s="99"/>
      <c r="D152" s="90"/>
      <c r="E152" s="95"/>
    </row>
    <row r="153" spans="1:20" s="17" customFormat="1" ht="20" x14ac:dyDescent="0.4">
      <c r="A153" s="211" t="s">
        <v>143</v>
      </c>
      <c r="B153" s="211"/>
      <c r="C153" s="211"/>
      <c r="D153" s="211"/>
      <c r="E153" s="102"/>
      <c r="F153" s="103">
        <f>SUM(F18:F152)</f>
        <v>0</v>
      </c>
    </row>
    <row r="154" spans="1:20" x14ac:dyDescent="0.3">
      <c r="A154" s="1"/>
      <c r="B154" s="1"/>
      <c r="C154" s="1"/>
      <c r="D154" s="1"/>
      <c r="E154" s="104"/>
      <c r="F154" s="105"/>
    </row>
    <row r="155" spans="1:20" s="10" customFormat="1" ht="17.5" x14ac:dyDescent="0.35">
      <c r="A155" s="1"/>
      <c r="B155" s="1"/>
      <c r="C155" s="1"/>
      <c r="D155" s="1"/>
      <c r="E155" s="104"/>
      <c r="F155" s="105"/>
    </row>
    <row r="156" spans="1:20" x14ac:dyDescent="0.25">
      <c r="D156" s="79"/>
    </row>
    <row r="157" spans="1:20" ht="17.5" x14ac:dyDescent="0.35">
      <c r="A157" s="106"/>
      <c r="B157" s="107" t="s">
        <v>145</v>
      </c>
      <c r="C157" s="108"/>
      <c r="D157" s="109"/>
      <c r="E157" s="110"/>
      <c r="F157" s="111"/>
    </row>
    <row r="158" spans="1:20" x14ac:dyDescent="0.25">
      <c r="D158" s="79"/>
    </row>
    <row r="159" spans="1:20" x14ac:dyDescent="0.3">
      <c r="B159" s="9" t="s">
        <v>146</v>
      </c>
      <c r="D159" s="79"/>
    </row>
    <row r="160" spans="1:20" ht="27" customHeight="1" x14ac:dyDescent="0.25">
      <c r="A160" s="112"/>
      <c r="B160" s="208" t="s">
        <v>147</v>
      </c>
      <c r="C160" s="208"/>
      <c r="D160" s="208"/>
      <c r="E160" s="208"/>
      <c r="T160" s="86" t="s">
        <v>50</v>
      </c>
    </row>
    <row r="161" spans="1:20" ht="66" customHeight="1" x14ac:dyDescent="0.25">
      <c r="A161" s="112"/>
      <c r="B161" s="208" t="s">
        <v>148</v>
      </c>
      <c r="C161" s="208"/>
      <c r="D161" s="208"/>
      <c r="E161" s="208"/>
      <c r="T161" s="86" t="s">
        <v>54</v>
      </c>
    </row>
    <row r="162" spans="1:20" ht="50" x14ac:dyDescent="0.25">
      <c r="A162" s="112"/>
      <c r="B162" s="208" t="s">
        <v>149</v>
      </c>
      <c r="C162" s="208"/>
      <c r="D162" s="208"/>
      <c r="E162" s="208"/>
      <c r="T162" s="86" t="s">
        <v>45</v>
      </c>
    </row>
    <row r="163" spans="1:20" ht="25" x14ac:dyDescent="0.25">
      <c r="A163" s="112"/>
      <c r="B163" s="208" t="s">
        <v>150</v>
      </c>
      <c r="C163" s="208"/>
      <c r="D163" s="208"/>
      <c r="E163" s="208"/>
      <c r="T163" s="86" t="s">
        <v>48</v>
      </c>
    </row>
    <row r="164" spans="1:20" ht="50" x14ac:dyDescent="0.25">
      <c r="A164" s="112"/>
      <c r="B164" s="208" t="s">
        <v>151</v>
      </c>
      <c r="C164" s="208"/>
      <c r="D164" s="208"/>
      <c r="E164" s="208"/>
      <c r="T164" s="86" t="s">
        <v>45</v>
      </c>
    </row>
    <row r="165" spans="1:20" ht="37.5" x14ac:dyDescent="0.25">
      <c r="A165" s="112"/>
      <c r="B165" s="209" t="s">
        <v>152</v>
      </c>
      <c r="C165" s="208"/>
      <c r="D165" s="208"/>
      <c r="E165" s="208"/>
      <c r="T165" s="86" t="s">
        <v>50</v>
      </c>
    </row>
    <row r="166" spans="1:20" ht="50" x14ac:dyDescent="0.25">
      <c r="A166" s="112"/>
      <c r="B166" s="208" t="s">
        <v>153</v>
      </c>
      <c r="C166" s="208"/>
      <c r="D166" s="208"/>
      <c r="E166" s="208"/>
      <c r="T166" s="86" t="s">
        <v>45</v>
      </c>
    </row>
    <row r="167" spans="1:20" ht="50" x14ac:dyDescent="0.25">
      <c r="A167" s="112"/>
      <c r="B167" s="208" t="s">
        <v>154</v>
      </c>
      <c r="C167" s="208"/>
      <c r="D167" s="208"/>
      <c r="E167" s="208"/>
      <c r="T167" s="86" t="s">
        <v>45</v>
      </c>
    </row>
    <row r="168" spans="1:20" ht="25" x14ac:dyDescent="0.25">
      <c r="A168" s="112"/>
      <c r="B168" s="208" t="s">
        <v>155</v>
      </c>
      <c r="C168" s="208"/>
      <c r="D168" s="208"/>
      <c r="E168" s="208"/>
      <c r="T168" s="86" t="s">
        <v>48</v>
      </c>
    </row>
    <row r="169" spans="1:20" ht="37.5" x14ac:dyDescent="0.25">
      <c r="A169" s="112"/>
      <c r="B169" s="208" t="s">
        <v>156</v>
      </c>
      <c r="C169" s="208"/>
      <c r="D169" s="208"/>
      <c r="E169" s="208"/>
      <c r="T169" s="86" t="s">
        <v>50</v>
      </c>
    </row>
    <row r="170" spans="1:20" ht="50" x14ac:dyDescent="0.25">
      <c r="A170" s="112"/>
      <c r="B170" s="208" t="s">
        <v>157</v>
      </c>
      <c r="C170" s="208"/>
      <c r="D170" s="208"/>
      <c r="E170" s="208"/>
      <c r="T170" s="86" t="s">
        <v>45</v>
      </c>
    </row>
    <row r="171" spans="1:20" x14ac:dyDescent="0.25">
      <c r="D171" s="79"/>
      <c r="E171" s="95"/>
    </row>
    <row r="172" spans="1:20" ht="62.5" x14ac:dyDescent="0.25">
      <c r="A172" s="114" t="s">
        <v>1</v>
      </c>
      <c r="B172" s="81" t="s">
        <v>158</v>
      </c>
      <c r="D172" s="100"/>
      <c r="E172" s="95"/>
    </row>
    <row r="173" spans="1:20" x14ac:dyDescent="0.25">
      <c r="A173" s="114"/>
      <c r="B173" s="81" t="s">
        <v>159</v>
      </c>
      <c r="D173" s="100"/>
      <c r="E173" s="95"/>
    </row>
    <row r="174" spans="1:20" x14ac:dyDescent="0.25">
      <c r="A174" s="114"/>
      <c r="B174" s="81" t="s">
        <v>160</v>
      </c>
      <c r="D174" s="100"/>
      <c r="E174" s="95"/>
    </row>
    <row r="175" spans="1:20" ht="14.5" x14ac:dyDescent="0.25">
      <c r="B175" s="93"/>
      <c r="C175" s="78" t="s">
        <v>113</v>
      </c>
      <c r="D175" s="100">
        <v>2</v>
      </c>
      <c r="E175" s="95"/>
      <c r="F175" s="74">
        <f>D175*E175</f>
        <v>0</v>
      </c>
    </row>
    <row r="176" spans="1:20" x14ac:dyDescent="0.25">
      <c r="B176" s="93"/>
      <c r="D176" s="79"/>
      <c r="E176" s="95"/>
    </row>
    <row r="177" spans="1:6" x14ac:dyDescent="0.25">
      <c r="D177" s="79"/>
      <c r="E177" s="95"/>
    </row>
    <row r="178" spans="1:6" ht="37.5" x14ac:dyDescent="0.25">
      <c r="A178" s="114" t="s">
        <v>2</v>
      </c>
      <c r="B178" s="81" t="s">
        <v>161</v>
      </c>
      <c r="D178" s="79"/>
      <c r="E178" s="95"/>
    </row>
    <row r="179" spans="1:6" ht="25" x14ac:dyDescent="0.25">
      <c r="A179" s="114"/>
      <c r="B179" s="81" t="s">
        <v>162</v>
      </c>
      <c r="D179" s="79"/>
      <c r="E179" s="95"/>
    </row>
    <row r="180" spans="1:6" x14ac:dyDescent="0.25">
      <c r="A180" s="114"/>
      <c r="B180" s="81" t="s">
        <v>144</v>
      </c>
      <c r="D180" s="79"/>
      <c r="E180" s="95"/>
    </row>
    <row r="181" spans="1:6" ht="14.5" x14ac:dyDescent="0.25">
      <c r="B181" s="93"/>
      <c r="C181" s="78" t="s">
        <v>113</v>
      </c>
      <c r="D181" s="100">
        <v>16</v>
      </c>
      <c r="E181" s="95"/>
      <c r="F181" s="74">
        <f>D181*E181</f>
        <v>0</v>
      </c>
    </row>
    <row r="182" spans="1:6" x14ac:dyDescent="0.25">
      <c r="D182" s="79"/>
      <c r="E182" s="95"/>
    </row>
    <row r="183" spans="1:6" x14ac:dyDescent="0.25">
      <c r="D183" s="79"/>
      <c r="E183" s="95"/>
    </row>
    <row r="184" spans="1:6" ht="50" x14ac:dyDescent="0.25">
      <c r="A184" s="114" t="s">
        <v>3</v>
      </c>
      <c r="B184" s="81" t="s">
        <v>163</v>
      </c>
      <c r="D184" s="79"/>
      <c r="E184" s="95"/>
    </row>
    <row r="185" spans="1:6" ht="37.5" x14ac:dyDescent="0.25">
      <c r="A185" s="114"/>
      <c r="B185" s="81" t="s">
        <v>164</v>
      </c>
      <c r="D185" s="79"/>
      <c r="E185" s="95"/>
    </row>
    <row r="186" spans="1:6" ht="25" x14ac:dyDescent="0.25">
      <c r="A186" s="114"/>
      <c r="B186" s="81" t="s">
        <v>165</v>
      </c>
      <c r="D186" s="79"/>
      <c r="E186" s="95"/>
    </row>
    <row r="187" spans="1:6" ht="14.5" x14ac:dyDescent="0.25">
      <c r="B187" s="93"/>
      <c r="C187" s="78" t="s">
        <v>113</v>
      </c>
      <c r="D187" s="79">
        <v>35.5</v>
      </c>
      <c r="E187" s="95"/>
      <c r="F187" s="74">
        <f>D187*E187</f>
        <v>0</v>
      </c>
    </row>
    <row r="188" spans="1:6" x14ac:dyDescent="0.25">
      <c r="D188" s="79"/>
      <c r="E188" s="95"/>
    </row>
    <row r="189" spans="1:6" x14ac:dyDescent="0.25">
      <c r="D189" s="79"/>
      <c r="E189" s="95"/>
    </row>
    <row r="190" spans="1:6" ht="50" x14ac:dyDescent="0.25">
      <c r="A190" s="114" t="s">
        <v>4</v>
      </c>
      <c r="B190" s="81" t="s">
        <v>166</v>
      </c>
      <c r="D190" s="79"/>
      <c r="E190" s="95"/>
    </row>
    <row r="191" spans="1:6" ht="37.5" x14ac:dyDescent="0.25">
      <c r="A191" s="114"/>
      <c r="B191" s="81" t="s">
        <v>164</v>
      </c>
      <c r="D191" s="79"/>
      <c r="E191" s="95"/>
    </row>
    <row r="192" spans="1:6" ht="25" x14ac:dyDescent="0.25">
      <c r="A192" s="114"/>
      <c r="B192" s="81" t="s">
        <v>165</v>
      </c>
      <c r="D192" s="79"/>
      <c r="E192" s="95"/>
    </row>
    <row r="193" spans="1:6" ht="14.5" x14ac:dyDescent="0.25">
      <c r="B193" s="93"/>
      <c r="C193" s="78" t="s">
        <v>113</v>
      </c>
      <c r="D193" s="100">
        <v>65</v>
      </c>
      <c r="E193" s="95"/>
      <c r="F193" s="74">
        <f>D193*E193</f>
        <v>0</v>
      </c>
    </row>
    <row r="194" spans="1:6" x14ac:dyDescent="0.25">
      <c r="D194" s="79"/>
      <c r="E194" s="95"/>
    </row>
    <row r="195" spans="1:6" x14ac:dyDescent="0.25">
      <c r="D195" s="79"/>
      <c r="E195" s="95"/>
    </row>
    <row r="196" spans="1:6" ht="50" x14ac:dyDescent="0.25">
      <c r="A196" s="114" t="s">
        <v>5</v>
      </c>
      <c r="B196" s="81" t="s">
        <v>167</v>
      </c>
      <c r="D196" s="79"/>
      <c r="E196" s="95"/>
    </row>
    <row r="197" spans="1:6" ht="25" x14ac:dyDescent="0.25">
      <c r="A197" s="114"/>
      <c r="B197" s="81" t="s">
        <v>168</v>
      </c>
      <c r="D197" s="79"/>
      <c r="E197" s="95"/>
    </row>
    <row r="198" spans="1:6" x14ac:dyDescent="0.25">
      <c r="A198" s="114"/>
      <c r="B198" s="81" t="s">
        <v>160</v>
      </c>
      <c r="D198" s="79"/>
      <c r="E198" s="95"/>
    </row>
    <row r="199" spans="1:6" ht="14.5" x14ac:dyDescent="0.25">
      <c r="B199" s="93"/>
      <c r="C199" s="78" t="s">
        <v>86</v>
      </c>
      <c r="D199" s="79">
        <v>30</v>
      </c>
      <c r="E199" s="95"/>
      <c r="F199" s="74">
        <f>D199*E199</f>
        <v>0</v>
      </c>
    </row>
    <row r="200" spans="1:6" x14ac:dyDescent="0.25">
      <c r="B200" t="s">
        <v>169</v>
      </c>
      <c r="D200" s="79"/>
      <c r="E200" s="95"/>
    </row>
    <row r="201" spans="1:6" x14ac:dyDescent="0.25">
      <c r="D201" s="79"/>
      <c r="E201" s="95"/>
    </row>
    <row r="202" spans="1:6" ht="50" x14ac:dyDescent="0.25">
      <c r="A202" s="114" t="s">
        <v>11</v>
      </c>
      <c r="B202" s="81" t="s">
        <v>170</v>
      </c>
      <c r="D202" s="79"/>
      <c r="E202" s="95"/>
    </row>
    <row r="203" spans="1:6" ht="25" x14ac:dyDescent="0.25">
      <c r="A203" s="114"/>
      <c r="B203" s="81" t="s">
        <v>168</v>
      </c>
      <c r="D203" s="79"/>
      <c r="E203" s="95"/>
    </row>
    <row r="204" spans="1:6" x14ac:dyDescent="0.25">
      <c r="A204" s="114"/>
      <c r="B204" s="81" t="s">
        <v>160</v>
      </c>
      <c r="D204" s="79"/>
      <c r="E204" s="95"/>
    </row>
    <row r="205" spans="1:6" ht="14.5" x14ac:dyDescent="0.25">
      <c r="B205" s="93"/>
      <c r="C205" s="78" t="s">
        <v>86</v>
      </c>
      <c r="D205" s="100">
        <v>111</v>
      </c>
      <c r="E205" s="95"/>
      <c r="F205" s="74">
        <f>D205*E205</f>
        <v>0</v>
      </c>
    </row>
    <row r="206" spans="1:6" x14ac:dyDescent="0.25">
      <c r="B206" t="s">
        <v>169</v>
      </c>
      <c r="D206" s="79"/>
      <c r="E206" s="95"/>
    </row>
    <row r="207" spans="1:6" x14ac:dyDescent="0.25">
      <c r="D207" s="79"/>
      <c r="E207" s="95"/>
    </row>
    <row r="208" spans="1:6" ht="62.5" x14ac:dyDescent="0.25">
      <c r="A208" s="114" t="s">
        <v>25</v>
      </c>
      <c r="B208" s="81" t="s">
        <v>171</v>
      </c>
      <c r="D208" s="79"/>
      <c r="E208" s="95"/>
    </row>
    <row r="209" spans="1:6" x14ac:dyDescent="0.25">
      <c r="A209" s="114"/>
      <c r="B209" s="81" t="s">
        <v>144</v>
      </c>
      <c r="D209" s="79"/>
      <c r="E209" s="95"/>
    </row>
    <row r="210" spans="1:6" x14ac:dyDescent="0.25">
      <c r="B210" s="93" t="s">
        <v>172</v>
      </c>
      <c r="C210" s="78" t="s">
        <v>63</v>
      </c>
      <c r="D210" s="98">
        <v>16</v>
      </c>
      <c r="E210" s="95"/>
      <c r="F210" s="74">
        <f>D210*E210</f>
        <v>0</v>
      </c>
    </row>
    <row r="211" spans="1:6" x14ac:dyDescent="0.25">
      <c r="B211" s="93"/>
      <c r="D211" s="98"/>
      <c r="E211" s="95"/>
    </row>
    <row r="212" spans="1:6" x14ac:dyDescent="0.25">
      <c r="B212" t="s">
        <v>169</v>
      </c>
      <c r="D212" s="79"/>
      <c r="E212" s="95"/>
    </row>
    <row r="213" spans="1:6" ht="51" x14ac:dyDescent="0.25">
      <c r="A213" s="114" t="s">
        <v>105</v>
      </c>
      <c r="B213" s="81" t="s">
        <v>173</v>
      </c>
      <c r="D213" s="100"/>
      <c r="E213" s="95"/>
    </row>
    <row r="214" spans="1:6" ht="25.5" x14ac:dyDescent="0.25">
      <c r="A214" s="114"/>
      <c r="B214" s="81" t="s">
        <v>174</v>
      </c>
      <c r="D214" s="100"/>
      <c r="E214" s="95"/>
    </row>
    <row r="215" spans="1:6" ht="14.5" x14ac:dyDescent="0.25">
      <c r="B215" s="93"/>
      <c r="C215" s="78" t="s">
        <v>86</v>
      </c>
      <c r="D215" s="100">
        <v>355</v>
      </c>
      <c r="E215" s="95"/>
      <c r="F215" s="74">
        <f>D215*E215</f>
        <v>0</v>
      </c>
    </row>
    <row r="216" spans="1:6" ht="112.5" x14ac:dyDescent="0.25">
      <c r="A216" s="114"/>
      <c r="B216" s="81" t="s">
        <v>175</v>
      </c>
      <c r="D216" s="100"/>
      <c r="E216" s="95"/>
    </row>
    <row r="217" spans="1:6" ht="41.25" customHeight="1" x14ac:dyDescent="0.25">
      <c r="A217" s="114"/>
      <c r="B217" s="81" t="s">
        <v>176</v>
      </c>
      <c r="D217" s="100"/>
      <c r="E217" s="95"/>
    </row>
    <row r="218" spans="1:6" ht="37.5" x14ac:dyDescent="0.25">
      <c r="A218" s="114"/>
      <c r="B218" s="81" t="s">
        <v>177</v>
      </c>
      <c r="D218" s="100"/>
      <c r="E218" s="95"/>
    </row>
    <row r="219" spans="1:6" ht="14.5" x14ac:dyDescent="0.25">
      <c r="B219" s="93" t="s">
        <v>178</v>
      </c>
      <c r="C219" s="78" t="s">
        <v>104</v>
      </c>
      <c r="D219" s="100">
        <v>47</v>
      </c>
      <c r="E219" s="95"/>
      <c r="F219" s="74">
        <f>D219*E219</f>
        <v>0</v>
      </c>
    </row>
    <row r="220" spans="1:6" ht="14.5" x14ac:dyDescent="0.25">
      <c r="B220" s="93" t="s">
        <v>179</v>
      </c>
      <c r="C220" s="78" t="s">
        <v>104</v>
      </c>
      <c r="D220" s="100">
        <v>151</v>
      </c>
      <c r="E220" s="95"/>
      <c r="F220" s="74">
        <f>D220*E220</f>
        <v>0</v>
      </c>
    </row>
    <row r="221" spans="1:6" ht="14.5" x14ac:dyDescent="0.25">
      <c r="B221" s="93" t="s">
        <v>180</v>
      </c>
      <c r="C221" s="78" t="s">
        <v>104</v>
      </c>
      <c r="D221" s="100">
        <v>52</v>
      </c>
      <c r="E221" s="95"/>
      <c r="F221" s="74">
        <f>D221*E221</f>
        <v>0</v>
      </c>
    </row>
    <row r="222" spans="1:6" x14ac:dyDescent="0.25">
      <c r="D222" s="79"/>
      <c r="E222" s="95"/>
    </row>
    <row r="223" spans="1:6" x14ac:dyDescent="0.25">
      <c r="D223" s="79"/>
      <c r="E223" s="95"/>
    </row>
    <row r="224" spans="1:6" ht="37.5" x14ac:dyDescent="0.25">
      <c r="A224" s="114" t="s">
        <v>106</v>
      </c>
      <c r="B224" s="186" t="s">
        <v>181</v>
      </c>
      <c r="D224" s="79"/>
      <c r="E224" s="95"/>
    </row>
    <row r="225" spans="1:6" ht="50" x14ac:dyDescent="0.25">
      <c r="A225" s="114"/>
      <c r="B225" s="81" t="s">
        <v>182</v>
      </c>
      <c r="D225" s="79"/>
      <c r="E225" s="95"/>
    </row>
    <row r="226" spans="1:6" ht="25" x14ac:dyDescent="0.25">
      <c r="A226" s="114"/>
      <c r="B226" s="81" t="s">
        <v>183</v>
      </c>
      <c r="D226" s="79"/>
      <c r="E226" s="95"/>
    </row>
    <row r="227" spans="1:6" x14ac:dyDescent="0.25">
      <c r="A227" s="114"/>
      <c r="B227" s="81" t="s">
        <v>144</v>
      </c>
      <c r="D227" s="79"/>
      <c r="E227" s="95"/>
    </row>
    <row r="228" spans="1:6" ht="14.5" x14ac:dyDescent="0.25">
      <c r="B228" s="93"/>
      <c r="C228" s="78" t="s">
        <v>86</v>
      </c>
      <c r="D228" s="79">
        <v>818</v>
      </c>
      <c r="E228" s="95"/>
      <c r="F228" s="74">
        <f>D228*E228</f>
        <v>0</v>
      </c>
    </row>
    <row r="229" spans="1:6" x14ac:dyDescent="0.25">
      <c r="B229" t="s">
        <v>169</v>
      </c>
      <c r="D229" s="79"/>
      <c r="E229" s="95"/>
    </row>
    <row r="230" spans="1:6" x14ac:dyDescent="0.25">
      <c r="D230" s="79"/>
      <c r="E230" s="95"/>
    </row>
    <row r="231" spans="1:6" ht="50" x14ac:dyDescent="0.25">
      <c r="A231" s="114" t="s">
        <v>109</v>
      </c>
      <c r="B231" s="186" t="s">
        <v>184</v>
      </c>
      <c r="D231" s="100"/>
      <c r="E231" s="95"/>
    </row>
    <row r="232" spans="1:6" ht="50" x14ac:dyDescent="0.25">
      <c r="A232" s="114"/>
      <c r="B232" s="81" t="s">
        <v>185</v>
      </c>
      <c r="D232" s="100"/>
      <c r="E232" s="95"/>
    </row>
    <row r="233" spans="1:6" ht="37.5" x14ac:dyDescent="0.25">
      <c r="A233" s="114"/>
      <c r="B233" s="81" t="s">
        <v>186</v>
      </c>
      <c r="D233" s="100"/>
      <c r="E233" s="95"/>
    </row>
    <row r="234" spans="1:6" ht="37.5" x14ac:dyDescent="0.25">
      <c r="A234" s="114"/>
      <c r="B234" s="81" t="s">
        <v>187</v>
      </c>
      <c r="D234" s="100"/>
      <c r="E234" s="95"/>
    </row>
    <row r="235" spans="1:6" x14ac:dyDescent="0.25">
      <c r="A235" s="114"/>
      <c r="B235" s="81" t="s">
        <v>144</v>
      </c>
      <c r="D235" s="100"/>
      <c r="E235" s="95"/>
    </row>
    <row r="236" spans="1:6" ht="14.5" x14ac:dyDescent="0.25">
      <c r="B236" s="93"/>
      <c r="C236" s="78" t="s">
        <v>86</v>
      </c>
      <c r="D236" s="100">
        <v>1270</v>
      </c>
      <c r="E236" s="95"/>
      <c r="F236" s="74">
        <f>D236*E236</f>
        <v>0</v>
      </c>
    </row>
    <row r="237" spans="1:6" x14ac:dyDescent="0.25">
      <c r="B237" t="s">
        <v>169</v>
      </c>
      <c r="D237" s="79"/>
      <c r="E237" s="95"/>
    </row>
    <row r="238" spans="1:6" x14ac:dyDescent="0.25">
      <c r="D238" s="79"/>
      <c r="E238" s="95"/>
    </row>
    <row r="239" spans="1:6" ht="62.5" x14ac:dyDescent="0.25">
      <c r="A239" s="114" t="s">
        <v>111</v>
      </c>
      <c r="B239" s="186" t="s">
        <v>188</v>
      </c>
      <c r="D239" s="79"/>
      <c r="E239" s="95"/>
    </row>
    <row r="240" spans="1:6" ht="50" x14ac:dyDescent="0.25">
      <c r="A240" s="114"/>
      <c r="B240" s="81" t="s">
        <v>185</v>
      </c>
      <c r="D240" s="79"/>
      <c r="E240" s="95"/>
    </row>
    <row r="241" spans="1:6" ht="25" x14ac:dyDescent="0.25">
      <c r="A241" s="114"/>
      <c r="B241" s="81" t="s">
        <v>189</v>
      </c>
      <c r="D241" s="79"/>
      <c r="E241" s="95"/>
    </row>
    <row r="242" spans="1:6" x14ac:dyDescent="0.25">
      <c r="A242" s="114"/>
      <c r="B242" s="81" t="s">
        <v>190</v>
      </c>
      <c r="D242" s="79"/>
      <c r="E242" s="95"/>
    </row>
    <row r="243" spans="1:6" x14ac:dyDescent="0.25">
      <c r="A243" s="114"/>
      <c r="B243" s="81" t="s">
        <v>144</v>
      </c>
      <c r="D243" s="79"/>
      <c r="E243" s="95"/>
    </row>
    <row r="244" spans="1:6" ht="14.5" x14ac:dyDescent="0.25">
      <c r="B244" s="93"/>
      <c r="C244" s="78" t="s">
        <v>86</v>
      </c>
      <c r="D244" s="79">
        <v>205</v>
      </c>
      <c r="E244" s="95"/>
      <c r="F244" s="74">
        <f>D244*E244</f>
        <v>0</v>
      </c>
    </row>
    <row r="245" spans="1:6" x14ac:dyDescent="0.25">
      <c r="D245" s="94"/>
      <c r="E245" s="95"/>
    </row>
    <row r="246" spans="1:6" x14ac:dyDescent="0.25">
      <c r="D246" s="94"/>
      <c r="E246" s="95"/>
    </row>
    <row r="247" spans="1:6" ht="62.5" x14ac:dyDescent="0.25">
      <c r="A247" s="114" t="s">
        <v>114</v>
      </c>
      <c r="B247" s="118" t="s">
        <v>191</v>
      </c>
      <c r="D247" s="94"/>
      <c r="E247" s="95"/>
    </row>
    <row r="248" spans="1:6" x14ac:dyDescent="0.25">
      <c r="A248" s="114"/>
      <c r="B248" s="81" t="s">
        <v>144</v>
      </c>
      <c r="D248" s="79"/>
      <c r="E248" s="95"/>
    </row>
    <row r="249" spans="1:6" ht="14.5" x14ac:dyDescent="0.25">
      <c r="B249" s="93"/>
      <c r="C249" s="78" t="s">
        <v>86</v>
      </c>
      <c r="D249" s="79">
        <v>19.5</v>
      </c>
      <c r="E249" s="95"/>
      <c r="F249" s="74">
        <f>D249*E249</f>
        <v>0</v>
      </c>
    </row>
    <row r="250" spans="1:6" x14ac:dyDescent="0.25">
      <c r="B250" t="s">
        <v>169</v>
      </c>
      <c r="D250" s="79"/>
      <c r="E250" s="95"/>
    </row>
    <row r="251" spans="1:6" x14ac:dyDescent="0.25">
      <c r="D251" s="79"/>
      <c r="E251" s="95"/>
    </row>
    <row r="252" spans="1:6" ht="62.5" x14ac:dyDescent="0.25">
      <c r="A252" s="114" t="s">
        <v>116</v>
      </c>
      <c r="B252" s="186" t="s">
        <v>192</v>
      </c>
      <c r="D252" s="79"/>
      <c r="E252" s="95"/>
    </row>
    <row r="253" spans="1:6" ht="50" x14ac:dyDescent="0.25">
      <c r="A253" s="114"/>
      <c r="B253" s="81" t="s">
        <v>185</v>
      </c>
      <c r="D253" s="79"/>
      <c r="E253" s="95"/>
    </row>
    <row r="254" spans="1:6" x14ac:dyDescent="0.25">
      <c r="A254" s="114"/>
      <c r="B254" s="81" t="s">
        <v>193</v>
      </c>
      <c r="D254" s="79"/>
      <c r="E254" s="95"/>
    </row>
    <row r="255" spans="1:6" x14ac:dyDescent="0.25">
      <c r="A255" s="114"/>
      <c r="B255" s="81" t="s">
        <v>144</v>
      </c>
      <c r="D255" s="79"/>
      <c r="E255" s="95"/>
    </row>
    <row r="256" spans="1:6" ht="14.5" x14ac:dyDescent="0.25">
      <c r="B256" s="93"/>
      <c r="C256" s="78" t="s">
        <v>86</v>
      </c>
      <c r="D256" s="79">
        <v>400</v>
      </c>
      <c r="E256" s="95"/>
      <c r="F256" s="74">
        <f>D256*E256</f>
        <v>0</v>
      </c>
    </row>
    <row r="257" spans="1:6" x14ac:dyDescent="0.25">
      <c r="B257" t="s">
        <v>169</v>
      </c>
      <c r="D257" s="79"/>
      <c r="E257" s="95"/>
    </row>
    <row r="258" spans="1:6" x14ac:dyDescent="0.25">
      <c r="D258" s="79"/>
      <c r="E258" s="95"/>
    </row>
    <row r="259" spans="1:6" ht="37.5" x14ac:dyDescent="0.25">
      <c r="A259" s="114" t="s">
        <v>119</v>
      </c>
      <c r="B259" s="186" t="s">
        <v>194</v>
      </c>
      <c r="D259" s="100"/>
      <c r="E259" s="95"/>
    </row>
    <row r="260" spans="1:6" ht="50" x14ac:dyDescent="0.25">
      <c r="A260" s="114"/>
      <c r="B260" s="81" t="s">
        <v>185</v>
      </c>
      <c r="D260" s="100"/>
      <c r="E260" s="95"/>
    </row>
    <row r="261" spans="1:6" ht="37.5" x14ac:dyDescent="0.25">
      <c r="A261" s="114"/>
      <c r="B261" s="81" t="s">
        <v>195</v>
      </c>
      <c r="D261" s="100"/>
      <c r="E261" s="95"/>
    </row>
    <row r="262" spans="1:6" x14ac:dyDescent="0.25">
      <c r="A262" s="114"/>
      <c r="B262" s="81" t="s">
        <v>144</v>
      </c>
      <c r="D262" s="100"/>
      <c r="E262" s="95"/>
    </row>
    <row r="263" spans="1:6" ht="14.5" x14ac:dyDescent="0.25">
      <c r="B263" s="93"/>
      <c r="C263" s="78" t="s">
        <v>86</v>
      </c>
      <c r="D263" s="100">
        <v>132</v>
      </c>
      <c r="E263" s="95"/>
      <c r="F263" s="74">
        <f>D263*E263</f>
        <v>0</v>
      </c>
    </row>
    <row r="264" spans="1:6" x14ac:dyDescent="0.25">
      <c r="B264" t="s">
        <v>169</v>
      </c>
      <c r="D264" s="79"/>
      <c r="E264" s="95"/>
    </row>
    <row r="265" spans="1:6" x14ac:dyDescent="0.25">
      <c r="D265" s="79"/>
      <c r="E265" s="95"/>
    </row>
    <row r="266" spans="1:6" ht="50" x14ac:dyDescent="0.25">
      <c r="A266" s="114" t="s">
        <v>122</v>
      </c>
      <c r="B266" s="186" t="s">
        <v>196</v>
      </c>
      <c r="D266" s="100"/>
      <c r="E266" s="95"/>
    </row>
    <row r="267" spans="1:6" ht="50" x14ac:dyDescent="0.25">
      <c r="A267" s="114"/>
      <c r="B267" s="81" t="s">
        <v>185</v>
      </c>
      <c r="D267" s="100"/>
      <c r="E267" s="95"/>
    </row>
    <row r="268" spans="1:6" ht="37.5" x14ac:dyDescent="0.25">
      <c r="A268" s="114"/>
      <c r="B268" s="81" t="s">
        <v>197</v>
      </c>
      <c r="D268" s="100"/>
      <c r="E268" s="95"/>
    </row>
    <row r="269" spans="1:6" x14ac:dyDescent="0.25">
      <c r="A269" s="114"/>
      <c r="B269" s="81" t="s">
        <v>198</v>
      </c>
      <c r="D269" s="100"/>
      <c r="E269" s="95"/>
    </row>
    <row r="270" spans="1:6" ht="25" x14ac:dyDescent="0.25">
      <c r="A270" s="114"/>
      <c r="B270" s="81" t="s">
        <v>199</v>
      </c>
      <c r="D270" s="100"/>
      <c r="E270" s="95"/>
    </row>
    <row r="271" spans="1:6" ht="25" x14ac:dyDescent="0.25">
      <c r="A271" s="114"/>
      <c r="B271" s="119" t="s">
        <v>200</v>
      </c>
      <c r="D271" s="100"/>
      <c r="E271" s="95"/>
    </row>
    <row r="272" spans="1:6" x14ac:dyDescent="0.25">
      <c r="A272" s="114"/>
      <c r="B272" s="81"/>
      <c r="D272" s="100"/>
      <c r="E272" s="95"/>
    </row>
    <row r="273" spans="1:6" ht="14.5" x14ac:dyDescent="0.25">
      <c r="B273" s="93"/>
      <c r="C273" s="78" t="s">
        <v>86</v>
      </c>
      <c r="D273" s="100">
        <v>272</v>
      </c>
      <c r="E273" s="95"/>
      <c r="F273" s="74">
        <f>D273*E273</f>
        <v>0</v>
      </c>
    </row>
    <row r="274" spans="1:6" x14ac:dyDescent="0.25">
      <c r="B274" t="s">
        <v>169</v>
      </c>
      <c r="D274" s="79"/>
      <c r="E274" s="95"/>
    </row>
    <row r="275" spans="1:6" x14ac:dyDescent="0.25">
      <c r="D275" s="79"/>
      <c r="E275" s="95"/>
    </row>
    <row r="276" spans="1:6" ht="25" x14ac:dyDescent="0.25">
      <c r="A276" s="114" t="s">
        <v>125</v>
      </c>
      <c r="B276" s="186" t="s">
        <v>201</v>
      </c>
      <c r="D276" s="100"/>
      <c r="E276" s="95"/>
    </row>
    <row r="277" spans="1:6" ht="25" x14ac:dyDescent="0.25">
      <c r="A277" s="114"/>
      <c r="B277" s="81" t="s">
        <v>202</v>
      </c>
      <c r="D277" s="100"/>
      <c r="E277" s="95"/>
    </row>
    <row r="278" spans="1:6" ht="37.5" x14ac:dyDescent="0.25">
      <c r="A278" s="114"/>
      <c r="B278" s="81" t="s">
        <v>203</v>
      </c>
      <c r="D278" s="100"/>
      <c r="E278" s="95"/>
    </row>
    <row r="279" spans="1:6" x14ac:dyDescent="0.25">
      <c r="A279" s="114"/>
      <c r="B279" s="81" t="s">
        <v>204</v>
      </c>
      <c r="D279" s="100"/>
      <c r="E279" s="95"/>
    </row>
    <row r="280" spans="1:6" ht="25" x14ac:dyDescent="0.25">
      <c r="A280" s="114"/>
      <c r="B280" s="119" t="s">
        <v>200</v>
      </c>
      <c r="D280" s="100"/>
      <c r="E280" s="95"/>
    </row>
    <row r="281" spans="1:6" ht="14.5" x14ac:dyDescent="0.25">
      <c r="B281" s="93"/>
      <c r="C281" s="78" t="s">
        <v>86</v>
      </c>
      <c r="D281" s="100">
        <v>66</v>
      </c>
      <c r="E281" s="95"/>
      <c r="F281" s="74">
        <f>D281*E281</f>
        <v>0</v>
      </c>
    </row>
    <row r="282" spans="1:6" x14ac:dyDescent="0.25">
      <c r="B282" t="s">
        <v>169</v>
      </c>
      <c r="D282" s="79"/>
      <c r="E282" s="95"/>
    </row>
    <row r="283" spans="1:6" x14ac:dyDescent="0.25">
      <c r="D283" s="79"/>
      <c r="E283" s="95"/>
    </row>
    <row r="284" spans="1:6" ht="37.5" x14ac:dyDescent="0.25">
      <c r="A284" s="114" t="s">
        <v>128</v>
      </c>
      <c r="B284" s="186" t="s">
        <v>205</v>
      </c>
      <c r="D284" s="79"/>
      <c r="E284" s="95"/>
    </row>
    <row r="285" spans="1:6" ht="25" x14ac:dyDescent="0.25">
      <c r="A285" s="114"/>
      <c r="B285" s="81" t="s">
        <v>202</v>
      </c>
      <c r="D285" s="79"/>
      <c r="E285" s="95"/>
    </row>
    <row r="286" spans="1:6" x14ac:dyDescent="0.25">
      <c r="A286" s="114"/>
      <c r="B286" s="81" t="s">
        <v>206</v>
      </c>
      <c r="D286" s="79"/>
      <c r="E286" s="95"/>
    </row>
    <row r="287" spans="1:6" x14ac:dyDescent="0.25">
      <c r="A287" s="114"/>
      <c r="B287" s="81" t="s">
        <v>144</v>
      </c>
      <c r="D287" s="79"/>
      <c r="E287" s="95"/>
    </row>
    <row r="288" spans="1:6" ht="14.5" x14ac:dyDescent="0.25">
      <c r="B288" s="93"/>
      <c r="C288" s="78" t="s">
        <v>86</v>
      </c>
      <c r="D288" s="79">
        <v>10.5</v>
      </c>
      <c r="E288" s="95"/>
      <c r="F288" s="74">
        <f>D288*E288</f>
        <v>0</v>
      </c>
    </row>
    <row r="289" spans="1:15" x14ac:dyDescent="0.25">
      <c r="B289" t="s">
        <v>169</v>
      </c>
      <c r="D289" s="79"/>
      <c r="E289" s="95"/>
    </row>
    <row r="290" spans="1:15" x14ac:dyDescent="0.25">
      <c r="D290" s="79"/>
      <c r="E290" s="95"/>
    </row>
    <row r="291" spans="1:15" ht="50.5" x14ac:dyDescent="0.25">
      <c r="A291" s="114" t="s">
        <v>131</v>
      </c>
      <c r="B291" s="215" t="s">
        <v>207</v>
      </c>
      <c r="D291" s="100"/>
      <c r="E291" s="95"/>
    </row>
    <row r="292" spans="1:15" x14ac:dyDescent="0.25">
      <c r="A292" s="114"/>
      <c r="B292" s="81" t="s">
        <v>144</v>
      </c>
      <c r="D292" s="100"/>
      <c r="E292" s="95"/>
    </row>
    <row r="293" spans="1:15" ht="14.5" x14ac:dyDescent="0.25">
      <c r="B293" s="93" t="s">
        <v>208</v>
      </c>
      <c r="C293" s="78" t="s">
        <v>86</v>
      </c>
      <c r="D293" s="100">
        <v>110</v>
      </c>
      <c r="E293" s="95"/>
      <c r="F293" s="74">
        <f>D293*E293</f>
        <v>0</v>
      </c>
    </row>
    <row r="294" spans="1:15" ht="14.5" x14ac:dyDescent="0.25">
      <c r="B294" s="93" t="s">
        <v>209</v>
      </c>
      <c r="C294" s="78" t="s">
        <v>86</v>
      </c>
      <c r="D294" s="100">
        <v>460</v>
      </c>
      <c r="E294" s="95"/>
      <c r="F294" s="74">
        <f>D294*E294</f>
        <v>0</v>
      </c>
    </row>
    <row r="295" spans="1:15" ht="14.5" x14ac:dyDescent="0.25">
      <c r="B295" s="93" t="s">
        <v>210</v>
      </c>
      <c r="C295" s="78" t="s">
        <v>86</v>
      </c>
      <c r="D295" s="100">
        <v>487</v>
      </c>
      <c r="E295" s="95"/>
      <c r="F295" s="74">
        <f>D295*E295</f>
        <v>0</v>
      </c>
    </row>
    <row r="296" spans="1:15" ht="14.5" x14ac:dyDescent="0.25">
      <c r="B296" s="93" t="s">
        <v>211</v>
      </c>
      <c r="C296" s="78" t="s">
        <v>86</v>
      </c>
      <c r="D296" s="100">
        <v>425</v>
      </c>
      <c r="E296" s="95"/>
      <c r="F296" s="74">
        <f>D296*E296</f>
        <v>0</v>
      </c>
    </row>
    <row r="297" spans="1:15" x14ac:dyDescent="0.25">
      <c r="B297" t="s">
        <v>169</v>
      </c>
      <c r="D297" s="79"/>
      <c r="E297" s="95"/>
    </row>
    <row r="298" spans="1:15" x14ac:dyDescent="0.25">
      <c r="D298" s="79"/>
      <c r="E298" s="95"/>
    </row>
    <row r="299" spans="1:15" ht="50.5" x14ac:dyDescent="0.25">
      <c r="A299" s="114" t="s">
        <v>134</v>
      </c>
      <c r="B299" s="215" t="s">
        <v>212</v>
      </c>
      <c r="D299" s="79"/>
      <c r="E299" s="95"/>
      <c r="G299" s="90"/>
      <c r="H299" s="91"/>
      <c r="J299" s="83"/>
      <c r="K299" s="84"/>
      <c r="L299" s="84"/>
      <c r="M299" s="85"/>
      <c r="N299" s="85"/>
      <c r="O299" s="85"/>
    </row>
    <row r="300" spans="1:15" x14ac:dyDescent="0.25">
      <c r="A300" s="114"/>
      <c r="B300" s="81" t="s">
        <v>144</v>
      </c>
      <c r="D300" s="79"/>
      <c r="E300" s="95"/>
      <c r="G300" s="101"/>
      <c r="H300" s="91"/>
      <c r="J300" s="120"/>
      <c r="K300" s="84"/>
      <c r="L300" s="84"/>
      <c r="M300" s="85"/>
      <c r="N300" s="85"/>
      <c r="O300" s="85"/>
    </row>
    <row r="301" spans="1:15" ht="14.5" x14ac:dyDescent="0.25">
      <c r="B301" s="93" t="s">
        <v>209</v>
      </c>
      <c r="C301" s="78" t="s">
        <v>86</v>
      </c>
      <c r="D301" s="100">
        <v>81</v>
      </c>
      <c r="E301" s="95"/>
      <c r="F301" s="74">
        <f>D301*E301</f>
        <v>0</v>
      </c>
      <c r="G301" s="90"/>
      <c r="H301" s="91"/>
      <c r="J301" s="83"/>
      <c r="K301" s="84"/>
      <c r="L301" s="84"/>
      <c r="M301" s="85"/>
      <c r="N301" s="85"/>
      <c r="O301" s="85"/>
    </row>
    <row r="302" spans="1:15" ht="14.5" x14ac:dyDescent="0.25">
      <c r="B302" s="93" t="s">
        <v>211</v>
      </c>
      <c r="C302" s="78" t="s">
        <v>86</v>
      </c>
      <c r="D302" s="79">
        <v>8.5</v>
      </c>
      <c r="E302" s="95"/>
      <c r="F302" s="74">
        <f>D302*E302</f>
        <v>0</v>
      </c>
    </row>
    <row r="303" spans="1:15" x14ac:dyDescent="0.25">
      <c r="D303" s="90"/>
      <c r="F303" s="74" t="str">
        <f>IF(D303=0,"",D303*E303)</f>
        <v/>
      </c>
    </row>
    <row r="304" spans="1:15" x14ac:dyDescent="0.25">
      <c r="D304" s="101"/>
      <c r="F304" s="74" t="str">
        <f>IF(D304=0,"",D304*E304)</f>
        <v/>
      </c>
    </row>
    <row r="305" spans="1:20" ht="62.5" x14ac:dyDescent="0.25">
      <c r="A305" s="114" t="s">
        <v>136</v>
      </c>
      <c r="B305" s="81" t="s">
        <v>213</v>
      </c>
      <c r="D305" s="90"/>
      <c r="F305" s="74" t="str">
        <f>IF(D305=0,"",D305*E305)</f>
        <v/>
      </c>
    </row>
    <row r="306" spans="1:20" ht="12.75" customHeight="1" x14ac:dyDescent="0.25">
      <c r="B306" s="92" t="s">
        <v>214</v>
      </c>
      <c r="C306" s="78" t="s">
        <v>86</v>
      </c>
      <c r="D306" s="79">
        <v>1410</v>
      </c>
      <c r="E306" s="95"/>
      <c r="F306" s="74">
        <f>D306*E306</f>
        <v>0</v>
      </c>
    </row>
    <row r="307" spans="1:20" ht="12.75" customHeight="1" x14ac:dyDescent="0.25">
      <c r="B307" s="92" t="s">
        <v>215</v>
      </c>
      <c r="C307" s="78" t="s">
        <v>86</v>
      </c>
      <c r="D307" s="79">
        <v>1410</v>
      </c>
      <c r="E307" s="95"/>
      <c r="F307" s="74">
        <f>D307*E307</f>
        <v>0</v>
      </c>
    </row>
    <row r="308" spans="1:20" ht="21.75" customHeight="1" x14ac:dyDescent="0.25">
      <c r="D308" s="113"/>
      <c r="E308" s="95"/>
    </row>
    <row r="309" spans="1:20" ht="12.75" customHeight="1" x14ac:dyDescent="0.3">
      <c r="A309" s="199" t="s">
        <v>216</v>
      </c>
      <c r="B309" s="199"/>
      <c r="C309" s="199"/>
      <c r="D309" s="199"/>
      <c r="E309" s="102"/>
      <c r="F309" s="103">
        <f>SUM(F171:F308)</f>
        <v>0</v>
      </c>
      <c r="G309" s="90"/>
    </row>
    <row r="310" spans="1:20" x14ac:dyDescent="0.3">
      <c r="A310" s="1"/>
      <c r="B310" s="1"/>
      <c r="C310" s="1"/>
      <c r="D310" s="1"/>
      <c r="F310" s="121"/>
      <c r="G310" s="90"/>
    </row>
    <row r="311" spans="1:20" ht="15.75" customHeight="1" x14ac:dyDescent="0.3">
      <c r="A311" s="125"/>
      <c r="B311" s="126" t="s">
        <v>320</v>
      </c>
      <c r="C311" s="127"/>
      <c r="D311" s="216"/>
      <c r="E311" s="217"/>
      <c r="F311" s="128"/>
      <c r="G311" s="90"/>
      <c r="T311" s="86" t="s">
        <v>45</v>
      </c>
    </row>
    <row r="312" spans="1:20" x14ac:dyDescent="0.25">
      <c r="D312" s="79"/>
      <c r="E312" s="95"/>
      <c r="G312" s="90"/>
      <c r="H312" s="91"/>
      <c r="I312" s="91"/>
      <c r="K312" s="83"/>
      <c r="L312" s="84"/>
      <c r="M312" s="84"/>
      <c r="N312" s="85"/>
      <c r="O312" s="85"/>
      <c r="P312" s="85"/>
    </row>
    <row r="313" spans="1:20" ht="25" x14ac:dyDescent="0.25">
      <c r="A313" s="114" t="s">
        <v>4</v>
      </c>
      <c r="B313" s="81" t="s">
        <v>321</v>
      </c>
      <c r="D313" s="79"/>
      <c r="E313" s="95"/>
      <c r="G313" s="99"/>
      <c r="H313" s="91"/>
      <c r="J313" s="84"/>
      <c r="K313" s="84"/>
      <c r="L313" s="84"/>
      <c r="M313" s="85"/>
      <c r="N313" s="85"/>
      <c r="O313" s="85"/>
    </row>
    <row r="314" spans="1:20" ht="95.5" x14ac:dyDescent="0.25">
      <c r="A314" s="114"/>
      <c r="B314" s="89" t="s">
        <v>322</v>
      </c>
      <c r="D314" s="79"/>
      <c r="E314" s="95"/>
      <c r="G314" s="99"/>
      <c r="H314" s="91"/>
      <c r="J314" s="84"/>
      <c r="K314" s="84"/>
      <c r="L314" s="84"/>
      <c r="M314" s="85"/>
      <c r="N314" s="85"/>
      <c r="O314" s="85"/>
    </row>
    <row r="315" spans="1:20" ht="13" customHeight="1" x14ac:dyDescent="0.25">
      <c r="A315" s="114"/>
      <c r="B315" s="81" t="s">
        <v>323</v>
      </c>
      <c r="D315" s="79"/>
      <c r="E315" s="95"/>
      <c r="G315" s="99"/>
      <c r="H315" s="91"/>
      <c r="J315" s="84"/>
      <c r="K315" s="84"/>
      <c r="L315" s="84"/>
      <c r="M315" s="85"/>
      <c r="N315" s="85"/>
      <c r="O315" s="85"/>
    </row>
    <row r="316" spans="1:20" ht="13" customHeight="1" x14ac:dyDescent="0.25">
      <c r="A316" s="114"/>
      <c r="B316" s="81" t="s">
        <v>144</v>
      </c>
      <c r="D316" s="79"/>
      <c r="E316" s="95"/>
      <c r="G316" s="99"/>
      <c r="H316" s="91"/>
      <c r="J316" s="84"/>
      <c r="K316" s="84"/>
      <c r="L316" s="84"/>
      <c r="M316" s="85"/>
      <c r="N316" s="85"/>
      <c r="O316" s="85"/>
      <c r="T316" t="s">
        <v>217</v>
      </c>
    </row>
    <row r="317" spans="1:20" ht="13" customHeight="1" x14ac:dyDescent="0.25">
      <c r="A317" s="114"/>
      <c r="B317" s="81"/>
      <c r="C317" s="78" t="s">
        <v>86</v>
      </c>
      <c r="D317" s="79">
        <v>850</v>
      </c>
      <c r="E317" s="95"/>
      <c r="F317" s="74">
        <f>D317*E317</f>
        <v>0</v>
      </c>
      <c r="G317" s="99"/>
      <c r="H317" s="91"/>
      <c r="J317" s="84"/>
      <c r="K317" s="84"/>
      <c r="L317" s="84"/>
      <c r="M317" s="85"/>
      <c r="N317" s="85"/>
      <c r="O317" s="85"/>
      <c r="T317" t="s">
        <v>50</v>
      </c>
    </row>
    <row r="318" spans="1:20" ht="13" customHeight="1" x14ac:dyDescent="0.25">
      <c r="A318" s="114"/>
      <c r="B318" s="81"/>
      <c r="D318" s="79"/>
      <c r="E318" s="95"/>
      <c r="G318" s="99"/>
      <c r="H318" s="91"/>
      <c r="J318" s="84"/>
      <c r="K318" s="84"/>
      <c r="L318" s="84"/>
      <c r="M318" s="85"/>
      <c r="N318" s="85"/>
      <c r="O318" s="85"/>
      <c r="T318" t="s">
        <v>45</v>
      </c>
    </row>
    <row r="319" spans="1:20" ht="13" customHeight="1" x14ac:dyDescent="0.25">
      <c r="A319" s="114"/>
      <c r="B319" s="81"/>
      <c r="D319" s="79"/>
      <c r="E319" s="95"/>
      <c r="G319" s="99"/>
      <c r="H319" s="91"/>
      <c r="J319" s="84"/>
      <c r="K319" s="84"/>
      <c r="L319" s="84"/>
      <c r="M319" s="85"/>
      <c r="N319" s="85"/>
      <c r="O319" s="85"/>
      <c r="T319" t="s">
        <v>50</v>
      </c>
    </row>
    <row r="320" spans="1:20" ht="13" customHeight="1" x14ac:dyDescent="0.25">
      <c r="A320" s="114" t="s">
        <v>5</v>
      </c>
      <c r="B320" s="81" t="s">
        <v>324</v>
      </c>
      <c r="D320" s="79"/>
      <c r="E320" s="95"/>
      <c r="G320" s="99"/>
      <c r="H320" s="91"/>
      <c r="J320" s="84"/>
      <c r="K320" s="84"/>
      <c r="L320" s="84"/>
      <c r="M320" s="85"/>
      <c r="N320" s="85"/>
      <c r="O320" s="85"/>
      <c r="T320" t="s">
        <v>45</v>
      </c>
    </row>
    <row r="321" spans="1:20" ht="87.5" customHeight="1" x14ac:dyDescent="0.25">
      <c r="A321" s="114"/>
      <c r="B321" s="89" t="s">
        <v>325</v>
      </c>
      <c r="D321" s="79"/>
      <c r="E321" s="95"/>
      <c r="G321" s="99"/>
      <c r="H321" s="91"/>
      <c r="J321" s="84"/>
      <c r="K321" s="84"/>
      <c r="L321" s="84"/>
      <c r="M321" s="85"/>
      <c r="N321" s="85"/>
      <c r="O321" s="85"/>
      <c r="T321" s="89" t="s">
        <v>48</v>
      </c>
    </row>
    <row r="322" spans="1:20" ht="13" customHeight="1" x14ac:dyDescent="0.25">
      <c r="A322" s="114"/>
      <c r="B322" s="81" t="s">
        <v>326</v>
      </c>
      <c r="D322" s="79"/>
      <c r="E322" s="95"/>
      <c r="G322" s="99"/>
      <c r="H322" s="91"/>
      <c r="J322" s="84"/>
      <c r="K322" s="84"/>
      <c r="L322" s="84"/>
      <c r="M322" s="85"/>
      <c r="N322" s="85"/>
      <c r="O322" s="85"/>
      <c r="T322" s="89" t="s">
        <v>45</v>
      </c>
    </row>
    <row r="323" spans="1:20" ht="13" customHeight="1" x14ac:dyDescent="0.25">
      <c r="A323" s="114"/>
      <c r="B323" s="81" t="s">
        <v>144</v>
      </c>
      <c r="D323" s="79"/>
      <c r="E323" s="95"/>
      <c r="G323" s="99"/>
      <c r="H323" s="91"/>
      <c r="J323" s="84"/>
      <c r="K323" s="84"/>
      <c r="L323" s="84"/>
      <c r="M323" s="85"/>
      <c r="N323" s="85"/>
      <c r="O323" s="85"/>
      <c r="T323" s="89" t="s">
        <v>217</v>
      </c>
    </row>
    <row r="324" spans="1:20" ht="13" customHeight="1" x14ac:dyDescent="0.25">
      <c r="B324" s="93"/>
      <c r="C324" s="78" t="s">
        <v>86</v>
      </c>
      <c r="D324" s="218">
        <v>80</v>
      </c>
      <c r="E324" s="95"/>
      <c r="F324" s="74">
        <f>D324*E324</f>
        <v>0</v>
      </c>
      <c r="G324" s="90"/>
      <c r="H324" s="91"/>
      <c r="J324" s="83"/>
      <c r="K324" s="84"/>
      <c r="L324" s="84"/>
      <c r="M324" s="85"/>
      <c r="N324" s="85"/>
      <c r="O324" s="85"/>
      <c r="T324" s="89" t="s">
        <v>50</v>
      </c>
    </row>
    <row r="325" spans="1:20" s="124" customFormat="1" ht="13" customHeight="1" x14ac:dyDescent="0.3">
      <c r="A325" s="76"/>
      <c r="B325" s="219"/>
      <c r="C325" s="78"/>
      <c r="D325" s="79"/>
      <c r="E325" s="95"/>
      <c r="F325" s="74"/>
      <c r="G325" s="136"/>
      <c r="H325" s="138"/>
      <c r="I325" s="138"/>
      <c r="K325" s="139"/>
      <c r="L325" s="140"/>
      <c r="M325" s="140"/>
      <c r="N325" s="141"/>
      <c r="O325" s="141"/>
      <c r="P325" s="141"/>
      <c r="T325" s="89" t="s">
        <v>217</v>
      </c>
    </row>
    <row r="326" spans="1:20" ht="13" customHeight="1" x14ac:dyDescent="0.25">
      <c r="B326" s="219"/>
      <c r="D326" s="79"/>
      <c r="E326" s="95"/>
      <c r="G326" s="90"/>
      <c r="H326" s="91"/>
      <c r="I326" s="91"/>
      <c r="K326" s="83"/>
      <c r="L326" s="84"/>
      <c r="M326" s="84"/>
      <c r="N326" s="85"/>
      <c r="O326" s="85"/>
      <c r="P326" s="85"/>
      <c r="T326" s="89" t="s">
        <v>50</v>
      </c>
    </row>
    <row r="327" spans="1:20" ht="15" customHeight="1" x14ac:dyDescent="0.25">
      <c r="A327" s="114" t="s">
        <v>11</v>
      </c>
      <c r="B327" s="81" t="s">
        <v>327</v>
      </c>
      <c r="D327" s="79"/>
      <c r="E327" s="95"/>
      <c r="G327" s="90"/>
      <c r="H327" s="91"/>
      <c r="I327" s="91"/>
      <c r="K327" s="83"/>
      <c r="L327" s="84"/>
      <c r="M327" s="84"/>
      <c r="N327" s="85"/>
      <c r="O327" s="85"/>
      <c r="P327" s="85"/>
      <c r="T327" s="89" t="s">
        <v>50</v>
      </c>
    </row>
    <row r="328" spans="1:20" ht="85" customHeight="1" x14ac:dyDescent="0.25">
      <c r="A328" s="114"/>
      <c r="B328" s="89" t="s">
        <v>328</v>
      </c>
      <c r="D328" s="79"/>
      <c r="E328" s="95"/>
      <c r="G328" s="90"/>
      <c r="H328" s="91"/>
      <c r="I328" s="91"/>
      <c r="K328" s="83"/>
      <c r="L328" s="84"/>
      <c r="M328" s="84"/>
      <c r="N328" s="85"/>
      <c r="O328" s="85"/>
      <c r="P328" s="85"/>
    </row>
    <row r="329" spans="1:20" ht="13" customHeight="1" x14ac:dyDescent="0.25">
      <c r="A329" s="114"/>
      <c r="B329" s="81" t="s">
        <v>329</v>
      </c>
      <c r="D329" s="79"/>
      <c r="E329" s="95"/>
      <c r="G329" s="90"/>
      <c r="H329" s="91"/>
      <c r="I329" s="91"/>
      <c r="K329" s="83"/>
      <c r="L329" s="84"/>
      <c r="M329" s="84"/>
      <c r="N329" s="85"/>
      <c r="O329" s="85"/>
      <c r="P329" s="85"/>
    </row>
    <row r="330" spans="1:20" ht="13" customHeight="1" x14ac:dyDescent="0.25">
      <c r="A330" s="114"/>
      <c r="B330" s="81" t="s">
        <v>144</v>
      </c>
      <c r="D330" s="79"/>
      <c r="E330" s="95"/>
      <c r="G330" s="90"/>
      <c r="H330" s="91"/>
      <c r="I330" s="91"/>
      <c r="K330" s="83"/>
      <c r="L330" s="84"/>
      <c r="M330" s="84"/>
      <c r="N330" s="85"/>
      <c r="O330" s="85"/>
      <c r="P330" s="85"/>
    </row>
    <row r="331" spans="1:20" ht="13" customHeight="1" x14ac:dyDescent="0.25">
      <c r="B331" s="93"/>
      <c r="C331" s="78" t="s">
        <v>86</v>
      </c>
      <c r="D331" s="218">
        <v>400</v>
      </c>
      <c r="E331" s="95"/>
      <c r="F331" s="74">
        <f>D331*E331</f>
        <v>0</v>
      </c>
      <c r="G331" s="90"/>
      <c r="H331" s="91"/>
      <c r="I331" s="91"/>
      <c r="K331" s="83"/>
      <c r="L331" s="84"/>
      <c r="M331" s="84"/>
      <c r="N331" s="85"/>
      <c r="O331" s="85"/>
      <c r="P331" s="85"/>
    </row>
    <row r="332" spans="1:20" ht="13" customHeight="1" x14ac:dyDescent="0.25">
      <c r="B332" s="219"/>
      <c r="D332" s="79"/>
      <c r="E332" s="95"/>
      <c r="G332" s="82"/>
      <c r="L332" s="84"/>
      <c r="M332" s="85"/>
      <c r="N332" s="85"/>
      <c r="O332" s="85"/>
    </row>
    <row r="333" spans="1:20" ht="13" customHeight="1" x14ac:dyDescent="0.25">
      <c r="A333" s="114" t="s">
        <v>25</v>
      </c>
      <c r="B333" s="81" t="s">
        <v>327</v>
      </c>
      <c r="D333" s="79"/>
      <c r="E333" s="95"/>
      <c r="G333" s="82"/>
      <c r="L333" s="84"/>
      <c r="M333" s="85"/>
      <c r="N333" s="85"/>
      <c r="O333" s="85"/>
    </row>
    <row r="334" spans="1:20" ht="84.5" customHeight="1" x14ac:dyDescent="0.25">
      <c r="A334" s="114"/>
      <c r="B334" s="89" t="s">
        <v>325</v>
      </c>
      <c r="D334" s="79"/>
      <c r="E334" s="95"/>
      <c r="G334" s="82"/>
      <c r="L334" s="84"/>
      <c r="M334" s="85"/>
      <c r="N334" s="85"/>
      <c r="O334" s="85"/>
    </row>
    <row r="335" spans="1:20" ht="13" customHeight="1" x14ac:dyDescent="0.25">
      <c r="A335" s="114"/>
      <c r="B335" s="81" t="s">
        <v>330</v>
      </c>
      <c r="D335" s="79"/>
      <c r="E335" s="95"/>
      <c r="G335" s="90"/>
      <c r="H335" s="91"/>
      <c r="I335" s="91"/>
      <c r="K335" s="83"/>
      <c r="L335" s="84"/>
      <c r="M335" s="84"/>
      <c r="N335" s="85"/>
      <c r="O335" s="85"/>
      <c r="P335" s="85"/>
    </row>
    <row r="336" spans="1:20" ht="13" customHeight="1" x14ac:dyDescent="0.25">
      <c r="A336" s="114"/>
      <c r="B336" s="81" t="s">
        <v>144</v>
      </c>
      <c r="D336" s="79"/>
      <c r="E336" s="95"/>
      <c r="G336" s="90"/>
      <c r="H336" s="91"/>
      <c r="I336" s="91"/>
      <c r="K336" s="83"/>
      <c r="L336" s="84"/>
      <c r="M336" s="84"/>
      <c r="N336" s="85"/>
      <c r="O336" s="85"/>
      <c r="P336" s="85"/>
    </row>
    <row r="337" spans="1:16" ht="13" customHeight="1" x14ac:dyDescent="0.25">
      <c r="B337" s="93"/>
      <c r="C337" s="78" t="s">
        <v>86</v>
      </c>
      <c r="D337" s="218">
        <v>60</v>
      </c>
      <c r="E337" s="95"/>
      <c r="F337" s="74">
        <f>D337*E337</f>
        <v>0</v>
      </c>
      <c r="G337" s="90"/>
      <c r="H337" s="91"/>
      <c r="I337" s="91"/>
      <c r="K337" s="83"/>
      <c r="L337" s="84"/>
      <c r="M337" s="84"/>
      <c r="N337" s="85"/>
      <c r="O337" s="85"/>
      <c r="P337" s="85"/>
    </row>
    <row r="338" spans="1:16" ht="13" customHeight="1" x14ac:dyDescent="0.25">
      <c r="B338" s="219"/>
      <c r="D338" s="79"/>
      <c r="E338" s="95"/>
      <c r="G338" s="90"/>
      <c r="H338" s="91"/>
      <c r="I338" s="91"/>
      <c r="K338" s="83"/>
      <c r="L338" s="84"/>
      <c r="M338" s="84"/>
      <c r="N338" s="85"/>
      <c r="O338" s="85"/>
      <c r="P338" s="85"/>
    </row>
    <row r="339" spans="1:16" ht="13" customHeight="1" x14ac:dyDescent="0.25">
      <c r="A339" s="114" t="s">
        <v>105</v>
      </c>
      <c r="B339" s="81" t="s">
        <v>327</v>
      </c>
      <c r="D339" s="79"/>
      <c r="E339" s="95"/>
      <c r="G339" s="90"/>
      <c r="H339" s="91"/>
      <c r="I339" s="91"/>
      <c r="K339" s="83"/>
      <c r="L339" s="84"/>
      <c r="M339" s="84"/>
      <c r="N339" s="85"/>
      <c r="O339" s="85"/>
      <c r="P339" s="85"/>
    </row>
    <row r="340" spans="1:16" ht="46.5" customHeight="1" x14ac:dyDescent="0.25">
      <c r="A340" s="114"/>
      <c r="B340" s="89" t="s">
        <v>331</v>
      </c>
      <c r="D340" s="79"/>
      <c r="E340" s="95"/>
      <c r="G340" s="82"/>
    </row>
    <row r="341" spans="1:16" ht="13" customHeight="1" x14ac:dyDescent="0.25">
      <c r="A341" s="114"/>
      <c r="B341" s="81" t="s">
        <v>332</v>
      </c>
      <c r="D341" s="79"/>
      <c r="E341" s="95"/>
      <c r="G341" s="90"/>
      <c r="H341" s="91"/>
      <c r="J341" s="83"/>
      <c r="K341" s="84"/>
      <c r="L341" s="84"/>
      <c r="M341" s="85"/>
      <c r="N341" s="85"/>
      <c r="O341" s="85"/>
    </row>
    <row r="342" spans="1:16" s="124" customFormat="1" ht="13" customHeight="1" x14ac:dyDescent="0.3">
      <c r="A342" s="114"/>
      <c r="B342" s="81" t="s">
        <v>144</v>
      </c>
      <c r="C342" s="78"/>
      <c r="D342" s="79"/>
      <c r="E342" s="95"/>
      <c r="F342" s="74"/>
      <c r="G342" s="136"/>
      <c r="H342" s="138"/>
      <c r="I342" s="138"/>
      <c r="K342" s="139"/>
      <c r="L342" s="140"/>
      <c r="M342" s="140"/>
      <c r="N342" s="141"/>
      <c r="O342" s="141"/>
      <c r="P342" s="141"/>
    </row>
    <row r="343" spans="1:16" ht="13" customHeight="1" x14ac:dyDescent="0.25">
      <c r="B343" s="93"/>
      <c r="C343" s="78" t="s">
        <v>86</v>
      </c>
      <c r="D343" s="218">
        <v>25</v>
      </c>
      <c r="E343" s="95"/>
      <c r="F343" s="74">
        <f>D343*E343</f>
        <v>0</v>
      </c>
      <c r="G343" s="82"/>
      <c r="L343" s="84"/>
      <c r="M343" s="85"/>
      <c r="N343" s="85"/>
      <c r="O343" s="85"/>
    </row>
    <row r="344" spans="1:16" ht="13" customHeight="1" x14ac:dyDescent="0.25">
      <c r="B344" s="219"/>
      <c r="D344" s="79"/>
      <c r="E344" s="95"/>
      <c r="G344" s="90"/>
      <c r="H344" s="91"/>
      <c r="I344" s="91"/>
      <c r="K344" s="83"/>
      <c r="L344" s="84"/>
      <c r="M344" s="84"/>
      <c r="N344" s="85"/>
      <c r="O344" s="85"/>
      <c r="P344" s="85"/>
    </row>
    <row r="345" spans="1:16" ht="13" customHeight="1" x14ac:dyDescent="0.25">
      <c r="B345" s="219"/>
      <c r="D345" s="79"/>
      <c r="E345" s="95"/>
      <c r="G345" s="90"/>
      <c r="H345" s="91"/>
      <c r="I345" s="91"/>
      <c r="K345" s="83"/>
      <c r="L345" s="84"/>
      <c r="M345" s="84"/>
      <c r="N345" s="85"/>
      <c r="O345" s="85"/>
      <c r="P345" s="85"/>
    </row>
    <row r="346" spans="1:16" ht="13" customHeight="1" x14ac:dyDescent="0.25">
      <c r="A346" s="114" t="s">
        <v>106</v>
      </c>
      <c r="B346" s="81" t="s">
        <v>333</v>
      </c>
      <c r="D346" s="220"/>
      <c r="E346" s="95"/>
      <c r="G346" s="90"/>
      <c r="H346" s="91"/>
      <c r="I346" s="91"/>
      <c r="K346" s="83"/>
      <c r="L346" s="84"/>
      <c r="M346" s="84"/>
      <c r="N346" s="85"/>
      <c r="O346" s="85"/>
      <c r="P346" s="85"/>
    </row>
    <row r="347" spans="1:16" ht="57" customHeight="1" x14ac:dyDescent="0.25">
      <c r="A347" s="114"/>
      <c r="B347" s="89" t="s">
        <v>334</v>
      </c>
      <c r="D347" s="220"/>
      <c r="E347" s="95"/>
      <c r="G347" s="90"/>
      <c r="H347" s="91"/>
      <c r="I347" s="91"/>
      <c r="K347" s="83"/>
      <c r="L347" s="84"/>
      <c r="M347" s="84"/>
      <c r="N347" s="85"/>
      <c r="O347" s="85"/>
      <c r="P347" s="85"/>
    </row>
    <row r="348" spans="1:16" ht="13" customHeight="1" x14ac:dyDescent="0.25">
      <c r="A348" s="114"/>
      <c r="B348" s="92" t="s">
        <v>335</v>
      </c>
      <c r="D348" s="220"/>
      <c r="E348" s="95"/>
      <c r="G348" s="82"/>
    </row>
    <row r="349" spans="1:16" ht="13" customHeight="1" x14ac:dyDescent="0.25">
      <c r="A349" s="114"/>
      <c r="B349" s="89" t="s">
        <v>336</v>
      </c>
      <c r="D349" s="220"/>
      <c r="E349" s="95"/>
      <c r="G349" s="90"/>
      <c r="H349" s="91"/>
      <c r="I349" s="91"/>
      <c r="K349" s="83"/>
      <c r="L349" s="84"/>
      <c r="M349" s="84"/>
      <c r="N349" s="85"/>
      <c r="O349" s="85"/>
      <c r="P349" s="85"/>
    </row>
    <row r="350" spans="1:16" ht="13" customHeight="1" x14ac:dyDescent="0.25">
      <c r="A350" s="114"/>
      <c r="B350" s="81" t="s">
        <v>144</v>
      </c>
      <c r="D350" s="220"/>
      <c r="E350" s="95"/>
      <c r="G350" s="90"/>
      <c r="H350" s="91"/>
      <c r="I350" s="91"/>
      <c r="K350" s="83"/>
      <c r="L350" s="84"/>
      <c r="M350" s="84"/>
      <c r="N350" s="85"/>
      <c r="O350" s="85"/>
      <c r="P350" s="85"/>
    </row>
    <row r="351" spans="1:16" ht="13" customHeight="1" x14ac:dyDescent="0.25">
      <c r="B351" s="93"/>
      <c r="C351" s="78" t="s">
        <v>86</v>
      </c>
      <c r="D351" s="218">
        <v>50</v>
      </c>
      <c r="E351" s="95"/>
      <c r="F351" s="74">
        <f>D351*E351</f>
        <v>0</v>
      </c>
      <c r="G351" s="90"/>
      <c r="H351" s="91"/>
      <c r="I351" s="91"/>
      <c r="K351" s="83"/>
      <c r="L351" s="84"/>
      <c r="M351" s="84"/>
      <c r="N351" s="85"/>
      <c r="O351" s="85"/>
      <c r="P351" s="85"/>
    </row>
    <row r="352" spans="1:16" ht="13" customHeight="1" x14ac:dyDescent="0.25">
      <c r="B352" s="219"/>
      <c r="D352" s="79"/>
      <c r="E352" s="95"/>
      <c r="G352" s="90"/>
      <c r="H352" s="91"/>
      <c r="I352" s="91"/>
      <c r="K352" s="83"/>
      <c r="L352" s="84"/>
      <c r="M352" s="84"/>
      <c r="N352" s="85"/>
      <c r="O352" s="85"/>
      <c r="P352" s="85"/>
    </row>
    <row r="353" spans="1:16" ht="13" customHeight="1" x14ac:dyDescent="0.25">
      <c r="B353" s="219"/>
      <c r="D353" s="79"/>
      <c r="E353" s="95"/>
      <c r="G353" s="82"/>
    </row>
    <row r="354" spans="1:16" ht="14" customHeight="1" x14ac:dyDescent="0.25">
      <c r="A354" s="114" t="s">
        <v>109</v>
      </c>
      <c r="B354" s="81" t="s">
        <v>337</v>
      </c>
      <c r="D354" s="79"/>
      <c r="E354" s="95"/>
      <c r="G354" s="90"/>
      <c r="H354" s="91"/>
      <c r="I354" s="91"/>
      <c r="K354" s="83"/>
      <c r="L354" s="84"/>
      <c r="M354" s="84"/>
      <c r="N354" s="85"/>
      <c r="O354" s="85"/>
      <c r="P354" s="85"/>
    </row>
    <row r="355" spans="1:16" ht="86.5" customHeight="1" x14ac:dyDescent="0.25">
      <c r="A355" s="114"/>
      <c r="B355" s="89" t="s">
        <v>338</v>
      </c>
      <c r="D355" s="79"/>
      <c r="E355" s="95"/>
      <c r="G355" s="90"/>
      <c r="H355" s="91"/>
      <c r="I355" s="91"/>
      <c r="K355" s="83"/>
      <c r="L355" s="84"/>
      <c r="M355" s="84"/>
      <c r="N355" s="85"/>
      <c r="O355" s="85"/>
      <c r="P355" s="85"/>
    </row>
    <row r="356" spans="1:16" ht="13" customHeight="1" x14ac:dyDescent="0.25">
      <c r="A356" s="114"/>
      <c r="B356" s="81" t="s">
        <v>339</v>
      </c>
      <c r="D356" s="79"/>
      <c r="E356" s="95"/>
      <c r="G356" s="90"/>
      <c r="H356" s="91"/>
      <c r="I356" s="91"/>
      <c r="K356" s="83"/>
      <c r="L356" s="84"/>
      <c r="M356" s="84"/>
      <c r="N356" s="85"/>
      <c r="O356" s="85"/>
      <c r="P356" s="85"/>
    </row>
    <row r="357" spans="1:16" ht="13" customHeight="1" x14ac:dyDescent="0.25">
      <c r="A357" s="114"/>
      <c r="B357" s="81" t="s">
        <v>144</v>
      </c>
      <c r="D357" s="79"/>
      <c r="E357" s="95"/>
      <c r="G357" s="90"/>
      <c r="H357" s="91"/>
      <c r="I357" s="91"/>
      <c r="K357" s="83"/>
      <c r="L357" s="84"/>
      <c r="M357" s="84"/>
      <c r="N357" s="85"/>
      <c r="O357" s="85"/>
      <c r="P357" s="85"/>
    </row>
    <row r="358" spans="1:16" ht="13" customHeight="1" x14ac:dyDescent="0.25">
      <c r="B358" s="93"/>
      <c r="C358" s="78" t="s">
        <v>86</v>
      </c>
      <c r="D358" s="218">
        <v>550</v>
      </c>
      <c r="E358" s="95"/>
      <c r="F358" s="74">
        <f>D358*E358</f>
        <v>0</v>
      </c>
      <c r="G358" s="82"/>
    </row>
    <row r="359" spans="1:16" ht="13" customHeight="1" x14ac:dyDescent="0.25">
      <c r="B359" s="219"/>
      <c r="D359" s="79"/>
      <c r="E359" s="95"/>
      <c r="G359" s="82"/>
    </row>
    <row r="360" spans="1:16" ht="13" customHeight="1" x14ac:dyDescent="0.25">
      <c r="B360" s="219"/>
      <c r="D360" s="79"/>
      <c r="E360" s="95"/>
      <c r="G360" s="82"/>
    </row>
    <row r="361" spans="1:16" ht="13" customHeight="1" x14ac:dyDescent="0.25">
      <c r="A361" s="114" t="s">
        <v>111</v>
      </c>
      <c r="B361" s="81" t="s">
        <v>340</v>
      </c>
      <c r="D361" s="79"/>
      <c r="E361" s="95"/>
      <c r="G361" s="82"/>
    </row>
    <row r="362" spans="1:16" ht="57" customHeight="1" x14ac:dyDescent="0.25">
      <c r="A362" s="114"/>
      <c r="B362" s="89" t="s">
        <v>341</v>
      </c>
      <c r="D362" s="79"/>
      <c r="E362" s="95"/>
      <c r="G362" s="90"/>
      <c r="H362" s="91"/>
      <c r="I362" s="91"/>
      <c r="K362" s="83"/>
      <c r="L362" s="84"/>
      <c r="M362" s="84"/>
      <c r="N362" s="85"/>
      <c r="O362" s="85"/>
      <c r="P362" s="85"/>
    </row>
    <row r="363" spans="1:16" ht="13" customHeight="1" x14ac:dyDescent="0.25">
      <c r="A363" s="114"/>
      <c r="B363" s="81" t="s">
        <v>144</v>
      </c>
      <c r="D363" s="79"/>
      <c r="E363" s="95"/>
      <c r="G363" s="90"/>
      <c r="H363" s="91"/>
      <c r="I363" s="91"/>
      <c r="K363" s="83"/>
      <c r="L363" s="84"/>
      <c r="M363" s="84"/>
      <c r="N363" s="85"/>
      <c r="O363" s="85"/>
      <c r="P363" s="85"/>
    </row>
    <row r="364" spans="1:16" ht="13" customHeight="1" x14ac:dyDescent="0.25">
      <c r="B364" s="93"/>
      <c r="C364" s="78" t="s">
        <v>86</v>
      </c>
      <c r="D364" s="218">
        <v>24</v>
      </c>
      <c r="E364" s="95"/>
      <c r="F364" s="74">
        <f>D364*E364</f>
        <v>0</v>
      </c>
      <c r="G364" s="90"/>
      <c r="H364" s="91"/>
      <c r="I364" s="91"/>
      <c r="K364" s="83"/>
      <c r="L364" s="84"/>
      <c r="M364" s="84"/>
      <c r="N364" s="85"/>
      <c r="O364" s="85"/>
      <c r="P364" s="85"/>
    </row>
    <row r="365" spans="1:16" ht="13" customHeight="1" x14ac:dyDescent="0.25">
      <c r="B365" s="219"/>
      <c r="D365" s="79"/>
      <c r="E365" s="95"/>
      <c r="G365" s="82"/>
    </row>
    <row r="366" spans="1:16" ht="13" customHeight="1" x14ac:dyDescent="0.3">
      <c r="A366" s="199" t="s">
        <v>342</v>
      </c>
      <c r="B366" s="199"/>
      <c r="C366" s="199"/>
      <c r="D366" s="199"/>
      <c r="E366" s="102"/>
      <c r="F366" s="103">
        <f>SUM(F287:F365)</f>
        <v>0</v>
      </c>
      <c r="G366" s="82"/>
    </row>
    <row r="367" spans="1:16" ht="13" customHeight="1" x14ac:dyDescent="0.3">
      <c r="A367" s="1"/>
      <c r="B367" s="1"/>
      <c r="C367" s="1"/>
      <c r="D367" s="1"/>
      <c r="F367" s="121"/>
      <c r="G367" s="82"/>
    </row>
    <row r="368" spans="1:16" x14ac:dyDescent="0.3">
      <c r="C368" s="133"/>
      <c r="D368" s="90"/>
      <c r="G368" s="90"/>
      <c r="H368" s="91"/>
      <c r="I368" s="91"/>
      <c r="K368" s="83"/>
      <c r="L368" s="84"/>
      <c r="M368" s="84"/>
      <c r="N368" s="85"/>
      <c r="O368" s="85"/>
      <c r="P368" s="85"/>
    </row>
    <row r="369" spans="1:16" ht="17.5" x14ac:dyDescent="0.35">
      <c r="A369" s="106"/>
      <c r="B369" s="107" t="s">
        <v>218</v>
      </c>
      <c r="C369" s="108"/>
      <c r="D369" s="134"/>
      <c r="E369" s="116"/>
      <c r="F369" s="117"/>
      <c r="G369" s="90"/>
      <c r="H369" s="91"/>
      <c r="I369" s="91"/>
      <c r="K369" s="83"/>
      <c r="L369" s="84"/>
      <c r="M369" s="84"/>
      <c r="N369" s="85"/>
      <c r="O369" s="85"/>
      <c r="P369" s="85"/>
    </row>
    <row r="370" spans="1:16" x14ac:dyDescent="0.25">
      <c r="D370" s="90"/>
      <c r="G370" s="90"/>
      <c r="H370" s="91"/>
      <c r="I370" s="91"/>
      <c r="K370" s="83"/>
      <c r="L370" s="84"/>
      <c r="M370" s="84"/>
      <c r="N370" s="85"/>
      <c r="O370" s="85"/>
      <c r="P370" s="85"/>
    </row>
    <row r="371" spans="1:16" x14ac:dyDescent="0.3">
      <c r="B371" s="9" t="s">
        <v>219</v>
      </c>
      <c r="D371" s="90"/>
      <c r="G371" s="90"/>
      <c r="H371" s="91"/>
      <c r="I371" s="91"/>
      <c r="K371" s="83"/>
      <c r="L371" s="84"/>
      <c r="M371" s="84"/>
      <c r="N371" s="85"/>
      <c r="O371" s="85"/>
      <c r="P371" s="85"/>
    </row>
    <row r="372" spans="1:16" x14ac:dyDescent="0.25">
      <c r="A372" s="112"/>
      <c r="B372" s="212" t="s">
        <v>220</v>
      </c>
      <c r="C372" s="212"/>
      <c r="D372" s="212"/>
      <c r="E372" s="212"/>
      <c r="G372" s="82"/>
    </row>
    <row r="373" spans="1:16" x14ac:dyDescent="0.25">
      <c r="A373" s="112"/>
      <c r="B373" s="206" t="s">
        <v>221</v>
      </c>
      <c r="C373" s="206"/>
      <c r="D373" s="206"/>
      <c r="E373" s="206"/>
      <c r="G373" s="90"/>
      <c r="H373" s="91"/>
      <c r="I373" s="91"/>
      <c r="K373" s="83"/>
      <c r="L373" s="84"/>
      <c r="M373" s="84"/>
      <c r="N373" s="85"/>
      <c r="O373" s="85"/>
      <c r="P373" s="85"/>
    </row>
    <row r="374" spans="1:16" x14ac:dyDescent="0.25">
      <c r="A374" s="112"/>
      <c r="B374" s="208" t="s">
        <v>222</v>
      </c>
      <c r="C374" s="208"/>
      <c r="D374" s="208"/>
      <c r="E374" s="208"/>
      <c r="G374" s="82"/>
    </row>
    <row r="375" spans="1:16" x14ac:dyDescent="0.25">
      <c r="A375" s="112"/>
      <c r="B375" s="209" t="s">
        <v>223</v>
      </c>
      <c r="C375" s="208"/>
      <c r="D375" s="208"/>
      <c r="E375" s="208"/>
      <c r="G375" s="82"/>
    </row>
    <row r="376" spans="1:16" x14ac:dyDescent="0.25">
      <c r="A376" s="112"/>
      <c r="B376" s="209" t="s">
        <v>224</v>
      </c>
      <c r="C376" s="208"/>
      <c r="D376" s="208"/>
      <c r="E376" s="208"/>
      <c r="G376" s="90"/>
      <c r="H376" s="91"/>
      <c r="I376" s="91"/>
      <c r="K376" s="83"/>
      <c r="L376" s="84"/>
      <c r="M376" s="84"/>
      <c r="N376" s="85"/>
      <c r="O376" s="85"/>
      <c r="P376" s="85"/>
    </row>
    <row r="377" spans="1:16" x14ac:dyDescent="0.25">
      <c r="A377" s="112"/>
      <c r="B377" s="209" t="s">
        <v>225</v>
      </c>
      <c r="C377" s="208"/>
      <c r="D377" s="208"/>
      <c r="E377" s="208"/>
      <c r="G377" s="90"/>
      <c r="H377" s="91"/>
      <c r="I377" s="91"/>
      <c r="K377" s="83"/>
      <c r="L377" s="84"/>
      <c r="M377" s="84"/>
      <c r="N377" s="85"/>
      <c r="O377" s="85"/>
      <c r="P377" s="85"/>
    </row>
    <row r="378" spans="1:16" x14ac:dyDescent="0.25">
      <c r="A378" s="112"/>
      <c r="B378" s="208" t="s">
        <v>226</v>
      </c>
      <c r="C378" s="208"/>
      <c r="D378" s="208"/>
      <c r="E378" s="208"/>
      <c r="G378" s="90"/>
      <c r="H378" s="91"/>
      <c r="I378" s="91"/>
      <c r="K378" s="83"/>
      <c r="L378" s="84"/>
      <c r="M378" s="84"/>
      <c r="N378" s="85"/>
      <c r="O378" s="85"/>
      <c r="P378" s="85"/>
    </row>
    <row r="379" spans="1:16" x14ac:dyDescent="0.25">
      <c r="A379" s="112"/>
      <c r="B379" s="209" t="s">
        <v>227</v>
      </c>
      <c r="C379" s="208"/>
      <c r="D379" s="208"/>
      <c r="E379" s="208"/>
      <c r="G379" s="90"/>
      <c r="H379" s="91"/>
      <c r="I379" s="91"/>
      <c r="K379" s="83"/>
      <c r="L379" s="84"/>
      <c r="M379" s="84"/>
      <c r="N379" s="85"/>
      <c r="O379" s="85"/>
      <c r="P379" s="85"/>
    </row>
    <row r="380" spans="1:16" x14ac:dyDescent="0.25">
      <c r="A380" s="112"/>
      <c r="B380" s="210" t="s">
        <v>228</v>
      </c>
      <c r="C380" s="208"/>
      <c r="D380" s="208"/>
      <c r="E380" s="208"/>
      <c r="G380" s="90"/>
      <c r="H380" s="91"/>
      <c r="J380" s="83"/>
      <c r="K380" s="84"/>
      <c r="L380" s="84"/>
      <c r="M380" s="85"/>
      <c r="N380" s="85"/>
      <c r="O380" s="85"/>
    </row>
    <row r="381" spans="1:16" x14ac:dyDescent="0.25">
      <c r="A381" s="112"/>
      <c r="B381" s="209" t="s">
        <v>229</v>
      </c>
      <c r="C381" s="208"/>
      <c r="D381" s="208"/>
      <c r="E381" s="208"/>
      <c r="G381" s="90"/>
      <c r="H381" s="91"/>
      <c r="I381" s="91"/>
      <c r="K381" s="83"/>
      <c r="L381" s="84"/>
      <c r="M381" s="84"/>
      <c r="N381" s="85"/>
      <c r="O381" s="85"/>
      <c r="P381" s="85"/>
    </row>
    <row r="382" spans="1:16" x14ac:dyDescent="0.25">
      <c r="A382" s="112"/>
      <c r="B382" s="206" t="s">
        <v>230</v>
      </c>
      <c r="C382" s="206"/>
      <c r="D382" s="206"/>
      <c r="E382" s="206"/>
      <c r="G382" s="82"/>
    </row>
    <row r="383" spans="1:16" x14ac:dyDescent="0.25">
      <c r="A383" s="112"/>
      <c r="B383" s="213" t="s">
        <v>231</v>
      </c>
      <c r="C383" s="213"/>
      <c r="D383" s="213"/>
      <c r="E383" s="213"/>
      <c r="G383" s="90"/>
      <c r="H383" s="91"/>
      <c r="I383" s="91"/>
      <c r="K383" s="83"/>
      <c r="L383" s="84"/>
      <c r="M383" s="84"/>
      <c r="N383" s="85"/>
      <c r="O383" s="85"/>
      <c r="P383" s="85"/>
    </row>
    <row r="384" spans="1:16" x14ac:dyDescent="0.25">
      <c r="D384" s="90"/>
      <c r="G384" s="90"/>
      <c r="H384" s="91"/>
      <c r="I384" s="91"/>
      <c r="K384" s="83"/>
      <c r="L384" s="84"/>
      <c r="M384" s="84"/>
      <c r="N384" s="85"/>
      <c r="O384" s="85"/>
      <c r="P384" s="85"/>
    </row>
    <row r="385" spans="1:16" ht="14" x14ac:dyDescent="0.3">
      <c r="A385" s="125"/>
      <c r="B385" s="126" t="s">
        <v>232</v>
      </c>
      <c r="C385" s="127"/>
      <c r="D385" s="136"/>
      <c r="E385" s="137"/>
      <c r="F385" s="128"/>
      <c r="G385" s="90"/>
      <c r="H385" s="91"/>
      <c r="I385" s="91"/>
      <c r="K385" s="83"/>
      <c r="L385" s="84"/>
      <c r="M385" s="84"/>
      <c r="N385" s="85"/>
      <c r="O385" s="85"/>
      <c r="P385" s="85"/>
    </row>
    <row r="386" spans="1:16" x14ac:dyDescent="0.3">
      <c r="B386" s="142"/>
      <c r="D386" s="90"/>
      <c r="G386" s="90"/>
      <c r="H386" s="91"/>
      <c r="I386" s="91"/>
      <c r="K386" s="83"/>
      <c r="L386" s="84"/>
      <c r="M386" s="84"/>
      <c r="N386" s="85"/>
      <c r="O386" s="85"/>
      <c r="P386" s="85"/>
    </row>
    <row r="387" spans="1:16" ht="62.5" x14ac:dyDescent="0.25">
      <c r="A387" s="114" t="s">
        <v>2</v>
      </c>
      <c r="B387" s="81" t="s">
        <v>233</v>
      </c>
      <c r="D387" s="143"/>
      <c r="E387" s="95"/>
      <c r="F387" s="144"/>
      <c r="G387" s="90"/>
      <c r="H387" s="91"/>
      <c r="J387" s="83"/>
      <c r="K387" s="84"/>
      <c r="L387" s="84"/>
      <c r="M387" s="85"/>
      <c r="N387" s="85"/>
      <c r="O387" s="85"/>
    </row>
    <row r="388" spans="1:16" ht="37.5" x14ac:dyDescent="0.25">
      <c r="A388" s="114"/>
      <c r="B388" s="81" t="s">
        <v>234</v>
      </c>
      <c r="D388" s="143"/>
      <c r="E388" s="95"/>
      <c r="F388" s="144"/>
      <c r="G388" s="90"/>
      <c r="H388" s="91"/>
      <c r="I388" s="91"/>
      <c r="K388" s="83"/>
      <c r="L388" s="84"/>
      <c r="M388" s="84"/>
      <c r="N388" s="85"/>
      <c r="O388" s="85"/>
      <c r="P388" s="85"/>
    </row>
    <row r="389" spans="1:16" ht="50" x14ac:dyDescent="0.25">
      <c r="A389" s="114"/>
      <c r="B389" s="88" t="s">
        <v>235</v>
      </c>
      <c r="D389" s="143"/>
      <c r="E389" s="95"/>
      <c r="F389" s="144"/>
      <c r="G389" s="82"/>
    </row>
    <row r="390" spans="1:16" ht="37.5" x14ac:dyDescent="0.25">
      <c r="A390" s="114"/>
      <c r="B390" s="88" t="s">
        <v>236</v>
      </c>
      <c r="D390" s="143"/>
      <c r="E390" s="95"/>
      <c r="F390" s="144"/>
      <c r="G390" s="90"/>
      <c r="H390" s="91"/>
      <c r="I390" s="91"/>
      <c r="K390" s="83"/>
      <c r="L390" s="84"/>
      <c r="M390" s="84"/>
      <c r="N390" s="85"/>
      <c r="O390" s="85"/>
      <c r="P390" s="85"/>
    </row>
    <row r="391" spans="1:16" x14ac:dyDescent="0.25">
      <c r="A391" s="114"/>
      <c r="B391" s="81" t="s">
        <v>144</v>
      </c>
      <c r="D391" s="123"/>
      <c r="E391" s="95"/>
      <c r="G391" s="90"/>
      <c r="H391" s="91"/>
      <c r="I391" s="91"/>
      <c r="K391" s="83"/>
      <c r="L391" s="84"/>
      <c r="M391" s="84"/>
      <c r="N391" s="85"/>
      <c r="O391" s="85"/>
      <c r="P391" s="85"/>
    </row>
    <row r="392" spans="1:16" x14ac:dyDescent="0.25">
      <c r="B392" s="93"/>
      <c r="C392" s="78" t="s">
        <v>63</v>
      </c>
      <c r="D392" s="131">
        <v>10</v>
      </c>
      <c r="E392" s="95"/>
      <c r="F392" s="74">
        <f>D392*E392</f>
        <v>0</v>
      </c>
      <c r="G392" s="90"/>
      <c r="H392" s="91"/>
      <c r="I392" s="91"/>
      <c r="K392" s="83"/>
      <c r="L392" s="84"/>
      <c r="M392" s="84"/>
      <c r="N392" s="85"/>
      <c r="O392" s="85"/>
      <c r="P392" s="85"/>
    </row>
    <row r="393" spans="1:16" x14ac:dyDescent="0.25">
      <c r="B393" s="93"/>
      <c r="D393" s="135"/>
      <c r="E393" s="95"/>
      <c r="G393" s="90"/>
      <c r="H393" s="91"/>
      <c r="I393" s="91"/>
      <c r="K393" s="83"/>
      <c r="L393" s="84"/>
      <c r="M393" s="84"/>
      <c r="N393" s="85"/>
      <c r="O393" s="85"/>
      <c r="P393" s="85"/>
    </row>
    <row r="394" spans="1:16" x14ac:dyDescent="0.25">
      <c r="B394" s="93"/>
      <c r="D394" s="135"/>
      <c r="E394" s="95"/>
      <c r="G394" s="90"/>
      <c r="H394" s="91"/>
      <c r="J394" s="83"/>
      <c r="K394" s="84"/>
      <c r="L394" s="84"/>
      <c r="M394" s="85"/>
      <c r="N394" s="85"/>
      <c r="O394" s="85"/>
    </row>
    <row r="395" spans="1:16" ht="62.5" x14ac:dyDescent="0.25">
      <c r="A395" s="114" t="s">
        <v>3</v>
      </c>
      <c r="B395" s="81" t="s">
        <v>237</v>
      </c>
      <c r="D395" s="129"/>
      <c r="E395" s="95"/>
      <c r="G395" s="90"/>
      <c r="H395" s="91"/>
      <c r="J395" s="83"/>
      <c r="K395" s="84"/>
      <c r="L395" s="84"/>
      <c r="M395" s="85"/>
      <c r="N395" s="85"/>
      <c r="O395" s="85"/>
    </row>
    <row r="396" spans="1:16" ht="50" x14ac:dyDescent="0.25">
      <c r="A396" s="114"/>
      <c r="B396" s="81" t="s">
        <v>238</v>
      </c>
      <c r="D396" s="129"/>
      <c r="E396" s="95"/>
      <c r="G396" s="90"/>
      <c r="H396" s="91"/>
      <c r="J396" s="83"/>
      <c r="K396" s="84"/>
      <c r="L396" s="84"/>
      <c r="M396" s="85"/>
      <c r="N396" s="85"/>
      <c r="O396" s="85"/>
    </row>
    <row r="397" spans="1:16" ht="25" x14ac:dyDescent="0.25">
      <c r="A397" s="114"/>
      <c r="B397" s="81" t="s">
        <v>239</v>
      </c>
      <c r="D397" s="129"/>
      <c r="E397" s="95"/>
      <c r="G397" s="90"/>
      <c r="H397" s="91"/>
      <c r="I397" s="91"/>
      <c r="K397" s="83"/>
      <c r="L397" s="84"/>
      <c r="M397" s="84"/>
      <c r="N397" s="85"/>
      <c r="O397" s="85"/>
      <c r="P397" s="85"/>
    </row>
    <row r="398" spans="1:16" ht="27" x14ac:dyDescent="0.25">
      <c r="A398" s="114"/>
      <c r="B398" s="81" t="s">
        <v>240</v>
      </c>
      <c r="D398" s="129"/>
      <c r="E398" s="95"/>
      <c r="G398" s="82"/>
    </row>
    <row r="399" spans="1:16" x14ac:dyDescent="0.25">
      <c r="A399" s="114"/>
      <c r="B399" s="81" t="s">
        <v>144</v>
      </c>
      <c r="D399" s="129"/>
      <c r="E399" s="95"/>
      <c r="G399" s="90"/>
      <c r="H399" s="91"/>
      <c r="I399" s="91"/>
      <c r="K399" s="83"/>
      <c r="L399" s="84"/>
      <c r="M399" s="84"/>
      <c r="N399" s="85"/>
      <c r="O399" s="85"/>
      <c r="P399" s="85"/>
    </row>
    <row r="400" spans="1:16" ht="14.5" x14ac:dyDescent="0.25">
      <c r="B400" s="93"/>
      <c r="C400" s="78" t="s">
        <v>104</v>
      </c>
      <c r="D400" s="100">
        <v>150</v>
      </c>
      <c r="E400" s="95"/>
      <c r="F400" s="74">
        <f>D400*E400</f>
        <v>0</v>
      </c>
      <c r="G400" s="90"/>
      <c r="H400" s="91"/>
      <c r="I400" s="91"/>
      <c r="K400" s="83"/>
      <c r="L400" s="84"/>
      <c r="M400" s="84"/>
      <c r="N400" s="85"/>
      <c r="O400" s="85"/>
      <c r="P400" s="85"/>
    </row>
    <row r="401" spans="1:16" x14ac:dyDescent="0.25">
      <c r="D401" s="90"/>
      <c r="G401" s="90"/>
      <c r="H401" s="91"/>
      <c r="I401" s="91"/>
      <c r="K401" s="83"/>
      <c r="L401" s="84"/>
      <c r="M401" s="84"/>
      <c r="N401" s="85"/>
      <c r="O401" s="85"/>
      <c r="P401" s="85"/>
    </row>
    <row r="402" spans="1:16" ht="14" x14ac:dyDescent="0.3">
      <c r="A402" s="125"/>
      <c r="B402" s="126" t="s">
        <v>241</v>
      </c>
      <c r="C402" s="127"/>
      <c r="D402" s="136"/>
      <c r="E402" s="137"/>
      <c r="F402" s="128"/>
      <c r="G402" s="90"/>
      <c r="H402" s="91"/>
      <c r="I402" s="91"/>
      <c r="K402" s="83"/>
      <c r="L402" s="84"/>
      <c r="M402" s="84"/>
      <c r="N402" s="85"/>
      <c r="O402" s="85"/>
      <c r="P402" s="85"/>
    </row>
    <row r="403" spans="1:16" x14ac:dyDescent="0.25">
      <c r="B403" s="93"/>
      <c r="D403" s="135"/>
      <c r="E403" s="95"/>
      <c r="G403" s="90"/>
      <c r="H403" s="91"/>
      <c r="J403" s="83"/>
      <c r="K403" s="84"/>
      <c r="L403" s="84"/>
      <c r="M403" s="85"/>
      <c r="N403" s="85"/>
      <c r="O403" s="85"/>
    </row>
    <row r="404" spans="1:16" x14ac:dyDescent="0.25">
      <c r="A404" s="114" t="s">
        <v>4</v>
      </c>
      <c r="B404" s="89" t="s">
        <v>242</v>
      </c>
      <c r="D404" s="123"/>
      <c r="E404" s="95"/>
      <c r="G404" s="90"/>
      <c r="H404" s="91"/>
      <c r="J404" s="83"/>
      <c r="K404" s="84"/>
      <c r="L404" s="84"/>
      <c r="M404" s="85"/>
      <c r="N404" s="85"/>
      <c r="O404" s="85"/>
    </row>
    <row r="405" spans="1:16" ht="50" x14ac:dyDescent="0.25">
      <c r="A405" s="114"/>
      <c r="B405" s="89" t="s">
        <v>243</v>
      </c>
      <c r="D405" s="123"/>
      <c r="E405" s="95"/>
      <c r="G405" s="90"/>
      <c r="H405" s="91"/>
      <c r="J405" s="83"/>
      <c r="K405" s="84"/>
      <c r="L405" s="84"/>
      <c r="M405" s="85"/>
      <c r="N405" s="85"/>
      <c r="O405" s="85"/>
    </row>
    <row r="406" spans="1:16" x14ac:dyDescent="0.25">
      <c r="A406" s="114"/>
      <c r="B406" s="81" t="s">
        <v>144</v>
      </c>
      <c r="D406" s="123"/>
      <c r="E406" s="95"/>
      <c r="G406" s="90"/>
      <c r="H406" s="91"/>
      <c r="J406" s="83"/>
      <c r="K406" s="84"/>
      <c r="L406" s="84"/>
      <c r="M406" s="85"/>
      <c r="N406" s="85"/>
      <c r="O406" s="85"/>
    </row>
    <row r="407" spans="1:16" ht="14.5" x14ac:dyDescent="0.25">
      <c r="B407" s="93"/>
      <c r="C407" s="78" t="s">
        <v>86</v>
      </c>
      <c r="D407" s="100">
        <v>43</v>
      </c>
      <c r="E407" s="95"/>
      <c r="F407" s="74">
        <f>D407*E407</f>
        <v>0</v>
      </c>
      <c r="G407" s="90"/>
      <c r="H407" s="91"/>
      <c r="I407" s="91"/>
      <c r="K407" s="83"/>
      <c r="L407" s="84"/>
      <c r="M407" s="84"/>
      <c r="N407" s="85"/>
      <c r="O407" s="85"/>
      <c r="P407" s="85"/>
    </row>
    <row r="408" spans="1:16" x14ac:dyDescent="0.25">
      <c r="D408" s="143"/>
      <c r="E408" s="95"/>
      <c r="F408" s="144"/>
      <c r="G408" s="82"/>
    </row>
    <row r="409" spans="1:16" x14ac:dyDescent="0.25">
      <c r="A409" s="114" t="s">
        <v>5</v>
      </c>
      <c r="B409" s="89" t="s">
        <v>242</v>
      </c>
      <c r="D409" s="123"/>
      <c r="E409" s="95"/>
      <c r="G409" s="90"/>
      <c r="H409" s="91"/>
      <c r="I409" s="91"/>
      <c r="K409" s="83"/>
      <c r="L409" s="84"/>
      <c r="M409" s="84"/>
      <c r="N409" s="85"/>
      <c r="O409" s="85"/>
      <c r="P409" s="85"/>
    </row>
    <row r="410" spans="1:16" ht="50" x14ac:dyDescent="0.25">
      <c r="A410" s="114"/>
      <c r="B410" s="89" t="s">
        <v>244</v>
      </c>
      <c r="D410" s="123"/>
      <c r="E410" s="95"/>
      <c r="G410" s="90"/>
      <c r="H410" s="91"/>
      <c r="I410" s="91"/>
      <c r="K410" s="83"/>
      <c r="L410" s="84"/>
      <c r="M410" s="84"/>
      <c r="N410" s="85"/>
      <c r="O410" s="85"/>
      <c r="P410" s="85"/>
    </row>
    <row r="411" spans="1:16" x14ac:dyDescent="0.25">
      <c r="A411" s="114"/>
      <c r="B411" s="81" t="s">
        <v>144</v>
      </c>
      <c r="D411" s="123"/>
      <c r="E411" s="95"/>
      <c r="G411" s="90"/>
      <c r="H411" s="91"/>
      <c r="I411" s="91"/>
      <c r="K411" s="83"/>
      <c r="L411" s="84"/>
      <c r="M411" s="84"/>
      <c r="N411" s="85"/>
      <c r="O411" s="85"/>
      <c r="P411" s="85"/>
    </row>
    <row r="412" spans="1:16" ht="14.5" x14ac:dyDescent="0.25">
      <c r="B412" s="93"/>
      <c r="C412" s="78" t="s">
        <v>86</v>
      </c>
      <c r="D412" s="100">
        <v>98</v>
      </c>
      <c r="E412" s="95"/>
      <c r="F412" s="74">
        <f>D412*E412</f>
        <v>0</v>
      </c>
      <c r="G412" s="90"/>
      <c r="H412" s="91"/>
      <c r="I412" s="91"/>
      <c r="K412" s="83"/>
      <c r="L412" s="84"/>
      <c r="M412" s="84"/>
      <c r="N412" s="85"/>
      <c r="O412" s="85"/>
      <c r="P412" s="85"/>
    </row>
    <row r="413" spans="1:16" x14ac:dyDescent="0.25">
      <c r="D413" s="143"/>
      <c r="E413" s="95"/>
      <c r="F413" s="144"/>
      <c r="G413" s="90"/>
      <c r="H413" s="91"/>
      <c r="J413" s="83"/>
      <c r="K413" s="84"/>
      <c r="L413" s="84"/>
      <c r="M413" s="85"/>
      <c r="N413" s="85"/>
      <c r="O413" s="85"/>
    </row>
    <row r="414" spans="1:16" x14ac:dyDescent="0.25">
      <c r="B414" s="130"/>
      <c r="D414" s="143"/>
      <c r="E414" s="95"/>
      <c r="F414" s="144"/>
      <c r="G414" s="90"/>
      <c r="H414" s="91"/>
      <c r="J414" s="83"/>
      <c r="K414" s="84"/>
      <c r="L414" s="84"/>
      <c r="M414" s="85"/>
      <c r="N414" s="85"/>
      <c r="O414" s="85"/>
    </row>
    <row r="415" spans="1:16" ht="50" x14ac:dyDescent="0.25">
      <c r="A415" s="114" t="s">
        <v>11</v>
      </c>
      <c r="B415" s="89" t="s">
        <v>245</v>
      </c>
      <c r="D415" s="123"/>
      <c r="E415" s="95"/>
      <c r="G415" s="90"/>
      <c r="H415" s="91"/>
      <c r="J415" s="83"/>
      <c r="K415" s="84"/>
      <c r="L415" s="84"/>
      <c r="M415" s="85"/>
      <c r="N415" s="85"/>
      <c r="O415" s="85"/>
    </row>
    <row r="416" spans="1:16" ht="50" x14ac:dyDescent="0.25">
      <c r="A416" s="114"/>
      <c r="B416" s="92" t="s">
        <v>246</v>
      </c>
      <c r="D416" s="123"/>
      <c r="E416" s="95"/>
      <c r="G416" s="90"/>
      <c r="H416" s="91"/>
      <c r="I416" s="91"/>
      <c r="K416" s="83"/>
      <c r="L416" s="84"/>
      <c r="M416" s="84"/>
      <c r="N416" s="85"/>
      <c r="O416" s="85"/>
      <c r="P416" s="85"/>
    </row>
    <row r="417" spans="1:16" ht="37.5" x14ac:dyDescent="0.25">
      <c r="A417" s="114"/>
      <c r="B417" s="89" t="s">
        <v>247</v>
      </c>
      <c r="D417" s="123"/>
      <c r="E417" s="95"/>
      <c r="G417" s="82"/>
    </row>
    <row r="418" spans="1:16" x14ac:dyDescent="0.25">
      <c r="A418" s="114"/>
      <c r="B418" s="81" t="s">
        <v>144</v>
      </c>
      <c r="D418" s="123"/>
      <c r="E418" s="95"/>
      <c r="G418" s="90"/>
      <c r="H418" s="91"/>
      <c r="I418" s="91"/>
      <c r="K418" s="83"/>
      <c r="L418" s="84"/>
      <c r="M418" s="84"/>
      <c r="N418" s="85"/>
      <c r="O418" s="85"/>
      <c r="P418" s="85"/>
    </row>
    <row r="419" spans="1:16" ht="14.5" x14ac:dyDescent="0.25">
      <c r="B419" s="93"/>
      <c r="C419" s="78" t="s">
        <v>86</v>
      </c>
      <c r="D419" s="100">
        <v>120</v>
      </c>
      <c r="E419" s="95"/>
      <c r="F419" s="74">
        <f>D419*E419</f>
        <v>0</v>
      </c>
      <c r="G419" s="90"/>
      <c r="H419" s="91"/>
      <c r="I419" s="91"/>
      <c r="K419" s="83"/>
      <c r="L419" s="84"/>
      <c r="M419" s="84"/>
      <c r="N419" s="85"/>
      <c r="O419" s="85"/>
      <c r="P419" s="85"/>
    </row>
    <row r="420" spans="1:16" x14ac:dyDescent="0.25">
      <c r="D420" s="143"/>
      <c r="E420" s="95"/>
      <c r="F420" s="144"/>
      <c r="G420" s="90"/>
      <c r="H420" s="91"/>
      <c r="I420" s="91"/>
      <c r="K420" s="83"/>
      <c r="L420" s="84"/>
      <c r="M420" s="84"/>
      <c r="N420" s="85"/>
      <c r="O420" s="85"/>
      <c r="P420" s="85"/>
    </row>
    <row r="421" spans="1:16" x14ac:dyDescent="0.25">
      <c r="B421" s="130"/>
      <c r="D421" s="143"/>
      <c r="E421" s="95"/>
      <c r="F421" s="144"/>
      <c r="G421" s="90"/>
      <c r="H421" s="91"/>
      <c r="I421" s="91"/>
      <c r="K421" s="83"/>
      <c r="L421" s="84"/>
      <c r="M421" s="84"/>
      <c r="N421" s="85"/>
      <c r="O421" s="85"/>
      <c r="P421" s="85"/>
    </row>
    <row r="422" spans="1:16" ht="50" x14ac:dyDescent="0.25">
      <c r="A422" s="114" t="s">
        <v>25</v>
      </c>
      <c r="B422" s="89" t="s">
        <v>248</v>
      </c>
      <c r="D422" s="123"/>
      <c r="E422" s="95"/>
      <c r="G422" s="90"/>
      <c r="H422" s="91"/>
      <c r="J422" s="83"/>
      <c r="K422" s="84"/>
      <c r="L422" s="84"/>
      <c r="M422" s="85"/>
      <c r="N422" s="85"/>
      <c r="O422" s="85"/>
    </row>
    <row r="423" spans="1:16" ht="102" x14ac:dyDescent="0.25">
      <c r="A423" s="114"/>
      <c r="B423" s="92" t="s">
        <v>249</v>
      </c>
      <c r="D423" s="123"/>
      <c r="E423" s="95"/>
      <c r="G423" s="90"/>
      <c r="H423" s="91"/>
      <c r="J423" s="83"/>
      <c r="K423" s="84"/>
      <c r="L423" s="84"/>
      <c r="M423" s="85"/>
      <c r="N423" s="85"/>
      <c r="O423" s="85"/>
    </row>
    <row r="424" spans="1:16" ht="87.5" x14ac:dyDescent="0.25">
      <c r="A424" s="114"/>
      <c r="B424" s="92" t="s">
        <v>250</v>
      </c>
      <c r="D424" s="123"/>
      <c r="E424" s="95"/>
      <c r="G424" s="90"/>
      <c r="H424" s="91"/>
      <c r="J424" s="83"/>
      <c r="K424" s="84"/>
      <c r="L424" s="84"/>
      <c r="M424" s="85"/>
      <c r="N424" s="85"/>
      <c r="O424" s="85"/>
    </row>
    <row r="425" spans="1:16" x14ac:dyDescent="0.25">
      <c r="A425" s="114"/>
      <c r="B425" s="81" t="s">
        <v>144</v>
      </c>
      <c r="D425" s="123"/>
      <c r="E425" s="95"/>
      <c r="G425" s="90"/>
      <c r="H425" s="91"/>
      <c r="I425" s="91"/>
      <c r="K425" s="83"/>
      <c r="L425" s="84"/>
      <c r="M425" s="84"/>
      <c r="N425" s="85"/>
      <c r="O425" s="85"/>
      <c r="P425" s="85"/>
    </row>
    <row r="426" spans="1:16" ht="14.5" x14ac:dyDescent="0.25">
      <c r="B426" s="93"/>
      <c r="C426" s="78" t="s">
        <v>86</v>
      </c>
      <c r="D426" s="100">
        <v>900</v>
      </c>
      <c r="E426" s="95"/>
      <c r="F426" s="74">
        <f>D426*E426</f>
        <v>0</v>
      </c>
      <c r="G426" s="82"/>
    </row>
    <row r="427" spans="1:16" x14ac:dyDescent="0.25">
      <c r="D427" s="143"/>
      <c r="E427" s="95"/>
      <c r="F427" s="144"/>
      <c r="G427" s="90"/>
      <c r="H427" s="91"/>
      <c r="I427" s="91"/>
      <c r="K427" s="83"/>
      <c r="L427" s="84"/>
      <c r="M427" s="84"/>
      <c r="N427" s="85"/>
      <c r="O427" s="85"/>
      <c r="P427" s="85"/>
    </row>
    <row r="428" spans="1:16" x14ac:dyDescent="0.25">
      <c r="B428" s="130"/>
      <c r="D428" s="143"/>
      <c r="E428" s="95"/>
      <c r="F428" s="144"/>
      <c r="G428" s="90"/>
      <c r="H428" s="91"/>
      <c r="I428" s="91"/>
      <c r="K428" s="83"/>
      <c r="L428" s="84"/>
      <c r="M428" s="84"/>
      <c r="N428" s="85"/>
      <c r="O428" s="85"/>
      <c r="P428" s="85"/>
    </row>
    <row r="429" spans="1:16" ht="25" x14ac:dyDescent="0.25">
      <c r="A429" s="114" t="s">
        <v>25</v>
      </c>
      <c r="B429" s="81" t="s">
        <v>251</v>
      </c>
      <c r="D429" s="129"/>
      <c r="E429" s="95"/>
      <c r="G429" s="90"/>
      <c r="H429" s="91"/>
      <c r="I429" s="91"/>
      <c r="K429" s="83"/>
      <c r="L429" s="84"/>
      <c r="M429" s="84"/>
      <c r="N429" s="85"/>
      <c r="O429" s="85"/>
      <c r="P429" s="85"/>
    </row>
    <row r="430" spans="1:16" ht="50" x14ac:dyDescent="0.25">
      <c r="A430" s="114"/>
      <c r="B430" s="88" t="s">
        <v>252</v>
      </c>
      <c r="D430" s="129"/>
      <c r="E430" s="95"/>
      <c r="G430" s="90"/>
      <c r="H430" s="91"/>
      <c r="I430" s="91"/>
      <c r="K430" s="83"/>
      <c r="L430" s="84"/>
      <c r="M430" s="84"/>
      <c r="N430" s="85"/>
      <c r="O430" s="85"/>
      <c r="P430" s="85"/>
    </row>
    <row r="431" spans="1:16" ht="62.5" x14ac:dyDescent="0.25">
      <c r="A431" s="114"/>
      <c r="B431" s="81" t="s">
        <v>253</v>
      </c>
      <c r="D431" s="90"/>
      <c r="G431" s="90"/>
      <c r="H431" s="91"/>
      <c r="J431" s="83"/>
      <c r="K431" s="84"/>
      <c r="L431" s="84"/>
      <c r="M431" s="85"/>
      <c r="N431" s="85"/>
      <c r="O431" s="85"/>
    </row>
    <row r="432" spans="1:16" ht="25" x14ac:dyDescent="0.25">
      <c r="A432" s="114"/>
      <c r="B432" s="81" t="s">
        <v>254</v>
      </c>
      <c r="D432" s="90"/>
      <c r="G432" s="90"/>
      <c r="H432" s="91"/>
      <c r="J432" s="83"/>
      <c r="K432" s="84"/>
      <c r="L432" s="84"/>
      <c r="M432" s="85"/>
      <c r="N432" s="85"/>
      <c r="O432" s="85"/>
    </row>
    <row r="433" spans="1:20" x14ac:dyDescent="0.25">
      <c r="A433" s="114"/>
      <c r="B433" s="81" t="s">
        <v>144</v>
      </c>
      <c r="D433" s="129"/>
      <c r="E433" s="95"/>
      <c r="G433" s="90"/>
      <c r="H433" s="91"/>
      <c r="J433" s="83"/>
      <c r="K433" s="84"/>
      <c r="L433" s="84"/>
      <c r="M433" s="85"/>
      <c r="N433" s="85"/>
      <c r="O433" s="85"/>
    </row>
    <row r="434" spans="1:20" ht="14.5" x14ac:dyDescent="0.25">
      <c r="B434" s="93" t="s">
        <v>255</v>
      </c>
      <c r="C434" s="78" t="s">
        <v>86</v>
      </c>
      <c r="D434" s="100">
        <v>91</v>
      </c>
      <c r="E434" s="95"/>
      <c r="F434" s="74">
        <f>D434*E434</f>
        <v>0</v>
      </c>
      <c r="G434" s="90"/>
      <c r="H434" s="91"/>
      <c r="I434" s="91"/>
      <c r="K434" s="83"/>
      <c r="L434" s="84"/>
      <c r="M434" s="84"/>
      <c r="N434" s="85"/>
      <c r="O434" s="85"/>
      <c r="P434" s="85"/>
    </row>
    <row r="435" spans="1:20" ht="14.5" x14ac:dyDescent="0.25">
      <c r="B435" s="93" t="s">
        <v>256</v>
      </c>
      <c r="C435" s="78" t="s">
        <v>104</v>
      </c>
      <c r="D435" s="100">
        <v>136</v>
      </c>
      <c r="E435" s="95"/>
      <c r="F435" s="74">
        <f>D435*E435</f>
        <v>0</v>
      </c>
      <c r="G435" s="82"/>
    </row>
    <row r="436" spans="1:20" x14ac:dyDescent="0.25">
      <c r="D436" s="143"/>
      <c r="E436" s="95"/>
      <c r="F436" s="144"/>
      <c r="G436" s="90"/>
      <c r="H436" s="91"/>
      <c r="I436" s="91"/>
      <c r="K436" s="83"/>
      <c r="L436" s="84"/>
      <c r="M436" s="84"/>
      <c r="N436" s="85"/>
      <c r="O436" s="85"/>
      <c r="P436" s="85"/>
    </row>
    <row r="437" spans="1:20" x14ac:dyDescent="0.25">
      <c r="B437" s="130"/>
      <c r="D437" s="143"/>
      <c r="E437" s="95"/>
      <c r="F437" s="144"/>
      <c r="G437" s="90"/>
      <c r="H437" s="91"/>
      <c r="I437" s="91"/>
      <c r="K437" s="83"/>
      <c r="L437" s="84"/>
      <c r="M437" s="84"/>
      <c r="N437" s="85"/>
      <c r="O437" s="85"/>
      <c r="P437" s="85"/>
    </row>
    <row r="438" spans="1:20" ht="25" x14ac:dyDescent="0.25">
      <c r="A438" s="114" t="s">
        <v>105</v>
      </c>
      <c r="B438" s="81" t="s">
        <v>257</v>
      </c>
      <c r="D438" s="129"/>
      <c r="E438" s="95"/>
      <c r="G438" s="90"/>
      <c r="H438" s="91"/>
      <c r="I438" s="91"/>
      <c r="K438" s="83"/>
      <c r="L438" s="84"/>
      <c r="M438" s="84"/>
      <c r="N438" s="85"/>
      <c r="O438" s="85"/>
      <c r="P438" s="85"/>
    </row>
    <row r="439" spans="1:20" ht="87.5" x14ac:dyDescent="0.25">
      <c r="A439" s="114"/>
      <c r="B439" s="88" t="s">
        <v>258</v>
      </c>
      <c r="D439" s="129"/>
      <c r="E439" s="95"/>
      <c r="G439" s="90"/>
      <c r="H439" s="91"/>
      <c r="I439" s="91"/>
      <c r="K439" s="83"/>
      <c r="L439" s="84"/>
      <c r="M439" s="84"/>
      <c r="N439" s="85"/>
      <c r="O439" s="85"/>
      <c r="P439" s="85"/>
    </row>
    <row r="440" spans="1:20" ht="25" x14ac:dyDescent="0.25">
      <c r="A440" s="114"/>
      <c r="B440" s="81" t="s">
        <v>259</v>
      </c>
      <c r="D440" s="90"/>
      <c r="G440" s="90"/>
      <c r="H440" s="91"/>
      <c r="I440" s="91"/>
      <c r="K440" s="83"/>
      <c r="L440" s="84"/>
      <c r="M440" s="84"/>
      <c r="N440" s="85"/>
      <c r="O440" s="85"/>
      <c r="P440" s="85"/>
    </row>
    <row r="441" spans="1:20" x14ac:dyDescent="0.25">
      <c r="A441" s="114"/>
      <c r="B441" s="81" t="s">
        <v>144</v>
      </c>
      <c r="D441" s="129"/>
      <c r="E441" s="95"/>
      <c r="G441" s="82"/>
    </row>
    <row r="442" spans="1:20" ht="14.5" x14ac:dyDescent="0.25">
      <c r="B442" s="93"/>
      <c r="C442" s="78" t="s">
        <v>86</v>
      </c>
      <c r="D442" s="100">
        <v>37</v>
      </c>
      <c r="E442" s="95"/>
      <c r="F442" s="74">
        <f>D442*E442</f>
        <v>0</v>
      </c>
    </row>
    <row r="443" spans="1:20" ht="15" customHeight="1" x14ac:dyDescent="0.25">
      <c r="D443" s="143"/>
      <c r="E443" s="95"/>
      <c r="F443" s="144"/>
      <c r="G443" s="99"/>
      <c r="H443" s="91"/>
      <c r="J443" s="84"/>
      <c r="K443" s="84"/>
      <c r="L443" s="84"/>
      <c r="M443" s="85"/>
      <c r="N443" s="85"/>
      <c r="O443" s="85"/>
      <c r="T443" s="122" t="s">
        <v>217</v>
      </c>
    </row>
    <row r="444" spans="1:20" x14ac:dyDescent="0.25">
      <c r="B444" s="130"/>
      <c r="D444" s="143"/>
      <c r="E444" s="95"/>
      <c r="F444" s="144"/>
    </row>
    <row r="445" spans="1:20" ht="25" x14ac:dyDescent="0.25">
      <c r="A445" s="114" t="s">
        <v>106</v>
      </c>
      <c r="B445" s="81" t="s">
        <v>260</v>
      </c>
      <c r="D445" s="129"/>
      <c r="E445" s="95"/>
    </row>
    <row r="446" spans="1:20" ht="87.5" x14ac:dyDescent="0.25">
      <c r="A446" s="114"/>
      <c r="B446" s="88" t="s">
        <v>261</v>
      </c>
      <c r="D446" s="129"/>
      <c r="E446" s="95"/>
    </row>
    <row r="447" spans="1:20" ht="25" x14ac:dyDescent="0.25">
      <c r="A447" s="114"/>
      <c r="B447" s="81" t="s">
        <v>262</v>
      </c>
      <c r="D447" s="90"/>
    </row>
    <row r="448" spans="1:20" x14ac:dyDescent="0.25">
      <c r="A448" s="114"/>
      <c r="B448" s="81" t="s">
        <v>144</v>
      </c>
      <c r="D448" s="129"/>
      <c r="E448" s="95"/>
    </row>
    <row r="449" spans="1:6" ht="14.5" x14ac:dyDescent="0.25">
      <c r="B449" s="93"/>
      <c r="C449" s="78" t="s">
        <v>86</v>
      </c>
      <c r="D449" s="100">
        <v>63</v>
      </c>
      <c r="E449" s="95"/>
      <c r="F449" s="74">
        <f>D449*E449</f>
        <v>0</v>
      </c>
    </row>
    <row r="450" spans="1:6" x14ac:dyDescent="0.25">
      <c r="D450" s="143"/>
      <c r="E450" s="95"/>
      <c r="F450" s="144"/>
    </row>
    <row r="451" spans="1:6" x14ac:dyDescent="0.25">
      <c r="B451" s="130"/>
      <c r="D451" s="143"/>
      <c r="E451" s="95"/>
      <c r="F451" s="144"/>
    </row>
    <row r="452" spans="1:6" ht="25" x14ac:dyDescent="0.25">
      <c r="A452" s="114" t="s">
        <v>111</v>
      </c>
      <c r="B452" s="81" t="s">
        <v>263</v>
      </c>
      <c r="D452" s="129"/>
      <c r="E452" s="95"/>
    </row>
    <row r="453" spans="1:6" ht="75" x14ac:dyDescent="0.25">
      <c r="A453" s="114"/>
      <c r="B453" s="81" t="s">
        <v>264</v>
      </c>
      <c r="D453" s="129"/>
      <c r="E453" s="95"/>
    </row>
    <row r="454" spans="1:6" ht="75" x14ac:dyDescent="0.25">
      <c r="A454" s="114"/>
      <c r="B454" s="81" t="s">
        <v>265</v>
      </c>
      <c r="D454" s="90"/>
    </row>
    <row r="455" spans="1:6" ht="62.5" x14ac:dyDescent="0.25">
      <c r="A455" s="114"/>
      <c r="B455" s="81" t="s">
        <v>266</v>
      </c>
      <c r="D455" s="90"/>
    </row>
    <row r="456" spans="1:6" ht="38.5" x14ac:dyDescent="0.25">
      <c r="A456" s="114"/>
      <c r="B456" s="81" t="s">
        <v>267</v>
      </c>
      <c r="D456" s="90"/>
    </row>
    <row r="457" spans="1:6" x14ac:dyDescent="0.25">
      <c r="A457" s="114"/>
      <c r="B457" s="81" t="s">
        <v>144</v>
      </c>
      <c r="D457" s="129"/>
      <c r="E457" s="95"/>
    </row>
    <row r="458" spans="1:6" ht="14.5" x14ac:dyDescent="0.25">
      <c r="B458" s="93"/>
      <c r="C458" s="78" t="s">
        <v>86</v>
      </c>
      <c r="D458" s="100">
        <v>43</v>
      </c>
      <c r="E458" s="95"/>
      <c r="F458" s="74">
        <f>D458*E458</f>
        <v>0</v>
      </c>
    </row>
    <row r="459" spans="1:6" x14ac:dyDescent="0.25">
      <c r="D459" s="143"/>
      <c r="E459" s="95"/>
      <c r="F459" s="144"/>
    </row>
    <row r="460" spans="1:6" x14ac:dyDescent="0.25">
      <c r="B460" s="130"/>
      <c r="D460" s="143"/>
      <c r="E460" s="95"/>
      <c r="F460" s="144"/>
    </row>
    <row r="461" spans="1:6" ht="25" x14ac:dyDescent="0.25">
      <c r="A461" s="114" t="s">
        <v>114</v>
      </c>
      <c r="B461" s="81" t="s">
        <v>268</v>
      </c>
      <c r="D461" s="129"/>
      <c r="E461" s="95"/>
    </row>
    <row r="462" spans="1:6" ht="37.5" x14ac:dyDescent="0.25">
      <c r="A462" s="114"/>
      <c r="B462" s="81" t="s">
        <v>269</v>
      </c>
      <c r="D462" s="129"/>
      <c r="E462" s="95"/>
    </row>
    <row r="463" spans="1:6" ht="25" x14ac:dyDescent="0.25">
      <c r="A463" s="114"/>
      <c r="B463" s="81" t="s">
        <v>270</v>
      </c>
      <c r="D463" s="90"/>
    </row>
    <row r="464" spans="1:6" ht="87.5" x14ac:dyDescent="0.25">
      <c r="A464" s="114"/>
      <c r="B464" s="88" t="s">
        <v>271</v>
      </c>
      <c r="D464" s="90"/>
    </row>
    <row r="465" spans="1:6" ht="37.5" x14ac:dyDescent="0.25">
      <c r="A465" s="114"/>
      <c r="B465" s="81" t="s">
        <v>272</v>
      </c>
      <c r="D465" s="90"/>
    </row>
    <row r="466" spans="1:6" ht="37.5" x14ac:dyDescent="0.25">
      <c r="A466" s="114"/>
      <c r="B466" s="81" t="s">
        <v>273</v>
      </c>
      <c r="D466" s="90"/>
    </row>
    <row r="467" spans="1:6" x14ac:dyDescent="0.25">
      <c r="A467" s="114"/>
      <c r="B467" s="81" t="s">
        <v>144</v>
      </c>
      <c r="D467" s="129"/>
      <c r="E467" s="95"/>
    </row>
    <row r="468" spans="1:6" ht="14.5" x14ac:dyDescent="0.25">
      <c r="B468" s="93"/>
      <c r="C468" s="78" t="s">
        <v>86</v>
      </c>
      <c r="D468" s="100">
        <v>21</v>
      </c>
      <c r="E468" s="95"/>
      <c r="F468" s="74">
        <f>D468*E468</f>
        <v>0</v>
      </c>
    </row>
    <row r="469" spans="1:6" x14ac:dyDescent="0.25">
      <c r="D469" s="143"/>
      <c r="E469" s="95"/>
      <c r="F469" s="144"/>
    </row>
    <row r="470" spans="1:6" x14ac:dyDescent="0.25">
      <c r="B470" s="130"/>
      <c r="D470" s="143"/>
      <c r="E470" s="95"/>
      <c r="F470" s="144"/>
    </row>
    <row r="471" spans="1:6" ht="25" x14ac:dyDescent="0.25">
      <c r="A471" s="114" t="s">
        <v>116</v>
      </c>
      <c r="B471" s="81" t="s">
        <v>274</v>
      </c>
      <c r="D471" s="129"/>
      <c r="E471" s="95"/>
    </row>
    <row r="472" spans="1:6" ht="75" x14ac:dyDescent="0.25">
      <c r="A472" s="114"/>
      <c r="B472" s="81" t="s">
        <v>275</v>
      </c>
      <c r="D472" s="129"/>
      <c r="E472" s="95"/>
    </row>
    <row r="473" spans="1:6" ht="75" x14ac:dyDescent="0.25">
      <c r="A473" s="114"/>
      <c r="B473" s="81" t="s">
        <v>265</v>
      </c>
      <c r="D473" s="90"/>
    </row>
    <row r="474" spans="1:6" ht="62.5" x14ac:dyDescent="0.25">
      <c r="A474" s="114"/>
      <c r="B474" s="81" t="s">
        <v>266</v>
      </c>
      <c r="D474" s="90"/>
    </row>
    <row r="475" spans="1:6" ht="38.5" x14ac:dyDescent="0.25">
      <c r="A475" s="114"/>
      <c r="B475" s="81" t="s">
        <v>267</v>
      </c>
      <c r="D475" s="90"/>
    </row>
    <row r="476" spans="1:6" x14ac:dyDescent="0.25">
      <c r="A476" s="114"/>
      <c r="B476" s="81" t="s">
        <v>144</v>
      </c>
      <c r="D476" s="129"/>
      <c r="E476" s="95"/>
    </row>
    <row r="477" spans="1:6" ht="14.5" x14ac:dyDescent="0.25">
      <c r="B477" s="93"/>
      <c r="C477" s="78" t="s">
        <v>86</v>
      </c>
      <c r="D477" s="100">
        <v>162</v>
      </c>
      <c r="E477" s="95"/>
      <c r="F477" s="74">
        <f>D477*E477</f>
        <v>0</v>
      </c>
    </row>
    <row r="478" spans="1:6" x14ac:dyDescent="0.25">
      <c r="D478" s="143"/>
      <c r="E478" s="95"/>
      <c r="F478" s="144"/>
    </row>
    <row r="479" spans="1:6" x14ac:dyDescent="0.25">
      <c r="B479" s="130"/>
      <c r="D479" s="143"/>
      <c r="E479" s="95"/>
      <c r="F479" s="144"/>
    </row>
    <row r="480" spans="1:6" ht="25" x14ac:dyDescent="0.25">
      <c r="A480" s="114" t="s">
        <v>119</v>
      </c>
      <c r="B480" s="81" t="s">
        <v>276</v>
      </c>
      <c r="D480" s="129"/>
      <c r="E480" s="95"/>
    </row>
    <row r="481" spans="1:6" ht="75" x14ac:dyDescent="0.25">
      <c r="A481" s="114"/>
      <c r="B481" s="81" t="s">
        <v>277</v>
      </c>
      <c r="D481" s="129"/>
      <c r="E481" s="95"/>
    </row>
    <row r="482" spans="1:6" ht="75" x14ac:dyDescent="0.25">
      <c r="A482" s="114"/>
      <c r="B482" s="81" t="s">
        <v>265</v>
      </c>
      <c r="D482" s="90"/>
    </row>
    <row r="483" spans="1:6" ht="62.5" x14ac:dyDescent="0.25">
      <c r="A483" s="114"/>
      <c r="B483" s="81" t="s">
        <v>266</v>
      </c>
      <c r="D483" s="90"/>
    </row>
    <row r="484" spans="1:6" ht="38.5" x14ac:dyDescent="0.25">
      <c r="A484" s="114"/>
      <c r="B484" s="81" t="s">
        <v>267</v>
      </c>
      <c r="D484" s="90"/>
    </row>
    <row r="485" spans="1:6" x14ac:dyDescent="0.25">
      <c r="A485" s="114"/>
      <c r="B485" s="81" t="s">
        <v>144</v>
      </c>
      <c r="D485" s="129"/>
      <c r="E485" s="95"/>
    </row>
    <row r="486" spans="1:6" ht="14.5" x14ac:dyDescent="0.25">
      <c r="B486" s="93"/>
      <c r="C486" s="78" t="s">
        <v>86</v>
      </c>
      <c r="D486" s="100">
        <v>49</v>
      </c>
      <c r="E486" s="95"/>
      <c r="F486" s="74">
        <f>D486*E486</f>
        <v>0</v>
      </c>
    </row>
    <row r="487" spans="1:6" x14ac:dyDescent="0.25">
      <c r="D487" s="143"/>
      <c r="E487" s="95"/>
      <c r="F487" s="144"/>
    </row>
    <row r="488" spans="1:6" x14ac:dyDescent="0.25">
      <c r="B488" s="130"/>
      <c r="D488" s="143"/>
      <c r="E488" s="95"/>
      <c r="F488" s="144"/>
    </row>
    <row r="489" spans="1:6" ht="25" x14ac:dyDescent="0.25">
      <c r="A489" s="114" t="s">
        <v>122</v>
      </c>
      <c r="B489" s="81" t="s">
        <v>278</v>
      </c>
      <c r="D489" s="129"/>
      <c r="E489" s="95"/>
    </row>
    <row r="490" spans="1:6" ht="75" x14ac:dyDescent="0.25">
      <c r="A490" s="114"/>
      <c r="B490" s="81" t="s">
        <v>279</v>
      </c>
      <c r="D490" s="129"/>
      <c r="E490" s="95"/>
    </row>
    <row r="491" spans="1:6" ht="75" x14ac:dyDescent="0.25">
      <c r="A491" s="114"/>
      <c r="B491" s="81" t="s">
        <v>265</v>
      </c>
      <c r="D491" s="90"/>
    </row>
    <row r="492" spans="1:6" ht="62.5" x14ac:dyDescent="0.25">
      <c r="A492" s="114"/>
      <c r="B492" s="81" t="s">
        <v>266</v>
      </c>
      <c r="D492" s="90"/>
    </row>
    <row r="493" spans="1:6" ht="38.5" x14ac:dyDescent="0.25">
      <c r="A493" s="114"/>
      <c r="B493" s="81" t="s">
        <v>267</v>
      </c>
      <c r="D493" s="90"/>
    </row>
    <row r="494" spans="1:6" x14ac:dyDescent="0.25">
      <c r="A494" s="114"/>
      <c r="B494" s="81" t="s">
        <v>144</v>
      </c>
      <c r="D494" s="129"/>
      <c r="E494" s="95"/>
    </row>
    <row r="495" spans="1:6" ht="14.5" x14ac:dyDescent="0.25">
      <c r="B495" s="93"/>
      <c r="C495" s="78" t="s">
        <v>86</v>
      </c>
      <c r="D495" s="100">
        <v>15</v>
      </c>
      <c r="E495" s="95"/>
      <c r="F495" s="74">
        <f>D495*E495</f>
        <v>0</v>
      </c>
    </row>
    <row r="496" spans="1:6" x14ac:dyDescent="0.25">
      <c r="D496" s="143"/>
      <c r="E496" s="95"/>
      <c r="F496" s="144"/>
    </row>
    <row r="497" spans="1:6" x14ac:dyDescent="0.25">
      <c r="B497" s="130"/>
      <c r="D497" s="143"/>
      <c r="E497" s="95"/>
      <c r="F497" s="144"/>
    </row>
    <row r="498" spans="1:6" x14ac:dyDescent="0.3">
      <c r="A498" s="199" t="s">
        <v>280</v>
      </c>
      <c r="B498" s="199"/>
      <c r="C498" s="199"/>
      <c r="D498" s="199"/>
      <c r="E498" s="145"/>
      <c r="F498" s="103">
        <f>SUM(F386:F497)</f>
        <v>0</v>
      </c>
    </row>
    <row r="499" spans="1:6" x14ac:dyDescent="0.25">
      <c r="D499" s="90"/>
    </row>
    <row r="500" spans="1:6" x14ac:dyDescent="0.3">
      <c r="A500" s="1"/>
      <c r="B500" s="1"/>
      <c r="C500" s="1"/>
      <c r="D500" s="1"/>
      <c r="E500" s="146"/>
      <c r="F500" s="147"/>
    </row>
  </sheetData>
  <mergeCells count="40">
    <mergeCell ref="B381:E381"/>
    <mergeCell ref="B382:E382"/>
    <mergeCell ref="B383:E383"/>
    <mergeCell ref="A498:D498"/>
    <mergeCell ref="A366:D366"/>
    <mergeCell ref="B376:E376"/>
    <mergeCell ref="B377:E377"/>
    <mergeCell ref="B378:E378"/>
    <mergeCell ref="B379:E379"/>
    <mergeCell ref="B380:E380"/>
    <mergeCell ref="A309:D309"/>
    <mergeCell ref="B372:E372"/>
    <mergeCell ref="B373:E373"/>
    <mergeCell ref="B374:E374"/>
    <mergeCell ref="B375:E375"/>
    <mergeCell ref="B166:E166"/>
    <mergeCell ref="B167:E167"/>
    <mergeCell ref="B168:E168"/>
    <mergeCell ref="B169:E169"/>
    <mergeCell ref="B170:E170"/>
    <mergeCell ref="B161:E161"/>
    <mergeCell ref="B162:E162"/>
    <mergeCell ref="B163:E163"/>
    <mergeCell ref="B164:E164"/>
    <mergeCell ref="B165:E165"/>
    <mergeCell ref="B15:E15"/>
    <mergeCell ref="B16:E16"/>
    <mergeCell ref="B17:E17"/>
    <mergeCell ref="A153:D153"/>
    <mergeCell ref="B160:E160"/>
    <mergeCell ref="B10:E10"/>
    <mergeCell ref="B11:E11"/>
    <mergeCell ref="B12:E12"/>
    <mergeCell ref="B13:E13"/>
    <mergeCell ref="B14:E14"/>
    <mergeCell ref="A3:F3"/>
    <mergeCell ref="B6:E6"/>
    <mergeCell ref="B7:E7"/>
    <mergeCell ref="B8:E8"/>
    <mergeCell ref="B9:E9"/>
  </mergeCells>
  <pageMargins left="0.78740157480314965" right="0.19685039370078741" top="0.87" bottom="0.6" header="0.35433070866141736" footer="0.31496062992125984"/>
  <pageSetup paperSize="9" orientation="portrait" useFirstPageNumber="1" r:id="rId1"/>
  <headerFooter>
    <oddHeader>&amp;L&amp;"Verdana,Uobičajeno"&amp;9GRAĐEVINA: Poslovna zgrada - cjelovita obnova
- projekt za cjelovitu obnovu zgrade u kulturno-povijesnoj cjelini Karlovca
Karlovac, Ul. J. Kraša 2&amp;R&amp;"Verdana,Uobičajeno"&amp;9INVESTITOR: Grad Karlovac
Banjavčićeva 9, KARLOVAC</oddHeader>
    <oddFooter>&amp;L&amp;"Verdana,Uobičajeno"&amp;9A•C•M Projektni biro d.o.o., Karlovac&amp;C&amp;"Verdana,Podebljano"&amp;11&amp;P&amp;R&amp;"Verdana,Uobičajeno"&amp;9Troškovnik: P-6/23</oddFooter>
  </headerFooter>
  <rowBreaks count="6" manualBreakCount="6">
    <brk id="138" max="5" man="1"/>
    <brk id="154" max="5" man="1"/>
    <brk id="182" max="5" man="1"/>
    <brk id="237" max="5" man="1"/>
    <brk id="264" max="5" man="1"/>
    <brk id="29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J55"/>
  <sheetViews>
    <sheetView zoomScaleNormal="100" zoomScaleSheetLayoutView="100" workbookViewId="0">
      <selection activeCell="D29" sqref="D29"/>
    </sheetView>
  </sheetViews>
  <sheetFormatPr defaultRowHeight="13" x14ac:dyDescent="0.25"/>
  <cols>
    <col min="1" max="1" width="3.54296875" style="76" customWidth="1"/>
    <col min="2" max="2" width="50.54296875" customWidth="1"/>
    <col min="3" max="3" width="12.26953125" style="16" customWidth="1"/>
    <col min="4" max="4" width="26.453125" style="74" customWidth="1"/>
    <col min="7" max="7" width="13.453125" style="132" customWidth="1"/>
    <col min="10" max="10" width="9.1796875" style="85"/>
  </cols>
  <sheetData>
    <row r="1" spans="1:10" s="65" customFormat="1" ht="10.5" x14ac:dyDescent="0.2">
      <c r="A1" s="149"/>
      <c r="C1" s="150"/>
      <c r="D1" s="151"/>
      <c r="G1" s="152"/>
      <c r="J1" s="153"/>
    </row>
    <row r="2" spans="1:10" s="65" customFormat="1" ht="10.5" x14ac:dyDescent="0.2">
      <c r="A2" s="149"/>
      <c r="C2" s="150"/>
      <c r="D2" s="151"/>
      <c r="G2" s="152"/>
      <c r="J2" s="153"/>
    </row>
    <row r="3" spans="1:10" s="154" customFormat="1" ht="20" x14ac:dyDescent="0.4">
      <c r="A3" s="214" t="s">
        <v>281</v>
      </c>
      <c r="B3" s="214"/>
      <c r="C3" s="214"/>
      <c r="D3" s="214"/>
      <c r="J3" s="155"/>
    </row>
    <row r="4" spans="1:10" s="65" customFormat="1" ht="10.5" x14ac:dyDescent="0.2">
      <c r="A4" s="149"/>
      <c r="C4" s="150"/>
      <c r="D4" s="151"/>
      <c r="G4" s="152"/>
      <c r="J4" s="153"/>
    </row>
    <row r="5" spans="1:10" s="65" customFormat="1" ht="10.5" x14ac:dyDescent="0.2">
      <c r="A5" s="149"/>
      <c r="C5" s="150"/>
      <c r="D5" s="151"/>
      <c r="G5" s="152"/>
      <c r="J5" s="153"/>
    </row>
    <row r="6" spans="1:10" ht="15.5" x14ac:dyDescent="0.35">
      <c r="A6" s="156" t="s">
        <v>282</v>
      </c>
      <c r="B6" s="157" t="s">
        <v>283</v>
      </c>
      <c r="C6" s="158"/>
      <c r="D6" s="159"/>
      <c r="G6" s="160"/>
    </row>
    <row r="7" spans="1:10" s="65" customFormat="1" ht="10.5" x14ac:dyDescent="0.2">
      <c r="A7" s="149"/>
      <c r="C7" s="150"/>
      <c r="D7" s="151"/>
      <c r="G7" s="152"/>
    </row>
    <row r="8" spans="1:10" s="124" customFormat="1" ht="14" x14ac:dyDescent="0.3">
      <c r="A8" s="161" t="s">
        <v>282</v>
      </c>
      <c r="B8" s="162" t="s">
        <v>284</v>
      </c>
      <c r="C8" s="163"/>
      <c r="D8" s="164">
        <f>'01 GRAĐ I OBRT'!F153</f>
        <v>0</v>
      </c>
      <c r="G8" s="165"/>
      <c r="J8" s="141"/>
    </row>
    <row r="9" spans="1:10" s="65" customFormat="1" ht="10.5" x14ac:dyDescent="0.25">
      <c r="A9" s="149"/>
      <c r="B9" s="166"/>
      <c r="C9" s="167"/>
      <c r="D9" s="168"/>
      <c r="G9" s="169"/>
    </row>
    <row r="10" spans="1:10" s="65" customFormat="1" ht="10.5" x14ac:dyDescent="0.25">
      <c r="A10" s="149"/>
      <c r="B10" s="166"/>
      <c r="C10" s="167"/>
      <c r="D10" s="168"/>
      <c r="G10" s="169"/>
    </row>
    <row r="11" spans="1:10" ht="15.5" x14ac:dyDescent="0.35">
      <c r="A11" s="156" t="s">
        <v>285</v>
      </c>
      <c r="B11" s="157" t="s">
        <v>286</v>
      </c>
      <c r="C11" s="158"/>
      <c r="D11" s="159"/>
      <c r="G11" s="160"/>
    </row>
    <row r="12" spans="1:10" s="65" customFormat="1" ht="10.5" x14ac:dyDescent="0.2">
      <c r="A12" s="149"/>
      <c r="C12" s="150"/>
      <c r="D12" s="151"/>
      <c r="G12" s="152"/>
      <c r="J12" s="153"/>
    </row>
    <row r="13" spans="1:10" x14ac:dyDescent="0.25">
      <c r="A13" s="170" t="s">
        <v>287</v>
      </c>
      <c r="B13" s="171" t="s">
        <v>288</v>
      </c>
      <c r="C13" s="102"/>
      <c r="D13" s="172" t="e">
        <f>'01 GRAĐ I OBRT'!#REF!</f>
        <v>#REF!</v>
      </c>
      <c r="G13" s="91"/>
    </row>
    <row r="14" spans="1:10" x14ac:dyDescent="0.25">
      <c r="A14" s="170" t="s">
        <v>289</v>
      </c>
      <c r="B14" s="171" t="s">
        <v>290</v>
      </c>
      <c r="C14" s="102"/>
      <c r="D14" s="172" t="e">
        <f>'01 GRAĐ I OBRT'!#REF!</f>
        <v>#REF!</v>
      </c>
      <c r="G14" s="91"/>
    </row>
    <row r="15" spans="1:10" x14ac:dyDescent="0.25">
      <c r="A15" s="170" t="s">
        <v>291</v>
      </c>
      <c r="B15" s="171" t="s">
        <v>292</v>
      </c>
      <c r="C15" s="102"/>
      <c r="D15" s="172" t="e">
        <f>'01 GRAĐ I OBRT'!#REF!</f>
        <v>#REF!</v>
      </c>
      <c r="G15" s="91"/>
    </row>
    <row r="16" spans="1:10" x14ac:dyDescent="0.25">
      <c r="A16" s="170" t="s">
        <v>293</v>
      </c>
      <c r="B16" s="171" t="s">
        <v>294</v>
      </c>
      <c r="C16" s="102"/>
      <c r="D16" s="172">
        <f>'01 GRAĐ I OBRT'!F309</f>
        <v>0</v>
      </c>
      <c r="G16" s="91"/>
    </row>
    <row r="17" spans="1:10" x14ac:dyDescent="0.25">
      <c r="A17" s="170" t="s">
        <v>295</v>
      </c>
      <c r="B17" s="171" t="s">
        <v>296</v>
      </c>
      <c r="C17" s="102"/>
      <c r="D17" s="172" t="e">
        <f>'01 GRAĐ I OBRT'!#REF!</f>
        <v>#REF!</v>
      </c>
      <c r="G17" s="91"/>
    </row>
    <row r="18" spans="1:10" x14ac:dyDescent="0.25">
      <c r="A18" s="170" t="s">
        <v>297</v>
      </c>
      <c r="B18" s="171" t="s">
        <v>298</v>
      </c>
      <c r="C18" s="102"/>
      <c r="D18" s="172" t="e">
        <f>'01 GRAĐ I OBRT'!#REF!</f>
        <v>#REF!</v>
      </c>
      <c r="G18" s="91"/>
    </row>
    <row r="19" spans="1:10" s="115" customFormat="1" x14ac:dyDescent="0.3">
      <c r="A19" s="170" t="s">
        <v>299</v>
      </c>
      <c r="B19" s="171" t="s">
        <v>300</v>
      </c>
      <c r="C19" s="102"/>
      <c r="D19" s="172" t="e">
        <f>'01 GRAĐ I OBRT'!#REF!</f>
        <v>#REF!</v>
      </c>
      <c r="G19" s="91"/>
      <c r="J19" s="173"/>
    </row>
    <row r="20" spans="1:10" s="65" customFormat="1" ht="10.5" x14ac:dyDescent="0.2">
      <c r="A20" s="149"/>
      <c r="C20" s="150"/>
      <c r="D20" s="151"/>
      <c r="G20" s="152"/>
      <c r="J20" s="153"/>
    </row>
    <row r="21" spans="1:10" s="124" customFormat="1" ht="14" x14ac:dyDescent="0.3">
      <c r="A21" s="161" t="s">
        <v>285</v>
      </c>
      <c r="B21" s="162" t="s">
        <v>301</v>
      </c>
      <c r="C21" s="163"/>
      <c r="D21" s="164" t="e">
        <f>SUM(D13:D20)</f>
        <v>#REF!</v>
      </c>
      <c r="G21" s="165"/>
      <c r="J21" s="141"/>
    </row>
    <row r="22" spans="1:10" s="65" customFormat="1" ht="10.5" x14ac:dyDescent="0.25">
      <c r="A22" s="149"/>
      <c r="B22" s="166"/>
      <c r="C22" s="167"/>
      <c r="D22" s="168"/>
      <c r="G22" s="169"/>
      <c r="J22" s="153"/>
    </row>
    <row r="23" spans="1:10" s="65" customFormat="1" ht="10.5" x14ac:dyDescent="0.2">
      <c r="A23" s="149"/>
      <c r="C23" s="150"/>
      <c r="D23" s="151"/>
      <c r="G23" s="152"/>
      <c r="J23" s="153"/>
    </row>
    <row r="24" spans="1:10" ht="15.5" x14ac:dyDescent="0.35">
      <c r="A24" s="156" t="s">
        <v>302</v>
      </c>
      <c r="B24" s="157" t="s">
        <v>303</v>
      </c>
      <c r="C24" s="158"/>
      <c r="D24" s="159"/>
      <c r="G24" s="160"/>
    </row>
    <row r="25" spans="1:10" s="65" customFormat="1" ht="10.5" x14ac:dyDescent="0.2">
      <c r="A25" s="149"/>
      <c r="C25" s="150"/>
      <c r="D25" s="151"/>
      <c r="G25" s="152"/>
      <c r="J25" s="153"/>
    </row>
    <row r="26" spans="1:10" x14ac:dyDescent="0.25">
      <c r="A26" s="170" t="s">
        <v>287</v>
      </c>
      <c r="B26" s="171" t="s">
        <v>304</v>
      </c>
      <c r="C26" s="102"/>
      <c r="D26" s="172" t="e">
        <f>'01 GRAĐ I OBRT'!#REF!</f>
        <v>#REF!</v>
      </c>
      <c r="G26" s="91"/>
    </row>
    <row r="27" spans="1:10" x14ac:dyDescent="0.25">
      <c r="A27" s="170" t="s">
        <v>289</v>
      </c>
      <c r="B27" s="171" t="s">
        <v>305</v>
      </c>
      <c r="C27" s="102"/>
      <c r="D27" s="172" t="e">
        <f>'01 GRAĐ I OBRT'!#REF!</f>
        <v>#REF!</v>
      </c>
      <c r="G27" s="91"/>
    </row>
    <row r="28" spans="1:10" x14ac:dyDescent="0.25">
      <c r="A28" s="170" t="s">
        <v>291</v>
      </c>
      <c r="B28" s="171" t="s">
        <v>306</v>
      </c>
      <c r="C28" s="102"/>
      <c r="D28" s="172" t="e">
        <f>'01 GRAĐ I OBRT'!#REF!</f>
        <v>#REF!</v>
      </c>
      <c r="G28" s="91"/>
    </row>
    <row r="29" spans="1:10" x14ac:dyDescent="0.25">
      <c r="A29" s="170" t="s">
        <v>293</v>
      </c>
      <c r="B29" s="171" t="s">
        <v>307</v>
      </c>
      <c r="C29" s="102"/>
      <c r="D29" s="172" t="e">
        <f>'01 GRAĐ I OBRT'!#REF!</f>
        <v>#REF!</v>
      </c>
      <c r="G29" s="91"/>
    </row>
    <row r="30" spans="1:10" x14ac:dyDescent="0.25">
      <c r="A30" s="170" t="s">
        <v>295</v>
      </c>
      <c r="B30" s="171" t="s">
        <v>308</v>
      </c>
      <c r="C30" s="102"/>
      <c r="D30" s="172" t="e">
        <f>'01 GRAĐ I OBRT'!#REF!</f>
        <v>#REF!</v>
      </c>
      <c r="G30" s="91"/>
    </row>
    <row r="31" spans="1:10" x14ac:dyDescent="0.25">
      <c r="A31" s="170" t="s">
        <v>297</v>
      </c>
      <c r="B31" s="171" t="s">
        <v>309</v>
      </c>
      <c r="C31" s="102"/>
      <c r="D31" s="172">
        <f>'01 GRAĐ I OBRT'!F498</f>
        <v>0</v>
      </c>
      <c r="G31" s="91"/>
    </row>
    <row r="32" spans="1:10" x14ac:dyDescent="0.25">
      <c r="A32" s="170" t="s">
        <v>299</v>
      </c>
      <c r="B32" s="171" t="s">
        <v>310</v>
      </c>
      <c r="C32" s="102"/>
      <c r="D32" s="172" t="e">
        <f>'01 GRAĐ I OBRT'!#REF!</f>
        <v>#REF!</v>
      </c>
      <c r="G32" s="91"/>
    </row>
    <row r="33" spans="1:10" x14ac:dyDescent="0.25">
      <c r="A33" s="170" t="s">
        <v>311</v>
      </c>
      <c r="B33" s="171" t="s">
        <v>312</v>
      </c>
      <c r="C33" s="102"/>
      <c r="D33" s="172" t="e">
        <f>'01 GRAĐ I OBRT'!#REF!</f>
        <v>#REF!</v>
      </c>
      <c r="G33" s="91"/>
    </row>
    <row r="34" spans="1:10" x14ac:dyDescent="0.25">
      <c r="A34" s="170" t="s">
        <v>313</v>
      </c>
      <c r="B34" s="171" t="s">
        <v>314</v>
      </c>
      <c r="C34" s="102"/>
      <c r="D34" s="172" t="e">
        <f>'01 GRAĐ I OBRT'!#REF!</f>
        <v>#REF!</v>
      </c>
      <c r="G34" s="91"/>
    </row>
    <row r="35" spans="1:10" x14ac:dyDescent="0.25">
      <c r="A35" s="170" t="s">
        <v>315</v>
      </c>
      <c r="B35" s="171" t="s">
        <v>316</v>
      </c>
      <c r="C35" s="102"/>
      <c r="D35" s="172" t="e">
        <f>'01 GRAĐ I OBRT'!#REF!</f>
        <v>#REF!</v>
      </c>
      <c r="G35" s="91"/>
    </row>
    <row r="36" spans="1:10" s="65" customFormat="1" ht="10.5" x14ac:dyDescent="0.2">
      <c r="A36" s="149"/>
      <c r="C36" s="150"/>
      <c r="D36" s="151"/>
      <c r="G36" s="152"/>
      <c r="J36" s="153"/>
    </row>
    <row r="37" spans="1:10" s="124" customFormat="1" ht="14" x14ac:dyDescent="0.3">
      <c r="A37" s="161" t="s">
        <v>302</v>
      </c>
      <c r="B37" s="162" t="s">
        <v>317</v>
      </c>
      <c r="C37" s="163"/>
      <c r="D37" s="164" t="e">
        <f>SUM(D26:D36)</f>
        <v>#REF!</v>
      </c>
      <c r="G37" s="165"/>
      <c r="J37" s="141"/>
    </row>
    <row r="38" spans="1:10" s="65" customFormat="1" ht="10.5" x14ac:dyDescent="0.2">
      <c r="A38" s="149"/>
      <c r="C38" s="150"/>
      <c r="D38" s="151"/>
      <c r="G38" s="152"/>
      <c r="J38" s="153"/>
    </row>
    <row r="39" spans="1:10" s="65" customFormat="1" ht="11" thickBot="1" x14ac:dyDescent="0.25">
      <c r="A39" s="149"/>
      <c r="C39" s="150"/>
      <c r="D39" s="151"/>
      <c r="G39" s="152"/>
      <c r="J39" s="153"/>
    </row>
    <row r="40" spans="1:10" s="20" customFormat="1" ht="15.5" x14ac:dyDescent="0.35">
      <c r="B40" s="174" t="s">
        <v>318</v>
      </c>
      <c r="C40" s="175"/>
      <c r="D40" s="176" t="e">
        <f>D8+D21+D37</f>
        <v>#REF!</v>
      </c>
      <c r="J40" s="177"/>
    </row>
    <row r="41" spans="1:10" x14ac:dyDescent="0.3">
      <c r="B41" s="178" t="s">
        <v>7</v>
      </c>
      <c r="C41" s="179"/>
      <c r="D41" s="180" t="e">
        <f>D40*0.25</f>
        <v>#REF!</v>
      </c>
      <c r="G41"/>
    </row>
    <row r="42" spans="1:10" s="65" customFormat="1" ht="11" thickBot="1" x14ac:dyDescent="0.3">
      <c r="B42" s="149"/>
      <c r="C42" s="181"/>
      <c r="D42" s="182"/>
      <c r="G42" s="181"/>
      <c r="J42" s="153"/>
    </row>
    <row r="43" spans="1:10" ht="18.5" thickBot="1" x14ac:dyDescent="0.45">
      <c r="B43" s="58" t="s">
        <v>319</v>
      </c>
      <c r="C43" s="183"/>
      <c r="D43" s="184" t="e">
        <f>SUM(D40:D42)</f>
        <v>#REF!</v>
      </c>
      <c r="G43"/>
    </row>
    <row r="44" spans="1:10" s="65" customFormat="1" ht="11" thickTop="1" x14ac:dyDescent="0.2">
      <c r="A44" s="149"/>
      <c r="C44" s="150"/>
      <c r="D44" s="151"/>
      <c r="G44" s="185"/>
      <c r="J44" s="153"/>
    </row>
    <row r="45" spans="1:10" x14ac:dyDescent="0.25">
      <c r="G45" s="101"/>
    </row>
    <row r="46" spans="1:10" x14ac:dyDescent="0.25">
      <c r="G46" s="101"/>
    </row>
    <row r="47" spans="1:10" x14ac:dyDescent="0.25">
      <c r="G47" s="101"/>
    </row>
    <row r="48" spans="1:10" x14ac:dyDescent="0.25">
      <c r="G48" s="101"/>
    </row>
    <row r="49" spans="7:7" x14ac:dyDescent="0.25">
      <c r="G49" s="101"/>
    </row>
    <row r="50" spans="7:7" x14ac:dyDescent="0.25">
      <c r="G50" s="101"/>
    </row>
    <row r="51" spans="7:7" x14ac:dyDescent="0.25">
      <c r="G51" s="101"/>
    </row>
    <row r="52" spans="7:7" x14ac:dyDescent="0.25">
      <c r="G52" s="101"/>
    </row>
    <row r="53" spans="7:7" x14ac:dyDescent="0.25">
      <c r="G53" s="101"/>
    </row>
    <row r="54" spans="7:7" x14ac:dyDescent="0.25">
      <c r="G54" s="101"/>
    </row>
    <row r="55" spans="7:7" x14ac:dyDescent="0.25">
      <c r="G55" s="101"/>
    </row>
  </sheetData>
  <mergeCells count="1">
    <mergeCell ref="A3:D3"/>
  </mergeCells>
  <pageMargins left="0.78740157480314965" right="0.19685039370078741" top="0.9055118110236221" bottom="0.78740157480314965" header="0.35433070866141736" footer="0.31496062992125984"/>
  <pageSetup paperSize="9" fitToHeight="0" orientation="portrait" r:id="rId1"/>
  <headerFooter>
    <oddHeader>&amp;L&amp;"Verdana,Uobičajeno"&amp;9GRAĐEVINA: Poslovna zgrada - cjelovita obnova
- projekt za cjelovitu obnovu zgrade u kulturno-povijesnoj cjelini Karlovca
Karlovac, Ul. J. Kraša 2&amp;R&amp;"Verdana,Uobičajeno"&amp;9INVESTITOR: Grad Karlovac
Banjavčićeva 9, KARLOVAC</oddHeader>
    <oddFooter>&amp;L&amp;"Verdana,Uobičajeno"&amp;9A•C•M  projektni biro d.o.o. Karlovac&amp;R&amp;"Verdana,Uobičajeno"&amp;9Troškovnik: P-6/23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78b6f9-bce5-41b7-8111-d99cde489c4d" xsi:nil="true"/>
    <lcf76f155ced4ddcb4097134ff3c332f xmlns="374290fb-bbbf-446f-86a4-fa4397d2f90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175B515D33AA64EBECFB4F5AB7ED2F3" ma:contentTypeVersion="16" ma:contentTypeDescription="Stvaranje novog dokumenta." ma:contentTypeScope="" ma:versionID="bd53b9737838a79c549bcbfc487c46e1">
  <xsd:schema xmlns:xsd="http://www.w3.org/2001/XMLSchema" xmlns:xs="http://www.w3.org/2001/XMLSchema" xmlns:p="http://schemas.microsoft.com/office/2006/metadata/properties" xmlns:ns2="374290fb-bbbf-446f-86a4-fa4397d2f90d" xmlns:ns3="dc78b6f9-bce5-41b7-8111-d99cde489c4d" targetNamespace="http://schemas.microsoft.com/office/2006/metadata/properties" ma:root="true" ma:fieldsID="b32be27a20219a1e6dea6eb4d5426a9e" ns2:_="" ns3:_="">
    <xsd:import namespace="374290fb-bbbf-446f-86a4-fa4397d2f90d"/>
    <xsd:import namespace="dc78b6f9-bce5-41b7-8111-d99cde489c4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290fb-bbbf-446f-86a4-fa4397d2f9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Oznake slika" ma:readOnly="false" ma:fieldId="{5cf76f15-5ced-4ddc-b409-7134ff3c332f}" ma:taxonomyMulti="true" ma:sspId="b9aad1d1-6fce-4d48-ab64-f62650dd02f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78b6f9-bce5-41b7-8111-d99cde489c4d" elementFormDefault="qualified">
    <xsd:import namespace="http://schemas.microsoft.com/office/2006/documentManagement/types"/>
    <xsd:import namespace="http://schemas.microsoft.com/office/infopath/2007/PartnerControls"/>
    <xsd:element name="SharedWithUsers" ma:index="15" nillable="true" ma:displayName="Zajednički se koristi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ji o zajedničkom korištenju" ma:internalName="SharedWithDetails" ma:readOnly="true">
      <xsd:simpleType>
        <xsd:restriction base="dms:Note">
          <xsd:maxLength value="255"/>
        </xsd:restriction>
      </xsd:simpleType>
    </xsd:element>
    <xsd:element name="TaxCatchAll" ma:index="21" nillable="true" ma:displayName="Taxonomy Catch All Column" ma:hidden="true" ma:list="{1b64ae54-5901-4c2b-a77b-57b19d44ee86}" ma:internalName="TaxCatchAll" ma:showField="CatchAllData" ma:web="dc78b6f9-bce5-41b7-8111-d99cde489c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4DCF54-4CE3-4E07-A19A-1FF83C021151}">
  <ds:schemaRefs>
    <ds:schemaRef ds:uri="http://schemas.microsoft.com/office/2006/metadata/properties"/>
    <ds:schemaRef ds:uri="http://schemas.microsoft.com/office/infopath/2007/PartnerControls"/>
    <ds:schemaRef ds:uri="dc78b6f9-bce5-41b7-8111-d99cde489c4d"/>
    <ds:schemaRef ds:uri="374290fb-bbbf-446f-86a4-fa4397d2f90d"/>
  </ds:schemaRefs>
</ds:datastoreItem>
</file>

<file path=customXml/itemProps2.xml><?xml version="1.0" encoding="utf-8"?>
<ds:datastoreItem xmlns:ds="http://schemas.openxmlformats.org/officeDocument/2006/customXml" ds:itemID="{BCB8DF02-247E-4B1C-BE8E-36927A45AFA6}">
  <ds:schemaRefs>
    <ds:schemaRef ds:uri="http://schemas.microsoft.com/sharepoint/v3/contenttype/forms"/>
  </ds:schemaRefs>
</ds:datastoreItem>
</file>

<file path=customXml/itemProps3.xml><?xml version="1.0" encoding="utf-8"?>
<ds:datastoreItem xmlns:ds="http://schemas.openxmlformats.org/officeDocument/2006/customXml" ds:itemID="{E470F3A4-9BBF-48BB-ADED-17592759B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4290fb-bbbf-446f-86a4-fa4397d2f90d"/>
    <ds:schemaRef ds:uri="dc78b6f9-bce5-41b7-8111-d99cde489c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Nasl SVE</vt:lpstr>
      <vt:lpstr>UKUPNA REKAPITULACIJA</vt:lpstr>
      <vt:lpstr>01 Nasl GiO</vt:lpstr>
      <vt:lpstr>01 GRAĐ I OBRT</vt:lpstr>
      <vt:lpstr>01 GiO-rekap</vt:lpstr>
      <vt:lpstr>'01 GiO-rekap'!Print_Area</vt:lpstr>
      <vt:lpstr>'01 GRAĐ I OBRT'!Print_Area</vt:lpstr>
      <vt:lpstr>'01 Nasl GiO'!Print_Area</vt:lpstr>
      <vt:lpstr>'Nasl SVE'!Print_Area</vt:lpstr>
      <vt:lpstr>'UKUPNA REKAPITULACIJA'!Print_Area</vt:lpstr>
      <vt:lpstr>'01 GRAĐ I OBRT'!Print_Titles</vt:lpstr>
    </vt:vector>
  </TitlesOfParts>
  <Company>ACM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Troškovnik</dc:title>
  <dc:subject>Dvorana - Žakanje</dc:subject>
  <dc:creator>Damir Pilat</dc:creator>
  <cp:lastModifiedBy>Katarina Krašić</cp:lastModifiedBy>
  <cp:lastPrinted>2026-02-25T11:19:55Z</cp:lastPrinted>
  <dcterms:created xsi:type="dcterms:W3CDTF">2001-09-13T13:02:34Z</dcterms:created>
  <dcterms:modified xsi:type="dcterms:W3CDTF">2026-03-04T08:41:14Z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0x0101009175B515D33AA64EBECFB4F5AB7ED2F3</vt:lpwstr>
  </property>
  <property fmtid="{D5CDD505-2E9C-101B-9397-08002B2CF9AE}" pid="3" name="MediaServiceImageTags">
    <vt:lpwstr/>
  </property>
</Properties>
</file>